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2.xml" ContentType="application/vnd.ms-office.chartstyle+xml"/>
  <Override PartName="/xl/charts/colors2.xml" ContentType="application/vnd.ms-office.chartcolorstyle+xml"/>
  <Override PartName="/xl/charts/chart12.xml" ContentType="application/vnd.openxmlformats-officedocument.drawingml.chart+xml"/>
  <Override PartName="/xl/charts/style3.xml" ContentType="application/vnd.ms-office.chartstyle+xml"/>
  <Override PartName="/xl/charts/colors3.xml" ContentType="application/vnd.ms-office.chartcolorstyle+xml"/>
  <Override PartName="/xl/charts/chart13.xml" ContentType="application/vnd.openxmlformats-officedocument.drawingml.chart+xml"/>
  <Override PartName="/xl/charts/style4.xml" ContentType="application/vnd.ms-office.chartstyle+xml"/>
  <Override PartName="/xl/charts/colors4.xml" ContentType="application/vnd.ms-office.chartcolorstyle+xml"/>
  <Override PartName="/xl/charts/chart14.xml" ContentType="application/vnd.openxmlformats-officedocument.drawingml.chart+xml"/>
  <Override PartName="/xl/charts/style5.xml" ContentType="application/vnd.ms-office.chartstyle+xml"/>
  <Override PartName="/xl/charts/colors5.xml" ContentType="application/vnd.ms-office.chartcolorstyle+xml"/>
  <Override PartName="/xl/charts/chart15.xml" ContentType="application/vnd.openxmlformats-officedocument.drawingml.chart+xml"/>
  <Override PartName="/xl/charts/style6.xml" ContentType="application/vnd.ms-office.chartstyle+xml"/>
  <Override PartName="/xl/charts/colors6.xml" ContentType="application/vnd.ms-office.chartcolorstyle+xml"/>
  <Override PartName="/xl/charts/chart16.xml" ContentType="application/vnd.openxmlformats-officedocument.drawingml.chart+xml"/>
  <Override PartName="/xl/charts/style7.xml" ContentType="application/vnd.ms-office.chartstyle+xml"/>
  <Override PartName="/xl/charts/colors7.xml" ContentType="application/vnd.ms-office.chartcolorstyle+xml"/>
  <Override PartName="/xl/charts/chart17.xml" ContentType="application/vnd.openxmlformats-officedocument.drawingml.chart+xml"/>
  <Override PartName="/xl/charts/style8.xml" ContentType="application/vnd.ms-office.chartstyle+xml"/>
  <Override PartName="/xl/charts/colors8.xml" ContentType="application/vnd.ms-office.chartcolorstyle+xml"/>
  <Override PartName="/xl/charts/chart18.xml" ContentType="application/vnd.openxmlformats-officedocument.drawingml.chart+xml"/>
  <Override PartName="/xl/charts/style9.xml" ContentType="application/vnd.ms-office.chartstyle+xml"/>
  <Override PartName="/xl/charts/colors9.xml" ContentType="application/vnd.ms-office.chartcolorstyle+xml"/>
  <Override PartName="/xl/charts/chart19.xml" ContentType="application/vnd.openxmlformats-officedocument.drawingml.chart+xml"/>
  <Override PartName="/xl/charts/style10.xml" ContentType="application/vnd.ms-office.chartstyle+xml"/>
  <Override PartName="/xl/charts/colors10.xml" ContentType="application/vnd.ms-office.chartcolorstyle+xml"/>
  <Override PartName="/xl/charts/chart20.xml" ContentType="application/vnd.openxmlformats-officedocument.drawingml.chart+xml"/>
  <Override PartName="/xl/charts/style11.xml" ContentType="application/vnd.ms-office.chartstyle+xml"/>
  <Override PartName="/xl/charts/colors11.xml" ContentType="application/vnd.ms-office.chartcolorstyle+xml"/>
  <Override PartName="/xl/charts/chart21.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166925"/>
  <mc:AlternateContent xmlns:mc="http://schemas.openxmlformats.org/markup-compatibility/2006">
    <mc:Choice Requires="x15">
      <x15ac:absPath xmlns:x15ac="http://schemas.microsoft.com/office/spreadsheetml/2010/11/ac" url="C:\FOLDER\PROJECT\"/>
    </mc:Choice>
  </mc:AlternateContent>
  <xr:revisionPtr revIDLastSave="0" documentId="13_ncr:1_{BD72E2DC-9BDA-478F-8EDF-2D84BE04A805}" xr6:coauthVersionLast="47" xr6:coauthVersionMax="47" xr10:uidLastSave="{00000000-0000-0000-0000-000000000000}"/>
  <bookViews>
    <workbookView xWindow="-108" yWindow="-108" windowWidth="23256" windowHeight="12456" activeTab="2" xr2:uid="{7D794398-E73B-4A00-A25C-310394B387CE}"/>
  </bookViews>
  <sheets>
    <sheet name="HR-Employee-Attrition" sheetId="2" r:id="rId1"/>
    <sheet name="Sheet1" sheetId="1" r:id="rId2"/>
    <sheet name="dashboard" sheetId="3" r:id="rId3"/>
  </sheets>
  <definedNames>
    <definedName name="ExternalData_1" localSheetId="0" hidden="1">'HR-Employee-Attrition'!$A$1:$AI$1471</definedName>
    <definedName name="Slicer_Attrition">#N/A</definedName>
    <definedName name="Slicer_BusinessTravel">#N/A</definedName>
    <definedName name="Slicer_Department">#N/A</definedName>
    <definedName name="Slicer_Gender">#N/A</definedName>
    <definedName name="Slicer_OverTim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9" i="1" l="1"/>
  <c r="AM2" i="2"/>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B25" i="1"/>
  <c r="B24" i="1"/>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 r="AJ60" i="2"/>
  <c r="AJ61" i="2"/>
  <c r="AJ62" i="2"/>
  <c r="AJ63" i="2"/>
  <c r="AJ64" i="2"/>
  <c r="AJ65" i="2"/>
  <c r="AJ66" i="2"/>
  <c r="AJ67" i="2"/>
  <c r="AJ68" i="2"/>
  <c r="AJ69" i="2"/>
  <c r="AJ70" i="2"/>
  <c r="AJ71" i="2"/>
  <c r="AJ72" i="2"/>
  <c r="AJ73" i="2"/>
  <c r="AJ74" i="2"/>
  <c r="AJ75" i="2"/>
  <c r="AJ76" i="2"/>
  <c r="AJ77" i="2"/>
  <c r="AJ78" i="2"/>
  <c r="AJ79" i="2"/>
  <c r="AJ80" i="2"/>
  <c r="AJ81" i="2"/>
  <c r="AJ82" i="2"/>
  <c r="AJ83" i="2"/>
  <c r="AJ84" i="2"/>
  <c r="AJ85" i="2"/>
  <c r="AJ86" i="2"/>
  <c r="AJ87" i="2"/>
  <c r="AJ88" i="2"/>
  <c r="AJ89" i="2"/>
  <c r="AJ90" i="2"/>
  <c r="AJ91" i="2"/>
  <c r="AJ92" i="2"/>
  <c r="AJ93" i="2"/>
  <c r="AJ94" i="2"/>
  <c r="AJ95" i="2"/>
  <c r="AJ96" i="2"/>
  <c r="AJ97" i="2"/>
  <c r="AJ98" i="2"/>
  <c r="AJ99" i="2"/>
  <c r="AJ100" i="2"/>
  <c r="AJ101" i="2"/>
  <c r="AJ102" i="2"/>
  <c r="AJ103" i="2"/>
  <c r="AJ104" i="2"/>
  <c r="AJ105" i="2"/>
  <c r="AJ106" i="2"/>
  <c r="AJ107" i="2"/>
  <c r="AJ108" i="2"/>
  <c r="AJ109" i="2"/>
  <c r="AJ110" i="2"/>
  <c r="AJ111" i="2"/>
  <c r="AJ112" i="2"/>
  <c r="AJ113" i="2"/>
  <c r="AJ114" i="2"/>
  <c r="AJ115" i="2"/>
  <c r="AJ116" i="2"/>
  <c r="AJ117" i="2"/>
  <c r="AJ118" i="2"/>
  <c r="AJ119" i="2"/>
  <c r="AJ120" i="2"/>
  <c r="AJ121" i="2"/>
  <c r="AJ122" i="2"/>
  <c r="AJ123" i="2"/>
  <c r="AJ124" i="2"/>
  <c r="AJ125" i="2"/>
  <c r="AJ126" i="2"/>
  <c r="AJ127" i="2"/>
  <c r="AJ128" i="2"/>
  <c r="AJ129" i="2"/>
  <c r="AJ130" i="2"/>
  <c r="AJ131" i="2"/>
  <c r="AJ132" i="2"/>
  <c r="AJ133" i="2"/>
  <c r="AJ134" i="2"/>
  <c r="AJ135" i="2"/>
  <c r="AJ136" i="2"/>
  <c r="AJ137" i="2"/>
  <c r="AJ138" i="2"/>
  <c r="AJ139" i="2"/>
  <c r="AJ140" i="2"/>
  <c r="AJ141" i="2"/>
  <c r="AJ142" i="2"/>
  <c r="AJ143" i="2"/>
  <c r="AJ144" i="2"/>
  <c r="AJ145" i="2"/>
  <c r="AJ146" i="2"/>
  <c r="AJ147" i="2"/>
  <c r="AJ148" i="2"/>
  <c r="AJ149" i="2"/>
  <c r="AJ150" i="2"/>
  <c r="AJ151" i="2"/>
  <c r="AJ152" i="2"/>
  <c r="AJ153" i="2"/>
  <c r="AJ154" i="2"/>
  <c r="AJ155" i="2"/>
  <c r="AJ156" i="2"/>
  <c r="AJ157" i="2"/>
  <c r="AJ158" i="2"/>
  <c r="AJ159" i="2"/>
  <c r="AJ160" i="2"/>
  <c r="AJ161" i="2"/>
  <c r="AJ162" i="2"/>
  <c r="AJ163" i="2"/>
  <c r="AJ164" i="2"/>
  <c r="AJ165" i="2"/>
  <c r="AJ166" i="2"/>
  <c r="AJ167" i="2"/>
  <c r="AJ168" i="2"/>
  <c r="AJ169" i="2"/>
  <c r="AJ170" i="2"/>
  <c r="AJ171" i="2"/>
  <c r="AJ172" i="2"/>
  <c r="AJ173" i="2"/>
  <c r="AJ174" i="2"/>
  <c r="AJ175" i="2"/>
  <c r="AJ176" i="2"/>
  <c r="AJ177" i="2"/>
  <c r="AJ178" i="2"/>
  <c r="AJ179" i="2"/>
  <c r="AJ180" i="2"/>
  <c r="AJ181" i="2"/>
  <c r="AJ182" i="2"/>
  <c r="AJ183" i="2"/>
  <c r="AJ184" i="2"/>
  <c r="AJ185" i="2"/>
  <c r="AJ186" i="2"/>
  <c r="AJ187" i="2"/>
  <c r="AJ188" i="2"/>
  <c r="AJ189" i="2"/>
  <c r="AJ190" i="2"/>
  <c r="AJ191" i="2"/>
  <c r="AJ192" i="2"/>
  <c r="AJ193" i="2"/>
  <c r="AJ194" i="2"/>
  <c r="AJ195" i="2"/>
  <c r="AJ196" i="2"/>
  <c r="AJ197" i="2"/>
  <c r="AJ198" i="2"/>
  <c r="AJ199" i="2"/>
  <c r="AJ200" i="2"/>
  <c r="AJ201" i="2"/>
  <c r="AJ202" i="2"/>
  <c r="AJ203" i="2"/>
  <c r="AJ204" i="2"/>
  <c r="AJ205" i="2"/>
  <c r="AJ206" i="2"/>
  <c r="AJ207" i="2"/>
  <c r="AJ208" i="2"/>
  <c r="AJ209" i="2"/>
  <c r="AJ210" i="2"/>
  <c r="AJ211" i="2"/>
  <c r="AJ212" i="2"/>
  <c r="AJ213" i="2"/>
  <c r="AJ214" i="2"/>
  <c r="AJ215" i="2"/>
  <c r="AJ216" i="2"/>
  <c r="AJ217" i="2"/>
  <c r="AJ218" i="2"/>
  <c r="AJ219" i="2"/>
  <c r="AJ220" i="2"/>
  <c r="AJ221" i="2"/>
  <c r="AJ222" i="2"/>
  <c r="AJ223" i="2"/>
  <c r="AJ224" i="2"/>
  <c r="AJ225" i="2"/>
  <c r="AJ226" i="2"/>
  <c r="AJ227" i="2"/>
  <c r="AJ228" i="2"/>
  <c r="AJ229" i="2"/>
  <c r="AJ230" i="2"/>
  <c r="AJ231" i="2"/>
  <c r="AJ232" i="2"/>
  <c r="AJ233" i="2"/>
  <c r="AJ234" i="2"/>
  <c r="AJ235" i="2"/>
  <c r="AJ236" i="2"/>
  <c r="AJ237" i="2"/>
  <c r="AJ238" i="2"/>
  <c r="AJ239" i="2"/>
  <c r="AJ240" i="2"/>
  <c r="AJ241" i="2"/>
  <c r="AJ242" i="2"/>
  <c r="AJ243" i="2"/>
  <c r="AJ244" i="2"/>
  <c r="AJ245" i="2"/>
  <c r="AJ246" i="2"/>
  <c r="AJ247" i="2"/>
  <c r="AJ248" i="2"/>
  <c r="AJ249" i="2"/>
  <c r="AJ250" i="2"/>
  <c r="AJ251" i="2"/>
  <c r="AJ252" i="2"/>
  <c r="AJ253" i="2"/>
  <c r="AJ254" i="2"/>
  <c r="AJ255" i="2"/>
  <c r="AJ256" i="2"/>
  <c r="AJ257" i="2"/>
  <c r="AJ258" i="2"/>
  <c r="AJ259" i="2"/>
  <c r="AJ260" i="2"/>
  <c r="AJ261" i="2"/>
  <c r="AJ262" i="2"/>
  <c r="AJ263" i="2"/>
  <c r="AJ264" i="2"/>
  <c r="AJ265" i="2"/>
  <c r="AJ266" i="2"/>
  <c r="AJ267" i="2"/>
  <c r="AJ268" i="2"/>
  <c r="AJ269" i="2"/>
  <c r="AJ270" i="2"/>
  <c r="AJ271" i="2"/>
  <c r="AJ272" i="2"/>
  <c r="AJ273" i="2"/>
  <c r="AJ274" i="2"/>
  <c r="AJ275" i="2"/>
  <c r="AJ276" i="2"/>
  <c r="AJ277" i="2"/>
  <c r="AJ278" i="2"/>
  <c r="AJ279" i="2"/>
  <c r="AJ280" i="2"/>
  <c r="AJ281" i="2"/>
  <c r="AJ282" i="2"/>
  <c r="AJ283" i="2"/>
  <c r="AJ284" i="2"/>
  <c r="AJ285" i="2"/>
  <c r="AJ286" i="2"/>
  <c r="AJ287" i="2"/>
  <c r="AJ288" i="2"/>
  <c r="AJ289" i="2"/>
  <c r="AJ290" i="2"/>
  <c r="AJ291" i="2"/>
  <c r="AJ292" i="2"/>
  <c r="AJ293" i="2"/>
  <c r="AJ294" i="2"/>
  <c r="AJ295" i="2"/>
  <c r="AJ296" i="2"/>
  <c r="AJ297" i="2"/>
  <c r="AJ298" i="2"/>
  <c r="AJ299" i="2"/>
  <c r="AJ300" i="2"/>
  <c r="AJ301" i="2"/>
  <c r="AJ302" i="2"/>
  <c r="AJ303" i="2"/>
  <c r="AJ304" i="2"/>
  <c r="AJ305" i="2"/>
  <c r="AJ306" i="2"/>
  <c r="AJ307" i="2"/>
  <c r="AJ308" i="2"/>
  <c r="AJ309" i="2"/>
  <c r="AJ310" i="2"/>
  <c r="AJ311" i="2"/>
  <c r="AJ312" i="2"/>
  <c r="AJ313" i="2"/>
  <c r="AJ314" i="2"/>
  <c r="AJ315" i="2"/>
  <c r="AJ316" i="2"/>
  <c r="AJ317" i="2"/>
  <c r="AJ318" i="2"/>
  <c r="AJ319" i="2"/>
  <c r="AJ320" i="2"/>
  <c r="AJ321"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351" i="2"/>
  <c r="AJ352" i="2"/>
  <c r="AJ353" i="2"/>
  <c r="AJ354" i="2"/>
  <c r="AJ355" i="2"/>
  <c r="AJ356" i="2"/>
  <c r="AJ357" i="2"/>
  <c r="AJ358" i="2"/>
  <c r="AJ359" i="2"/>
  <c r="AJ360" i="2"/>
  <c r="AJ361" i="2"/>
  <c r="AJ362" i="2"/>
  <c r="AJ363" i="2"/>
  <c r="AJ364" i="2"/>
  <c r="AJ365" i="2"/>
  <c r="AJ366" i="2"/>
  <c r="AJ367" i="2"/>
  <c r="AJ368" i="2"/>
  <c r="AJ369" i="2"/>
  <c r="AJ370" i="2"/>
  <c r="AJ371" i="2"/>
  <c r="AJ372" i="2"/>
  <c r="AJ373" i="2"/>
  <c r="AJ374" i="2"/>
  <c r="AJ375" i="2"/>
  <c r="AJ376" i="2"/>
  <c r="AJ377" i="2"/>
  <c r="AJ378" i="2"/>
  <c r="AJ379" i="2"/>
  <c r="AJ380" i="2"/>
  <c r="AJ381" i="2"/>
  <c r="AJ382" i="2"/>
  <c r="AJ383" i="2"/>
  <c r="AJ384" i="2"/>
  <c r="AJ385" i="2"/>
  <c r="AJ386" i="2"/>
  <c r="AJ387" i="2"/>
  <c r="AJ388" i="2"/>
  <c r="AJ389" i="2"/>
  <c r="AJ390" i="2"/>
  <c r="AJ391" i="2"/>
  <c r="AJ392" i="2"/>
  <c r="AJ393" i="2"/>
  <c r="AJ394" i="2"/>
  <c r="AJ395" i="2"/>
  <c r="AJ396" i="2"/>
  <c r="AJ397" i="2"/>
  <c r="AJ398" i="2"/>
  <c r="AJ399" i="2"/>
  <c r="AJ400" i="2"/>
  <c r="AJ401" i="2"/>
  <c r="AJ402" i="2"/>
  <c r="AJ403" i="2"/>
  <c r="AJ404" i="2"/>
  <c r="AJ405" i="2"/>
  <c r="AJ406" i="2"/>
  <c r="AJ407" i="2"/>
  <c r="AJ408" i="2"/>
  <c r="AJ409" i="2"/>
  <c r="AJ410" i="2"/>
  <c r="AJ411" i="2"/>
  <c r="AJ412" i="2"/>
  <c r="AJ413" i="2"/>
  <c r="AJ414" i="2"/>
  <c r="AJ415" i="2"/>
  <c r="AJ416" i="2"/>
  <c r="AJ417" i="2"/>
  <c r="AJ418" i="2"/>
  <c r="AJ419" i="2"/>
  <c r="AJ420" i="2"/>
  <c r="AJ421" i="2"/>
  <c r="AJ422" i="2"/>
  <c r="AJ423" i="2"/>
  <c r="AJ424" i="2"/>
  <c r="AJ425" i="2"/>
  <c r="AJ426" i="2"/>
  <c r="AJ427" i="2"/>
  <c r="AJ428" i="2"/>
  <c r="AJ429" i="2"/>
  <c r="AJ430" i="2"/>
  <c r="AJ431" i="2"/>
  <c r="AJ432" i="2"/>
  <c r="AJ433" i="2"/>
  <c r="AJ434" i="2"/>
  <c r="AJ435" i="2"/>
  <c r="AJ436" i="2"/>
  <c r="AJ437" i="2"/>
  <c r="AJ438" i="2"/>
  <c r="AJ439" i="2"/>
  <c r="AJ440" i="2"/>
  <c r="AJ441" i="2"/>
  <c r="AJ442" i="2"/>
  <c r="AJ443" i="2"/>
  <c r="AJ444" i="2"/>
  <c r="AJ445" i="2"/>
  <c r="AJ446" i="2"/>
  <c r="AJ447" i="2"/>
  <c r="AJ448" i="2"/>
  <c r="AJ449" i="2"/>
  <c r="AJ450" i="2"/>
  <c r="AJ451" i="2"/>
  <c r="AJ452" i="2"/>
  <c r="AJ453" i="2"/>
  <c r="AJ454" i="2"/>
  <c r="AJ455" i="2"/>
  <c r="AJ456" i="2"/>
  <c r="AJ457" i="2"/>
  <c r="AJ458" i="2"/>
  <c r="AJ459" i="2"/>
  <c r="AJ460" i="2"/>
  <c r="AJ461" i="2"/>
  <c r="AJ462" i="2"/>
  <c r="AJ463" i="2"/>
  <c r="AJ464" i="2"/>
  <c r="AJ465" i="2"/>
  <c r="AJ466" i="2"/>
  <c r="AJ467" i="2"/>
  <c r="AJ468" i="2"/>
  <c r="AJ469" i="2"/>
  <c r="AJ470" i="2"/>
  <c r="AJ471" i="2"/>
  <c r="AJ472" i="2"/>
  <c r="AJ473" i="2"/>
  <c r="AJ474" i="2"/>
  <c r="AJ475" i="2"/>
  <c r="AJ476" i="2"/>
  <c r="AJ477" i="2"/>
  <c r="AJ478" i="2"/>
  <c r="AJ479" i="2"/>
  <c r="AJ480" i="2"/>
  <c r="AJ481" i="2"/>
  <c r="AJ482" i="2"/>
  <c r="AJ483" i="2"/>
  <c r="AJ484" i="2"/>
  <c r="AJ485" i="2"/>
  <c r="AJ486" i="2"/>
  <c r="AJ487" i="2"/>
  <c r="AJ488" i="2"/>
  <c r="AJ489" i="2"/>
  <c r="AJ490" i="2"/>
  <c r="AJ491" i="2"/>
  <c r="AJ492" i="2"/>
  <c r="AJ493" i="2"/>
  <c r="AJ494" i="2"/>
  <c r="AJ495" i="2"/>
  <c r="AJ496" i="2"/>
  <c r="AJ497" i="2"/>
  <c r="AJ498" i="2"/>
  <c r="AJ499" i="2"/>
  <c r="AJ500" i="2"/>
  <c r="AJ501" i="2"/>
  <c r="AJ502" i="2"/>
  <c r="AJ503" i="2"/>
  <c r="AJ504" i="2"/>
  <c r="AJ505" i="2"/>
  <c r="AJ506" i="2"/>
  <c r="AJ507" i="2"/>
  <c r="AJ508" i="2"/>
  <c r="AJ509" i="2"/>
  <c r="AJ510" i="2"/>
  <c r="AJ511" i="2"/>
  <c r="AJ512" i="2"/>
  <c r="AJ513" i="2"/>
  <c r="AJ514" i="2"/>
  <c r="AJ515" i="2"/>
  <c r="AJ516" i="2"/>
  <c r="AJ517" i="2"/>
  <c r="AJ518" i="2"/>
  <c r="AJ519" i="2"/>
  <c r="AJ520" i="2"/>
  <c r="AJ521" i="2"/>
  <c r="AJ522" i="2"/>
  <c r="AJ523" i="2"/>
  <c r="AJ524" i="2"/>
  <c r="AJ525" i="2"/>
  <c r="AJ526" i="2"/>
  <c r="AJ527" i="2"/>
  <c r="AJ528" i="2"/>
  <c r="AJ529" i="2"/>
  <c r="AJ530" i="2"/>
  <c r="AJ531" i="2"/>
  <c r="AJ532" i="2"/>
  <c r="AJ533" i="2"/>
  <c r="AJ534" i="2"/>
  <c r="AJ535" i="2"/>
  <c r="AJ536" i="2"/>
  <c r="AJ537" i="2"/>
  <c r="AJ538" i="2"/>
  <c r="AJ539" i="2"/>
  <c r="AJ540" i="2"/>
  <c r="AJ541" i="2"/>
  <c r="AJ542" i="2"/>
  <c r="AJ543" i="2"/>
  <c r="AJ544" i="2"/>
  <c r="AJ545" i="2"/>
  <c r="AJ546" i="2"/>
  <c r="AJ547" i="2"/>
  <c r="AJ548" i="2"/>
  <c r="AJ549" i="2"/>
  <c r="AJ550" i="2"/>
  <c r="AJ551" i="2"/>
  <c r="AJ552" i="2"/>
  <c r="AJ553" i="2"/>
  <c r="AJ554" i="2"/>
  <c r="AJ555" i="2"/>
  <c r="AJ556" i="2"/>
  <c r="AJ557" i="2"/>
  <c r="AJ558" i="2"/>
  <c r="AJ559" i="2"/>
  <c r="AJ560" i="2"/>
  <c r="AJ561" i="2"/>
  <c r="AJ562" i="2"/>
  <c r="AJ563" i="2"/>
  <c r="AJ564" i="2"/>
  <c r="AJ565" i="2"/>
  <c r="AJ566" i="2"/>
  <c r="AJ567" i="2"/>
  <c r="AJ568" i="2"/>
  <c r="AJ569" i="2"/>
  <c r="AJ570" i="2"/>
  <c r="AJ571" i="2"/>
  <c r="AJ572" i="2"/>
  <c r="AJ573" i="2"/>
  <c r="AJ574" i="2"/>
  <c r="AJ575" i="2"/>
  <c r="AJ576" i="2"/>
  <c r="AJ577" i="2"/>
  <c r="AJ578" i="2"/>
  <c r="AJ579" i="2"/>
  <c r="AJ580" i="2"/>
  <c r="AJ581" i="2"/>
  <c r="AJ582" i="2"/>
  <c r="AJ583" i="2"/>
  <c r="AJ584" i="2"/>
  <c r="AJ585" i="2"/>
  <c r="AJ586" i="2"/>
  <c r="AJ587" i="2"/>
  <c r="AJ588" i="2"/>
  <c r="AJ589" i="2"/>
  <c r="AJ590" i="2"/>
  <c r="AJ591" i="2"/>
  <c r="AJ592" i="2"/>
  <c r="AJ593" i="2"/>
  <c r="AJ594" i="2"/>
  <c r="AJ595" i="2"/>
  <c r="AJ596" i="2"/>
  <c r="AJ597" i="2"/>
  <c r="AJ598" i="2"/>
  <c r="AJ599" i="2"/>
  <c r="AJ600" i="2"/>
  <c r="AJ601" i="2"/>
  <c r="AJ602" i="2"/>
  <c r="AJ603" i="2"/>
  <c r="AJ604" i="2"/>
  <c r="AJ605" i="2"/>
  <c r="AJ606" i="2"/>
  <c r="AJ607" i="2"/>
  <c r="AJ608" i="2"/>
  <c r="AJ609" i="2"/>
  <c r="AJ610" i="2"/>
  <c r="AJ611" i="2"/>
  <c r="AJ612" i="2"/>
  <c r="AJ613" i="2"/>
  <c r="AJ614" i="2"/>
  <c r="AJ615" i="2"/>
  <c r="AJ616" i="2"/>
  <c r="AJ617" i="2"/>
  <c r="AJ618" i="2"/>
  <c r="AJ619" i="2"/>
  <c r="AJ620" i="2"/>
  <c r="AJ621" i="2"/>
  <c r="AJ622" i="2"/>
  <c r="AJ623" i="2"/>
  <c r="AJ624" i="2"/>
  <c r="AJ625" i="2"/>
  <c r="AJ626" i="2"/>
  <c r="AJ627" i="2"/>
  <c r="AJ628" i="2"/>
  <c r="AJ629" i="2"/>
  <c r="AJ630" i="2"/>
  <c r="AJ631" i="2"/>
  <c r="AJ632" i="2"/>
  <c r="AJ633" i="2"/>
  <c r="AJ634" i="2"/>
  <c r="AJ635" i="2"/>
  <c r="AJ636" i="2"/>
  <c r="AJ637" i="2"/>
  <c r="AJ638" i="2"/>
  <c r="AJ639" i="2"/>
  <c r="AJ640" i="2"/>
  <c r="AJ641" i="2"/>
  <c r="AJ642" i="2"/>
  <c r="AJ643" i="2"/>
  <c r="AJ644" i="2"/>
  <c r="AJ645" i="2"/>
  <c r="AJ646" i="2"/>
  <c r="AJ647" i="2"/>
  <c r="AJ648" i="2"/>
  <c r="AJ649" i="2"/>
  <c r="AJ650" i="2"/>
  <c r="AJ651" i="2"/>
  <c r="AJ652" i="2"/>
  <c r="AJ653" i="2"/>
  <c r="AJ654" i="2"/>
  <c r="AJ655" i="2"/>
  <c r="AJ656" i="2"/>
  <c r="AJ657" i="2"/>
  <c r="AJ658" i="2"/>
  <c r="AJ659" i="2"/>
  <c r="AJ660" i="2"/>
  <c r="AJ661" i="2"/>
  <c r="AJ662" i="2"/>
  <c r="AJ663" i="2"/>
  <c r="AJ664" i="2"/>
  <c r="AJ665" i="2"/>
  <c r="AJ666" i="2"/>
  <c r="AJ667" i="2"/>
  <c r="AJ668" i="2"/>
  <c r="AJ669" i="2"/>
  <c r="AJ670" i="2"/>
  <c r="AJ671" i="2"/>
  <c r="AJ672" i="2"/>
  <c r="AJ673" i="2"/>
  <c r="AJ674" i="2"/>
  <c r="AJ675" i="2"/>
  <c r="AJ676" i="2"/>
  <c r="AJ677" i="2"/>
  <c r="AJ678" i="2"/>
  <c r="AJ679" i="2"/>
  <c r="AJ680" i="2"/>
  <c r="AJ681" i="2"/>
  <c r="AJ682" i="2"/>
  <c r="AJ683" i="2"/>
  <c r="AJ684" i="2"/>
  <c r="AJ685" i="2"/>
  <c r="AJ686" i="2"/>
  <c r="AJ687" i="2"/>
  <c r="AJ688" i="2"/>
  <c r="AJ689" i="2"/>
  <c r="AJ690" i="2"/>
  <c r="AJ691" i="2"/>
  <c r="AJ692" i="2"/>
  <c r="AJ693" i="2"/>
  <c r="AJ694" i="2"/>
  <c r="AJ695" i="2"/>
  <c r="AJ696" i="2"/>
  <c r="AJ697" i="2"/>
  <c r="AJ698" i="2"/>
  <c r="AJ699" i="2"/>
  <c r="AJ700" i="2"/>
  <c r="AJ701" i="2"/>
  <c r="AJ702" i="2"/>
  <c r="AJ703" i="2"/>
  <c r="AJ704" i="2"/>
  <c r="AJ705" i="2"/>
  <c r="AJ706" i="2"/>
  <c r="AJ707" i="2"/>
  <c r="AJ708" i="2"/>
  <c r="AJ709" i="2"/>
  <c r="AJ710" i="2"/>
  <c r="AJ711" i="2"/>
  <c r="AJ712" i="2"/>
  <c r="AJ713" i="2"/>
  <c r="AJ714" i="2"/>
  <c r="AJ715" i="2"/>
  <c r="AJ716" i="2"/>
  <c r="AJ717" i="2"/>
  <c r="AJ718" i="2"/>
  <c r="AJ719" i="2"/>
  <c r="AJ720" i="2"/>
  <c r="AJ721" i="2"/>
  <c r="AJ722" i="2"/>
  <c r="AJ723" i="2"/>
  <c r="AJ724" i="2"/>
  <c r="AJ725" i="2"/>
  <c r="AJ726" i="2"/>
  <c r="AJ727" i="2"/>
  <c r="AJ728" i="2"/>
  <c r="AJ729" i="2"/>
  <c r="AJ730" i="2"/>
  <c r="AJ731" i="2"/>
  <c r="AJ732" i="2"/>
  <c r="AJ733" i="2"/>
  <c r="AJ734" i="2"/>
  <c r="AJ735" i="2"/>
  <c r="AJ736" i="2"/>
  <c r="AJ737" i="2"/>
  <c r="AJ738" i="2"/>
  <c r="AJ739" i="2"/>
  <c r="AJ740" i="2"/>
  <c r="AJ741" i="2"/>
  <c r="AJ742" i="2"/>
  <c r="AJ743" i="2"/>
  <c r="AJ744" i="2"/>
  <c r="AJ745" i="2"/>
  <c r="AJ746" i="2"/>
  <c r="AJ747" i="2"/>
  <c r="AJ748" i="2"/>
  <c r="AJ749" i="2"/>
  <c r="AJ750" i="2"/>
  <c r="AJ751" i="2"/>
  <c r="AJ752" i="2"/>
  <c r="AJ753" i="2"/>
  <c r="AJ754" i="2"/>
  <c r="AJ755" i="2"/>
  <c r="AJ756" i="2"/>
  <c r="AJ757" i="2"/>
  <c r="AJ758" i="2"/>
  <c r="AJ759" i="2"/>
  <c r="AJ760" i="2"/>
  <c r="AJ761" i="2"/>
  <c r="AJ762" i="2"/>
  <c r="AJ763" i="2"/>
  <c r="AJ764" i="2"/>
  <c r="AJ765" i="2"/>
  <c r="AJ766" i="2"/>
  <c r="AJ767" i="2"/>
  <c r="AJ768" i="2"/>
  <c r="AJ769" i="2"/>
  <c r="AJ770" i="2"/>
  <c r="AJ771" i="2"/>
  <c r="AJ772" i="2"/>
  <c r="AJ773" i="2"/>
  <c r="AJ774" i="2"/>
  <c r="AJ775" i="2"/>
  <c r="AJ776" i="2"/>
  <c r="AJ777" i="2"/>
  <c r="AJ778" i="2"/>
  <c r="AJ779" i="2"/>
  <c r="AJ780" i="2"/>
  <c r="AJ781" i="2"/>
  <c r="AJ782" i="2"/>
  <c r="AJ783" i="2"/>
  <c r="AJ784" i="2"/>
  <c r="AJ785" i="2"/>
  <c r="AJ786" i="2"/>
  <c r="AJ787" i="2"/>
  <c r="AJ788" i="2"/>
  <c r="AJ789" i="2"/>
  <c r="AJ790" i="2"/>
  <c r="AJ791" i="2"/>
  <c r="AJ792" i="2"/>
  <c r="AJ793" i="2"/>
  <c r="AJ794" i="2"/>
  <c r="AJ795" i="2"/>
  <c r="AJ796" i="2"/>
  <c r="AJ797" i="2"/>
  <c r="AJ798" i="2"/>
  <c r="AJ799" i="2"/>
  <c r="AJ800" i="2"/>
  <c r="AJ801" i="2"/>
  <c r="AJ802" i="2"/>
  <c r="AJ803" i="2"/>
  <c r="AJ804" i="2"/>
  <c r="AJ805" i="2"/>
  <c r="AJ806" i="2"/>
  <c r="AJ807" i="2"/>
  <c r="AJ808" i="2"/>
  <c r="AJ809" i="2"/>
  <c r="AJ810" i="2"/>
  <c r="AJ811" i="2"/>
  <c r="AJ812" i="2"/>
  <c r="AJ813" i="2"/>
  <c r="AJ814" i="2"/>
  <c r="AJ815" i="2"/>
  <c r="AJ816" i="2"/>
  <c r="AJ817" i="2"/>
  <c r="AJ818" i="2"/>
  <c r="AJ819" i="2"/>
  <c r="AJ820" i="2"/>
  <c r="AJ821" i="2"/>
  <c r="AJ822" i="2"/>
  <c r="AJ823" i="2"/>
  <c r="AJ824" i="2"/>
  <c r="AJ825" i="2"/>
  <c r="AJ826" i="2"/>
  <c r="AJ827" i="2"/>
  <c r="AJ828" i="2"/>
  <c r="AJ829" i="2"/>
  <c r="AJ830" i="2"/>
  <c r="AJ831" i="2"/>
  <c r="AJ832" i="2"/>
  <c r="AJ833" i="2"/>
  <c r="AJ834" i="2"/>
  <c r="AJ835" i="2"/>
  <c r="AJ836" i="2"/>
  <c r="AJ837" i="2"/>
  <c r="AJ838" i="2"/>
  <c r="AJ839" i="2"/>
  <c r="AJ840" i="2"/>
  <c r="AJ841" i="2"/>
  <c r="AJ842" i="2"/>
  <c r="AJ843" i="2"/>
  <c r="AJ844" i="2"/>
  <c r="AJ845" i="2"/>
  <c r="AJ846" i="2"/>
  <c r="AJ847" i="2"/>
  <c r="AJ848" i="2"/>
  <c r="AJ849" i="2"/>
  <c r="AJ850" i="2"/>
  <c r="AJ851" i="2"/>
  <c r="AJ852" i="2"/>
  <c r="AJ853" i="2"/>
  <c r="AJ854" i="2"/>
  <c r="AJ855" i="2"/>
  <c r="AJ856" i="2"/>
  <c r="AJ857" i="2"/>
  <c r="AJ858" i="2"/>
  <c r="AJ859" i="2"/>
  <c r="AJ860" i="2"/>
  <c r="AJ861" i="2"/>
  <c r="AJ862" i="2"/>
  <c r="AJ863" i="2"/>
  <c r="AJ864" i="2"/>
  <c r="AJ865" i="2"/>
  <c r="AJ866" i="2"/>
  <c r="AJ867" i="2"/>
  <c r="AJ868" i="2"/>
  <c r="AJ869" i="2"/>
  <c r="AJ870" i="2"/>
  <c r="AJ871" i="2"/>
  <c r="AJ872" i="2"/>
  <c r="AJ873" i="2"/>
  <c r="AJ874" i="2"/>
  <c r="AJ875" i="2"/>
  <c r="AJ876" i="2"/>
  <c r="AJ877" i="2"/>
  <c r="AJ878" i="2"/>
  <c r="AJ879" i="2"/>
  <c r="AJ880" i="2"/>
  <c r="AJ881" i="2"/>
  <c r="AJ882" i="2"/>
  <c r="AJ883" i="2"/>
  <c r="AJ884" i="2"/>
  <c r="AJ885" i="2"/>
  <c r="AJ886" i="2"/>
  <c r="AJ887" i="2"/>
  <c r="AJ888" i="2"/>
  <c r="AJ889" i="2"/>
  <c r="AJ890" i="2"/>
  <c r="AJ891" i="2"/>
  <c r="AJ892" i="2"/>
  <c r="AJ893" i="2"/>
  <c r="AJ894" i="2"/>
  <c r="AJ895" i="2"/>
  <c r="AJ896" i="2"/>
  <c r="AJ897" i="2"/>
  <c r="AJ898" i="2"/>
  <c r="AJ899" i="2"/>
  <c r="AJ900" i="2"/>
  <c r="AJ901" i="2"/>
  <c r="AJ902" i="2"/>
  <c r="AJ903" i="2"/>
  <c r="AJ904" i="2"/>
  <c r="AJ905" i="2"/>
  <c r="AJ906" i="2"/>
  <c r="AJ907" i="2"/>
  <c r="AJ908" i="2"/>
  <c r="AJ909" i="2"/>
  <c r="AJ910" i="2"/>
  <c r="AJ911" i="2"/>
  <c r="AJ912" i="2"/>
  <c r="AJ913" i="2"/>
  <c r="AJ914" i="2"/>
  <c r="AJ915" i="2"/>
  <c r="AJ916" i="2"/>
  <c r="AJ917" i="2"/>
  <c r="AJ918" i="2"/>
  <c r="AJ919" i="2"/>
  <c r="AJ920" i="2"/>
  <c r="AJ921" i="2"/>
  <c r="AJ922" i="2"/>
  <c r="AJ923" i="2"/>
  <c r="AJ924" i="2"/>
  <c r="AJ925" i="2"/>
  <c r="AJ926" i="2"/>
  <c r="AJ927" i="2"/>
  <c r="AJ928" i="2"/>
  <c r="AJ929" i="2"/>
  <c r="AJ930" i="2"/>
  <c r="AJ931" i="2"/>
  <c r="AJ932" i="2"/>
  <c r="AJ933" i="2"/>
  <c r="AJ934" i="2"/>
  <c r="AJ935" i="2"/>
  <c r="AJ936" i="2"/>
  <c r="AJ937" i="2"/>
  <c r="AJ938" i="2"/>
  <c r="AJ939" i="2"/>
  <c r="AJ940" i="2"/>
  <c r="AJ941" i="2"/>
  <c r="AJ942" i="2"/>
  <c r="AJ943" i="2"/>
  <c r="AJ944" i="2"/>
  <c r="AJ945" i="2"/>
  <c r="AJ946" i="2"/>
  <c r="AJ947" i="2"/>
  <c r="AJ948" i="2"/>
  <c r="AJ949" i="2"/>
  <c r="AJ950" i="2"/>
  <c r="AJ951" i="2"/>
  <c r="AJ952" i="2"/>
  <c r="AJ953" i="2"/>
  <c r="AJ954" i="2"/>
  <c r="AJ955" i="2"/>
  <c r="AJ956" i="2"/>
  <c r="AJ957" i="2"/>
  <c r="AJ958" i="2"/>
  <c r="AJ959" i="2"/>
  <c r="AJ960" i="2"/>
  <c r="AJ961" i="2"/>
  <c r="AJ962" i="2"/>
  <c r="AJ963" i="2"/>
  <c r="AJ964" i="2"/>
  <c r="AJ965" i="2"/>
  <c r="AJ966" i="2"/>
  <c r="AJ967" i="2"/>
  <c r="AJ968" i="2"/>
  <c r="AJ969" i="2"/>
  <c r="AJ970" i="2"/>
  <c r="AJ971" i="2"/>
  <c r="AJ972" i="2"/>
  <c r="AJ973" i="2"/>
  <c r="AJ974" i="2"/>
  <c r="AJ975" i="2"/>
  <c r="AJ976" i="2"/>
  <c r="AJ977" i="2"/>
  <c r="AJ978" i="2"/>
  <c r="AJ979" i="2"/>
  <c r="AJ980" i="2"/>
  <c r="AJ981" i="2"/>
  <c r="AJ982" i="2"/>
  <c r="AJ983" i="2"/>
  <c r="AJ984" i="2"/>
  <c r="AJ985" i="2"/>
  <c r="AJ986" i="2"/>
  <c r="AJ987" i="2"/>
  <c r="AJ988" i="2"/>
  <c r="AJ989" i="2"/>
  <c r="AJ990" i="2"/>
  <c r="AJ991" i="2"/>
  <c r="AJ992" i="2"/>
  <c r="AJ993" i="2"/>
  <c r="AJ994" i="2"/>
  <c r="AJ995" i="2"/>
  <c r="AJ996" i="2"/>
  <c r="AJ997" i="2"/>
  <c r="AJ998" i="2"/>
  <c r="AJ999" i="2"/>
  <c r="AJ1000" i="2"/>
  <c r="AJ1001" i="2"/>
  <c r="AJ1002" i="2"/>
  <c r="AJ1003" i="2"/>
  <c r="AJ1004" i="2"/>
  <c r="AJ1005" i="2"/>
  <c r="AJ1006" i="2"/>
  <c r="AJ1007" i="2"/>
  <c r="AJ1008" i="2"/>
  <c r="AJ1009" i="2"/>
  <c r="AJ1010" i="2"/>
  <c r="AJ1011" i="2"/>
  <c r="AJ1012" i="2"/>
  <c r="AJ1013" i="2"/>
  <c r="AJ1014" i="2"/>
  <c r="AJ1015" i="2"/>
  <c r="AJ1016" i="2"/>
  <c r="AJ1017" i="2"/>
  <c r="AJ1018" i="2"/>
  <c r="AJ1019" i="2"/>
  <c r="AJ1020" i="2"/>
  <c r="AJ1021" i="2"/>
  <c r="AJ1022" i="2"/>
  <c r="AJ1023" i="2"/>
  <c r="AJ1024" i="2"/>
  <c r="AJ1025" i="2"/>
  <c r="AJ1026" i="2"/>
  <c r="AJ1027" i="2"/>
  <c r="AJ1028" i="2"/>
  <c r="AJ1029" i="2"/>
  <c r="AJ1030" i="2"/>
  <c r="AJ1031" i="2"/>
  <c r="AJ1032" i="2"/>
  <c r="AJ1033" i="2"/>
  <c r="AJ1034" i="2"/>
  <c r="AJ1035" i="2"/>
  <c r="AJ1036" i="2"/>
  <c r="AJ1037" i="2"/>
  <c r="AJ1038" i="2"/>
  <c r="AJ1039" i="2"/>
  <c r="AJ1040" i="2"/>
  <c r="AJ1041" i="2"/>
  <c r="AJ1042" i="2"/>
  <c r="AJ1043" i="2"/>
  <c r="AJ1044" i="2"/>
  <c r="AJ1045" i="2"/>
  <c r="AJ1046" i="2"/>
  <c r="AJ1047" i="2"/>
  <c r="AJ1048" i="2"/>
  <c r="AJ1049" i="2"/>
  <c r="AJ1050" i="2"/>
  <c r="AJ1051" i="2"/>
  <c r="AJ1052" i="2"/>
  <c r="AJ1053" i="2"/>
  <c r="AJ1054" i="2"/>
  <c r="AJ1055" i="2"/>
  <c r="AJ1056" i="2"/>
  <c r="AJ1057" i="2"/>
  <c r="AJ1058" i="2"/>
  <c r="AJ1059" i="2"/>
  <c r="AJ1060" i="2"/>
  <c r="AJ1061" i="2"/>
  <c r="AJ1062" i="2"/>
  <c r="AJ1063" i="2"/>
  <c r="AJ1064" i="2"/>
  <c r="AJ1065" i="2"/>
  <c r="AJ1066" i="2"/>
  <c r="AJ1067" i="2"/>
  <c r="AJ1068" i="2"/>
  <c r="AJ1069" i="2"/>
  <c r="AJ1070" i="2"/>
  <c r="AJ1071" i="2"/>
  <c r="AJ1072" i="2"/>
  <c r="AJ1073" i="2"/>
  <c r="AJ1074" i="2"/>
  <c r="AJ1075" i="2"/>
  <c r="AJ1076" i="2"/>
  <c r="AJ1077" i="2"/>
  <c r="AJ1078" i="2"/>
  <c r="AJ1079" i="2"/>
  <c r="AJ1080" i="2"/>
  <c r="AJ1081" i="2"/>
  <c r="AJ1082" i="2"/>
  <c r="AJ1083" i="2"/>
  <c r="AJ1084" i="2"/>
  <c r="AJ1085" i="2"/>
  <c r="AJ1086" i="2"/>
  <c r="AJ1087" i="2"/>
  <c r="AJ1088" i="2"/>
  <c r="AJ1089" i="2"/>
  <c r="AJ1090" i="2"/>
  <c r="AJ1091" i="2"/>
  <c r="AJ1092" i="2"/>
  <c r="AJ1093" i="2"/>
  <c r="AJ1094" i="2"/>
  <c r="AJ1095" i="2"/>
  <c r="AJ1096" i="2"/>
  <c r="AJ1097" i="2"/>
  <c r="AJ1098" i="2"/>
  <c r="AJ1099" i="2"/>
  <c r="AJ1100" i="2"/>
  <c r="AJ1101" i="2"/>
  <c r="AJ1102" i="2"/>
  <c r="AJ1103" i="2"/>
  <c r="AJ1104" i="2"/>
  <c r="AJ1105" i="2"/>
  <c r="AJ1106" i="2"/>
  <c r="AJ1107" i="2"/>
  <c r="AJ1108" i="2"/>
  <c r="AJ1109" i="2"/>
  <c r="AJ1110" i="2"/>
  <c r="AJ1111" i="2"/>
  <c r="AJ1112" i="2"/>
  <c r="AJ1113" i="2"/>
  <c r="AJ1114" i="2"/>
  <c r="AJ1115" i="2"/>
  <c r="AJ1116" i="2"/>
  <c r="AJ1117" i="2"/>
  <c r="AJ1118" i="2"/>
  <c r="AJ1119" i="2"/>
  <c r="AJ1120" i="2"/>
  <c r="AJ1121" i="2"/>
  <c r="AJ1122" i="2"/>
  <c r="AJ1123" i="2"/>
  <c r="AJ1124" i="2"/>
  <c r="AJ1125" i="2"/>
  <c r="AJ1126" i="2"/>
  <c r="AJ1127" i="2"/>
  <c r="AJ1128" i="2"/>
  <c r="AJ1129" i="2"/>
  <c r="AJ1130" i="2"/>
  <c r="AJ1131" i="2"/>
  <c r="AJ1132" i="2"/>
  <c r="AJ1133" i="2"/>
  <c r="AJ1134" i="2"/>
  <c r="AJ1135" i="2"/>
  <c r="AJ1136" i="2"/>
  <c r="AJ1137" i="2"/>
  <c r="AJ1138" i="2"/>
  <c r="AJ1139" i="2"/>
  <c r="AJ1140" i="2"/>
  <c r="AJ1141" i="2"/>
  <c r="AJ1142" i="2"/>
  <c r="AJ1143" i="2"/>
  <c r="AJ1144" i="2"/>
  <c r="AJ1145" i="2"/>
  <c r="AJ1146" i="2"/>
  <c r="AJ1147" i="2"/>
  <c r="AJ1148" i="2"/>
  <c r="AJ1149" i="2"/>
  <c r="AJ1150" i="2"/>
  <c r="AJ1151" i="2"/>
  <c r="AJ1152" i="2"/>
  <c r="AJ1153" i="2"/>
  <c r="AJ1154" i="2"/>
  <c r="AJ1155" i="2"/>
  <c r="AJ1156" i="2"/>
  <c r="AJ1157" i="2"/>
  <c r="AJ1158" i="2"/>
  <c r="AJ1159" i="2"/>
  <c r="AJ1160" i="2"/>
  <c r="AJ1161" i="2"/>
  <c r="AJ1162" i="2"/>
  <c r="AJ1163" i="2"/>
  <c r="AJ1164" i="2"/>
  <c r="AJ1165" i="2"/>
  <c r="AJ1166" i="2"/>
  <c r="AJ1167" i="2"/>
  <c r="AJ1168" i="2"/>
  <c r="AJ1169" i="2"/>
  <c r="AJ1170" i="2"/>
  <c r="AJ1171" i="2"/>
  <c r="AJ1172" i="2"/>
  <c r="AJ1173" i="2"/>
  <c r="AJ1174" i="2"/>
  <c r="AJ1175" i="2"/>
  <c r="AJ1176" i="2"/>
  <c r="AJ1177" i="2"/>
  <c r="AJ1178" i="2"/>
  <c r="AJ1179" i="2"/>
  <c r="AJ1180" i="2"/>
  <c r="AJ1181" i="2"/>
  <c r="AJ1182" i="2"/>
  <c r="AJ1183" i="2"/>
  <c r="AJ1184" i="2"/>
  <c r="AJ1185" i="2"/>
  <c r="AJ1186" i="2"/>
  <c r="AJ1187" i="2"/>
  <c r="AJ1188" i="2"/>
  <c r="AJ1189" i="2"/>
  <c r="AJ1190" i="2"/>
  <c r="AJ1191" i="2"/>
  <c r="AJ1192" i="2"/>
  <c r="AJ1193" i="2"/>
  <c r="AJ1194" i="2"/>
  <c r="AJ1195" i="2"/>
  <c r="AJ1196" i="2"/>
  <c r="AJ1197" i="2"/>
  <c r="AJ1198" i="2"/>
  <c r="AJ1199" i="2"/>
  <c r="AJ1200" i="2"/>
  <c r="AJ1201" i="2"/>
  <c r="AJ1202" i="2"/>
  <c r="AJ1203" i="2"/>
  <c r="AJ1204" i="2"/>
  <c r="AJ1205" i="2"/>
  <c r="AJ1206" i="2"/>
  <c r="AJ1207" i="2"/>
  <c r="AJ1208" i="2"/>
  <c r="AJ1209" i="2"/>
  <c r="AJ1210" i="2"/>
  <c r="AJ1211" i="2"/>
  <c r="AJ1212" i="2"/>
  <c r="AJ1213" i="2"/>
  <c r="AJ1214" i="2"/>
  <c r="AJ1215" i="2"/>
  <c r="AJ1216" i="2"/>
  <c r="AJ1217" i="2"/>
  <c r="AJ1218" i="2"/>
  <c r="AJ1219" i="2"/>
  <c r="AJ1220" i="2"/>
  <c r="AJ1221" i="2"/>
  <c r="AJ1222" i="2"/>
  <c r="AJ1223" i="2"/>
  <c r="AJ1224" i="2"/>
  <c r="AJ1225" i="2"/>
  <c r="AJ1226" i="2"/>
  <c r="AJ1227" i="2"/>
  <c r="AJ1228" i="2"/>
  <c r="AJ1229" i="2"/>
  <c r="AJ1230" i="2"/>
  <c r="AJ1231" i="2"/>
  <c r="AJ1232" i="2"/>
  <c r="AJ1233" i="2"/>
  <c r="AJ1234" i="2"/>
  <c r="AJ1235" i="2"/>
  <c r="AJ1236" i="2"/>
  <c r="AJ1237" i="2"/>
  <c r="AJ1238" i="2"/>
  <c r="AJ1239" i="2"/>
  <c r="AJ1240" i="2"/>
  <c r="AJ1241" i="2"/>
  <c r="AJ1242" i="2"/>
  <c r="AJ1243" i="2"/>
  <c r="AJ1244" i="2"/>
  <c r="AJ1245" i="2"/>
  <c r="AJ1246" i="2"/>
  <c r="AJ1247" i="2"/>
  <c r="AJ1248" i="2"/>
  <c r="AJ1249" i="2"/>
  <c r="AJ1250" i="2"/>
  <c r="AJ1251" i="2"/>
  <c r="AJ1252" i="2"/>
  <c r="AJ1253" i="2"/>
  <c r="AJ1254" i="2"/>
  <c r="AJ1255" i="2"/>
  <c r="AJ1256" i="2"/>
  <c r="AJ1257" i="2"/>
  <c r="AJ1258" i="2"/>
  <c r="AJ1259" i="2"/>
  <c r="AJ1260" i="2"/>
  <c r="AJ1261" i="2"/>
  <c r="AJ1262" i="2"/>
  <c r="AJ1263" i="2"/>
  <c r="AJ1264" i="2"/>
  <c r="AJ1265" i="2"/>
  <c r="AJ1266" i="2"/>
  <c r="AJ1267" i="2"/>
  <c r="AJ1268" i="2"/>
  <c r="AJ1269" i="2"/>
  <c r="AJ1270" i="2"/>
  <c r="AJ1271" i="2"/>
  <c r="AJ1272" i="2"/>
  <c r="AJ1273" i="2"/>
  <c r="AJ1274" i="2"/>
  <c r="AJ1275" i="2"/>
  <c r="AJ1276" i="2"/>
  <c r="AJ1277" i="2"/>
  <c r="AJ1278" i="2"/>
  <c r="AJ1279" i="2"/>
  <c r="AJ1280" i="2"/>
  <c r="AJ1281" i="2"/>
  <c r="AJ1282" i="2"/>
  <c r="AJ1283" i="2"/>
  <c r="AJ1284" i="2"/>
  <c r="AJ1285" i="2"/>
  <c r="AJ1286" i="2"/>
  <c r="AJ1287" i="2"/>
  <c r="AJ1288" i="2"/>
  <c r="AJ1289" i="2"/>
  <c r="AJ1290" i="2"/>
  <c r="AJ1291" i="2"/>
  <c r="AJ1292" i="2"/>
  <c r="AJ1293" i="2"/>
  <c r="AJ1294" i="2"/>
  <c r="AJ1295" i="2"/>
  <c r="AJ1296" i="2"/>
  <c r="AJ1297" i="2"/>
  <c r="AJ1298" i="2"/>
  <c r="AJ1299" i="2"/>
  <c r="AJ1300" i="2"/>
  <c r="AJ1301" i="2"/>
  <c r="AJ1302" i="2"/>
  <c r="AJ1303" i="2"/>
  <c r="AJ1304" i="2"/>
  <c r="AJ1305" i="2"/>
  <c r="AJ1306" i="2"/>
  <c r="AJ1307" i="2"/>
  <c r="AJ1308" i="2"/>
  <c r="AJ1309" i="2"/>
  <c r="AJ1310" i="2"/>
  <c r="AJ1311" i="2"/>
  <c r="AJ1312" i="2"/>
  <c r="AJ1313" i="2"/>
  <c r="AJ1314" i="2"/>
  <c r="AJ1315" i="2"/>
  <c r="AJ1316" i="2"/>
  <c r="AJ1317" i="2"/>
  <c r="AJ1318" i="2"/>
  <c r="AJ1319" i="2"/>
  <c r="AJ1320" i="2"/>
  <c r="AJ1321" i="2"/>
  <c r="AJ1322" i="2"/>
  <c r="AJ1323" i="2"/>
  <c r="AJ1324" i="2"/>
  <c r="AJ1325" i="2"/>
  <c r="AJ1326" i="2"/>
  <c r="AJ1327" i="2"/>
  <c r="AJ1328" i="2"/>
  <c r="AJ1329" i="2"/>
  <c r="AJ1330" i="2"/>
  <c r="AJ1331" i="2"/>
  <c r="AJ1332" i="2"/>
  <c r="AJ1333" i="2"/>
  <c r="AJ1334" i="2"/>
  <c r="AJ1335" i="2"/>
  <c r="AJ1336" i="2"/>
  <c r="AJ1337" i="2"/>
  <c r="AJ1338" i="2"/>
  <c r="AJ1339" i="2"/>
  <c r="AJ1340" i="2"/>
  <c r="AJ1341" i="2"/>
  <c r="AJ1342" i="2"/>
  <c r="AJ1343" i="2"/>
  <c r="AJ1344" i="2"/>
  <c r="AJ1345" i="2"/>
  <c r="AJ1346" i="2"/>
  <c r="AJ1347" i="2"/>
  <c r="AJ1348" i="2"/>
  <c r="AJ1349" i="2"/>
  <c r="AJ1350" i="2"/>
  <c r="AJ1351" i="2"/>
  <c r="AJ1352" i="2"/>
  <c r="AJ1353" i="2"/>
  <c r="AJ1354" i="2"/>
  <c r="AJ1355" i="2"/>
  <c r="AJ1356" i="2"/>
  <c r="AJ1357" i="2"/>
  <c r="AJ1358" i="2"/>
  <c r="AJ1359" i="2"/>
  <c r="AJ1360" i="2"/>
  <c r="AJ1361" i="2"/>
  <c r="AJ1362" i="2"/>
  <c r="AJ1363" i="2"/>
  <c r="AJ1364" i="2"/>
  <c r="AJ1365" i="2"/>
  <c r="AJ1366" i="2"/>
  <c r="AJ1367" i="2"/>
  <c r="AJ1368" i="2"/>
  <c r="AJ1369" i="2"/>
  <c r="AJ1370" i="2"/>
  <c r="AJ1371" i="2"/>
  <c r="AJ1372" i="2"/>
  <c r="AJ1373" i="2"/>
  <c r="AJ1374" i="2"/>
  <c r="AJ1375" i="2"/>
  <c r="AJ1376" i="2"/>
  <c r="AJ1377" i="2"/>
  <c r="AJ1378" i="2"/>
  <c r="AJ1379" i="2"/>
  <c r="AJ1380" i="2"/>
  <c r="AJ1381" i="2"/>
  <c r="AJ1382" i="2"/>
  <c r="AJ1383" i="2"/>
  <c r="AJ1384" i="2"/>
  <c r="AJ1385" i="2"/>
  <c r="AJ1386" i="2"/>
  <c r="AJ1387" i="2"/>
  <c r="AJ1388" i="2"/>
  <c r="AJ1389" i="2"/>
  <c r="AJ1390" i="2"/>
  <c r="AJ1391" i="2"/>
  <c r="AJ1392" i="2"/>
  <c r="AJ1393" i="2"/>
  <c r="AJ1394" i="2"/>
  <c r="AJ1395" i="2"/>
  <c r="AJ1396" i="2"/>
  <c r="AJ1397" i="2"/>
  <c r="AJ1398" i="2"/>
  <c r="AJ1399" i="2"/>
  <c r="AJ1400" i="2"/>
  <c r="AJ1401" i="2"/>
  <c r="AJ1402" i="2"/>
  <c r="AJ1403" i="2"/>
  <c r="AJ1404" i="2"/>
  <c r="AJ1405" i="2"/>
  <c r="AJ1406" i="2"/>
  <c r="AJ1407" i="2"/>
  <c r="AJ1408" i="2"/>
  <c r="AJ1409" i="2"/>
  <c r="AJ1410" i="2"/>
  <c r="AJ1411" i="2"/>
  <c r="AJ1412" i="2"/>
  <c r="AJ1413" i="2"/>
  <c r="AJ1414" i="2"/>
  <c r="AJ1415" i="2"/>
  <c r="AJ1416" i="2"/>
  <c r="AJ1417" i="2"/>
  <c r="AJ1418" i="2"/>
  <c r="AJ1419" i="2"/>
  <c r="AJ1420" i="2"/>
  <c r="AJ1421" i="2"/>
  <c r="AJ1422" i="2"/>
  <c r="AJ1423" i="2"/>
  <c r="AJ1424" i="2"/>
  <c r="AJ1425" i="2"/>
  <c r="AJ1426" i="2"/>
  <c r="AJ1427" i="2"/>
  <c r="AJ1428" i="2"/>
  <c r="AJ1429" i="2"/>
  <c r="AJ1430" i="2"/>
  <c r="AJ1431" i="2"/>
  <c r="AJ1432" i="2"/>
  <c r="AJ1433" i="2"/>
  <c r="AJ1434" i="2"/>
  <c r="AJ1435" i="2"/>
  <c r="AJ1436" i="2"/>
  <c r="AJ1437" i="2"/>
  <c r="AJ1438" i="2"/>
  <c r="AJ1439" i="2"/>
  <c r="AJ1440" i="2"/>
  <c r="AJ1441" i="2"/>
  <c r="AJ1442" i="2"/>
  <c r="AJ1443" i="2"/>
  <c r="AJ1444" i="2"/>
  <c r="AJ1445" i="2"/>
  <c r="AJ1446" i="2"/>
  <c r="AJ1447" i="2"/>
  <c r="AJ1448" i="2"/>
  <c r="AJ1449" i="2"/>
  <c r="AJ1450" i="2"/>
  <c r="AJ1451" i="2"/>
  <c r="AJ1452" i="2"/>
  <c r="AJ1453" i="2"/>
  <c r="AJ1454" i="2"/>
  <c r="AJ1455" i="2"/>
  <c r="AJ1456" i="2"/>
  <c r="AJ1457" i="2"/>
  <c r="AJ1458" i="2"/>
  <c r="AJ1459" i="2"/>
  <c r="AJ1460" i="2"/>
  <c r="AJ1461" i="2"/>
  <c r="AJ1462" i="2"/>
  <c r="AJ1463" i="2"/>
  <c r="AJ1464" i="2"/>
  <c r="AJ1465" i="2"/>
  <c r="AJ1466" i="2"/>
  <c r="AJ1467" i="2"/>
  <c r="AJ1468" i="2"/>
  <c r="AJ1469" i="2"/>
  <c r="AJ1470" i="2"/>
  <c r="AJ1471" i="2"/>
  <c r="AK2" i="2" a="1"/>
  <c r="AK2" i="2"/>
  <c r="AK3" i="2" a="1"/>
  <c r="AK3" i="2" s="1"/>
  <c r="AK4" i="2" a="1"/>
  <c r="AK4" i="2" s="1"/>
  <c r="AK5" i="2" a="1"/>
  <c r="AK5" i="2" s="1"/>
  <c r="AK6" i="2" a="1"/>
  <c r="AK6" i="2" s="1"/>
  <c r="AK7" i="2" a="1"/>
  <c r="AK7" i="2" s="1"/>
  <c r="AK8" i="2" a="1"/>
  <c r="AK8" i="2" s="1"/>
  <c r="AK9" i="2" a="1"/>
  <c r="AK9" i="2" s="1"/>
  <c r="AK10" i="2" a="1"/>
  <c r="AK10" i="2"/>
  <c r="AK11" i="2" a="1"/>
  <c r="AK11" i="2" s="1"/>
  <c r="AK12" i="2" a="1"/>
  <c r="AK12" i="2" s="1"/>
  <c r="AK13" i="2" a="1"/>
  <c r="AK13" i="2" s="1"/>
  <c r="AK14" i="2" a="1"/>
  <c r="AK14" i="2" s="1"/>
  <c r="AK15" i="2" a="1"/>
  <c r="AK15" i="2" s="1"/>
  <c r="AK16" i="2" a="1"/>
  <c r="AK16" i="2"/>
  <c r="AK17" i="2" a="1"/>
  <c r="AK17" i="2" s="1"/>
  <c r="AK18" i="2" a="1"/>
  <c r="AK18" i="2" s="1"/>
  <c r="AK19" i="2" a="1"/>
  <c r="AK19" i="2" s="1"/>
  <c r="AK20" i="2" a="1"/>
  <c r="AK20" i="2" s="1"/>
  <c r="AK21" i="2" a="1"/>
  <c r="AK21" i="2" s="1"/>
  <c r="AK22" i="2" a="1"/>
  <c r="AK22" i="2" s="1"/>
  <c r="AK23" i="2" a="1"/>
  <c r="AK23" i="2"/>
  <c r="AK24" i="2" a="1"/>
  <c r="AK24" i="2"/>
  <c r="AK25" i="2" a="1"/>
  <c r="AK25" i="2" s="1"/>
  <c r="AK26" i="2" a="1"/>
  <c r="AK26" i="2" s="1"/>
  <c r="AK27" i="2" a="1"/>
  <c r="AK27" i="2" s="1"/>
  <c r="AK28" i="2" a="1"/>
  <c r="AK28" i="2"/>
  <c r="AK29" i="2" a="1"/>
  <c r="AK29" i="2" s="1"/>
  <c r="AK30" i="2" a="1"/>
  <c r="AK30" i="2" s="1"/>
  <c r="AK31" i="2" a="1"/>
  <c r="AK31" i="2" s="1"/>
  <c r="AK32" i="2" a="1"/>
  <c r="AK32" i="2"/>
  <c r="AK33" i="2" a="1"/>
  <c r="AK33" i="2" s="1"/>
  <c r="AK34" i="2" a="1"/>
  <c r="AK34" i="2"/>
  <c r="AK35" i="2" a="1"/>
  <c r="AK35" i="2" s="1"/>
  <c r="AK36" i="2" a="1"/>
  <c r="AK36" i="2" s="1"/>
  <c r="AK37" i="2" a="1"/>
  <c r="AK37" i="2" s="1"/>
  <c r="AK38" i="2" a="1"/>
  <c r="AK38" i="2" s="1"/>
  <c r="AK39" i="2" a="1"/>
  <c r="AK39" i="2" s="1"/>
  <c r="AK40" i="2" a="1"/>
  <c r="AK40" i="2" s="1"/>
  <c r="AK41" i="2" a="1"/>
  <c r="AK41" i="2" s="1"/>
  <c r="AK42" i="2" a="1"/>
  <c r="AK42" i="2"/>
  <c r="AK43" i="2" a="1"/>
  <c r="AK43" i="2" s="1"/>
  <c r="AK44" i="2" a="1"/>
  <c r="AK44" i="2" s="1"/>
  <c r="AK45" i="2" a="1"/>
  <c r="AK45" i="2" s="1"/>
  <c r="AK46" i="2" a="1"/>
  <c r="AK46" i="2" s="1"/>
  <c r="AK47" i="2" a="1"/>
  <c r="AK47" i="2" s="1"/>
  <c r="AK48" i="2" a="1"/>
  <c r="AK48" i="2" s="1"/>
  <c r="AK49" i="2" a="1"/>
  <c r="AK49" i="2" s="1"/>
  <c r="AK50" i="2" a="1"/>
  <c r="AK50" i="2" s="1"/>
  <c r="AK51" i="2" a="1"/>
  <c r="AK51" i="2"/>
  <c r="AK52" i="2" a="1"/>
  <c r="AK52" i="2"/>
  <c r="AK53" i="2" a="1"/>
  <c r="AK53" i="2" s="1"/>
  <c r="AK54" i="2" a="1"/>
  <c r="AK54" i="2" s="1"/>
  <c r="AK55" i="2" a="1"/>
  <c r="AK55" i="2" s="1"/>
  <c r="AK56" i="2" a="1"/>
  <c r="AK56" i="2" s="1"/>
  <c r="AK57" i="2" a="1"/>
  <c r="AK57" i="2"/>
  <c r="AK58" i="2" a="1"/>
  <c r="AK58" i="2" s="1"/>
  <c r="AK59" i="2" a="1"/>
  <c r="AK59" i="2" s="1"/>
  <c r="AK60" i="2" a="1"/>
  <c r="AK60" i="2" s="1"/>
  <c r="AK61" i="2" a="1"/>
  <c r="AK61" i="2" s="1"/>
  <c r="AK62" i="2" a="1"/>
  <c r="AK62" i="2" s="1"/>
  <c r="AK63" i="2" a="1"/>
  <c r="AK63" i="2" s="1"/>
  <c r="AK64" i="2" a="1"/>
  <c r="AK64" i="2" s="1"/>
  <c r="AK65" i="2" a="1"/>
  <c r="AK65" i="2" s="1"/>
  <c r="AK66" i="2" a="1"/>
  <c r="AK66" i="2" s="1"/>
  <c r="AK67" i="2" a="1"/>
  <c r="AK67" i="2" s="1"/>
  <c r="AK68" i="2" a="1"/>
  <c r="AK68" i="2" s="1"/>
  <c r="AK69" i="2" a="1"/>
  <c r="AK69" i="2"/>
  <c r="AK70" i="2" a="1"/>
  <c r="AK70" i="2"/>
  <c r="AK71" i="2" a="1"/>
  <c r="AK71" i="2" s="1"/>
  <c r="AK72" i="2" a="1"/>
  <c r="AK72" i="2" s="1"/>
  <c r="AK73" i="2" a="1"/>
  <c r="AK73" i="2" s="1"/>
  <c r="AK74" i="2" a="1"/>
  <c r="AK74" i="2"/>
  <c r="AK75" i="2" a="1"/>
  <c r="AK75" i="2" s="1"/>
  <c r="AK76" i="2" a="1"/>
  <c r="AK76" i="2" s="1"/>
  <c r="AK77" i="2" a="1"/>
  <c r="AK77" i="2"/>
  <c r="AK78" i="2" a="1"/>
  <c r="AK78" i="2" s="1"/>
  <c r="AK79" i="2" a="1"/>
  <c r="AK79" i="2" s="1"/>
  <c r="AK80" i="2" a="1"/>
  <c r="AK80" i="2" s="1"/>
  <c r="AK81" i="2" a="1"/>
  <c r="AK81" i="2" s="1"/>
  <c r="AK82" i="2" a="1"/>
  <c r="AK82" i="2" s="1"/>
  <c r="AK83" i="2" a="1"/>
  <c r="AK83" i="2" s="1"/>
  <c r="AK84" i="2" a="1"/>
  <c r="AK84" i="2" s="1"/>
  <c r="AK85" i="2" a="1"/>
  <c r="AK85" i="2" s="1"/>
  <c r="AK86" i="2" a="1"/>
  <c r="AK86" i="2" s="1"/>
  <c r="AK87" i="2" a="1"/>
  <c r="AK87" i="2" s="1"/>
  <c r="AK88" i="2" a="1"/>
  <c r="AK88" i="2"/>
  <c r="AK89" i="2" a="1"/>
  <c r="AK89" i="2"/>
  <c r="AK90" i="2" a="1"/>
  <c r="AK90" i="2"/>
  <c r="AK91" i="2" a="1"/>
  <c r="AK91" i="2" s="1"/>
  <c r="AK92" i="2" a="1"/>
  <c r="AK92" i="2" s="1"/>
  <c r="AK93" i="2" a="1"/>
  <c r="AK93" i="2" s="1"/>
  <c r="AK94" i="2" a="1"/>
  <c r="AK94" i="2" s="1"/>
  <c r="AK95" i="2" a="1"/>
  <c r="AK95" i="2" s="1"/>
  <c r="AK96" i="2" a="1"/>
  <c r="AK96" i="2" s="1"/>
  <c r="AK97" i="2" a="1"/>
  <c r="AK97" i="2" s="1"/>
  <c r="AK98" i="2" a="1"/>
  <c r="AK98" i="2" s="1"/>
  <c r="AK99" i="2" a="1"/>
  <c r="AK99" i="2"/>
  <c r="AK100" i="2" a="1"/>
  <c r="AK100" i="2" s="1"/>
  <c r="AK101" i="2" a="1"/>
  <c r="AK101" i="2" s="1"/>
  <c r="AK102" i="2" a="1"/>
  <c r="AK102" i="2" s="1"/>
  <c r="AK103" i="2" a="1"/>
  <c r="AK103" i="2" s="1"/>
  <c r="AK104" i="2" a="1"/>
  <c r="AK104" i="2" s="1"/>
  <c r="AK105" i="2" a="1"/>
  <c r="AK105" i="2" s="1"/>
  <c r="AK106" i="2" a="1"/>
  <c r="AK106" i="2" s="1"/>
  <c r="AK107" i="2" a="1"/>
  <c r="AK107" i="2"/>
  <c r="AK108" i="2" a="1"/>
  <c r="AK108" i="2"/>
  <c r="AK109" i="2" a="1"/>
  <c r="AK109" i="2" s="1"/>
  <c r="AK110" i="2" a="1"/>
  <c r="AK110" i="2" s="1"/>
  <c r="AK111" i="2" a="1"/>
  <c r="AK111" i="2" s="1"/>
  <c r="AK112" i="2" a="1"/>
  <c r="AK112" i="2" s="1"/>
  <c r="AK113" i="2" a="1"/>
  <c r="AK113" i="2"/>
  <c r="AK114" i="2" a="1"/>
  <c r="AK114" i="2"/>
  <c r="AK115" i="2" a="1"/>
  <c r="AK115" i="2" s="1"/>
  <c r="AK116" i="2" a="1"/>
  <c r="AK116" i="2" s="1"/>
  <c r="AK117" i="2" a="1"/>
  <c r="AK117" i="2"/>
  <c r="AK118" i="2" a="1"/>
  <c r="AK118" i="2" s="1"/>
  <c r="AK119" i="2" a="1"/>
  <c r="AK119" i="2" s="1"/>
  <c r="AK120" i="2" a="1"/>
  <c r="AK120" i="2" s="1"/>
  <c r="AK121" i="2" a="1"/>
  <c r="AK121" i="2" s="1"/>
  <c r="AK122" i="2" a="1"/>
  <c r="AK122" i="2" s="1"/>
  <c r="AK123" i="2" a="1"/>
  <c r="AK123" i="2" s="1"/>
  <c r="AK124" i="2" a="1"/>
  <c r="AK124" i="2"/>
  <c r="AK125" i="2" a="1"/>
  <c r="AK125" i="2"/>
  <c r="AK126" i="2" a="1"/>
  <c r="AK126" i="2" s="1"/>
  <c r="AK127" i="2" a="1"/>
  <c r="AK127" i="2" s="1"/>
  <c r="AK128" i="2" a="1"/>
  <c r="AK128" i="2" s="1"/>
  <c r="AK129" i="2" a="1"/>
  <c r="AK129" i="2" s="1"/>
  <c r="AK130" i="2" a="1"/>
  <c r="AK130" i="2" s="1"/>
  <c r="AK131" i="2" a="1"/>
  <c r="AK131" i="2"/>
  <c r="AK132" i="2" a="1"/>
  <c r="AK132" i="2" s="1"/>
  <c r="AK133" i="2" a="1"/>
  <c r="AK133" i="2" s="1"/>
  <c r="AK134" i="2" a="1"/>
  <c r="AK134" i="2" s="1"/>
  <c r="AK135" i="2" a="1"/>
  <c r="AK135" i="2" s="1"/>
  <c r="AK136" i="2" a="1"/>
  <c r="AK136" i="2" s="1"/>
  <c r="AK137" i="2" a="1"/>
  <c r="AK137" i="2" s="1"/>
  <c r="AK138" i="2" a="1"/>
  <c r="AK138" i="2" s="1"/>
  <c r="AK139" i="2" a="1"/>
  <c r="AK139" i="2" s="1"/>
  <c r="AK140" i="2" a="1"/>
  <c r="AK140" i="2" s="1"/>
  <c r="AK141" i="2" a="1"/>
  <c r="AK141" i="2" s="1"/>
  <c r="AK142" i="2" a="1"/>
  <c r="AK142" i="2"/>
  <c r="AK143" i="2" a="1"/>
  <c r="AK143" i="2" s="1"/>
  <c r="AK144" i="2" a="1"/>
  <c r="AK144" i="2" s="1"/>
  <c r="AK145" i="2" a="1"/>
  <c r="AK145" i="2" s="1"/>
  <c r="AK146" i="2" a="1"/>
  <c r="AK146" i="2" s="1"/>
  <c r="AK147" i="2" a="1"/>
  <c r="AK147" i="2" s="1"/>
  <c r="AK148" i="2" a="1"/>
  <c r="AK148" i="2" s="1"/>
  <c r="AK149" i="2" a="1"/>
  <c r="AK149" i="2" s="1"/>
  <c r="AK150" i="2" a="1"/>
  <c r="AK150" i="2" s="1"/>
  <c r="AK151" i="2" a="1"/>
  <c r="AK151" i="2" s="1"/>
  <c r="AK152" i="2" a="1"/>
  <c r="AK152" i="2"/>
  <c r="AK153" i="2" a="1"/>
  <c r="AK153" i="2" s="1"/>
  <c r="AK154" i="2" a="1"/>
  <c r="AK154" i="2" s="1"/>
  <c r="AK155" i="2" a="1"/>
  <c r="AK155" i="2"/>
  <c r="AK156" i="2" a="1"/>
  <c r="AK156" i="2" s="1"/>
  <c r="AK157" i="2" a="1"/>
  <c r="AK157" i="2" s="1"/>
  <c r="AK158" i="2" a="1"/>
  <c r="AK158" i="2"/>
  <c r="AK159" i="2" a="1"/>
  <c r="AK159" i="2" s="1"/>
  <c r="AK160" i="2" a="1"/>
  <c r="AK160" i="2" s="1"/>
  <c r="AK161" i="2" a="1"/>
  <c r="AK161" i="2" s="1"/>
  <c r="AK162" i="2" a="1"/>
  <c r="AK162" i="2"/>
  <c r="AK163" i="2" a="1"/>
  <c r="AK163" i="2" s="1"/>
  <c r="AK164" i="2" a="1"/>
  <c r="AK164" i="2" s="1"/>
  <c r="AK165" i="2" a="1"/>
  <c r="AK165" i="2" s="1"/>
  <c r="AK166" i="2" a="1"/>
  <c r="AK166" i="2" s="1"/>
  <c r="AK167" i="2" a="1"/>
  <c r="AK167" i="2" s="1"/>
  <c r="AK168" i="2" a="1"/>
  <c r="AK168" i="2" s="1"/>
  <c r="AK169" i="2" a="1"/>
  <c r="AK169" i="2" s="1"/>
  <c r="AK170" i="2" a="1"/>
  <c r="AK170" i="2" s="1"/>
  <c r="AK171" i="2" a="1"/>
  <c r="AK171" i="2" s="1"/>
  <c r="AK172" i="2" a="1"/>
  <c r="AK172" i="2"/>
  <c r="AK173" i="2" a="1"/>
  <c r="AK173" i="2" s="1"/>
  <c r="AK174" i="2" a="1"/>
  <c r="AK174" i="2" s="1"/>
  <c r="AK175" i="2" a="1"/>
  <c r="AK175" i="2" s="1"/>
  <c r="AK176" i="2" a="1"/>
  <c r="AK176" i="2" s="1"/>
  <c r="AK177" i="2" a="1"/>
  <c r="AK177" i="2" s="1"/>
  <c r="AK178" i="2" a="1"/>
  <c r="AK178" i="2" s="1"/>
  <c r="AK179" i="2" a="1"/>
  <c r="AK179" i="2"/>
  <c r="AK180" i="2" a="1"/>
  <c r="AK180" i="2" s="1"/>
  <c r="AK181" i="2" a="1"/>
  <c r="AK181" i="2" s="1"/>
  <c r="AK182" i="2" a="1"/>
  <c r="AK182" i="2" s="1"/>
  <c r="AK183" i="2" a="1"/>
  <c r="AK183" i="2" s="1"/>
  <c r="AK184" i="2" a="1"/>
  <c r="AK184" i="2" s="1"/>
  <c r="AK185" i="2" a="1"/>
  <c r="AK185" i="2" s="1"/>
  <c r="AK186" i="2" a="1"/>
  <c r="AK186" i="2" s="1"/>
  <c r="AK187" i="2" a="1"/>
  <c r="AK187" i="2" s="1"/>
  <c r="AK188" i="2" a="1"/>
  <c r="AK188" i="2" s="1"/>
  <c r="AK189" i="2" a="1"/>
  <c r="AK189" i="2" s="1"/>
  <c r="AK190" i="2" a="1"/>
  <c r="AK190" i="2" s="1"/>
  <c r="AK191" i="2" a="1"/>
  <c r="AK191" i="2"/>
  <c r="AK192" i="2" a="1"/>
  <c r="AK192" i="2" s="1"/>
  <c r="AK193" i="2" a="1"/>
  <c r="AK193" i="2" s="1"/>
  <c r="AK194" i="2" a="1"/>
  <c r="AK194" i="2"/>
  <c r="AK195" i="2" a="1"/>
  <c r="AK195" i="2" s="1"/>
  <c r="AK196" i="2" a="1"/>
  <c r="AK196" i="2" s="1"/>
  <c r="AK197" i="2" a="1"/>
  <c r="AK197" i="2" s="1"/>
  <c r="AK198" i="2" a="1"/>
  <c r="AK198" i="2" s="1"/>
  <c r="AK199" i="2" a="1"/>
  <c r="AK199" i="2" s="1"/>
  <c r="AK200" i="2" a="1"/>
  <c r="AK200" i="2" s="1"/>
  <c r="AK201" i="2" a="1"/>
  <c r="AK201" i="2"/>
  <c r="AK202" i="2" a="1"/>
  <c r="AK202" i="2" s="1"/>
  <c r="AK203" i="2" a="1"/>
  <c r="AK203" i="2"/>
  <c r="AK204" i="2" a="1"/>
  <c r="AK204" i="2" s="1"/>
  <c r="AK205" i="2" a="1"/>
  <c r="AK205" i="2" s="1"/>
  <c r="AK206" i="2" a="1"/>
  <c r="AK206" i="2" s="1"/>
  <c r="AK207" i="2" a="1"/>
  <c r="AK207" i="2" s="1"/>
  <c r="AK208" i="2" a="1"/>
  <c r="AK208" i="2" s="1"/>
  <c r="AK209" i="2" a="1"/>
  <c r="AK209" i="2" s="1"/>
  <c r="AK210" i="2" a="1"/>
  <c r="AK210" i="2" s="1"/>
  <c r="AK211" i="2" a="1"/>
  <c r="AK211" i="2" s="1"/>
  <c r="AK212" i="2" a="1"/>
  <c r="AK212" i="2" s="1"/>
  <c r="AK213" i="2" a="1"/>
  <c r="AK213" i="2" s="1"/>
  <c r="AK214" i="2" a="1"/>
  <c r="AK214" i="2" s="1"/>
  <c r="AK215" i="2" a="1"/>
  <c r="AK215" i="2" s="1"/>
  <c r="AK216" i="2" a="1"/>
  <c r="AK216" i="2" s="1"/>
  <c r="AK217" i="2" a="1"/>
  <c r="AK217" i="2" s="1"/>
  <c r="AK218" i="2" a="1"/>
  <c r="AK218" i="2" s="1"/>
  <c r="AK219" i="2" a="1"/>
  <c r="AK219" i="2"/>
  <c r="AK220" i="2" a="1"/>
  <c r="AK220" i="2" s="1"/>
  <c r="AK221" i="2" a="1"/>
  <c r="AK221" i="2" s="1"/>
  <c r="AK222" i="2" a="1"/>
  <c r="AK222" i="2" s="1"/>
  <c r="AK223" i="2" a="1"/>
  <c r="AK223" i="2" s="1"/>
  <c r="AK224" i="2" a="1"/>
  <c r="AK224" i="2" s="1"/>
  <c r="AK225" i="2" a="1"/>
  <c r="AK225" i="2" s="1"/>
  <c r="AK226" i="2" a="1"/>
  <c r="AK226" i="2" s="1"/>
  <c r="AK227" i="2" a="1"/>
  <c r="AK227" i="2" s="1"/>
  <c r="AK228" i="2" a="1"/>
  <c r="AK228" i="2" s="1"/>
  <c r="AK229" i="2" a="1"/>
  <c r="AK229" i="2" s="1"/>
  <c r="AK230" i="2" a="1"/>
  <c r="AK230" i="2" s="1"/>
  <c r="AK231" i="2" a="1"/>
  <c r="AK231" i="2"/>
  <c r="AK232" i="2" a="1"/>
  <c r="AK232" i="2" s="1"/>
  <c r="AK233" i="2" a="1"/>
  <c r="AK233" i="2" s="1"/>
  <c r="AK234" i="2" a="1"/>
  <c r="AK234" i="2" s="1"/>
  <c r="AK235" i="2" a="1"/>
  <c r="AK235" i="2" s="1"/>
  <c r="AK236" i="2" a="1"/>
  <c r="AK236" i="2" s="1"/>
  <c r="AK237" i="2" a="1"/>
  <c r="AK237" i="2" s="1"/>
  <c r="AK238" i="2" a="1"/>
  <c r="AK238" i="2" s="1"/>
  <c r="AK239" i="2" a="1"/>
  <c r="AK239" i="2" s="1"/>
  <c r="AK240" i="2" a="1"/>
  <c r="AK240" i="2"/>
  <c r="AK241" i="2" a="1"/>
  <c r="AK241" i="2" s="1"/>
  <c r="AK242" i="2" a="1"/>
  <c r="AK242" i="2" s="1"/>
  <c r="AK243" i="2" a="1"/>
  <c r="AK243" i="2" s="1"/>
  <c r="AK244" i="2" a="1"/>
  <c r="AK244" i="2" s="1"/>
  <c r="AK245" i="2" a="1"/>
  <c r="AK245" i="2"/>
  <c r="AK246" i="2" a="1"/>
  <c r="AK246" i="2" s="1"/>
  <c r="AK247" i="2" a="1"/>
  <c r="AK247" i="2" s="1"/>
  <c r="AK248" i="2" a="1"/>
  <c r="AK248" i="2" s="1"/>
  <c r="AK249" i="2" a="1"/>
  <c r="AK249" i="2" s="1"/>
  <c r="AK250" i="2" a="1"/>
  <c r="AK250" i="2"/>
  <c r="AK251" i="2" a="1"/>
  <c r="AK251" i="2" s="1"/>
  <c r="AK252" i="2" a="1"/>
  <c r="AK252" i="2" s="1"/>
  <c r="AK253" i="2" a="1"/>
  <c r="AK253" i="2" s="1"/>
  <c r="AK254" i="2" a="1"/>
  <c r="AK254" i="2" s="1"/>
  <c r="AK255" i="2" a="1"/>
  <c r="AK255" i="2"/>
  <c r="AK256" i="2" a="1"/>
  <c r="AK256" i="2"/>
  <c r="AK257" i="2" a="1"/>
  <c r="AK257" i="2"/>
  <c r="AK258" i="2" a="1"/>
  <c r="AK258" i="2" s="1"/>
  <c r="AK259" i="2" a="1"/>
  <c r="AK259" i="2" s="1"/>
  <c r="AK260" i="2" a="1"/>
  <c r="AK260" i="2" s="1"/>
  <c r="AK261" i="2" a="1"/>
  <c r="AK261" i="2" s="1"/>
  <c r="AK262" i="2" a="1"/>
  <c r="AK262" i="2" s="1"/>
  <c r="AK263" i="2" a="1"/>
  <c r="AK263" i="2" s="1"/>
  <c r="AK264" i="2" a="1"/>
  <c r="AK264" i="2" s="1"/>
  <c r="AK265" i="2" a="1"/>
  <c r="AK265" i="2" s="1"/>
  <c r="AK266" i="2" a="1"/>
  <c r="AK266" i="2" s="1"/>
  <c r="AK267" i="2" a="1"/>
  <c r="AK267" i="2" s="1"/>
  <c r="AK268" i="2" a="1"/>
  <c r="AK268" i="2" s="1"/>
  <c r="AK269" i="2" a="1"/>
  <c r="AK269" i="2"/>
  <c r="AK270" i="2" a="1"/>
  <c r="AK270" i="2"/>
  <c r="AK271" i="2" a="1"/>
  <c r="AK271" i="2" s="1"/>
  <c r="AK272" i="2" a="1"/>
  <c r="AK272" i="2" s="1"/>
  <c r="AK273" i="2" a="1"/>
  <c r="AK273" i="2" s="1"/>
  <c r="AK274" i="2" a="1"/>
  <c r="AK274" i="2" s="1"/>
  <c r="AK275" i="2" a="1"/>
  <c r="AK275" i="2" s="1"/>
  <c r="AK276" i="2" a="1"/>
  <c r="AK276" i="2"/>
  <c r="AK277" i="2" a="1"/>
  <c r="AK277" i="2" s="1"/>
  <c r="AK278" i="2" a="1"/>
  <c r="AK278" i="2" s="1"/>
  <c r="AK279" i="2" a="1"/>
  <c r="AK279" i="2" s="1"/>
  <c r="AK280" i="2" a="1"/>
  <c r="AK280" i="2" s="1"/>
  <c r="AK281" i="2" a="1"/>
  <c r="AK281" i="2" s="1"/>
  <c r="AK282" i="2" a="1"/>
  <c r="AK282" i="2" s="1"/>
  <c r="AK283" i="2" a="1"/>
  <c r="AK283" i="2" s="1"/>
  <c r="AK284" i="2" a="1"/>
  <c r="AK284" i="2" s="1"/>
  <c r="AK285" i="2" a="1"/>
  <c r="AK285" i="2"/>
  <c r="AK286" i="2" a="1"/>
  <c r="AK286" i="2"/>
  <c r="AK287" i="2" a="1"/>
  <c r="AK287" i="2" s="1"/>
  <c r="AK288" i="2" a="1"/>
  <c r="AK288" i="2" s="1"/>
  <c r="AK289" i="2" a="1"/>
  <c r="AK289" i="2" s="1"/>
  <c r="AK290" i="2" a="1"/>
  <c r="AK290" i="2" s="1"/>
  <c r="AK291" i="2" a="1"/>
  <c r="AK291" i="2" s="1"/>
  <c r="AK292" i="2" a="1"/>
  <c r="AK292" i="2" s="1"/>
  <c r="AK293" i="2" a="1"/>
  <c r="AK293" i="2"/>
  <c r="AK294" i="2" a="1"/>
  <c r="AK294" i="2" s="1"/>
  <c r="AK295" i="2" a="1"/>
  <c r="AK295" i="2" s="1"/>
  <c r="AK296" i="2" a="1"/>
  <c r="AK296" i="2" s="1"/>
  <c r="AK297" i="2" a="1"/>
  <c r="AK297" i="2" s="1"/>
  <c r="AK298" i="2" a="1"/>
  <c r="AK298" i="2" s="1"/>
  <c r="AK299" i="2" a="1"/>
  <c r="AK299" i="2" s="1"/>
  <c r="AK300" i="2" a="1"/>
  <c r="AK300" i="2" s="1"/>
  <c r="AK301" i="2" a="1"/>
  <c r="AK301" i="2" s="1"/>
  <c r="AK302" i="2" a="1"/>
  <c r="AK302" i="2" s="1"/>
  <c r="AK303" i="2" a="1"/>
  <c r="AK303" i="2"/>
  <c r="AK304" i="2" a="1"/>
  <c r="AK304" i="2" s="1"/>
  <c r="AK305" i="2" a="1"/>
  <c r="AK305" i="2"/>
  <c r="AK306" i="2" a="1"/>
  <c r="AK306" i="2" s="1"/>
  <c r="AK307" i="2" a="1"/>
  <c r="AK307" i="2" s="1"/>
  <c r="AK308" i="2" a="1"/>
  <c r="AK308" i="2" s="1"/>
  <c r="AK309" i="2" a="1"/>
  <c r="AK309" i="2" s="1"/>
  <c r="AK310" i="2" a="1"/>
  <c r="AK310" i="2" s="1"/>
  <c r="AK311" i="2" a="1"/>
  <c r="AK311" i="2" s="1"/>
  <c r="AK312" i="2" a="1"/>
  <c r="AK312" i="2"/>
  <c r="AK313" i="2" a="1"/>
  <c r="AK313" i="2" s="1"/>
  <c r="AK314" i="2" a="1"/>
  <c r="AK314" i="2" s="1"/>
  <c r="AK315" i="2" a="1"/>
  <c r="AK315" i="2" s="1"/>
  <c r="AK316" i="2" a="1"/>
  <c r="AK316" i="2" s="1"/>
  <c r="AK317" i="2" a="1"/>
  <c r="AK317" i="2" s="1"/>
  <c r="AK318" i="2" a="1"/>
  <c r="AK318" i="2" s="1"/>
  <c r="AK319" i="2" a="1"/>
  <c r="AK319" i="2" s="1"/>
  <c r="AK320" i="2" a="1"/>
  <c r="AK320" i="2"/>
  <c r="AK321" i="2" a="1"/>
  <c r="AK321" i="2" s="1"/>
  <c r="AK322" i="2" a="1"/>
  <c r="AK322" i="2" s="1"/>
  <c r="AK323" i="2" a="1"/>
  <c r="AK323" i="2"/>
  <c r="AK324" i="2" a="1"/>
  <c r="AK324" i="2"/>
  <c r="AK325" i="2" a="1"/>
  <c r="AK325" i="2" s="1"/>
  <c r="AK326" i="2" a="1"/>
  <c r="AK326" i="2" s="1"/>
  <c r="AK327" i="2" a="1"/>
  <c r="AK327" i="2"/>
  <c r="AK328" i="2" a="1"/>
  <c r="AK328" i="2"/>
  <c r="AK329" i="2" a="1"/>
  <c r="AK329" i="2"/>
  <c r="AK330" i="2" a="1"/>
  <c r="AK330" i="2" s="1"/>
  <c r="AK331" i="2" a="1"/>
  <c r="AK331" i="2" s="1"/>
  <c r="AK332" i="2" a="1"/>
  <c r="AK332" i="2" s="1"/>
  <c r="AK333" i="2" a="1"/>
  <c r="AK333" i="2" s="1"/>
  <c r="AK334" i="2" a="1"/>
  <c r="AK334" i="2" s="1"/>
  <c r="AK335" i="2" a="1"/>
  <c r="AK335" i="2" s="1"/>
  <c r="AK336" i="2" a="1"/>
  <c r="AK336" i="2" s="1"/>
  <c r="AK337" i="2" a="1"/>
  <c r="AK337" i="2" s="1"/>
  <c r="AK338" i="2" a="1"/>
  <c r="AK338" i="2" s="1"/>
  <c r="AK339" i="2" a="1"/>
  <c r="AK339" i="2" s="1"/>
  <c r="AK340" i="2" a="1"/>
  <c r="AK340" i="2" s="1"/>
  <c r="AK341" i="2" a="1"/>
  <c r="AK341" i="2"/>
  <c r="AK342" i="2" a="1"/>
  <c r="AK342" i="2" s="1"/>
  <c r="AK343" i="2" a="1"/>
  <c r="AK343" i="2" s="1"/>
  <c r="AK344" i="2" a="1"/>
  <c r="AK344" i="2" s="1"/>
  <c r="AK345" i="2" a="1"/>
  <c r="AK345" i="2" s="1"/>
  <c r="AK346" i="2" a="1"/>
  <c r="AK346" i="2"/>
  <c r="AK347" i="2" a="1"/>
  <c r="AK347" i="2" s="1"/>
  <c r="AK348" i="2" a="1"/>
  <c r="AK348" i="2" s="1"/>
  <c r="AK349" i="2" a="1"/>
  <c r="AK349" i="2" s="1"/>
  <c r="AK350" i="2" a="1"/>
  <c r="AK350" i="2" s="1"/>
  <c r="AK351" i="2" a="1"/>
  <c r="AK351" i="2"/>
  <c r="AK352" i="2" a="1"/>
  <c r="AK352" i="2" s="1"/>
  <c r="AK353" i="2" a="1"/>
  <c r="AK353" i="2" s="1"/>
  <c r="AK354" i="2" a="1"/>
  <c r="AK354" i="2"/>
  <c r="AK355" i="2" a="1"/>
  <c r="AK355" i="2" s="1"/>
  <c r="AK356" i="2" a="1"/>
  <c r="AK356" i="2" s="1"/>
  <c r="AK357" i="2" a="1"/>
  <c r="AK357" i="2"/>
  <c r="AK358" i="2" a="1"/>
  <c r="AK358" i="2"/>
  <c r="AK359" i="2" a="1"/>
  <c r="AK359" i="2" s="1"/>
  <c r="AK360" i="2" a="1"/>
  <c r="AK360" i="2" s="1"/>
  <c r="AK361" i="2" a="1"/>
  <c r="AK361" i="2" s="1"/>
  <c r="AK362" i="2" a="1"/>
  <c r="AK362" i="2" s="1"/>
  <c r="AK363" i="2" a="1"/>
  <c r="AK363" i="2" s="1"/>
  <c r="AK364" i="2" a="1"/>
  <c r="AK364" i="2" s="1"/>
  <c r="AK365" i="2" a="1"/>
  <c r="AK365" i="2"/>
  <c r="AK366" i="2" a="1"/>
  <c r="AK366" i="2" s="1"/>
  <c r="AK367" i="2" a="1"/>
  <c r="AK367" i="2" s="1"/>
  <c r="AK368" i="2" a="1"/>
  <c r="AK368" i="2" s="1"/>
  <c r="AK369" i="2" a="1"/>
  <c r="AK369" i="2" s="1"/>
  <c r="AK370" i="2" a="1"/>
  <c r="AK370" i="2" s="1"/>
  <c r="AK371" i="2" a="1"/>
  <c r="AK371" i="2" s="1"/>
  <c r="AK372" i="2" a="1"/>
  <c r="AK372" i="2" s="1"/>
  <c r="AK373" i="2" a="1"/>
  <c r="AK373" i="2" s="1"/>
  <c r="AK374" i="2" a="1"/>
  <c r="AK374" i="2"/>
  <c r="AK375" i="2" a="1"/>
  <c r="AK375" i="2" s="1"/>
  <c r="AK376" i="2" a="1"/>
  <c r="AK376" i="2" s="1"/>
  <c r="AK377" i="2" a="1"/>
  <c r="AK377" i="2" s="1"/>
  <c r="AK378" i="2" a="1"/>
  <c r="AK378" i="2" s="1"/>
  <c r="AK379" i="2" a="1"/>
  <c r="AK379" i="2" s="1"/>
  <c r="AK380" i="2" a="1"/>
  <c r="AK380" i="2" s="1"/>
  <c r="AK381" i="2" a="1"/>
  <c r="AK381" i="2" s="1"/>
  <c r="AK382" i="2" a="1"/>
  <c r="AK382" i="2" s="1"/>
  <c r="AK383" i="2" a="1"/>
  <c r="AK383" i="2"/>
  <c r="AK384" i="2" a="1"/>
  <c r="AK384" i="2" s="1"/>
  <c r="AK385" i="2" a="1"/>
  <c r="AK385" i="2" s="1"/>
  <c r="AK386" i="2" a="1"/>
  <c r="AK386" i="2" s="1"/>
  <c r="AK387" i="2" a="1"/>
  <c r="AK387" i="2" s="1"/>
  <c r="AK388" i="2" a="1"/>
  <c r="AK388" i="2" s="1"/>
  <c r="AK389" i="2" a="1"/>
  <c r="AK389" i="2" s="1"/>
  <c r="AK390" i="2" a="1"/>
  <c r="AK390" i="2" s="1"/>
  <c r="AK391" i="2" a="1"/>
  <c r="AK391" i="2" s="1"/>
  <c r="AK392" i="2" a="1"/>
  <c r="AK392" i="2" s="1"/>
  <c r="AK393" i="2" a="1"/>
  <c r="AK393" i="2" s="1"/>
  <c r="AK394" i="2" a="1"/>
  <c r="AK394" i="2"/>
  <c r="AK395" i="2" a="1"/>
  <c r="AK395" i="2" s="1"/>
  <c r="AK396" i="2" a="1"/>
  <c r="AK396" i="2" s="1"/>
  <c r="AK397" i="2" a="1"/>
  <c r="AK397" i="2" s="1"/>
  <c r="AK398" i="2" a="1"/>
  <c r="AK398" i="2" s="1"/>
  <c r="AK399" i="2" a="1"/>
  <c r="AK399" i="2" s="1"/>
  <c r="AK400" i="2" a="1"/>
  <c r="AK400" i="2" s="1"/>
  <c r="AK401" i="2" a="1"/>
  <c r="AK401" i="2"/>
  <c r="AK402" i="2" a="1"/>
  <c r="AK402" i="2" s="1"/>
  <c r="AK403" i="2" a="1"/>
  <c r="AK403" i="2" s="1"/>
  <c r="AK404" i="2" a="1"/>
  <c r="AK404" i="2" s="1"/>
  <c r="AK405" i="2" a="1"/>
  <c r="AK405" i="2" s="1"/>
  <c r="AK406" i="2" a="1"/>
  <c r="AK406" i="2" s="1"/>
  <c r="AK407" i="2" a="1"/>
  <c r="AK407" i="2" s="1"/>
  <c r="AK408" i="2" a="1"/>
  <c r="AK408" i="2" s="1"/>
  <c r="AK409" i="2" a="1"/>
  <c r="AK409" i="2" s="1"/>
  <c r="AK410" i="2" a="1"/>
  <c r="AK410" i="2" s="1"/>
  <c r="AK411" i="2" a="1"/>
  <c r="AK411" i="2" s="1"/>
  <c r="AK412" i="2" a="1"/>
  <c r="AK412" i="2"/>
  <c r="AK413" i="2" a="1"/>
  <c r="AK413" i="2"/>
  <c r="AK414" i="2" a="1"/>
  <c r="AK414" i="2" s="1"/>
  <c r="AK415" i="2" a="1"/>
  <c r="AK415" i="2" s="1"/>
  <c r="AK416" i="2" a="1"/>
  <c r="AK416" i="2" s="1"/>
  <c r="AK417" i="2" a="1"/>
  <c r="AK417" i="2"/>
  <c r="AK418" i="2" a="1"/>
  <c r="AK418" i="2"/>
  <c r="AK419" i="2" a="1"/>
  <c r="AK419" i="2" s="1"/>
  <c r="AK420" i="2" a="1"/>
  <c r="AK420" i="2" s="1"/>
  <c r="AK421" i="2" a="1"/>
  <c r="AK421" i="2" s="1"/>
  <c r="AK422" i="2" a="1"/>
  <c r="AK422" i="2"/>
  <c r="AK423" i="2" a="1"/>
  <c r="AK423" i="2" s="1"/>
  <c r="AK424" i="2" a="1"/>
  <c r="AK424" i="2" s="1"/>
  <c r="AK425" i="2" a="1"/>
  <c r="AK425" i="2"/>
  <c r="AK426" i="2" a="1"/>
  <c r="AK426" i="2" s="1"/>
  <c r="AK427" i="2" a="1"/>
  <c r="AK427" i="2" s="1"/>
  <c r="AK428" i="2" a="1"/>
  <c r="AK428" i="2" s="1"/>
  <c r="AK429" i="2" a="1"/>
  <c r="AK429" i="2"/>
  <c r="AK430" i="2" a="1"/>
  <c r="AK430" i="2" s="1"/>
  <c r="AK431" i="2" a="1"/>
  <c r="AK431" i="2" s="1"/>
  <c r="AK432" i="2" a="1"/>
  <c r="AK432" i="2" s="1"/>
  <c r="AK433" i="2" a="1"/>
  <c r="AK433" i="2" s="1"/>
  <c r="AK434" i="2" a="1"/>
  <c r="AK434" i="2" s="1"/>
  <c r="AK435" i="2" a="1"/>
  <c r="AK435" i="2" s="1"/>
  <c r="AK436" i="2" a="1"/>
  <c r="AK436" i="2" s="1"/>
  <c r="AK437" i="2" a="1"/>
  <c r="AK437" i="2" s="1"/>
  <c r="AK438" i="2" a="1"/>
  <c r="AK438" i="2" s="1"/>
  <c r="AK439" i="2" a="1"/>
  <c r="AK439" i="2" s="1"/>
  <c r="AK440" i="2" a="1"/>
  <c r="AK440" i="2" s="1"/>
  <c r="AK441" i="2" a="1"/>
  <c r="AK441" i="2" s="1"/>
  <c r="AK442" i="2" a="1"/>
  <c r="AK442" i="2" s="1"/>
  <c r="AK443" i="2" a="1"/>
  <c r="AK443" i="2" s="1"/>
  <c r="AK444" i="2" a="1"/>
  <c r="AK444" i="2" s="1"/>
  <c r="AK445" i="2" a="1"/>
  <c r="AK445" i="2" s="1"/>
  <c r="AK446" i="2" a="1"/>
  <c r="AK446" i="2" s="1"/>
  <c r="AK447" i="2" a="1"/>
  <c r="AK447" i="2"/>
  <c r="AK448" i="2" a="1"/>
  <c r="AK448" i="2" s="1"/>
  <c r="AK449" i="2" a="1"/>
  <c r="AK449" i="2"/>
  <c r="AK450" i="2" a="1"/>
  <c r="AK450" i="2" s="1"/>
  <c r="AK451" i="2" a="1"/>
  <c r="AK451" i="2" s="1"/>
  <c r="AK452" i="2" a="1"/>
  <c r="AK452" i="2" s="1"/>
  <c r="AK453" i="2" a="1"/>
  <c r="AK453" i="2" s="1"/>
  <c r="AK454" i="2" a="1"/>
  <c r="AK454" i="2" s="1"/>
  <c r="AK455" i="2" a="1"/>
  <c r="AK455" i="2"/>
  <c r="AK456" i="2" a="1"/>
  <c r="AK456" i="2" s="1"/>
  <c r="AK457" i="2" a="1"/>
  <c r="AK457" i="2" s="1"/>
  <c r="AK458" i="2" a="1"/>
  <c r="AK458" i="2" s="1"/>
  <c r="AK459" i="2" a="1"/>
  <c r="AK459" i="2" s="1"/>
  <c r="AK460" i="2" a="1"/>
  <c r="AK460" i="2" s="1"/>
  <c r="AK461" i="2" a="1"/>
  <c r="AK461" i="2" s="1"/>
  <c r="AK462" i="2" a="1"/>
  <c r="AK462" i="2" s="1"/>
  <c r="AK463" i="2" a="1"/>
  <c r="AK463" i="2" s="1"/>
  <c r="AK464" i="2" a="1"/>
  <c r="AK464" i="2" s="1"/>
  <c r="AK465" i="2" a="1"/>
  <c r="AK465" i="2" s="1"/>
  <c r="AK466" i="2" a="1"/>
  <c r="AK466" i="2"/>
  <c r="AK467" i="2" a="1"/>
  <c r="AK467" i="2"/>
  <c r="AK468" i="2" a="1"/>
  <c r="AK468" i="2" s="1"/>
  <c r="AK469" i="2" a="1"/>
  <c r="AK469" i="2" s="1"/>
  <c r="AK470" i="2" a="1"/>
  <c r="AK470" i="2" s="1"/>
  <c r="AK471" i="2" a="1"/>
  <c r="AK471" i="2"/>
  <c r="AK472" i="2" a="1"/>
  <c r="AK472" i="2" s="1"/>
  <c r="AK473" i="2" a="1"/>
  <c r="AK473" i="2" s="1"/>
  <c r="AK474" i="2" a="1"/>
  <c r="AK474" i="2" s="1"/>
  <c r="AK475" i="2" a="1"/>
  <c r="AK475" i="2" s="1"/>
  <c r="AK476" i="2" a="1"/>
  <c r="AK476" i="2"/>
  <c r="AK477" i="2" a="1"/>
  <c r="AK477" i="2" s="1"/>
  <c r="AK478" i="2" a="1"/>
  <c r="AK478" i="2" s="1"/>
  <c r="AK479" i="2" a="1"/>
  <c r="AK479" i="2" s="1"/>
  <c r="AK480" i="2" a="1"/>
  <c r="AK480" i="2" s="1"/>
  <c r="AK481" i="2" a="1"/>
  <c r="AK481" i="2" s="1"/>
  <c r="AK482" i="2" a="1"/>
  <c r="AK482" i="2" s="1"/>
  <c r="AK483" i="2" a="1"/>
  <c r="AK483" i="2"/>
  <c r="AK484" i="2" a="1"/>
  <c r="AK484" i="2" s="1"/>
  <c r="AK485" i="2" a="1"/>
  <c r="AK485" i="2"/>
  <c r="AK486" i="2" a="1"/>
  <c r="AK486" i="2" s="1"/>
  <c r="AK487" i="2" a="1"/>
  <c r="AK487" i="2" s="1"/>
  <c r="AK488" i="2" a="1"/>
  <c r="AK488" i="2" s="1"/>
  <c r="AK489" i="2" a="1"/>
  <c r="AK489" i="2" s="1"/>
  <c r="AK490" i="2" a="1"/>
  <c r="AK490" i="2" s="1"/>
  <c r="AK491" i="2" a="1"/>
  <c r="AK491" i="2" s="1"/>
  <c r="AK492" i="2" a="1"/>
  <c r="AK492" i="2" s="1"/>
  <c r="AK493" i="2" a="1"/>
  <c r="AK493" i="2" s="1"/>
  <c r="AK494" i="2" a="1"/>
  <c r="AK494" i="2" s="1"/>
  <c r="AK495" i="2" a="1"/>
  <c r="AK495" i="2" s="1"/>
  <c r="AK496" i="2" a="1"/>
  <c r="AK496" i="2" s="1"/>
  <c r="AK497" i="2" a="1"/>
  <c r="AK497" i="2" s="1"/>
  <c r="AK498" i="2" a="1"/>
  <c r="AK498" i="2" s="1"/>
  <c r="AK499" i="2" a="1"/>
  <c r="AK499" i="2" s="1"/>
  <c r="AK500" i="2" a="1"/>
  <c r="AK500" i="2" s="1"/>
  <c r="AK501" i="2" a="1"/>
  <c r="AK501" i="2" s="1"/>
  <c r="AK502" i="2" a="1"/>
  <c r="AK502" i="2" s="1"/>
  <c r="AK503" i="2" a="1"/>
  <c r="AK503" i="2"/>
  <c r="AK504" i="2" a="1"/>
  <c r="AK504" i="2" s="1"/>
  <c r="AK505" i="2" a="1"/>
  <c r="AK505" i="2" s="1"/>
  <c r="AK506" i="2" a="1"/>
  <c r="AK506" i="2" s="1"/>
  <c r="AK507" i="2" a="1"/>
  <c r="AK507" i="2" s="1"/>
  <c r="AK508" i="2" a="1"/>
  <c r="AK508" i="2" s="1"/>
  <c r="AK509" i="2" a="1"/>
  <c r="AK509" i="2" s="1"/>
  <c r="AK510" i="2" a="1"/>
  <c r="AK510" i="2" s="1"/>
  <c r="AK511" i="2" a="1"/>
  <c r="AK511" i="2" s="1"/>
  <c r="AK512" i="2" a="1"/>
  <c r="AK512" i="2" s="1"/>
  <c r="AK513" i="2" a="1"/>
  <c r="AK513" i="2"/>
  <c r="AK514" i="2" a="1"/>
  <c r="AK514" i="2" s="1"/>
  <c r="AK515" i="2" a="1"/>
  <c r="AK515" i="2" s="1"/>
  <c r="AK516" i="2" a="1"/>
  <c r="AK516" i="2" s="1"/>
  <c r="AK517" i="2" a="1"/>
  <c r="AK517" i="2" s="1"/>
  <c r="AK518" i="2" a="1"/>
  <c r="AK518" i="2"/>
  <c r="AK519" i="2" a="1"/>
  <c r="AK519" i="2" s="1"/>
  <c r="AK520" i="2" a="1"/>
  <c r="AK520" i="2"/>
  <c r="AK521" i="2" a="1"/>
  <c r="AK521" i="2"/>
  <c r="AK522" i="2" a="1"/>
  <c r="AK522" i="2" s="1"/>
  <c r="AK523" i="2" a="1"/>
  <c r="AK523" i="2" s="1"/>
  <c r="AK524" i="2" a="1"/>
  <c r="AK524" i="2"/>
  <c r="AK525" i="2" a="1"/>
  <c r="AK525" i="2" s="1"/>
  <c r="AK526" i="2" a="1"/>
  <c r="AK526" i="2" s="1"/>
  <c r="AK527" i="2" a="1"/>
  <c r="AK527" i="2"/>
  <c r="AK528" i="2" a="1"/>
  <c r="AK528" i="2"/>
  <c r="AK529" i="2" a="1"/>
  <c r="AK529" i="2" s="1"/>
  <c r="AK530" i="2" a="1"/>
  <c r="AK530" i="2" s="1"/>
  <c r="AK531" i="2" a="1"/>
  <c r="AK531" i="2" s="1"/>
  <c r="AK532" i="2" a="1"/>
  <c r="AK532" i="2" s="1"/>
  <c r="AK533" i="2" a="1"/>
  <c r="AK533" i="2" s="1"/>
  <c r="AK534" i="2" a="1"/>
  <c r="AK534" i="2" s="1"/>
  <c r="AK535" i="2" a="1"/>
  <c r="AK535" i="2" s="1"/>
  <c r="AK536" i="2" a="1"/>
  <c r="AK536" i="2" s="1"/>
  <c r="AK537" i="2" a="1"/>
  <c r="AK537" i="2" s="1"/>
  <c r="AK538" i="2" a="1"/>
  <c r="AK538" i="2" s="1"/>
  <c r="AK539" i="2" a="1"/>
  <c r="AK539" i="2"/>
  <c r="AK540" i="2" a="1"/>
  <c r="AK540" i="2" s="1"/>
  <c r="AK541" i="2" a="1"/>
  <c r="AK541" i="2" s="1"/>
  <c r="AK542" i="2" a="1"/>
  <c r="AK542" i="2" s="1"/>
  <c r="AK543" i="2" a="1"/>
  <c r="AK543" i="2" s="1"/>
  <c r="AK544" i="2" a="1"/>
  <c r="AK544" i="2" s="1"/>
  <c r="AK545" i="2" a="1"/>
  <c r="AK545" i="2"/>
  <c r="AK546" i="2" a="1"/>
  <c r="AK546" i="2" s="1"/>
  <c r="AK547" i="2" a="1"/>
  <c r="AK547" i="2" s="1"/>
  <c r="AK548" i="2" a="1"/>
  <c r="AK548" i="2" s="1"/>
  <c r="AK549" i="2" a="1"/>
  <c r="AK549" i="2" s="1"/>
  <c r="AK550" i="2" a="1"/>
  <c r="AK550" i="2" s="1"/>
  <c r="AK551" i="2" a="1"/>
  <c r="AK551" i="2"/>
  <c r="AK552" i="2" a="1"/>
  <c r="AK552" i="2"/>
  <c r="AK553" i="2" a="1"/>
  <c r="AK553" i="2" s="1"/>
  <c r="AK554" i="2" a="1"/>
  <c r="AK554" i="2"/>
  <c r="AK555" i="2" a="1"/>
  <c r="AK555" i="2" s="1"/>
  <c r="AK556" i="2" a="1"/>
  <c r="AK556" i="2"/>
  <c r="AK557" i="2" a="1"/>
  <c r="AK557" i="2" s="1"/>
  <c r="AK558" i="2" a="1"/>
  <c r="AK558" i="2" s="1"/>
  <c r="AK559" i="2" a="1"/>
  <c r="AK559" i="2" s="1"/>
  <c r="AK560" i="2" a="1"/>
  <c r="AK560" i="2" s="1"/>
  <c r="AK561" i="2" a="1"/>
  <c r="AK561" i="2"/>
  <c r="AK562" i="2" a="1"/>
  <c r="AK562" i="2" s="1"/>
  <c r="AK563" i="2" a="1"/>
  <c r="AK563" i="2"/>
  <c r="AK564" i="2" a="1"/>
  <c r="AK564" i="2" s="1"/>
  <c r="AK565" i="2" a="1"/>
  <c r="AK565" i="2" s="1"/>
  <c r="AK566" i="2" a="1"/>
  <c r="AK566" i="2" s="1"/>
  <c r="AK567" i="2" a="1"/>
  <c r="AK567" i="2" s="1"/>
  <c r="AK568" i="2" a="1"/>
  <c r="AK568" i="2" s="1"/>
  <c r="AK569" i="2" a="1"/>
  <c r="AK569" i="2" s="1"/>
  <c r="AK570" i="2" a="1"/>
  <c r="AK570" i="2" s="1"/>
  <c r="AK571" i="2" a="1"/>
  <c r="AK571" i="2" s="1"/>
  <c r="AK572" i="2" a="1"/>
  <c r="AK572" i="2"/>
  <c r="AK573" i="2" a="1"/>
  <c r="AK573" i="2" s="1"/>
  <c r="AK574" i="2" a="1"/>
  <c r="AK574" i="2" s="1"/>
  <c r="AK575" i="2" a="1"/>
  <c r="AK575" i="2" s="1"/>
  <c r="AK576" i="2" a="1"/>
  <c r="AK576" i="2" s="1"/>
  <c r="AK577" i="2" a="1"/>
  <c r="AK577" i="2" s="1"/>
  <c r="AK578" i="2" a="1"/>
  <c r="AK578" i="2" s="1"/>
  <c r="AK579" i="2" a="1"/>
  <c r="AK579" i="2" s="1"/>
  <c r="AK580" i="2" a="1"/>
  <c r="AK580" i="2" s="1"/>
  <c r="AK581" i="2" a="1"/>
  <c r="AK581" i="2"/>
  <c r="AK582" i="2" a="1"/>
  <c r="AK582" i="2" s="1"/>
  <c r="AK583" i="2" a="1"/>
  <c r="AK583" i="2" s="1"/>
  <c r="AK584" i="2" a="1"/>
  <c r="AK584" i="2" s="1"/>
  <c r="AK585" i="2" a="1"/>
  <c r="AK585" i="2" s="1"/>
  <c r="AK586" i="2" a="1"/>
  <c r="AK586" i="2" s="1"/>
  <c r="AK587" i="2" a="1"/>
  <c r="AK587" i="2" s="1"/>
  <c r="AK588" i="2" a="1"/>
  <c r="AK588" i="2" s="1"/>
  <c r="AK589" i="2" a="1"/>
  <c r="AK589" i="2" s="1"/>
  <c r="AK590" i="2" a="1"/>
  <c r="AK590" i="2" s="1"/>
  <c r="AK591" i="2" a="1"/>
  <c r="AK591" i="2"/>
  <c r="AK592" i="2" a="1"/>
  <c r="AK592" i="2"/>
  <c r="AK593" i="2" a="1"/>
  <c r="AK593" i="2" s="1"/>
  <c r="AK594" i="2" a="1"/>
  <c r="AK594" i="2" s="1"/>
  <c r="AK595" i="2" a="1"/>
  <c r="AK595" i="2" s="1"/>
  <c r="AK596" i="2" a="1"/>
  <c r="AK596" i="2" s="1"/>
  <c r="AK597" i="2" a="1"/>
  <c r="AK597" i="2" s="1"/>
  <c r="AK598" i="2" a="1"/>
  <c r="AK598" i="2"/>
  <c r="AK599" i="2" a="1"/>
  <c r="AK599" i="2"/>
  <c r="AK600" i="2" a="1"/>
  <c r="AK600" i="2" s="1"/>
  <c r="AK601" i="2" a="1"/>
  <c r="AK601" i="2" s="1"/>
  <c r="AK602" i="2" a="1"/>
  <c r="AK602" i="2" s="1"/>
  <c r="AK603" i="2" a="1"/>
  <c r="AK603" i="2" s="1"/>
  <c r="AK604" i="2" a="1"/>
  <c r="AK604" i="2"/>
  <c r="AK605" i="2" a="1"/>
  <c r="AK605" i="2" s="1"/>
  <c r="AK606" i="2" a="1"/>
  <c r="AK606" i="2" s="1"/>
  <c r="AK607" i="2" a="1"/>
  <c r="AK607" i="2" s="1"/>
  <c r="AK608" i="2" a="1"/>
  <c r="AK608" i="2"/>
  <c r="AK609" i="2" a="1"/>
  <c r="AK609" i="2"/>
  <c r="AK610" i="2" a="1"/>
  <c r="AK610" i="2" s="1"/>
  <c r="AK611" i="2" a="1"/>
  <c r="AK611" i="2" s="1"/>
  <c r="AK612" i="2" a="1"/>
  <c r="AK612" i="2" s="1"/>
  <c r="AK613" i="2" a="1"/>
  <c r="AK613" i="2" s="1"/>
  <c r="AK614" i="2" a="1"/>
  <c r="AK614" i="2" s="1"/>
  <c r="AK615" i="2" a="1"/>
  <c r="AK615" i="2"/>
  <c r="AK616" i="2" a="1"/>
  <c r="AK616" i="2" s="1"/>
  <c r="AK617" i="2" a="1"/>
  <c r="AK617" i="2"/>
  <c r="AK618" i="2" a="1"/>
  <c r="AK618" i="2" s="1"/>
  <c r="AK619" i="2" a="1"/>
  <c r="AK619" i="2" s="1"/>
  <c r="AK620" i="2" a="1"/>
  <c r="AK620" i="2" s="1"/>
  <c r="AK621" i="2" a="1"/>
  <c r="AK621" i="2" s="1"/>
  <c r="AK622" i="2" a="1"/>
  <c r="AK622" i="2" s="1"/>
  <c r="AK623" i="2" a="1"/>
  <c r="AK623" i="2" s="1"/>
  <c r="AK624" i="2" a="1"/>
  <c r="AK624" i="2"/>
  <c r="AK625" i="2" a="1"/>
  <c r="AK625" i="2" s="1"/>
  <c r="AK626" i="2" a="1"/>
  <c r="AK626" i="2" s="1"/>
  <c r="AK627" i="2" a="1"/>
  <c r="AK627" i="2" s="1"/>
  <c r="AK628" i="2" a="1"/>
  <c r="AK628" i="2" s="1"/>
  <c r="AK629" i="2" a="1"/>
  <c r="AK629" i="2" s="1"/>
  <c r="AK630" i="2" a="1"/>
  <c r="AK630" i="2" s="1"/>
  <c r="AK631" i="2" a="1"/>
  <c r="AK631" i="2" s="1"/>
  <c r="AK632" i="2" a="1"/>
  <c r="AK632" i="2" s="1"/>
  <c r="AK633" i="2" a="1"/>
  <c r="AK633" i="2"/>
  <c r="AK634" i="2" a="1"/>
  <c r="AK634" i="2" s="1"/>
  <c r="AK635" i="2" a="1"/>
  <c r="AK635" i="2"/>
  <c r="AK636" i="2" a="1"/>
  <c r="AK636" i="2" s="1"/>
  <c r="AK637" i="2" a="1"/>
  <c r="AK637" i="2" s="1"/>
  <c r="AK638" i="2" a="1"/>
  <c r="AK638" i="2" s="1"/>
  <c r="AK639" i="2" a="1"/>
  <c r="AK639" i="2" s="1"/>
  <c r="AK640" i="2" a="1"/>
  <c r="AK640" i="2"/>
  <c r="AK641" i="2" a="1"/>
  <c r="AK641" i="2" s="1"/>
  <c r="AK642" i="2" a="1"/>
  <c r="AK642" i="2" s="1"/>
  <c r="AK643" i="2" a="1"/>
  <c r="AK643" i="2" s="1"/>
  <c r="AK644" i="2" a="1"/>
  <c r="AK644" i="2" s="1"/>
  <c r="AK645" i="2" a="1"/>
  <c r="AK645" i="2" s="1"/>
  <c r="AK646" i="2" a="1"/>
  <c r="AK646" i="2"/>
  <c r="AK647" i="2" a="1"/>
  <c r="AK647" i="2" s="1"/>
  <c r="AK648" i="2" a="1"/>
  <c r="AK648" i="2" s="1"/>
  <c r="AK649" i="2" a="1"/>
  <c r="AK649" i="2" s="1"/>
  <c r="AK650" i="2" a="1"/>
  <c r="AK650" i="2"/>
  <c r="AK651" i="2" a="1"/>
  <c r="AK651" i="2"/>
  <c r="AK652" i="2" a="1"/>
  <c r="AK652" i="2"/>
  <c r="AK653" i="2" a="1"/>
  <c r="AK653" i="2"/>
  <c r="AK654" i="2" a="1"/>
  <c r="AK654" i="2" s="1"/>
  <c r="AK655" i="2" a="1"/>
  <c r="AK655" i="2" s="1"/>
  <c r="AK656" i="2" a="1"/>
  <c r="AK656" i="2" s="1"/>
  <c r="AK657" i="2" a="1"/>
  <c r="AK657" i="2"/>
  <c r="AK658" i="2" a="1"/>
  <c r="AK658" i="2" s="1"/>
  <c r="AK659" i="2" a="1"/>
  <c r="AK659" i="2" s="1"/>
  <c r="AK660" i="2" a="1"/>
  <c r="AK660" i="2" s="1"/>
  <c r="AK661" i="2" a="1"/>
  <c r="AK661" i="2" s="1"/>
  <c r="AK662" i="2" a="1"/>
  <c r="AK662" i="2" s="1"/>
  <c r="AK663" i="2" a="1"/>
  <c r="AK663" i="2" s="1"/>
  <c r="AK664" i="2" a="1"/>
  <c r="AK664" i="2" s="1"/>
  <c r="AK665" i="2" a="1"/>
  <c r="AK665" i="2" s="1"/>
  <c r="AK666" i="2" a="1"/>
  <c r="AK666" i="2" s="1"/>
  <c r="AK667" i="2" a="1"/>
  <c r="AK667" i="2" s="1"/>
  <c r="AK668" i="2" a="1"/>
  <c r="AK668" i="2"/>
  <c r="AK669" i="2" a="1"/>
  <c r="AK669" i="2" s="1"/>
  <c r="AK670" i="2" a="1"/>
  <c r="AK670" i="2" s="1"/>
  <c r="AK671" i="2" a="1"/>
  <c r="AK671" i="2" s="1"/>
  <c r="AK672" i="2" a="1"/>
  <c r="AK672" i="2" s="1"/>
  <c r="AK673" i="2" a="1"/>
  <c r="AK673" i="2" s="1"/>
  <c r="AK674" i="2" a="1"/>
  <c r="AK674" i="2" s="1"/>
  <c r="AK675" i="2" a="1"/>
  <c r="AK675" i="2" s="1"/>
  <c r="AK676" i="2" a="1"/>
  <c r="AK676" i="2" s="1"/>
  <c r="AK677" i="2" a="1"/>
  <c r="AK677" i="2"/>
  <c r="AK678" i="2" a="1"/>
  <c r="AK678" i="2" s="1"/>
  <c r="AK679" i="2" a="1"/>
  <c r="AK679" i="2" s="1"/>
  <c r="AK680" i="2" a="1"/>
  <c r="AK680" i="2" s="1"/>
  <c r="AK681" i="2" a="1"/>
  <c r="AK681" i="2" s="1"/>
  <c r="AK682" i="2" a="1"/>
  <c r="AK682" i="2" s="1"/>
  <c r="AK683" i="2" a="1"/>
  <c r="AK683" i="2"/>
  <c r="AK684" i="2" a="1"/>
  <c r="AK684" i="2" s="1"/>
  <c r="AK685" i="2" a="1"/>
  <c r="AK685" i="2" s="1"/>
  <c r="AK686" i="2" a="1"/>
  <c r="AK686" i="2" s="1"/>
  <c r="AK687" i="2" a="1"/>
  <c r="AK687" i="2"/>
  <c r="AK688" i="2" a="1"/>
  <c r="AK688" i="2" s="1"/>
  <c r="AK689" i="2" a="1"/>
  <c r="AK689" i="2"/>
  <c r="AK690" i="2" a="1"/>
  <c r="AK690" i="2" s="1"/>
  <c r="AK691" i="2" a="1"/>
  <c r="AK691" i="2" s="1"/>
  <c r="AK692" i="2" a="1"/>
  <c r="AK692" i="2" s="1"/>
  <c r="AK693" i="2" a="1"/>
  <c r="AK693" i="2" s="1"/>
  <c r="AK694" i="2" a="1"/>
  <c r="AK694" i="2" s="1"/>
  <c r="AK695" i="2" a="1"/>
  <c r="AK695" i="2"/>
  <c r="AK696" i="2" a="1"/>
  <c r="AK696" i="2"/>
  <c r="AK697" i="2" a="1"/>
  <c r="AK697" i="2" s="1"/>
  <c r="AK698" i="2" a="1"/>
  <c r="AK698" i="2" s="1"/>
  <c r="AK699" i="2" a="1"/>
  <c r="AK699" i="2" s="1"/>
  <c r="AK700" i="2" a="1"/>
  <c r="AK700" i="2"/>
  <c r="AK701" i="2" a="1"/>
  <c r="AK701" i="2"/>
  <c r="AK702" i="2" a="1"/>
  <c r="AK702" i="2" s="1"/>
  <c r="AK703" i="2" a="1"/>
  <c r="AK703" i="2" s="1"/>
  <c r="AK704" i="2" a="1"/>
  <c r="AK704" i="2" s="1"/>
  <c r="AK705" i="2" a="1"/>
  <c r="AK705" i="2" s="1"/>
  <c r="AK706" i="2" a="1"/>
  <c r="AK706" i="2" s="1"/>
  <c r="AK707" i="2" a="1"/>
  <c r="AK707" i="2" s="1"/>
  <c r="AK708" i="2" a="1"/>
  <c r="AK708" i="2" s="1"/>
  <c r="AK709" i="2" a="1"/>
  <c r="AK709" i="2" s="1"/>
  <c r="AK710" i="2" a="1"/>
  <c r="AK710" i="2" s="1"/>
  <c r="AK711" i="2" a="1"/>
  <c r="AK711" i="2" s="1"/>
  <c r="AK712" i="2" a="1"/>
  <c r="AK712" i="2" s="1"/>
  <c r="AK713" i="2" a="1"/>
  <c r="AK713" i="2" s="1"/>
  <c r="AK714" i="2" a="1"/>
  <c r="AK714" i="2"/>
  <c r="AK715" i="2" a="1"/>
  <c r="AK715" i="2" s="1"/>
  <c r="AK716" i="2" a="1"/>
  <c r="AK716" i="2" s="1"/>
  <c r="AK717" i="2" a="1"/>
  <c r="AK717" i="2" s="1"/>
  <c r="AK718" i="2" a="1"/>
  <c r="AK718" i="2" s="1"/>
  <c r="AK719" i="2" a="1"/>
  <c r="AK719" i="2" s="1"/>
  <c r="AK720" i="2" a="1"/>
  <c r="AK720" i="2" s="1"/>
  <c r="AK721" i="2" a="1"/>
  <c r="AK721" i="2" s="1"/>
  <c r="AK722" i="2" a="1"/>
  <c r="AK722" i="2" s="1"/>
  <c r="AK723" i="2" a="1"/>
  <c r="AK723" i="2"/>
  <c r="AK724" i="2" a="1"/>
  <c r="AK724" i="2"/>
  <c r="AK725" i="2" a="1"/>
  <c r="AK725" i="2" s="1"/>
  <c r="AK726" i="2" a="1"/>
  <c r="AK726" i="2"/>
  <c r="AK727" i="2" a="1"/>
  <c r="AK727" i="2" s="1"/>
  <c r="AK728" i="2" a="1"/>
  <c r="AK728" i="2" s="1"/>
  <c r="AK729" i="2" a="1"/>
  <c r="AK729" i="2" s="1"/>
  <c r="AK730" i="2" a="1"/>
  <c r="AK730" i="2" s="1"/>
  <c r="AK731" i="2" a="1"/>
  <c r="AK731" i="2" s="1"/>
  <c r="AK732" i="2" a="1"/>
  <c r="AK732" i="2" s="1"/>
  <c r="AK733" i="2" a="1"/>
  <c r="AK733" i="2" s="1"/>
  <c r="AK734" i="2" a="1"/>
  <c r="AK734" i="2" s="1"/>
  <c r="AK735" i="2" a="1"/>
  <c r="AK735" i="2" s="1"/>
  <c r="AK736" i="2" a="1"/>
  <c r="AK736" i="2" s="1"/>
  <c r="AK737" i="2" a="1"/>
  <c r="AK737" i="2" s="1"/>
  <c r="AK738" i="2" a="1"/>
  <c r="AK738" i="2" s="1"/>
  <c r="AK739" i="2" a="1"/>
  <c r="AK739" i="2" s="1"/>
  <c r="AK740" i="2" a="1"/>
  <c r="AK740" i="2"/>
  <c r="AK741" i="2" a="1"/>
  <c r="AK741" i="2" s="1"/>
  <c r="AK742" i="2" a="1"/>
  <c r="AK742" i="2"/>
  <c r="AK743" i="2" a="1"/>
  <c r="AK743" i="2" s="1"/>
  <c r="AK744" i="2" a="1"/>
  <c r="AK744" i="2"/>
  <c r="AK745" i="2" a="1"/>
  <c r="AK745" i="2" s="1"/>
  <c r="AK746" i="2" a="1"/>
  <c r="AK746" i="2" s="1"/>
  <c r="AK747" i="2" a="1"/>
  <c r="AK747" i="2" s="1"/>
  <c r="AK748" i="2" a="1"/>
  <c r="AK748" i="2" s="1"/>
  <c r="AK749" i="2" a="1"/>
  <c r="AK749" i="2"/>
  <c r="AK750" i="2" a="1"/>
  <c r="AK750" i="2"/>
  <c r="AK751" i="2" a="1"/>
  <c r="AK751" i="2" s="1"/>
  <c r="AK752" i="2" a="1"/>
  <c r="AK752" i="2" s="1"/>
  <c r="AK753" i="2" a="1"/>
  <c r="AK753" i="2" s="1"/>
  <c r="AK754" i="2" a="1"/>
  <c r="AK754" i="2" s="1"/>
  <c r="AK755" i="2" a="1"/>
  <c r="AK755" i="2" s="1"/>
  <c r="AK756" i="2" a="1"/>
  <c r="AK756" i="2" s="1"/>
  <c r="AK757" i="2" a="1"/>
  <c r="AK757" i="2" s="1"/>
  <c r="AK758" i="2" a="1"/>
  <c r="AK758" i="2" s="1"/>
  <c r="AK759" i="2" a="1"/>
  <c r="AK759" i="2" s="1"/>
  <c r="AK760" i="2" a="1"/>
  <c r="AK760" i="2" s="1"/>
  <c r="AK761" i="2" a="1"/>
  <c r="AK761" i="2" s="1"/>
  <c r="AK762" i="2" a="1"/>
  <c r="AK762" i="2" s="1"/>
  <c r="AK763" i="2" a="1"/>
  <c r="AK763" i="2" s="1"/>
  <c r="AK764" i="2" a="1"/>
  <c r="AK764" i="2" s="1"/>
  <c r="AK765" i="2" a="1"/>
  <c r="AK765" i="2"/>
  <c r="AK766" i="2" a="1"/>
  <c r="AK766" i="2" s="1"/>
  <c r="AK767" i="2" a="1"/>
  <c r="AK767" i="2" s="1"/>
  <c r="AK768" i="2" a="1"/>
  <c r="AK768" i="2" s="1"/>
  <c r="AK769" i="2" a="1"/>
  <c r="AK769" i="2" s="1"/>
  <c r="AK770" i="2" a="1"/>
  <c r="AK770" i="2" s="1"/>
  <c r="AK771" i="2" a="1"/>
  <c r="AK771" i="2"/>
  <c r="AK772" i="2" a="1"/>
  <c r="AK772" i="2" s="1"/>
  <c r="AK773" i="2" a="1"/>
  <c r="AK773" i="2" s="1"/>
  <c r="AK774" i="2" a="1"/>
  <c r="AK774" i="2"/>
  <c r="AK775" i="2" a="1"/>
  <c r="AK775" i="2" s="1"/>
  <c r="AK776" i="2" a="1"/>
  <c r="AK776" i="2" s="1"/>
  <c r="AK777" i="2" a="1"/>
  <c r="AK777" i="2" s="1"/>
  <c r="AK778" i="2" a="1"/>
  <c r="AK778" i="2"/>
  <c r="AK779" i="2" a="1"/>
  <c r="AK779" i="2"/>
  <c r="AK780" i="2" a="1"/>
  <c r="AK780" i="2" s="1"/>
  <c r="AK781" i="2" a="1"/>
  <c r="AK781" i="2" s="1"/>
  <c r="AK782" i="2" a="1"/>
  <c r="AK782" i="2" s="1"/>
  <c r="AK783" i="2" a="1"/>
  <c r="AK783" i="2" s="1"/>
  <c r="AK784" i="2" a="1"/>
  <c r="AK784" i="2" s="1"/>
  <c r="AK785" i="2" a="1"/>
  <c r="AK785" i="2"/>
  <c r="AK786" i="2" a="1"/>
  <c r="AK786" i="2"/>
  <c r="AK787" i="2" a="1"/>
  <c r="AK787" i="2" s="1"/>
  <c r="AK788" i="2" a="1"/>
  <c r="AK788" i="2" s="1"/>
  <c r="AK789" i="2" a="1"/>
  <c r="AK789" i="2" s="1"/>
  <c r="AK790" i="2" a="1"/>
  <c r="AK790" i="2" s="1"/>
  <c r="AK791" i="2" a="1"/>
  <c r="AK791" i="2" s="1"/>
  <c r="AK792" i="2" a="1"/>
  <c r="AK792" i="2" s="1"/>
  <c r="AK793" i="2" a="1"/>
  <c r="AK793" i="2" s="1"/>
  <c r="AK794" i="2" a="1"/>
  <c r="AK794" i="2"/>
  <c r="AK795" i="2" a="1"/>
  <c r="AK795" i="2" s="1"/>
  <c r="AK796" i="2" a="1"/>
  <c r="AK796" i="2"/>
  <c r="AK797" i="2" a="1"/>
  <c r="AK797" i="2" s="1"/>
  <c r="AK798" i="2" a="1"/>
  <c r="AK798" i="2" s="1"/>
  <c r="AK799" i="2" a="1"/>
  <c r="AK799" i="2" s="1"/>
  <c r="AK800" i="2" a="1"/>
  <c r="AK800" i="2" s="1"/>
  <c r="AK801" i="2" a="1"/>
  <c r="AK801" i="2" s="1"/>
  <c r="AK802" i="2" a="1"/>
  <c r="AK802" i="2" s="1"/>
  <c r="AK803" i="2" a="1"/>
  <c r="AK803" i="2" s="1"/>
  <c r="AK804" i="2" a="1"/>
  <c r="AK804" i="2" s="1"/>
  <c r="AK805" i="2" a="1"/>
  <c r="AK805" i="2" s="1"/>
  <c r="AK806" i="2" a="1"/>
  <c r="AK806" i="2"/>
  <c r="AK807" i="2" a="1"/>
  <c r="AK807" i="2" s="1"/>
  <c r="AK808" i="2" a="1"/>
  <c r="AK808" i="2" s="1"/>
  <c r="AK809" i="2" a="1"/>
  <c r="AK809" i="2" s="1"/>
  <c r="AK810" i="2" a="1"/>
  <c r="AK810" i="2" s="1"/>
  <c r="AK811" i="2" a="1"/>
  <c r="AK811" i="2" s="1"/>
  <c r="AK812" i="2" a="1"/>
  <c r="AK812" i="2" s="1"/>
  <c r="AK813" i="2" a="1"/>
  <c r="AK813" i="2" s="1"/>
  <c r="AK814" i="2" a="1"/>
  <c r="AK814" i="2" s="1"/>
  <c r="AK815" i="2" a="1"/>
  <c r="AK815" i="2"/>
  <c r="AK816" i="2" a="1"/>
  <c r="AK816" i="2" s="1"/>
  <c r="AK817" i="2" a="1"/>
  <c r="AK817" i="2" s="1"/>
  <c r="AK818" i="2" a="1"/>
  <c r="AK818" i="2" s="1"/>
  <c r="AK819" i="2" a="1"/>
  <c r="AK819" i="2" s="1"/>
  <c r="AK820" i="2" a="1"/>
  <c r="AK820" i="2" s="1"/>
  <c r="AK821" i="2" a="1"/>
  <c r="AK821" i="2" s="1"/>
  <c r="AK822" i="2" a="1"/>
  <c r="AK822" i="2" s="1"/>
  <c r="AK823" i="2" a="1"/>
  <c r="AK823" i="2" s="1"/>
  <c r="AK824" i="2" a="1"/>
  <c r="AK824" i="2" s="1"/>
  <c r="AK825" i="2" a="1"/>
  <c r="AK825" i="2" s="1"/>
  <c r="AK826" i="2" a="1"/>
  <c r="AK826" i="2" s="1"/>
  <c r="AK827" i="2" a="1"/>
  <c r="AK827" i="2" s="1"/>
  <c r="AK828" i="2" a="1"/>
  <c r="AK828" i="2" s="1"/>
  <c r="AK829" i="2" a="1"/>
  <c r="AK829" i="2" s="1"/>
  <c r="AK830" i="2" a="1"/>
  <c r="AK830" i="2" s="1"/>
  <c r="AK831" i="2" a="1"/>
  <c r="AK831" i="2"/>
  <c r="AK832" i="2" a="1"/>
  <c r="AK832" i="2" s="1"/>
  <c r="AK833" i="2" a="1"/>
  <c r="AK833" i="2" s="1"/>
  <c r="AK834" i="2" a="1"/>
  <c r="AK834" i="2"/>
  <c r="AK835" i="2" a="1"/>
  <c r="AK835" i="2" s="1"/>
  <c r="AK836" i="2" a="1"/>
  <c r="AK836" i="2"/>
  <c r="AK837" i="2" a="1"/>
  <c r="AK837" i="2" s="1"/>
  <c r="AK838" i="2" a="1"/>
  <c r="AK838" i="2" s="1"/>
  <c r="AK839" i="2" a="1"/>
  <c r="AK839" i="2"/>
  <c r="AK840" i="2" a="1"/>
  <c r="AK840" i="2" s="1"/>
  <c r="AK841" i="2" a="1"/>
  <c r="AK841" i="2" s="1"/>
  <c r="AK842" i="2" a="1"/>
  <c r="AK842" i="2"/>
  <c r="AK843" i="2" a="1"/>
  <c r="AK843" i="2" s="1"/>
  <c r="AK844" i="2" a="1"/>
  <c r="AK844" i="2" s="1"/>
  <c r="AK845" i="2" a="1"/>
  <c r="AK845" i="2" s="1"/>
  <c r="AK846" i="2" a="1"/>
  <c r="AK846" i="2" s="1"/>
  <c r="AK847" i="2" a="1"/>
  <c r="AK847" i="2" s="1"/>
  <c r="AK848" i="2" a="1"/>
  <c r="AK848" i="2" s="1"/>
  <c r="AK849" i="2" a="1"/>
  <c r="AK849" i="2" s="1"/>
  <c r="AK850" i="2" a="1"/>
  <c r="AK850" i="2" s="1"/>
  <c r="AK851" i="2" a="1"/>
  <c r="AK851" i="2"/>
  <c r="AK852" i="2" a="1"/>
  <c r="AK852" i="2" s="1"/>
  <c r="AK853" i="2" a="1"/>
  <c r="AK853" i="2" s="1"/>
  <c r="AK854" i="2" a="1"/>
  <c r="AK854" i="2"/>
  <c r="AK855" i="2" a="1"/>
  <c r="AK855" i="2" s="1"/>
  <c r="AK856" i="2" a="1"/>
  <c r="AK856" i="2" s="1"/>
  <c r="AK857" i="2" a="1"/>
  <c r="AK857" i="2"/>
  <c r="AK858" i="2" a="1"/>
  <c r="AK858" i="2"/>
  <c r="AK859" i="2" a="1"/>
  <c r="AK859" i="2"/>
  <c r="AK860" i="2" a="1"/>
  <c r="AK860" i="2"/>
  <c r="AK861" i="2" a="1"/>
  <c r="AK861" i="2" s="1"/>
  <c r="AK862" i="2" a="1"/>
  <c r="AK862" i="2" s="1"/>
  <c r="AK863" i="2" a="1"/>
  <c r="AK863" i="2" s="1"/>
  <c r="AK864" i="2" a="1"/>
  <c r="AK864" i="2" s="1"/>
  <c r="AK865" i="2" a="1"/>
  <c r="AK865" i="2"/>
  <c r="AK866" i="2" a="1"/>
  <c r="AK866" i="2"/>
  <c r="AK867" i="2" a="1"/>
  <c r="AK867" i="2"/>
  <c r="AK868" i="2" a="1"/>
  <c r="AK868" i="2" s="1"/>
  <c r="AK869" i="2" a="1"/>
  <c r="AK869" i="2"/>
  <c r="AK870" i="2" a="1"/>
  <c r="AK870" i="2" s="1"/>
  <c r="AK871" i="2" a="1"/>
  <c r="AK871" i="2" s="1"/>
  <c r="AK872" i="2" a="1"/>
  <c r="AK872" i="2"/>
  <c r="AK873" i="2" a="1"/>
  <c r="AK873" i="2"/>
  <c r="AK874" i="2" a="1"/>
  <c r="AK874" i="2" s="1"/>
  <c r="AK875" i="2" a="1"/>
  <c r="AK875" i="2" s="1"/>
  <c r="AK876" i="2" a="1"/>
  <c r="AK876" i="2"/>
  <c r="AK877" i="2" a="1"/>
  <c r="AK877" i="2" s="1"/>
  <c r="AK878" i="2" a="1"/>
  <c r="AK878" i="2" s="1"/>
  <c r="AK879" i="2" a="1"/>
  <c r="AK879" i="2" s="1"/>
  <c r="AK880" i="2" a="1"/>
  <c r="AK880" i="2" s="1"/>
  <c r="AK881" i="2" a="1"/>
  <c r="AK881" i="2" s="1"/>
  <c r="AK882" i="2" a="1"/>
  <c r="AK882" i="2" s="1"/>
  <c r="AK883" i="2" a="1"/>
  <c r="AK883" i="2"/>
  <c r="AK884" i="2" a="1"/>
  <c r="AK884" i="2"/>
  <c r="AK885" i="2" a="1"/>
  <c r="AK885" i="2" s="1"/>
  <c r="AK886" i="2" a="1"/>
  <c r="AK886" i="2" s="1"/>
  <c r="AK887" i="2" a="1"/>
  <c r="AK887" i="2" s="1"/>
  <c r="AK888" i="2" a="1"/>
  <c r="AK888" i="2" s="1"/>
  <c r="AK889" i="2" a="1"/>
  <c r="AK889" i="2" s="1"/>
  <c r="AK890" i="2" a="1"/>
  <c r="AK890" i="2" s="1"/>
  <c r="AK891" i="2" a="1"/>
  <c r="AK891" i="2"/>
  <c r="AK892" i="2" a="1"/>
  <c r="AK892" i="2" s="1"/>
  <c r="AK893" i="2" a="1"/>
  <c r="AK893" i="2"/>
  <c r="AK894" i="2" a="1"/>
  <c r="AK894" i="2" s="1"/>
  <c r="AK895" i="2" a="1"/>
  <c r="AK895" i="2" s="1"/>
  <c r="AK896" i="2" a="1"/>
  <c r="AK896" i="2" s="1"/>
  <c r="AK897" i="2" a="1"/>
  <c r="AK897" i="2" s="1"/>
  <c r="AK898" i="2" a="1"/>
  <c r="AK898" i="2" s="1"/>
  <c r="AK899" i="2" a="1"/>
  <c r="AK899" i="2" s="1"/>
  <c r="AK900" i="2" a="1"/>
  <c r="AK900" i="2" s="1"/>
  <c r="AK901" i="2" a="1"/>
  <c r="AK901" i="2" s="1"/>
  <c r="AK902" i="2" a="1"/>
  <c r="AK902" i="2" s="1"/>
  <c r="AK903" i="2" a="1"/>
  <c r="AK903" i="2" s="1"/>
  <c r="AK904" i="2" a="1"/>
  <c r="AK904" i="2" s="1"/>
  <c r="AK905" i="2" a="1"/>
  <c r="AK905" i="2" s="1"/>
  <c r="AK906" i="2" a="1"/>
  <c r="AK906" i="2" s="1"/>
  <c r="AK907" i="2" a="1"/>
  <c r="AK907" i="2" s="1"/>
  <c r="AK908" i="2" a="1"/>
  <c r="AK908" i="2"/>
  <c r="AK909" i="2" a="1"/>
  <c r="AK909" i="2"/>
  <c r="AK910" i="2" a="1"/>
  <c r="AK910" i="2" s="1"/>
  <c r="AK911" i="2" a="1"/>
  <c r="AK911" i="2" s="1"/>
  <c r="AK912" i="2" a="1"/>
  <c r="AK912" i="2" s="1"/>
  <c r="AK913" i="2" a="1"/>
  <c r="AK913" i="2"/>
  <c r="AK914" i="2" a="1"/>
  <c r="AK914" i="2"/>
  <c r="AK915" i="2" a="1"/>
  <c r="AK915" i="2"/>
  <c r="AK916" i="2" a="1"/>
  <c r="AK916" i="2" s="1"/>
  <c r="AK917" i="2" a="1"/>
  <c r="AK917" i="2" s="1"/>
  <c r="AK918" i="2" a="1"/>
  <c r="AK918" i="2" s="1"/>
  <c r="AK919" i="2" a="1"/>
  <c r="AK919" i="2" s="1"/>
  <c r="AK920" i="2" a="1"/>
  <c r="AK920" i="2" s="1"/>
  <c r="AK921" i="2" a="1"/>
  <c r="AK921" i="2"/>
  <c r="AK922" i="2" a="1"/>
  <c r="AK922" i="2" s="1"/>
  <c r="AK923" i="2" a="1"/>
  <c r="AK923" i="2" s="1"/>
  <c r="AK924" i="2" a="1"/>
  <c r="AK924" i="2" s="1"/>
  <c r="AK925" i="2" a="1"/>
  <c r="AK925" i="2" s="1"/>
  <c r="AK926" i="2" a="1"/>
  <c r="AK926" i="2"/>
  <c r="AK927" i="2" a="1"/>
  <c r="AK927" i="2" s="1"/>
  <c r="AK928" i="2" a="1"/>
  <c r="AK928" i="2" s="1"/>
  <c r="AK929" i="2" a="1"/>
  <c r="AK929" i="2" s="1"/>
  <c r="AK930" i="2" a="1"/>
  <c r="AK930" i="2"/>
  <c r="AK931" i="2" a="1"/>
  <c r="AK931" i="2"/>
  <c r="AK932" i="2" a="1"/>
  <c r="AK932" i="2" s="1"/>
  <c r="AK933" i="2" a="1"/>
  <c r="AK933" i="2" s="1"/>
  <c r="AK934" i="2" a="1"/>
  <c r="AK934" i="2" s="1"/>
  <c r="AK935" i="2" a="1"/>
  <c r="AK935" i="2" s="1"/>
  <c r="AK936" i="2" a="1"/>
  <c r="AK936" i="2" s="1"/>
  <c r="AK937" i="2" a="1"/>
  <c r="AK937" i="2"/>
  <c r="AK938" i="2" a="1"/>
  <c r="AK938" i="2"/>
  <c r="AK939" i="2" a="1"/>
  <c r="AK939" i="2" s="1"/>
  <c r="AK940" i="2" a="1"/>
  <c r="AK940" i="2" s="1"/>
  <c r="AK941" i="2" a="1"/>
  <c r="AK941" i="2" s="1"/>
  <c r="AK942" i="2" a="1"/>
  <c r="AK942" i="2" s="1"/>
  <c r="AK943" i="2" a="1"/>
  <c r="AK943" i="2" s="1"/>
  <c r="AK944" i="2" a="1"/>
  <c r="AK944" i="2" s="1"/>
  <c r="AK945" i="2" a="1"/>
  <c r="AK945" i="2"/>
  <c r="AK946" i="2" a="1"/>
  <c r="AK946" i="2" s="1"/>
  <c r="AK947" i="2" a="1"/>
  <c r="AK947" i="2" s="1"/>
  <c r="AK948" i="2" a="1"/>
  <c r="AK948" i="2" s="1"/>
  <c r="AK949" i="2" a="1"/>
  <c r="AK949" i="2" s="1"/>
  <c r="AK950" i="2" a="1"/>
  <c r="AK950" i="2" s="1"/>
  <c r="AK951" i="2" a="1"/>
  <c r="AK951" i="2" s="1"/>
  <c r="AK952" i="2" a="1"/>
  <c r="AK952" i="2" s="1"/>
  <c r="AK953" i="2" a="1"/>
  <c r="AK953" i="2" s="1"/>
  <c r="AK954" i="2" a="1"/>
  <c r="AK954" i="2"/>
  <c r="AK955" i="2" a="1"/>
  <c r="AK955" i="2" s="1"/>
  <c r="AK956" i="2" a="1"/>
  <c r="AK956" i="2"/>
  <c r="AK957" i="2" a="1"/>
  <c r="AK957" i="2" s="1"/>
  <c r="AK958" i="2" a="1"/>
  <c r="AK958" i="2" s="1"/>
  <c r="AK959" i="2" a="1"/>
  <c r="AK959" i="2" s="1"/>
  <c r="AK960" i="2" a="1"/>
  <c r="AK960" i="2" s="1"/>
  <c r="AK961" i="2" a="1"/>
  <c r="AK961" i="2"/>
  <c r="AK962" i="2" a="1"/>
  <c r="AK962" i="2"/>
  <c r="AK963" i="2" a="1"/>
  <c r="AK963" i="2" s="1"/>
  <c r="AK964" i="2" a="1"/>
  <c r="AK964" i="2" s="1"/>
  <c r="AK965" i="2" a="1"/>
  <c r="AK965" i="2"/>
  <c r="AK966" i="2" a="1"/>
  <c r="AK966" i="2" s="1"/>
  <c r="AK967" i="2" a="1"/>
  <c r="AK967" i="2" s="1"/>
  <c r="AK968" i="2" a="1"/>
  <c r="AK968" i="2" s="1"/>
  <c r="AK969" i="2" a="1"/>
  <c r="AK969" i="2" s="1"/>
  <c r="AK970" i="2" a="1"/>
  <c r="AK970" i="2" s="1"/>
  <c r="AK971" i="2" a="1"/>
  <c r="AK971" i="2" s="1"/>
  <c r="AK972" i="2" a="1"/>
  <c r="AK972" i="2" s="1"/>
  <c r="AK973" i="2" a="1"/>
  <c r="AK973" i="2" s="1"/>
  <c r="AK974" i="2" a="1"/>
  <c r="AK974" i="2" s="1"/>
  <c r="AK975" i="2" a="1"/>
  <c r="AK975" i="2" s="1"/>
  <c r="AK976" i="2" a="1"/>
  <c r="AK976" i="2" s="1"/>
  <c r="AK977" i="2" a="1"/>
  <c r="AK977" i="2" s="1"/>
  <c r="AK978" i="2" a="1"/>
  <c r="AK978" i="2" s="1"/>
  <c r="AK979" i="2" a="1"/>
  <c r="AK979" i="2" s="1"/>
  <c r="AK980" i="2" a="1"/>
  <c r="AK980" i="2"/>
  <c r="AK981" i="2" a="1"/>
  <c r="AK981" i="2"/>
  <c r="AK982" i="2" a="1"/>
  <c r="AK982" i="2" s="1"/>
  <c r="AK983" i="2" a="1"/>
  <c r="AK983" i="2" s="1"/>
  <c r="AK984" i="2" a="1"/>
  <c r="AK984" i="2" s="1"/>
  <c r="AK985" i="2" a="1"/>
  <c r="AK985" i="2"/>
  <c r="AK986" i="2" a="1"/>
  <c r="AK986" i="2"/>
  <c r="AK987" i="2" a="1"/>
  <c r="AK987" i="2"/>
  <c r="AK988" i="2" a="1"/>
  <c r="AK988" i="2" s="1"/>
  <c r="AK989" i="2" a="1"/>
  <c r="AK989" i="2" s="1"/>
  <c r="AK990" i="2" a="1"/>
  <c r="AK990" i="2" s="1"/>
  <c r="AK991" i="2" a="1"/>
  <c r="AK991" i="2" s="1"/>
  <c r="AK992" i="2" a="1"/>
  <c r="AK992" i="2" s="1"/>
  <c r="AK993" i="2" a="1"/>
  <c r="AK993" i="2"/>
  <c r="AK994" i="2" a="1"/>
  <c r="AK994" i="2" s="1"/>
  <c r="AK995" i="2" a="1"/>
  <c r="AK995" i="2" s="1"/>
  <c r="AK996" i="2" a="1"/>
  <c r="AK996" i="2" s="1"/>
  <c r="AK997" i="2" a="1"/>
  <c r="AK997" i="2" s="1"/>
  <c r="AK998" i="2" a="1"/>
  <c r="AK998" i="2"/>
  <c r="AK999" i="2" a="1"/>
  <c r="AK999" i="2" s="1"/>
  <c r="AK1000" i="2" a="1"/>
  <c r="AK1000" i="2" s="1"/>
  <c r="AK1001" i="2" a="1"/>
  <c r="AK1001" i="2" s="1"/>
  <c r="AK1002" i="2" a="1"/>
  <c r="AK1002" i="2"/>
  <c r="AK1003" i="2" a="1"/>
  <c r="AK1003" i="2"/>
  <c r="AK1004" i="2" a="1"/>
  <c r="AK1004" i="2" s="1"/>
  <c r="AK1005" i="2" a="1"/>
  <c r="AK1005" i="2" s="1"/>
  <c r="AK1006" i="2" a="1"/>
  <c r="AK1006" i="2" s="1"/>
  <c r="AK1007" i="2" a="1"/>
  <c r="AK1007" i="2" s="1"/>
  <c r="AK1008" i="2" a="1"/>
  <c r="AK1008" i="2" s="1"/>
  <c r="AK1009" i="2" a="1"/>
  <c r="AK1009" i="2"/>
  <c r="AK1010" i="2" a="1"/>
  <c r="AK1010" i="2"/>
  <c r="AK1011" i="2" a="1"/>
  <c r="AK1011" i="2" s="1"/>
  <c r="AK1012" i="2" a="1"/>
  <c r="AK1012" i="2" s="1"/>
  <c r="AK1013" i="2" a="1"/>
  <c r="AK1013" i="2" s="1"/>
  <c r="AK1014" i="2" a="1"/>
  <c r="AK1014" i="2" s="1"/>
  <c r="AK1015" i="2" a="1"/>
  <c r="AK1015" i="2" s="1"/>
  <c r="AK1016" i="2" a="1"/>
  <c r="AK1016" i="2" s="1"/>
  <c r="AK1017" i="2" a="1"/>
  <c r="AK1017" i="2"/>
  <c r="AK1018" i="2" a="1"/>
  <c r="AK1018" i="2" s="1"/>
  <c r="AK1019" i="2" a="1"/>
  <c r="AK1019" i="2" s="1"/>
  <c r="AK1020" i="2" a="1"/>
  <c r="AK1020" i="2" s="1"/>
  <c r="AK1021" i="2" a="1"/>
  <c r="AK1021" i="2" s="1"/>
  <c r="AK1022" i="2" a="1"/>
  <c r="AK1022" i="2"/>
  <c r="AK1023" i="2" a="1"/>
  <c r="AK1023" i="2" s="1"/>
  <c r="AK1024" i="2" a="1"/>
  <c r="AK1024" i="2" s="1"/>
  <c r="AK1025" i="2" a="1"/>
  <c r="AK1025" i="2"/>
  <c r="AK1026" i="2" a="1"/>
  <c r="AK1026" i="2"/>
  <c r="AK1027" i="2" a="1"/>
  <c r="AK1027" i="2"/>
  <c r="AK1028" i="2" a="1"/>
  <c r="AK1028" i="2" s="1"/>
  <c r="AK1029" i="2" a="1"/>
  <c r="AK1029" i="2" s="1"/>
  <c r="AK1030" i="2" a="1"/>
  <c r="AK1030" i="2" s="1"/>
  <c r="AK1031" i="2" a="1"/>
  <c r="AK1031" i="2" s="1"/>
  <c r="AK1032" i="2" a="1"/>
  <c r="AK1032" i="2" s="1"/>
  <c r="AK1033" i="2" a="1"/>
  <c r="AK1033" i="2" s="1"/>
  <c r="AK1034" i="2" a="1"/>
  <c r="AK1034" i="2"/>
  <c r="AK1035" i="2" a="1"/>
  <c r="AK1035" i="2"/>
  <c r="AK1036" i="2" a="1"/>
  <c r="AK1036" i="2" s="1"/>
  <c r="AK1037" i="2" a="1"/>
  <c r="AK1037" i="2" s="1"/>
  <c r="AK1038" i="2" a="1"/>
  <c r="AK1038" i="2" s="1"/>
  <c r="AK1039" i="2" a="1"/>
  <c r="AK1039" i="2" s="1"/>
  <c r="AK1040" i="2" a="1"/>
  <c r="AK1040" i="2" s="1"/>
  <c r="AK1041" i="2" a="1"/>
  <c r="AK1041" i="2"/>
  <c r="AK1042" i="2" a="1"/>
  <c r="AK1042" i="2" s="1"/>
  <c r="AK1043" i="2" a="1"/>
  <c r="AK1043" i="2" s="1"/>
  <c r="AK1044" i="2" a="1"/>
  <c r="AK1044" i="2" s="1"/>
  <c r="AK1045" i="2" a="1"/>
  <c r="AK1045" i="2" s="1"/>
  <c r="AK1046" i="2" a="1"/>
  <c r="AK1046" i="2" s="1"/>
  <c r="AK1047" i="2" a="1"/>
  <c r="AK1047" i="2" s="1"/>
  <c r="AK1048" i="2" a="1"/>
  <c r="AK1048" i="2" s="1"/>
  <c r="AK1049" i="2" a="1"/>
  <c r="AK1049" i="2" s="1"/>
  <c r="AK1050" i="2" a="1"/>
  <c r="AK1050" i="2"/>
  <c r="AK1051" i="2" a="1"/>
  <c r="AK1051" i="2" s="1"/>
  <c r="AK1052" i="2" a="1"/>
  <c r="AK1052" i="2"/>
  <c r="AK1053" i="2" a="1"/>
  <c r="AK1053" i="2" s="1"/>
  <c r="AK1054" i="2" a="1"/>
  <c r="AK1054" i="2" s="1"/>
  <c r="AK1055" i="2" a="1"/>
  <c r="AK1055" i="2"/>
  <c r="AK1056" i="2" a="1"/>
  <c r="AK1056" i="2" s="1"/>
  <c r="AK1057" i="2" a="1"/>
  <c r="AK1057" i="2" s="1"/>
  <c r="AK1058" i="2" a="1"/>
  <c r="AK1058" i="2" s="1"/>
  <c r="AK1059" i="2" a="1"/>
  <c r="AK1059" i="2"/>
  <c r="AK1060" i="2" a="1"/>
  <c r="AK1060" i="2" s="1"/>
  <c r="AK1061" i="2" a="1"/>
  <c r="AK1061" i="2" s="1"/>
  <c r="AK1062" i="2" a="1"/>
  <c r="AK1062" i="2" s="1"/>
  <c r="AK1063" i="2" a="1"/>
  <c r="AK1063" i="2" s="1"/>
  <c r="AK1064" i="2" a="1"/>
  <c r="AK1064" i="2" s="1"/>
  <c r="AK1065" i="2" a="1"/>
  <c r="AK1065" i="2" s="1"/>
  <c r="AK1066" i="2" a="1"/>
  <c r="AK1066" i="2" s="1"/>
  <c r="AK1067" i="2" a="1"/>
  <c r="AK1067" i="2" s="1"/>
  <c r="AK1068" i="2" a="1"/>
  <c r="AK1068" i="2" s="1"/>
  <c r="AK1069" i="2" a="1"/>
  <c r="AK1069" i="2" s="1"/>
  <c r="AK1070" i="2" a="1"/>
  <c r="AK1070" i="2" s="1"/>
  <c r="AK1071" i="2" a="1"/>
  <c r="AK1071" i="2"/>
  <c r="AK1072" i="2" a="1"/>
  <c r="AK1072" i="2" s="1"/>
  <c r="AK1073" i="2" a="1"/>
  <c r="AK1073" i="2" s="1"/>
  <c r="AK1074" i="2" a="1"/>
  <c r="AK1074" i="2"/>
  <c r="AK1075" i="2" a="1"/>
  <c r="AK1075" i="2" s="1"/>
  <c r="AK1076" i="2" a="1"/>
  <c r="AK1076" i="2" s="1"/>
  <c r="AK1077" i="2" a="1"/>
  <c r="AK1077" i="2"/>
  <c r="AK1078" i="2" a="1"/>
  <c r="AK1078" i="2" s="1"/>
  <c r="AK1079" i="2" a="1"/>
  <c r="AK1079" i="2"/>
  <c r="AK1080" i="2" a="1"/>
  <c r="AK1080" i="2" s="1"/>
  <c r="AK1081" i="2" a="1"/>
  <c r="AK1081" i="2" s="1"/>
  <c r="AK1082" i="2" a="1"/>
  <c r="AK1082" i="2" s="1"/>
  <c r="AK1083" i="2" a="1"/>
  <c r="AK1083" i="2" s="1"/>
  <c r="AK1084" i="2" a="1"/>
  <c r="AK1084" i="2" s="1"/>
  <c r="AK1085" i="2" a="1"/>
  <c r="AK1085" i="2" s="1"/>
  <c r="AK1086" i="2" a="1"/>
  <c r="AK1086" i="2" s="1"/>
  <c r="AK1087" i="2" a="1"/>
  <c r="AK1087" i="2" s="1"/>
  <c r="AK1088" i="2" a="1"/>
  <c r="AK1088" i="2" s="1"/>
  <c r="AK1089" i="2" a="1"/>
  <c r="AK1089" i="2"/>
  <c r="AK1090" i="2" a="1"/>
  <c r="AK1090" i="2" s="1"/>
  <c r="AK1091" i="2" a="1"/>
  <c r="AK1091" i="2" s="1"/>
  <c r="AK1092" i="2" a="1"/>
  <c r="AK1092" i="2" s="1"/>
  <c r="AK1093" i="2" a="1"/>
  <c r="AK1093" i="2" s="1"/>
  <c r="AK1094" i="2" a="1"/>
  <c r="AK1094" i="2" s="1"/>
  <c r="AK1095" i="2" a="1"/>
  <c r="AK1095" i="2"/>
  <c r="AK1096" i="2" a="1"/>
  <c r="AK1096" i="2" s="1"/>
  <c r="AK1097" i="2" a="1"/>
  <c r="AK1097" i="2" s="1"/>
  <c r="AK1098" i="2" a="1"/>
  <c r="AK1098" i="2"/>
  <c r="AK1099" i="2" a="1"/>
  <c r="AK1099" i="2" s="1"/>
  <c r="AK1100" i="2" a="1"/>
  <c r="AK1100" i="2" s="1"/>
  <c r="AK1101" i="2" a="1"/>
  <c r="AK1101" i="2" s="1"/>
  <c r="AK1102" i="2" a="1"/>
  <c r="AK1102" i="2" s="1"/>
  <c r="AK1103" i="2" a="1"/>
  <c r="AK1103" i="2" s="1"/>
  <c r="AK1104" i="2" a="1"/>
  <c r="AK1104" i="2" s="1"/>
  <c r="AK1105" i="2" a="1"/>
  <c r="AK1105" i="2" s="1"/>
  <c r="AK1106" i="2" a="1"/>
  <c r="AK1106" i="2" s="1"/>
  <c r="AK1107" i="2" a="1"/>
  <c r="AK1107" i="2"/>
  <c r="AK1108" i="2" a="1"/>
  <c r="AK1108" i="2" s="1"/>
  <c r="AK1109" i="2" a="1"/>
  <c r="AK1109" i="2" s="1"/>
  <c r="AK1110" i="2" a="1"/>
  <c r="AK1110" i="2" s="1"/>
  <c r="AK1111" i="2" a="1"/>
  <c r="AK1111" i="2" s="1"/>
  <c r="AK1112" i="2" a="1"/>
  <c r="AK1112" i="2" s="1"/>
  <c r="AK1113" i="2" a="1"/>
  <c r="AK1113" i="2" s="1"/>
  <c r="AK1114" i="2" a="1"/>
  <c r="AK1114" i="2" s="1"/>
  <c r="AK1115" i="2" a="1"/>
  <c r="AK1115" i="2" s="1"/>
  <c r="AK1116" i="2" a="1"/>
  <c r="AK1116" i="2" s="1"/>
  <c r="AK1117" i="2" a="1"/>
  <c r="AK1117" i="2" s="1"/>
  <c r="AK1118" i="2" a="1"/>
  <c r="AK1118" i="2" s="1"/>
  <c r="AK1119" i="2" a="1"/>
  <c r="AK1119" i="2"/>
  <c r="AK1120" i="2" a="1"/>
  <c r="AK1120" i="2" s="1"/>
  <c r="AK1121" i="2" a="1"/>
  <c r="AK1121" i="2"/>
  <c r="AK1122" i="2" a="1"/>
  <c r="AK1122" i="2" s="1"/>
  <c r="AK1123" i="2" a="1"/>
  <c r="AK1123" i="2" s="1"/>
  <c r="AK1124" i="2" a="1"/>
  <c r="AK1124" i="2" s="1"/>
  <c r="AK1125" i="2" a="1"/>
  <c r="AK1125" i="2" s="1"/>
  <c r="AK1126" i="2" a="1"/>
  <c r="AK1126" i="2"/>
  <c r="AK1127" i="2" a="1"/>
  <c r="AK1127" i="2" s="1"/>
  <c r="AK1128" i="2" a="1"/>
  <c r="AK1128" i="2" s="1"/>
  <c r="AK1129" i="2" a="1"/>
  <c r="AK1129" i="2" s="1"/>
  <c r="AK1130" i="2" a="1"/>
  <c r="AK1130" i="2" s="1"/>
  <c r="AK1131" i="2" a="1"/>
  <c r="AK1131" i="2"/>
  <c r="AK1132" i="2" a="1"/>
  <c r="AK1132" i="2"/>
  <c r="AK1133" i="2" a="1"/>
  <c r="AK1133" i="2" s="1"/>
  <c r="AK1134" i="2" a="1"/>
  <c r="AK1134" i="2"/>
  <c r="AK1135" i="2" a="1"/>
  <c r="AK1135" i="2" s="1"/>
  <c r="AK1136" i="2" a="1"/>
  <c r="AK1136" i="2" s="1"/>
  <c r="AK1137" i="2" a="1"/>
  <c r="AK1137" i="2"/>
  <c r="AK1138" i="2" a="1"/>
  <c r="AK1138" i="2" s="1"/>
  <c r="AK1139" i="2" a="1"/>
  <c r="AK1139" i="2" s="1"/>
  <c r="AK1140" i="2" a="1"/>
  <c r="AK1140" i="2" s="1"/>
  <c r="AK1141" i="2" a="1"/>
  <c r="AK1141" i="2"/>
  <c r="AK1142" i="2" a="1"/>
  <c r="AK1142" i="2" s="1"/>
  <c r="AK1143" i="2" a="1"/>
  <c r="AK1143" i="2"/>
  <c r="AK1144" i="2" a="1"/>
  <c r="AK1144" i="2" s="1"/>
  <c r="AK1145" i="2" a="1"/>
  <c r="AK1145" i="2"/>
  <c r="AK1146" i="2" a="1"/>
  <c r="AK1146" i="2" s="1"/>
  <c r="AK1147" i="2" a="1"/>
  <c r="AK1147" i="2" s="1"/>
  <c r="AK1148" i="2" a="1"/>
  <c r="AK1148" i="2" s="1"/>
  <c r="AK1149" i="2" a="1"/>
  <c r="AK1149" i="2" s="1"/>
  <c r="AK1150" i="2" a="1"/>
  <c r="AK1150" i="2"/>
  <c r="AK1151" i="2" a="1"/>
  <c r="AK1151" i="2" s="1"/>
  <c r="AK1152" i="2" a="1"/>
  <c r="AK1152" i="2" s="1"/>
  <c r="AK1153" i="2" a="1"/>
  <c r="AK1153" i="2" s="1"/>
  <c r="AK1154" i="2" a="1"/>
  <c r="AK1154" i="2" s="1"/>
  <c r="AK1155" i="2" a="1"/>
  <c r="AK1155" i="2" s="1"/>
  <c r="AK1156" i="2" a="1"/>
  <c r="AK1156" i="2" s="1"/>
  <c r="AK1157" i="2" a="1"/>
  <c r="AK1157" i="2"/>
  <c r="AK1158" i="2" a="1"/>
  <c r="AK1158" i="2"/>
  <c r="AK1159" i="2" a="1"/>
  <c r="AK1159" i="2" s="1"/>
  <c r="AK1160" i="2" a="1"/>
  <c r="AK1160" i="2" s="1"/>
  <c r="AK1161" i="2" a="1"/>
  <c r="AK1161" i="2" s="1"/>
  <c r="AK1162" i="2" a="1"/>
  <c r="AK1162" i="2" s="1"/>
  <c r="AK1163" i="2" a="1"/>
  <c r="AK1163" i="2"/>
  <c r="AK1164" i="2" a="1"/>
  <c r="AK1164" i="2" s="1"/>
  <c r="AK1165" i="2" a="1"/>
  <c r="AK1165" i="2" s="1"/>
  <c r="AK1166" i="2" a="1"/>
  <c r="AK1166" i="2" s="1"/>
  <c r="AK1167" i="2" a="1"/>
  <c r="AK1167" i="2"/>
  <c r="AK1168" i="2" a="1"/>
  <c r="AK1168" i="2" s="1"/>
  <c r="AK1169" i="2" a="1"/>
  <c r="AK1169" i="2" s="1"/>
  <c r="AK1170" i="2" a="1"/>
  <c r="AK1170" i="2" s="1"/>
  <c r="AK1171" i="2" a="1"/>
  <c r="AK1171" i="2" s="1"/>
  <c r="AK1172" i="2" a="1"/>
  <c r="AK1172" i="2" s="1"/>
  <c r="AK1173" i="2" a="1"/>
  <c r="AK1173" i="2" s="1"/>
  <c r="AK1174" i="2" a="1"/>
  <c r="AK1174" i="2"/>
  <c r="AK1175" i="2" a="1"/>
  <c r="AK1175" i="2" s="1"/>
  <c r="AK1176" i="2" a="1"/>
  <c r="AK1176" i="2" s="1"/>
  <c r="AK1177" i="2" a="1"/>
  <c r="AK1177" i="2" s="1"/>
  <c r="AK1178" i="2" a="1"/>
  <c r="AK1178" i="2" s="1"/>
  <c r="AK1179" i="2" a="1"/>
  <c r="AK1179" i="2" s="1"/>
  <c r="AK1180" i="2" a="1"/>
  <c r="AK1180" i="2"/>
  <c r="AK1181" i="2" a="1"/>
  <c r="AK1181" i="2" s="1"/>
  <c r="AK1182" i="2" a="1"/>
  <c r="AK1182" i="2"/>
  <c r="AK1183" i="2" a="1"/>
  <c r="AK1183" i="2" s="1"/>
  <c r="AK1184" i="2" a="1"/>
  <c r="AK1184" i="2" s="1"/>
  <c r="AK1185" i="2" a="1"/>
  <c r="AK1185" i="2" s="1"/>
  <c r="AK1186" i="2" a="1"/>
  <c r="AK1186" i="2" s="1"/>
  <c r="AK1187" i="2" a="1"/>
  <c r="AK1187" i="2"/>
  <c r="AK1188" i="2" a="1"/>
  <c r="AK1188" i="2" s="1"/>
  <c r="AK1189" i="2" a="1"/>
  <c r="AK1189" i="2" s="1"/>
  <c r="AK1190" i="2" a="1"/>
  <c r="AK1190" i="2" s="1"/>
  <c r="AK1191" i="2" a="1"/>
  <c r="AK1191" i="2"/>
  <c r="AK1192" i="2" a="1"/>
  <c r="AK1192" i="2" s="1"/>
  <c r="AK1193" i="2" a="1"/>
  <c r="AK1193" i="2"/>
  <c r="AK1194" i="2" a="1"/>
  <c r="AK1194" i="2" s="1"/>
  <c r="AK1195" i="2" a="1"/>
  <c r="AK1195" i="2" s="1"/>
  <c r="AK1196" i="2" a="1"/>
  <c r="AK1196" i="2" s="1"/>
  <c r="AK1197" i="2" a="1"/>
  <c r="AK1197" i="2" s="1"/>
  <c r="AK1198" i="2" a="1"/>
  <c r="AK1198" i="2" s="1"/>
  <c r="AK1199" i="2" a="1"/>
  <c r="AK1199" i="2" s="1"/>
  <c r="AK1200" i="2" a="1"/>
  <c r="AK1200" i="2"/>
  <c r="AK1201" i="2" a="1"/>
  <c r="AK1201" i="2" s="1"/>
  <c r="AK1202" i="2" a="1"/>
  <c r="AK1202" i="2" s="1"/>
  <c r="AK1203" i="2" a="1"/>
  <c r="AK1203" i="2" s="1"/>
  <c r="AK1204" i="2" a="1"/>
  <c r="AK1204" i="2" s="1"/>
  <c r="AK1205" i="2" a="1"/>
  <c r="AK1205" i="2" s="1"/>
  <c r="AK1206" i="2" a="1"/>
  <c r="AK1206" i="2" s="1"/>
  <c r="AK1207" i="2" a="1"/>
  <c r="AK1207" i="2" s="1"/>
  <c r="AK1208" i="2" a="1"/>
  <c r="AK1208" i="2" s="1"/>
  <c r="AK1209" i="2" a="1"/>
  <c r="AK1209" i="2"/>
  <c r="AK1210" i="2" a="1"/>
  <c r="AK1210" i="2" s="1"/>
  <c r="AK1211" i="2" a="1"/>
  <c r="AK1211" i="2" s="1"/>
  <c r="AK1212" i="2" a="1"/>
  <c r="AK1212" i="2" s="1"/>
  <c r="AK1213" i="2" a="1"/>
  <c r="AK1213" i="2" s="1"/>
  <c r="AK1214" i="2" a="1"/>
  <c r="AK1214" i="2" s="1"/>
  <c r="AK1215" i="2" a="1"/>
  <c r="AK1215" i="2"/>
  <c r="AK1216" i="2" a="1"/>
  <c r="AK1216" i="2"/>
  <c r="AK1217" i="2" a="1"/>
  <c r="AK1217" i="2"/>
  <c r="AK1218" i="2" a="1"/>
  <c r="AK1218" i="2"/>
  <c r="AK1219" i="2" a="1"/>
  <c r="AK1219" i="2" s="1"/>
  <c r="AK1220" i="2" a="1"/>
  <c r="AK1220" i="2" s="1"/>
  <c r="AK1221" i="2" a="1"/>
  <c r="AK1221" i="2" s="1"/>
  <c r="AK1222" i="2" a="1"/>
  <c r="AK1222" i="2"/>
  <c r="AK1223" i="2" a="1"/>
  <c r="AK1223" i="2" s="1"/>
  <c r="AK1224" i="2" a="1"/>
  <c r="AK1224" i="2" s="1"/>
  <c r="AK1225" i="2" a="1"/>
  <c r="AK1225" i="2" s="1"/>
  <c r="AK1226" i="2" a="1"/>
  <c r="AK1226" i="2" s="1"/>
  <c r="AK1227" i="2" a="1"/>
  <c r="AK1227" i="2"/>
  <c r="AK1228" i="2" a="1"/>
  <c r="AK1228" i="2" s="1"/>
  <c r="AK1229" i="2" a="1"/>
  <c r="AK1229" i="2" s="1"/>
  <c r="AK1230" i="2" a="1"/>
  <c r="AK1230" i="2" s="1"/>
  <c r="AK1231" i="2" a="1"/>
  <c r="AK1231" i="2" s="1"/>
  <c r="AK1232" i="2" a="1"/>
  <c r="AK1232" i="2" s="1"/>
  <c r="AK1233" i="2" a="1"/>
  <c r="AK1233" i="2" s="1"/>
  <c r="AK1234" i="2" a="1"/>
  <c r="AK1234" i="2" s="1"/>
  <c r="AK1235" i="2" a="1"/>
  <c r="AK1235" i="2" s="1"/>
  <c r="AK1236" i="2" a="1"/>
  <c r="AK1236" i="2" s="1"/>
  <c r="AK1237" i="2" a="1"/>
  <c r="AK1237" i="2" s="1"/>
  <c r="AK1238" i="2" a="1"/>
  <c r="AK1238" i="2" s="1"/>
  <c r="AK1239" i="2" a="1"/>
  <c r="AK1239" i="2" s="1"/>
  <c r="AK1240" i="2" a="1"/>
  <c r="AK1240" i="2" s="1"/>
  <c r="AK1241" i="2" a="1"/>
  <c r="AK1241" i="2"/>
  <c r="AK1242" i="2" a="1"/>
  <c r="AK1242" i="2" s="1"/>
  <c r="AK1243" i="2" a="1"/>
  <c r="AK1243" i="2"/>
  <c r="AK1244" i="2" a="1"/>
  <c r="AK1244" i="2" s="1"/>
  <c r="AK1245" i="2" a="1"/>
  <c r="AK1245" i="2" s="1"/>
  <c r="AK1246" i="2" a="1"/>
  <c r="AK1246" i="2" s="1"/>
  <c r="AK1247" i="2" a="1"/>
  <c r="AK1247" i="2" s="1"/>
  <c r="AK1248" i="2" a="1"/>
  <c r="AK1248" i="2" s="1"/>
  <c r="AK1249" i="2" a="1"/>
  <c r="AK1249" i="2" s="1"/>
  <c r="AK1250" i="2" a="1"/>
  <c r="AK1250" i="2" s="1"/>
  <c r="AK1251" i="2" a="1"/>
  <c r="AK1251" i="2" s="1"/>
  <c r="AK1252" i="2" a="1"/>
  <c r="AK1252" i="2"/>
  <c r="AK1253" i="2" a="1"/>
  <c r="AK1253" i="2"/>
  <c r="AK1254" i="2" a="1"/>
  <c r="AK1254" i="2" s="1"/>
  <c r="AK1255" i="2" a="1"/>
  <c r="AK1255" i="2" s="1"/>
  <c r="AK1256" i="2" a="1"/>
  <c r="AK1256" i="2" s="1"/>
  <c r="AK1257" i="2" a="1"/>
  <c r="AK1257" i="2" s="1"/>
  <c r="AK1258" i="2" a="1"/>
  <c r="AK1258" i="2" s="1"/>
  <c r="AK1259" i="2" a="1"/>
  <c r="AK1259" i="2"/>
  <c r="AK1260" i="2" a="1"/>
  <c r="AK1260" i="2" s="1"/>
  <c r="AK1261" i="2" a="1"/>
  <c r="AK1261" i="2"/>
  <c r="AK1262" i="2" a="1"/>
  <c r="AK1262" i="2" s="1"/>
  <c r="AK1263" i="2" a="1"/>
  <c r="AK1263" i="2" s="1"/>
  <c r="AK1264" i="2" a="1"/>
  <c r="AK1264" i="2" s="1"/>
  <c r="AK1265" i="2" a="1"/>
  <c r="AK1265" i="2" s="1"/>
  <c r="AK1266" i="2" a="1"/>
  <c r="AK1266" i="2" s="1"/>
  <c r="AK1267" i="2" a="1"/>
  <c r="AK1267" i="2"/>
  <c r="AK1268" i="2" a="1"/>
  <c r="AK1268" i="2" s="1"/>
  <c r="AK1269" i="2" a="1"/>
  <c r="AK1269" i="2" s="1"/>
  <c r="AK1270" i="2" a="1"/>
  <c r="AK1270" i="2" s="1"/>
  <c r="AK1271" i="2" a="1"/>
  <c r="AK1271" i="2" s="1"/>
  <c r="AK1272" i="2" a="1"/>
  <c r="AK1272" i="2" s="1"/>
  <c r="AK1273" i="2" a="1"/>
  <c r="AK1273" i="2" s="1"/>
  <c r="AK1274" i="2" a="1"/>
  <c r="AK1274" i="2" s="1"/>
  <c r="AK1275" i="2" a="1"/>
  <c r="AK1275" i="2"/>
  <c r="AK1276" i="2" a="1"/>
  <c r="AK1276" i="2"/>
  <c r="AK1277" i="2" a="1"/>
  <c r="AK1277" i="2"/>
  <c r="AK1278" i="2" a="1"/>
  <c r="AK1278" i="2"/>
  <c r="AK1279" i="2" a="1"/>
  <c r="AK1279" i="2" s="1"/>
  <c r="AK1280" i="2" a="1"/>
  <c r="AK1280" i="2" s="1"/>
  <c r="AK1281" i="2" a="1"/>
  <c r="AK1281" i="2" s="1"/>
  <c r="AK1282" i="2" a="1"/>
  <c r="AK1282" i="2" s="1"/>
  <c r="AK1283" i="2" a="1"/>
  <c r="AK1283" i="2"/>
  <c r="AK1284" i="2" a="1"/>
  <c r="AK1284" i="2"/>
  <c r="AK1285" i="2" a="1"/>
  <c r="AK1285" i="2"/>
  <c r="AK1286" i="2" a="1"/>
  <c r="AK1286" i="2" s="1"/>
  <c r="AK1287" i="2" a="1"/>
  <c r="AK1287" i="2" s="1"/>
  <c r="AK1288" i="2" a="1"/>
  <c r="AK1288" i="2" s="1"/>
  <c r="AK1289" i="2" a="1"/>
  <c r="AK1289" i="2" s="1"/>
  <c r="AK1290" i="2" a="1"/>
  <c r="AK1290" i="2" s="1"/>
  <c r="AK1291" i="2" a="1"/>
  <c r="AK1291" i="2" s="1"/>
  <c r="AK1292" i="2" a="1"/>
  <c r="AK1292" i="2" s="1"/>
  <c r="AK1293" i="2" a="1"/>
  <c r="AK1293" i="2"/>
  <c r="AK1294" i="2" a="1"/>
  <c r="AK1294" i="2" s="1"/>
  <c r="AK1295" i="2" a="1"/>
  <c r="AK1295" i="2" s="1"/>
  <c r="AK1296" i="2" a="1"/>
  <c r="AK1296" i="2" s="1"/>
  <c r="AK1297" i="2" a="1"/>
  <c r="AK1297" i="2" s="1"/>
  <c r="AK1298" i="2" a="1"/>
  <c r="AK1298" i="2" s="1"/>
  <c r="AK1299" i="2" a="1"/>
  <c r="AK1299" i="2" s="1"/>
  <c r="AK1300" i="2" a="1"/>
  <c r="AK1300" i="2" s="1"/>
  <c r="AK1301" i="2" a="1"/>
  <c r="AK1301" i="2"/>
  <c r="AK1302" i="2" a="1"/>
  <c r="AK1302" i="2"/>
  <c r="AK1303" i="2" a="1"/>
  <c r="AK1303" i="2"/>
  <c r="AK1304" i="2" a="1"/>
  <c r="AK1304" i="2" s="1"/>
  <c r="AK1305" i="2" a="1"/>
  <c r="AK1305" i="2" s="1"/>
  <c r="AK1306" i="2" a="1"/>
  <c r="AK1306" i="2" s="1"/>
  <c r="AK1307" i="2" a="1"/>
  <c r="AK1307" i="2" s="1"/>
  <c r="AK1308" i="2" a="1"/>
  <c r="AK1308" i="2"/>
  <c r="AK1309" i="2" a="1"/>
  <c r="AK1309" i="2"/>
  <c r="AK1310" i="2" a="1"/>
  <c r="AK1310" i="2" s="1"/>
  <c r="AK1311" i="2" a="1"/>
  <c r="AK1311" i="2"/>
  <c r="AK1312" i="2" a="1"/>
  <c r="AK1312" i="2" s="1"/>
  <c r="AK1313" i="2" a="1"/>
  <c r="AK1313" i="2" s="1"/>
  <c r="AK1314" i="2" a="1"/>
  <c r="AK1314" i="2"/>
  <c r="AK1315" i="2" a="1"/>
  <c r="AK1315" i="2"/>
  <c r="AK1316" i="2" a="1"/>
  <c r="AK1316" i="2" s="1"/>
  <c r="AK1317" i="2" a="1"/>
  <c r="AK1317" i="2" s="1"/>
  <c r="AK1318" i="2" a="1"/>
  <c r="AK1318" i="2"/>
  <c r="AK1319" i="2" a="1"/>
  <c r="AK1319" i="2"/>
  <c r="AK1320" i="2" a="1"/>
  <c r="AK1320" i="2" s="1"/>
  <c r="AK1321" i="2" a="1"/>
  <c r="AK1321" i="2" s="1"/>
  <c r="AK1322" i="2" a="1"/>
  <c r="AK1322" i="2" s="1"/>
  <c r="AK1323" i="2" a="1"/>
  <c r="AK1323" i="2" s="1"/>
  <c r="AK1324" i="2" a="1"/>
  <c r="AK1324" i="2" s="1"/>
  <c r="AK1325" i="2" a="1"/>
  <c r="AK1325" i="2" s="1"/>
  <c r="AK1326" i="2" a="1"/>
  <c r="AK1326" i="2" s="1"/>
  <c r="AK1327" i="2" a="1"/>
  <c r="AK1327" i="2"/>
  <c r="AK1328" i="2" a="1"/>
  <c r="AK1328" i="2" s="1"/>
  <c r="AK1329" i="2" a="1"/>
  <c r="AK1329" i="2" s="1"/>
  <c r="AK1330" i="2" a="1"/>
  <c r="AK1330" i="2" s="1"/>
  <c r="AK1331" i="2" a="1"/>
  <c r="AK1331" i="2"/>
  <c r="AK1332" i="2" a="1"/>
  <c r="AK1332" i="2"/>
  <c r="AK1333" i="2" a="1"/>
  <c r="AK1333" i="2" s="1"/>
  <c r="AK1334" i="2" a="1"/>
  <c r="AK1334" i="2" s="1"/>
  <c r="AK1335" i="2" a="1"/>
  <c r="AK1335" i="2" s="1"/>
  <c r="AK1336" i="2" a="1"/>
  <c r="AK1336" i="2"/>
  <c r="AK1337" i="2" a="1"/>
  <c r="AK1337" i="2" s="1"/>
  <c r="AK1338" i="2" a="1"/>
  <c r="AK1338" i="2" s="1"/>
  <c r="AK1339" i="2" a="1"/>
  <c r="AK1339" i="2" s="1"/>
  <c r="AK1340" i="2" a="1"/>
  <c r="AK1340" i="2" s="1"/>
  <c r="AK1341" i="2" a="1"/>
  <c r="AK1341" i="2" s="1"/>
  <c r="AK1342" i="2" a="1"/>
  <c r="AK1342" i="2" s="1"/>
  <c r="AK1343" i="2" a="1"/>
  <c r="AK1343" i="2" s="1"/>
  <c r="AK1344" i="2" a="1"/>
  <c r="AK1344" i="2" s="1"/>
  <c r="AK1345" i="2" a="1"/>
  <c r="AK1345" i="2"/>
  <c r="AK1346" i="2" a="1"/>
  <c r="AK1346" i="2" s="1"/>
  <c r="AK1347" i="2" a="1"/>
  <c r="AK1347" i="2"/>
  <c r="AK1348" i="2" a="1"/>
  <c r="AK1348" i="2" s="1"/>
  <c r="AK1349" i="2" a="1"/>
  <c r="AK1349" i="2" s="1"/>
  <c r="AK1350" i="2" a="1"/>
  <c r="AK1350" i="2" s="1"/>
  <c r="AK1351" i="2" a="1"/>
  <c r="AK1351" i="2"/>
  <c r="AK1352" i="2" a="1"/>
  <c r="AK1352" i="2" s="1"/>
  <c r="AK1353" i="2" a="1"/>
  <c r="AK1353" i="2" s="1"/>
  <c r="AK1354" i="2" a="1"/>
  <c r="AK1354" i="2"/>
  <c r="AK1355" i="2" a="1"/>
  <c r="AK1355" i="2" s="1"/>
  <c r="AK1356" i="2" a="1"/>
  <c r="AK1356" i="2" s="1"/>
  <c r="AK1357" i="2" a="1"/>
  <c r="AK1357" i="2" s="1"/>
  <c r="AK1358" i="2" a="1"/>
  <c r="AK1358" i="2" s="1"/>
  <c r="AK1359" i="2" a="1"/>
  <c r="AK1359" i="2" s="1"/>
  <c r="AK1360" i="2" a="1"/>
  <c r="AK1360" i="2"/>
  <c r="AK1361" i="2" a="1"/>
  <c r="AK1361" i="2"/>
  <c r="AK1362" i="2" a="1"/>
  <c r="AK1362" i="2" s="1"/>
  <c r="AK1363" i="2" a="1"/>
  <c r="AK1363" i="2"/>
  <c r="AK1364" i="2" a="1"/>
  <c r="AK1364" i="2" s="1"/>
  <c r="AK1365" i="2" a="1"/>
  <c r="AK1365" i="2" s="1"/>
  <c r="AK1366" i="2" a="1"/>
  <c r="AK1366" i="2" s="1"/>
  <c r="AK1367" i="2" a="1"/>
  <c r="AK1367" i="2"/>
  <c r="AK1368" i="2" a="1"/>
  <c r="AK1368" i="2"/>
  <c r="AK1369" i="2" a="1"/>
  <c r="AK1369" i="2"/>
  <c r="AK1370" i="2" a="1"/>
  <c r="AK1370" i="2" s="1"/>
  <c r="AK1371" i="2" a="1"/>
  <c r="AK1371" i="2" s="1"/>
  <c r="AK1372" i="2" a="1"/>
  <c r="AK1372" i="2" s="1"/>
  <c r="AK1373" i="2" a="1"/>
  <c r="AK1373" i="2" s="1"/>
  <c r="AK1374" i="2" a="1"/>
  <c r="AK1374" i="2" s="1"/>
  <c r="AK1375" i="2" a="1"/>
  <c r="AK1375" i="2" s="1"/>
  <c r="AK1376" i="2" a="1"/>
  <c r="AK1376" i="2" s="1"/>
  <c r="AK1377" i="2" a="1"/>
  <c r="AK1377" i="2" s="1"/>
  <c r="AK1378" i="2" a="1"/>
  <c r="AK1378" i="2" s="1"/>
  <c r="AK1379" i="2" a="1"/>
  <c r="AK1379" i="2" s="1"/>
  <c r="AK1380" i="2" a="1"/>
  <c r="AK1380" i="2"/>
  <c r="AK1381" i="2" a="1"/>
  <c r="AK1381" i="2" s="1"/>
  <c r="AK1382" i="2" a="1"/>
  <c r="AK1382" i="2" s="1"/>
  <c r="AK1383" i="2" a="1"/>
  <c r="AK1383" i="2" s="1"/>
  <c r="AK1384" i="2" a="1"/>
  <c r="AK1384" i="2" s="1"/>
  <c r="AK1385" i="2" a="1"/>
  <c r="AK1385" i="2" s="1"/>
  <c r="AK1386" i="2" a="1"/>
  <c r="AK1386" i="2"/>
  <c r="AK1387" i="2" a="1"/>
  <c r="AK1387" i="2"/>
  <c r="AK1388" i="2" a="1"/>
  <c r="AK1388" i="2" s="1"/>
  <c r="AK1389" i="2" a="1"/>
  <c r="AK1389" i="2" s="1"/>
  <c r="AK1390" i="2" a="1"/>
  <c r="AK1390" i="2"/>
  <c r="AK1391" i="2" a="1"/>
  <c r="AK1391" i="2" s="1"/>
  <c r="AK1392" i="2" a="1"/>
  <c r="AK1392" i="2" s="1"/>
  <c r="AK1393" i="2" a="1"/>
  <c r="AK1393" i="2" s="1"/>
  <c r="AK1394" i="2" a="1"/>
  <c r="AK1394" i="2" s="1"/>
  <c r="AK1395" i="2" a="1"/>
  <c r="AK1395" i="2"/>
  <c r="AK1396" i="2" a="1"/>
  <c r="AK1396" i="2"/>
  <c r="AK1397" i="2" a="1"/>
  <c r="AK1397" i="2" s="1"/>
  <c r="AK1398" i="2" a="1"/>
  <c r="AK1398" i="2" s="1"/>
  <c r="AK1399" i="2" a="1"/>
  <c r="AK1399" i="2"/>
  <c r="AK1400" i="2" a="1"/>
  <c r="AK1400" i="2" s="1"/>
  <c r="AK1401" i="2" a="1"/>
  <c r="AK1401" i="2" s="1"/>
  <c r="AK1402" i="2" a="1"/>
  <c r="AK1402" i="2" s="1"/>
  <c r="AK1403" i="2" a="1"/>
  <c r="AK1403" i="2" s="1"/>
  <c r="AK1404" i="2" a="1"/>
  <c r="AK1404" i="2"/>
  <c r="AK1405" i="2" a="1"/>
  <c r="AK1405" i="2" s="1"/>
  <c r="AK1406" i="2" a="1"/>
  <c r="AK1406" i="2" s="1"/>
  <c r="AK1407" i="2" a="1"/>
  <c r="AK1407" i="2"/>
  <c r="AK1408" i="2" a="1"/>
  <c r="AK1408" i="2" s="1"/>
  <c r="AK1409" i="2" a="1"/>
  <c r="AK1409" i="2" s="1"/>
  <c r="AK1410" i="2" a="1"/>
  <c r="AK1410" i="2" s="1"/>
  <c r="AK1411" i="2" a="1"/>
  <c r="AK1411" i="2" s="1"/>
  <c r="AK1412" i="2" a="1"/>
  <c r="AK1412" i="2" s="1"/>
  <c r="AK1413" i="2" a="1"/>
  <c r="AK1413" i="2" s="1"/>
  <c r="AK1414" i="2" a="1"/>
  <c r="AK1414" i="2" s="1"/>
  <c r="AK1415" i="2" a="1"/>
  <c r="AK1415" i="2" s="1"/>
  <c r="AK1416" i="2" a="1"/>
  <c r="AK1416" i="2"/>
  <c r="AK1417" i="2" a="1"/>
  <c r="AK1417" i="2" s="1"/>
  <c r="AK1418" i="2" a="1"/>
  <c r="AK1418" i="2" s="1"/>
  <c r="AK1419" i="2" a="1"/>
  <c r="AK1419" i="2" s="1"/>
  <c r="AK1420" i="2" a="1"/>
  <c r="AK1420" i="2" s="1"/>
  <c r="AK1421" i="2" a="1"/>
  <c r="AK1421" i="2" s="1"/>
  <c r="AK1422" i="2" a="1"/>
  <c r="AK1422" i="2" s="1"/>
  <c r="AK1423" i="2" a="1"/>
  <c r="AK1423" i="2" s="1"/>
  <c r="AK1424" i="2" a="1"/>
  <c r="AK1424" i="2" s="1"/>
  <c r="AK1425" i="2" a="1"/>
  <c r="AK1425" i="2" s="1"/>
  <c r="AK1426" i="2" a="1"/>
  <c r="AK1426" i="2" s="1"/>
  <c r="AK1427" i="2" a="1"/>
  <c r="AK1427" i="2" s="1"/>
  <c r="AK1428" i="2" a="1"/>
  <c r="AK1428" i="2" s="1"/>
  <c r="AK1429" i="2" a="1"/>
  <c r="AK1429" i="2" s="1"/>
  <c r="AK1430" i="2" a="1"/>
  <c r="AK1430" i="2" s="1"/>
  <c r="AK1431" i="2" a="1"/>
  <c r="AK1431" i="2" s="1"/>
  <c r="AK1432" i="2" a="1"/>
  <c r="AK1432" i="2"/>
  <c r="AK1433" i="2" a="1"/>
  <c r="AK1433" i="2" s="1"/>
  <c r="AK1434" i="2" a="1"/>
  <c r="AK1434" i="2"/>
  <c r="AK1435" i="2" a="1"/>
  <c r="AK1435" i="2" s="1"/>
  <c r="AK1436" i="2" a="1"/>
  <c r="AK1436" i="2" s="1"/>
  <c r="AK1437" i="2" a="1"/>
  <c r="AK1437" i="2"/>
  <c r="AK1438" i="2" a="1"/>
  <c r="AK1438" i="2" s="1"/>
  <c r="AK1439" i="2" a="1"/>
  <c r="AK1439" i="2" s="1"/>
  <c r="AK1440" i="2" a="1"/>
  <c r="AK1440" i="2" s="1"/>
  <c r="AK1441" i="2" a="1"/>
  <c r="AK1441" i="2"/>
  <c r="AK1442" i="2" a="1"/>
  <c r="AK1442" i="2" s="1"/>
  <c r="AK1443" i="2" a="1"/>
  <c r="AK1443" i="2" s="1"/>
  <c r="AK1444" i="2" a="1"/>
  <c r="AK1444" i="2" s="1"/>
  <c r="AK1445" i="2" a="1"/>
  <c r="AK1445" i="2" s="1"/>
  <c r="AK1446" i="2" a="1"/>
  <c r="AK1446" i="2" s="1"/>
  <c r="AK1447" i="2" a="1"/>
  <c r="AK1447" i="2" s="1"/>
  <c r="AK1448" i="2" a="1"/>
  <c r="AK1448" i="2" s="1"/>
  <c r="AK1449" i="2" a="1"/>
  <c r="AK1449" i="2"/>
  <c r="AK1450" i="2" a="1"/>
  <c r="AK1450" i="2" s="1"/>
  <c r="AK1451" i="2" a="1"/>
  <c r="AK1451" i="2" s="1"/>
  <c r="AK1452" i="2" a="1"/>
  <c r="AK1452" i="2"/>
  <c r="AK1453" i="2" a="1"/>
  <c r="AK1453" i="2" s="1"/>
  <c r="AK1454" i="2" a="1"/>
  <c r="AK1454" i="2" s="1"/>
  <c r="AK1455" i="2" a="1"/>
  <c r="AK1455" i="2" s="1"/>
  <c r="AK1456" i="2" a="1"/>
  <c r="AK1456" i="2" s="1"/>
  <c r="AK1457" i="2" a="1"/>
  <c r="AK1457" i="2" s="1"/>
  <c r="AK1458" i="2" a="1"/>
  <c r="AK1458" i="2" s="1"/>
  <c r="AK1459" i="2" a="1"/>
  <c r="AK1459" i="2"/>
  <c r="AK1460" i="2" a="1"/>
  <c r="AK1460" i="2" s="1"/>
  <c r="AK1461" i="2" a="1"/>
  <c r="AK1461" i="2" s="1"/>
  <c r="AK1462" i="2" a="1"/>
  <c r="AK1462" i="2" s="1"/>
  <c r="AK1463" i="2" a="1"/>
  <c r="AK1463" i="2" s="1"/>
  <c r="AK1464" i="2" a="1"/>
  <c r="AK1464" i="2" s="1"/>
  <c r="AK1465" i="2" a="1"/>
  <c r="AK1465" i="2" s="1"/>
  <c r="AK1466" i="2" a="1"/>
  <c r="AK1466" i="2" s="1"/>
  <c r="AK1467" i="2" a="1"/>
  <c r="AK1467" i="2"/>
  <c r="AK1468" i="2" a="1"/>
  <c r="AK1468" i="2" s="1"/>
  <c r="AK1469" i="2" a="1"/>
  <c r="AK1469" i="2" s="1"/>
  <c r="AK1470" i="2" a="1"/>
  <c r="AK1470" i="2" s="1"/>
  <c r="AK1471" i="2" a="1"/>
  <c r="AK1471" i="2" s="1"/>
  <c r="AL2" i="2" a="1"/>
  <c r="AL2" i="2" s="1"/>
  <c r="AL3" i="2" a="1"/>
  <c r="AL3" i="2" s="1"/>
  <c r="AL4" i="2" a="1"/>
  <c r="AL4" i="2" s="1"/>
  <c r="AL5" i="2" a="1"/>
  <c r="AL5" i="2"/>
  <c r="AL6" i="2" a="1"/>
  <c r="AL6" i="2" s="1"/>
  <c r="AL7" i="2" a="1"/>
  <c r="AL7" i="2" s="1"/>
  <c r="AL8" i="2" a="1"/>
  <c r="AL8" i="2" s="1"/>
  <c r="AL9" i="2" a="1"/>
  <c r="AL9" i="2" s="1"/>
  <c r="AL10" i="2" a="1"/>
  <c r="AL10" i="2" s="1"/>
  <c r="AL11" i="2" a="1"/>
  <c r="AL11" i="2" s="1"/>
  <c r="AL12" i="2" a="1"/>
  <c r="AL12" i="2" s="1"/>
  <c r="AL13" i="2" a="1"/>
  <c r="AL13" i="2" s="1"/>
  <c r="AL14" i="2" a="1"/>
  <c r="AL14" i="2" s="1"/>
  <c r="AL15" i="2" a="1"/>
  <c r="AL15" i="2" s="1"/>
  <c r="AL16" i="2" a="1"/>
  <c r="AL16" i="2" s="1"/>
  <c r="AL17" i="2" a="1"/>
  <c r="AL17" i="2"/>
  <c r="AL18" i="2" a="1"/>
  <c r="AL18" i="2"/>
  <c r="AL19" i="2" a="1"/>
  <c r="AL19" i="2" s="1"/>
  <c r="AL20" i="2" a="1"/>
  <c r="AL20" i="2" s="1"/>
  <c r="AL21" i="2" a="1"/>
  <c r="AL21" i="2" s="1"/>
  <c r="AL22" i="2" a="1"/>
  <c r="AL22" i="2" s="1"/>
  <c r="AL23" i="2" a="1"/>
  <c r="AL23" i="2" s="1"/>
  <c r="AL24" i="2" a="1"/>
  <c r="AL24" i="2" s="1"/>
  <c r="AL25" i="2" a="1"/>
  <c r="AL25" i="2" s="1"/>
  <c r="AL26" i="2" a="1"/>
  <c r="AL26" i="2" s="1"/>
  <c r="AL27" i="2" a="1"/>
  <c r="AL27" i="2" s="1"/>
  <c r="AL28" i="2" a="1"/>
  <c r="AL28" i="2"/>
  <c r="AL29" i="2" a="1"/>
  <c r="AL29" i="2" s="1"/>
  <c r="AL30" i="2" a="1"/>
  <c r="AL30" i="2" s="1"/>
  <c r="AL31" i="2" a="1"/>
  <c r="AL31" i="2" s="1"/>
  <c r="AL32" i="2" a="1"/>
  <c r="AL32" i="2"/>
  <c r="AL33" i="2" a="1"/>
  <c r="AL33" i="2"/>
  <c r="AL34" i="2" a="1"/>
  <c r="AL34" i="2" s="1"/>
  <c r="AL35" i="2" a="1"/>
  <c r="AL35" i="2"/>
  <c r="AL36" i="2" a="1"/>
  <c r="AL36" i="2" s="1"/>
  <c r="AL37" i="2" a="1"/>
  <c r="AL37" i="2" s="1"/>
  <c r="AL38" i="2" a="1"/>
  <c r="AL38" i="2" s="1"/>
  <c r="AL39" i="2" a="1"/>
  <c r="AL39" i="2" s="1"/>
  <c r="AL40" i="2" a="1"/>
  <c r="AL40" i="2" s="1"/>
  <c r="AL41" i="2" a="1"/>
  <c r="AL41" i="2" s="1"/>
  <c r="AL42" i="2" a="1"/>
  <c r="AL42" i="2"/>
  <c r="AL43" i="2" a="1"/>
  <c r="AL43" i="2" s="1"/>
  <c r="AL44" i="2" a="1"/>
  <c r="AL44" i="2" s="1"/>
  <c r="AL45" i="2" a="1"/>
  <c r="AL45" i="2" s="1"/>
  <c r="AL46" i="2" a="1"/>
  <c r="AL46" i="2" s="1"/>
  <c r="AL47" i="2" a="1"/>
  <c r="AL47" i="2" s="1"/>
  <c r="AL48" i="2" a="1"/>
  <c r="AL48" i="2" s="1"/>
  <c r="AL49" i="2" a="1"/>
  <c r="AL49" i="2" s="1"/>
  <c r="AL50" i="2" a="1"/>
  <c r="AL50" i="2" s="1"/>
  <c r="AL51" i="2" a="1"/>
  <c r="AL51" i="2" s="1"/>
  <c r="AL52" i="2" a="1"/>
  <c r="AL52" i="2" s="1"/>
  <c r="AL53" i="2" a="1"/>
  <c r="AL53" i="2" s="1"/>
  <c r="AL54" i="2" a="1"/>
  <c r="AL54" i="2"/>
  <c r="AL55" i="2" a="1"/>
  <c r="AL55" i="2" s="1"/>
  <c r="AL56" i="2" a="1"/>
  <c r="AL56" i="2" s="1"/>
  <c r="AL57" i="2" a="1"/>
  <c r="AL57" i="2" s="1"/>
  <c r="AL58" i="2" a="1"/>
  <c r="AL58" i="2" s="1"/>
  <c r="AL59" i="2" a="1"/>
  <c r="AL59" i="2" s="1"/>
  <c r="AL60" i="2" a="1"/>
  <c r="AL60" i="2" s="1"/>
  <c r="AL61" i="2" a="1"/>
  <c r="AL61" i="2" s="1"/>
  <c r="AL62" i="2" a="1"/>
  <c r="AL62" i="2" s="1"/>
  <c r="AL63" i="2" a="1"/>
  <c r="AL63" i="2" s="1"/>
  <c r="AL64" i="2" a="1"/>
  <c r="AL64" i="2" s="1"/>
  <c r="AL65" i="2" a="1"/>
  <c r="AL65" i="2" s="1"/>
  <c r="AL66" i="2" a="1"/>
  <c r="AL66" i="2" s="1"/>
  <c r="AL67" i="2" a="1"/>
  <c r="AL67" i="2" s="1"/>
  <c r="AL68" i="2" a="1"/>
  <c r="AL68" i="2" s="1"/>
  <c r="AL69" i="2" a="1"/>
  <c r="AL69" i="2" s="1"/>
  <c r="AL70" i="2" a="1"/>
  <c r="AL70" i="2" s="1"/>
  <c r="AL71" i="2" a="1"/>
  <c r="AL71" i="2"/>
  <c r="AL72" i="2" a="1"/>
  <c r="AL72" i="2"/>
  <c r="AL73" i="2" a="1"/>
  <c r="AL73" i="2" s="1"/>
  <c r="AL74" i="2" a="1"/>
  <c r="AL74" i="2" s="1"/>
  <c r="AL75" i="2" a="1"/>
  <c r="AL75" i="2" s="1"/>
  <c r="AL76" i="2" a="1"/>
  <c r="AL76" i="2" s="1"/>
  <c r="AL77" i="2" a="1"/>
  <c r="AL77" i="2" s="1"/>
  <c r="AL78" i="2" a="1"/>
  <c r="AL78" i="2" s="1"/>
  <c r="AL79" i="2" a="1"/>
  <c r="AL79" i="2" s="1"/>
  <c r="AL80" i="2" a="1"/>
  <c r="AL80" i="2" s="1"/>
  <c r="AL81" i="2" a="1"/>
  <c r="AL81" i="2" s="1"/>
  <c r="AL82" i="2" a="1"/>
  <c r="AL82" i="2" s="1"/>
  <c r="AL83" i="2" a="1"/>
  <c r="AL83" i="2" s="1"/>
  <c r="AL84" i="2" a="1"/>
  <c r="AL84" i="2" s="1"/>
  <c r="AL85" i="2" a="1"/>
  <c r="AL85" i="2" s="1"/>
  <c r="AL86" i="2" a="1"/>
  <c r="AL86" i="2" s="1"/>
  <c r="AL87" i="2" a="1"/>
  <c r="AL87" i="2"/>
  <c r="AL88" i="2" a="1"/>
  <c r="AL88" i="2" s="1"/>
  <c r="AL89" i="2" a="1"/>
  <c r="AL89" i="2" s="1"/>
  <c r="AL90" i="2" a="1"/>
  <c r="AL90" i="2"/>
  <c r="AL91" i="2" a="1"/>
  <c r="AL91" i="2" s="1"/>
  <c r="AL92" i="2" a="1"/>
  <c r="AL92" i="2" s="1"/>
  <c r="AL93" i="2" a="1"/>
  <c r="AL93" i="2"/>
  <c r="AL94" i="2" a="1"/>
  <c r="AL94" i="2" s="1"/>
  <c r="AL95" i="2" a="1"/>
  <c r="AL95" i="2"/>
  <c r="AL96" i="2" a="1"/>
  <c r="AL96" i="2" s="1"/>
  <c r="AL97" i="2" a="1"/>
  <c r="AL97" i="2" s="1"/>
  <c r="AL98" i="2" a="1"/>
  <c r="AL98" i="2" s="1"/>
  <c r="AL99" i="2" a="1"/>
  <c r="AL99" i="2" s="1"/>
  <c r="AL100" i="2" a="1"/>
  <c r="AL100" i="2"/>
  <c r="AL101" i="2" a="1"/>
  <c r="AL101" i="2" s="1"/>
  <c r="AL102" i="2" a="1"/>
  <c r="AL102" i="2" s="1"/>
  <c r="AL103" i="2" a="1"/>
  <c r="AL103" i="2" s="1"/>
  <c r="AL104" i="2" a="1"/>
  <c r="AL104" i="2" s="1"/>
  <c r="AL105" i="2" a="1"/>
  <c r="AL105" i="2"/>
  <c r="AL106" i="2" a="1"/>
  <c r="AL106" i="2" s="1"/>
  <c r="AL107" i="2" a="1"/>
  <c r="AL107" i="2" s="1"/>
  <c r="AL108" i="2" a="1"/>
  <c r="AL108" i="2" s="1"/>
  <c r="AL109" i="2" a="1"/>
  <c r="AL109" i="2" s="1"/>
  <c r="AL110" i="2" a="1"/>
  <c r="AL110" i="2"/>
  <c r="AL111" i="2" a="1"/>
  <c r="AL111" i="2" s="1"/>
  <c r="AL112" i="2" a="1"/>
  <c r="AL112" i="2" s="1"/>
  <c r="AL113" i="2" a="1"/>
  <c r="AL113" i="2" s="1"/>
  <c r="AL114" i="2" a="1"/>
  <c r="AL114" i="2" s="1"/>
  <c r="AL115" i="2" a="1"/>
  <c r="AL115" i="2" s="1"/>
  <c r="AL116" i="2" a="1"/>
  <c r="AL116" i="2" s="1"/>
  <c r="AL117" i="2" a="1"/>
  <c r="AL117" i="2" s="1"/>
  <c r="AL118" i="2" a="1"/>
  <c r="AL118" i="2"/>
  <c r="AL119" i="2" a="1"/>
  <c r="AL119" i="2"/>
  <c r="AL120" i="2" a="1"/>
  <c r="AL120" i="2" s="1"/>
  <c r="AL121" i="2" a="1"/>
  <c r="AL121" i="2" s="1"/>
  <c r="AL122" i="2" a="1"/>
  <c r="AL122" i="2" s="1"/>
  <c r="AL123" i="2" a="1"/>
  <c r="AL123" i="2" s="1"/>
  <c r="AL124" i="2" a="1"/>
  <c r="AL124" i="2" s="1"/>
  <c r="AL125" i="2" a="1"/>
  <c r="AL125" i="2" s="1"/>
  <c r="AL126" i="2" a="1"/>
  <c r="AL126" i="2" s="1"/>
  <c r="AL127" i="2" a="1"/>
  <c r="AL127" i="2" s="1"/>
  <c r="AL128" i="2" a="1"/>
  <c r="AL128" i="2" s="1"/>
  <c r="AL129" i="2" a="1"/>
  <c r="AL129" i="2"/>
  <c r="AL130" i="2" a="1"/>
  <c r="AL130" i="2" s="1"/>
  <c r="AL131" i="2" a="1"/>
  <c r="AL131" i="2"/>
  <c r="AL132" i="2" a="1"/>
  <c r="AL132" i="2"/>
  <c r="AL133" i="2" a="1"/>
  <c r="AL133" i="2" s="1"/>
  <c r="AL134" i="2" a="1"/>
  <c r="AL134" i="2"/>
  <c r="AL135" i="2" a="1"/>
  <c r="AL135" i="2" s="1"/>
  <c r="AL136" i="2" a="1"/>
  <c r="AL136" i="2"/>
  <c r="AL137" i="2" a="1"/>
  <c r="AL137" i="2" s="1"/>
  <c r="AL138" i="2" a="1"/>
  <c r="AL138" i="2" s="1"/>
  <c r="AL139" i="2" a="1"/>
  <c r="AL139" i="2" s="1"/>
  <c r="AL140" i="2" a="1"/>
  <c r="AL140" i="2" s="1"/>
  <c r="AL141" i="2" a="1"/>
  <c r="AL141" i="2" s="1"/>
  <c r="AL142" i="2" a="1"/>
  <c r="AL142" i="2" s="1"/>
  <c r="AL143" i="2" a="1"/>
  <c r="AL143" i="2"/>
  <c r="AL144" i="2" a="1"/>
  <c r="AL144" i="2"/>
  <c r="AL145" i="2" a="1"/>
  <c r="AL145" i="2" s="1"/>
  <c r="AL146" i="2" a="1"/>
  <c r="AL146" i="2" s="1"/>
  <c r="AL147" i="2" a="1"/>
  <c r="AL147" i="2" s="1"/>
  <c r="AL148" i="2" a="1"/>
  <c r="AL148" i="2" s="1"/>
  <c r="AL149" i="2" a="1"/>
  <c r="AL149" i="2" s="1"/>
  <c r="AL150" i="2" a="1"/>
  <c r="AL150" i="2" s="1"/>
  <c r="AL151" i="2" a="1"/>
  <c r="AL151" i="2" s="1"/>
  <c r="AL152" i="2" a="1"/>
  <c r="AL152" i="2"/>
  <c r="AL153" i="2" a="1"/>
  <c r="AL153" i="2"/>
  <c r="AL154" i="2" a="1"/>
  <c r="AL154" i="2" s="1"/>
  <c r="AL155" i="2" a="1"/>
  <c r="AL155" i="2" s="1"/>
  <c r="AL156" i="2" a="1"/>
  <c r="AL156" i="2" s="1"/>
  <c r="AL157" i="2" a="1"/>
  <c r="AL157" i="2" s="1"/>
  <c r="AL158" i="2" a="1"/>
  <c r="AL158" i="2" s="1"/>
  <c r="AL159" i="2" a="1"/>
  <c r="AL159" i="2" s="1"/>
  <c r="AL160" i="2" a="1"/>
  <c r="AL160" i="2"/>
  <c r="AL161" i="2" a="1"/>
  <c r="AL161" i="2" s="1"/>
  <c r="AL162" i="2" a="1"/>
  <c r="AL162" i="2"/>
  <c r="AL163" i="2" a="1"/>
  <c r="AL163" i="2" s="1"/>
  <c r="AL164" i="2" a="1"/>
  <c r="AL164" i="2" s="1"/>
  <c r="AL165" i="2" a="1"/>
  <c r="AL165" i="2"/>
  <c r="AL166" i="2" a="1"/>
  <c r="AL166" i="2" s="1"/>
  <c r="AL167" i="2" a="1"/>
  <c r="AL167" i="2" s="1"/>
  <c r="AL168" i="2" a="1"/>
  <c r="AL168" i="2" s="1"/>
  <c r="AL169" i="2" a="1"/>
  <c r="AL169" i="2" s="1"/>
  <c r="AL170" i="2" a="1"/>
  <c r="AL170" i="2" s="1"/>
  <c r="AL171" i="2" a="1"/>
  <c r="AL171" i="2" s="1"/>
  <c r="AL172" i="2" a="1"/>
  <c r="AL172" i="2" s="1"/>
  <c r="AL173" i="2" a="1"/>
  <c r="AL173" i="2" s="1"/>
  <c r="AL174" i="2" a="1"/>
  <c r="AL174" i="2" s="1"/>
  <c r="AL175" i="2" a="1"/>
  <c r="AL175" i="2" s="1"/>
  <c r="AL176" i="2" a="1"/>
  <c r="AL176" i="2" s="1"/>
  <c r="AL177" i="2" a="1"/>
  <c r="AL177" i="2" s="1"/>
  <c r="AL178" i="2" a="1"/>
  <c r="AL178" i="2" s="1"/>
  <c r="AL179" i="2" a="1"/>
  <c r="AL179" i="2" s="1"/>
  <c r="AL180" i="2" a="1"/>
  <c r="AL180" i="2"/>
  <c r="AL181" i="2" a="1"/>
  <c r="AL181" i="2" s="1"/>
  <c r="AL182" i="2" a="1"/>
  <c r="AL182" i="2"/>
  <c r="AL183" i="2" a="1"/>
  <c r="AL183" i="2" s="1"/>
  <c r="AL184" i="2" a="1"/>
  <c r="AL184" i="2" s="1"/>
  <c r="AL185" i="2" a="1"/>
  <c r="AL185" i="2" s="1"/>
  <c r="AL186" i="2" a="1"/>
  <c r="AL186" i="2" s="1"/>
  <c r="AL187" i="2" a="1"/>
  <c r="AL187" i="2" s="1"/>
  <c r="AL188" i="2" a="1"/>
  <c r="AL188" i="2"/>
  <c r="AL189" i="2" a="1"/>
  <c r="AL189" i="2"/>
  <c r="AL190" i="2" a="1"/>
  <c r="AL190" i="2" s="1"/>
  <c r="AL191" i="2" a="1"/>
  <c r="AL191" i="2" s="1"/>
  <c r="AL192" i="2" a="1"/>
  <c r="AL192" i="2" s="1"/>
  <c r="AL193" i="2" a="1"/>
  <c r="AL193" i="2" s="1"/>
  <c r="AL194" i="2" a="1"/>
  <c r="AL194" i="2" s="1"/>
  <c r="AL195" i="2" a="1"/>
  <c r="AL195" i="2"/>
  <c r="AL196" i="2" a="1"/>
  <c r="AL196" i="2" s="1"/>
  <c r="AL197" i="2" a="1"/>
  <c r="AL197" i="2" s="1"/>
  <c r="AL198" i="2" a="1"/>
  <c r="AL198" i="2"/>
  <c r="AL199" i="2" a="1"/>
  <c r="AL199" i="2" s="1"/>
  <c r="AL200" i="2" a="1"/>
  <c r="AL200" i="2" s="1"/>
  <c r="AL201" i="2" a="1"/>
  <c r="AL201" i="2" s="1"/>
  <c r="AL202" i="2" a="1"/>
  <c r="AL202" i="2" s="1"/>
  <c r="AL203" i="2" a="1"/>
  <c r="AL203" i="2" s="1"/>
  <c r="AL204" i="2" a="1"/>
  <c r="AL204" i="2"/>
  <c r="AL205" i="2" a="1"/>
  <c r="AL205" i="2" s="1"/>
  <c r="AL206" i="2" a="1"/>
  <c r="AL206" i="2"/>
  <c r="AL207" i="2" a="1"/>
  <c r="AL207" i="2" s="1"/>
  <c r="AL208" i="2" a="1"/>
  <c r="AL208" i="2" s="1"/>
  <c r="AL209" i="2" a="1"/>
  <c r="AL209" i="2" s="1"/>
  <c r="AL210" i="2" a="1"/>
  <c r="AL210" i="2" s="1"/>
  <c r="AL211" i="2" a="1"/>
  <c r="AL211" i="2" s="1"/>
  <c r="AL212" i="2" a="1"/>
  <c r="AL212" i="2" s="1"/>
  <c r="AL213" i="2" a="1"/>
  <c r="AL213" i="2"/>
  <c r="AL214" i="2" a="1"/>
  <c r="AL214" i="2"/>
  <c r="AL215" i="2" a="1"/>
  <c r="AL215" i="2" s="1"/>
  <c r="AL216" i="2" a="1"/>
  <c r="AL216" i="2" s="1"/>
  <c r="AL217" i="2" a="1"/>
  <c r="AL217" i="2" s="1"/>
  <c r="AL218" i="2" a="1"/>
  <c r="AL218" i="2" s="1"/>
  <c r="AL219" i="2" a="1"/>
  <c r="AL219" i="2" s="1"/>
  <c r="AL220" i="2" a="1"/>
  <c r="AL220" i="2" s="1"/>
  <c r="AL221" i="2" a="1"/>
  <c r="AL221" i="2"/>
  <c r="AL222" i="2" a="1"/>
  <c r="AL222" i="2" s="1"/>
  <c r="AL223" i="2" a="1"/>
  <c r="AL223" i="2" s="1"/>
  <c r="AL224" i="2" a="1"/>
  <c r="AL224" i="2" s="1"/>
  <c r="AL225" i="2" a="1"/>
  <c r="AL225" i="2" s="1"/>
  <c r="AL226" i="2" a="1"/>
  <c r="AL226" i="2" s="1"/>
  <c r="AL227" i="2" a="1"/>
  <c r="AL227" i="2" s="1"/>
  <c r="AL228" i="2" a="1"/>
  <c r="AL228" i="2"/>
  <c r="AL229" i="2" a="1"/>
  <c r="AL229" i="2" s="1"/>
  <c r="AL230" i="2" a="1"/>
  <c r="AL230" i="2" s="1"/>
  <c r="AL231" i="2" a="1"/>
  <c r="AL231" i="2" s="1"/>
  <c r="AL232" i="2" a="1"/>
  <c r="AL232" i="2" s="1"/>
  <c r="AL233" i="2" a="1"/>
  <c r="AL233" i="2" s="1"/>
  <c r="AL234" i="2" a="1"/>
  <c r="AL234" i="2" s="1"/>
  <c r="AL235" i="2" a="1"/>
  <c r="AL235" i="2" s="1"/>
  <c r="AL236" i="2" a="1"/>
  <c r="AL236" i="2"/>
  <c r="AL237" i="2" a="1"/>
  <c r="AL237" i="2"/>
  <c r="AL238" i="2" a="1"/>
  <c r="AL238" i="2"/>
  <c r="AL239" i="2" a="1"/>
  <c r="AL239" i="2" s="1"/>
  <c r="AL240" i="2" a="1"/>
  <c r="AL240" i="2"/>
  <c r="AL241" i="2" a="1"/>
  <c r="AL241" i="2" s="1"/>
  <c r="AL242" i="2" a="1"/>
  <c r="AL242" i="2" s="1"/>
  <c r="AL243" i="2" a="1"/>
  <c r="AL243" i="2" s="1"/>
  <c r="AL244" i="2" a="1"/>
  <c r="AL244" i="2"/>
  <c r="AL245" i="2" a="1"/>
  <c r="AL245" i="2" s="1"/>
  <c r="AL246" i="2" a="1"/>
  <c r="AL246" i="2" s="1"/>
  <c r="AL247" i="2" a="1"/>
  <c r="AL247" i="2" s="1"/>
  <c r="AL248" i="2" a="1"/>
  <c r="AL248" i="2" s="1"/>
  <c r="AL249" i="2" a="1"/>
  <c r="AL249" i="2"/>
  <c r="AL250" i="2" a="1"/>
  <c r="AL250" i="2" s="1"/>
  <c r="AL251" i="2" a="1"/>
  <c r="AL251" i="2" s="1"/>
  <c r="AL252" i="2" a="1"/>
  <c r="AL252" i="2" s="1"/>
  <c r="AL253" i="2" a="1"/>
  <c r="AL253" i="2" s="1"/>
  <c r="AL254" i="2" a="1"/>
  <c r="AL254" i="2" s="1"/>
  <c r="AL255" i="2" a="1"/>
  <c r="AL255" i="2" s="1"/>
  <c r="AL256" i="2" a="1"/>
  <c r="AL256" i="2" s="1"/>
  <c r="AL257" i="2" a="1"/>
  <c r="AL257" i="2" s="1"/>
  <c r="AL258" i="2" a="1"/>
  <c r="AL258" i="2" s="1"/>
  <c r="AL259" i="2" a="1"/>
  <c r="AL259" i="2" s="1"/>
  <c r="AL260" i="2" a="1"/>
  <c r="AL260" i="2" s="1"/>
  <c r="AL261" i="2" a="1"/>
  <c r="AL261" i="2" s="1"/>
  <c r="AL262" i="2" a="1"/>
  <c r="AL262" i="2" s="1"/>
  <c r="AL263" i="2" a="1"/>
  <c r="AL263" i="2" s="1"/>
  <c r="AL264" i="2" a="1"/>
  <c r="AL264" i="2" s="1"/>
  <c r="AL265" i="2" a="1"/>
  <c r="AL265" i="2" s="1"/>
  <c r="AL266" i="2" a="1"/>
  <c r="AL266" i="2" s="1"/>
  <c r="AL267" i="2" a="1"/>
  <c r="AL267" i="2" s="1"/>
  <c r="AL268" i="2" a="1"/>
  <c r="AL268" i="2" s="1"/>
  <c r="AL269" i="2" a="1"/>
  <c r="AL269" i="2" s="1"/>
  <c r="AL270" i="2" a="1"/>
  <c r="AL270" i="2" s="1"/>
  <c r="AL271" i="2" a="1"/>
  <c r="AL271" i="2" s="1"/>
  <c r="AL272" i="2" a="1"/>
  <c r="AL272" i="2" s="1"/>
  <c r="AL273" i="2" a="1"/>
  <c r="AL273" i="2"/>
  <c r="AL274" i="2" a="1"/>
  <c r="AL274" i="2"/>
  <c r="AL275" i="2" a="1"/>
  <c r="AL275" i="2" s="1"/>
  <c r="AL276" i="2" a="1"/>
  <c r="AL276" i="2" s="1"/>
  <c r="AL277" i="2" a="1"/>
  <c r="AL277" i="2" s="1"/>
  <c r="AL278" i="2" a="1"/>
  <c r="AL278" i="2" s="1"/>
  <c r="AL279" i="2" a="1"/>
  <c r="AL279" i="2" s="1"/>
  <c r="AL280" i="2" a="1"/>
  <c r="AL280" i="2"/>
  <c r="AL281" i="2" a="1"/>
  <c r="AL281" i="2" s="1"/>
  <c r="AL282" i="2" a="1"/>
  <c r="AL282" i="2" s="1"/>
  <c r="AL283" i="2" a="1"/>
  <c r="AL283" i="2" s="1"/>
  <c r="AL284" i="2" a="1"/>
  <c r="AL284" i="2" s="1"/>
  <c r="AL285" i="2" a="1"/>
  <c r="AL285" i="2" s="1"/>
  <c r="AL286" i="2" a="1"/>
  <c r="AL286" i="2" s="1"/>
  <c r="AL287" i="2" a="1"/>
  <c r="AL287" i="2" s="1"/>
  <c r="AL288" i="2" a="1"/>
  <c r="AL288" i="2" s="1"/>
  <c r="AL289" i="2" a="1"/>
  <c r="AL289" i="2" s="1"/>
  <c r="AL290" i="2" a="1"/>
  <c r="AL290" i="2"/>
  <c r="AL291" i="2" a="1"/>
  <c r="AL291" i="2"/>
  <c r="AL292" i="2" a="1"/>
  <c r="AL292" i="2" s="1"/>
  <c r="AL293" i="2" a="1"/>
  <c r="AL293" i="2" s="1"/>
  <c r="AL294" i="2" a="1"/>
  <c r="AL294" i="2" s="1"/>
  <c r="AL295" i="2" a="1"/>
  <c r="AL295" i="2" s="1"/>
  <c r="AL296" i="2" a="1"/>
  <c r="AL296" i="2" s="1"/>
  <c r="AL297" i="2" a="1"/>
  <c r="AL297" i="2" s="1"/>
  <c r="AL298" i="2" a="1"/>
  <c r="AL298" i="2"/>
  <c r="AL299" i="2" a="1"/>
  <c r="AL299" i="2"/>
  <c r="AL300" i="2" a="1"/>
  <c r="AL300" i="2" s="1"/>
  <c r="AL301" i="2" a="1"/>
  <c r="AL301" i="2" s="1"/>
  <c r="AL302" i="2" a="1"/>
  <c r="AL302" i="2" s="1"/>
  <c r="AL303" i="2" a="1"/>
  <c r="AL303" i="2" s="1"/>
  <c r="AL304" i="2" a="1"/>
  <c r="AL304" i="2" s="1"/>
  <c r="AL305" i="2" a="1"/>
  <c r="AL305" i="2" s="1"/>
  <c r="AL306" i="2" a="1"/>
  <c r="AL306" i="2"/>
  <c r="AL307" i="2" a="1"/>
  <c r="AL307" i="2" s="1"/>
  <c r="AL308" i="2" a="1"/>
  <c r="AL308" i="2"/>
  <c r="AL309" i="2" a="1"/>
  <c r="AL309" i="2" s="1"/>
  <c r="AL310" i="2" a="1"/>
  <c r="AL310" i="2" s="1"/>
  <c r="AL311" i="2" a="1"/>
  <c r="AL311" i="2" s="1"/>
  <c r="AL312" i="2" a="1"/>
  <c r="AL312" i="2"/>
  <c r="AL313" i="2" a="1"/>
  <c r="AL313" i="2" s="1"/>
  <c r="AL314" i="2" a="1"/>
  <c r="AL314" i="2" s="1"/>
  <c r="AL315" i="2" a="1"/>
  <c r="AL315" i="2" s="1"/>
  <c r="AL316" i="2" a="1"/>
  <c r="AL316" i="2"/>
  <c r="AL317" i="2" a="1"/>
  <c r="AL317" i="2"/>
  <c r="AL318" i="2" a="1"/>
  <c r="AL318" i="2" s="1"/>
  <c r="AL319" i="2" a="1"/>
  <c r="AL319" i="2" s="1"/>
  <c r="AL320" i="2" a="1"/>
  <c r="AL320" i="2" s="1"/>
  <c r="AL321" i="2" a="1"/>
  <c r="AL321" i="2" s="1"/>
  <c r="AL322" i="2" a="1"/>
  <c r="AL322" i="2" s="1"/>
  <c r="AL323" i="2" a="1"/>
  <c r="AL323" i="2" s="1"/>
  <c r="AL324" i="2" a="1"/>
  <c r="AL324" i="2"/>
  <c r="AL325" i="2" a="1"/>
  <c r="AL325" i="2" s="1"/>
  <c r="AL326" i="2" a="1"/>
  <c r="AL326" i="2" s="1"/>
  <c r="AL327" i="2" a="1"/>
  <c r="AL327" i="2" s="1"/>
  <c r="AL328" i="2" a="1"/>
  <c r="AL328" i="2" s="1"/>
  <c r="AL329" i="2" a="1"/>
  <c r="AL329" i="2" s="1"/>
  <c r="AL330" i="2" a="1"/>
  <c r="AL330" i="2"/>
  <c r="AL331" i="2" a="1"/>
  <c r="AL331" i="2" s="1"/>
  <c r="AL332" i="2" a="1"/>
  <c r="AL332" i="2" s="1"/>
  <c r="AL333" i="2" a="1"/>
  <c r="AL333" i="2"/>
  <c r="AL334" i="2" a="1"/>
  <c r="AL334" i="2"/>
  <c r="AL335" i="2" a="1"/>
  <c r="AL335" i="2" s="1"/>
  <c r="AL336" i="2" a="1"/>
  <c r="AL336" i="2" s="1"/>
  <c r="AL337" i="2" a="1"/>
  <c r="AL337" i="2" s="1"/>
  <c r="AL338" i="2" a="1"/>
  <c r="AL338" i="2" s="1"/>
  <c r="AL339" i="2" a="1"/>
  <c r="AL339" i="2" s="1"/>
  <c r="AL340" i="2" a="1"/>
  <c r="AL340" i="2" s="1"/>
  <c r="AL341" i="2" a="1"/>
  <c r="AL341" i="2" s="1"/>
  <c r="AL342" i="2" a="1"/>
  <c r="AL342" i="2"/>
  <c r="AL343" i="2" a="1"/>
  <c r="AL343" i="2" s="1"/>
  <c r="AL344" i="2" a="1"/>
  <c r="AL344" i="2" s="1"/>
  <c r="AL345" i="2" a="1"/>
  <c r="AL345" i="2" s="1"/>
  <c r="AL346" i="2" a="1"/>
  <c r="AL346" i="2" s="1"/>
  <c r="AL347" i="2" a="1"/>
  <c r="AL347" i="2"/>
  <c r="AL348" i="2" a="1"/>
  <c r="AL348" i="2" s="1"/>
  <c r="AL349" i="2" a="1"/>
  <c r="AL349" i="2" s="1"/>
  <c r="AL350" i="2" a="1"/>
  <c r="AL350" i="2"/>
  <c r="AL351" i="2" a="1"/>
  <c r="AL351" i="2" s="1"/>
  <c r="AL352" i="2" a="1"/>
  <c r="AL352" i="2" s="1"/>
  <c r="AL353" i="2" a="1"/>
  <c r="AL353" i="2" s="1"/>
  <c r="AL354" i="2" a="1"/>
  <c r="AL354" i="2" s="1"/>
  <c r="AL355" i="2" a="1"/>
  <c r="AL355" i="2" s="1"/>
  <c r="AL356" i="2" a="1"/>
  <c r="AL356" i="2" s="1"/>
  <c r="AL357" i="2" a="1"/>
  <c r="AL357" i="2"/>
  <c r="AL358" i="2" a="1"/>
  <c r="AL358" i="2"/>
  <c r="AL359" i="2" a="1"/>
  <c r="AL359" i="2"/>
  <c r="AL360" i="2" a="1"/>
  <c r="AL360" i="2"/>
  <c r="AL361" i="2" a="1"/>
  <c r="AL361" i="2" s="1"/>
  <c r="AL362" i="2" a="1"/>
  <c r="AL362" i="2" s="1"/>
  <c r="AL363" i="2" a="1"/>
  <c r="AL363" i="2" s="1"/>
  <c r="AL364" i="2" a="1"/>
  <c r="AL364" i="2" s="1"/>
  <c r="AL365" i="2" a="1"/>
  <c r="AL365" i="2" s="1"/>
  <c r="AL366" i="2" a="1"/>
  <c r="AL366" i="2" s="1"/>
  <c r="AL367" i="2" a="1"/>
  <c r="AL367" i="2" s="1"/>
  <c r="AL368" i="2" a="1"/>
  <c r="AL368" i="2"/>
  <c r="AL369" i="2" a="1"/>
  <c r="AL369" i="2" s="1"/>
  <c r="AL370" i="2" a="1"/>
  <c r="AL370" i="2" s="1"/>
  <c r="AL371" i="2" a="1"/>
  <c r="AL371" i="2" s="1"/>
  <c r="AL372" i="2" a="1"/>
  <c r="AL372" i="2" s="1"/>
  <c r="AL373" i="2" a="1"/>
  <c r="AL373" i="2" s="1"/>
  <c r="AL374" i="2" a="1"/>
  <c r="AL374" i="2" s="1"/>
  <c r="AL375" i="2" a="1"/>
  <c r="AL375" i="2"/>
  <c r="AL376" i="2" a="1"/>
  <c r="AL376" i="2"/>
  <c r="AL377" i="2" a="1"/>
  <c r="AL377" i="2" s="1"/>
  <c r="AL378" i="2" a="1"/>
  <c r="AL378" i="2" s="1"/>
  <c r="AL379" i="2" a="1"/>
  <c r="AL379" i="2" s="1"/>
  <c r="AL380" i="2" a="1"/>
  <c r="AL380" i="2" s="1"/>
  <c r="AL381" i="2" a="1"/>
  <c r="AL381" i="2" s="1"/>
  <c r="AL382" i="2" a="1"/>
  <c r="AL382" i="2"/>
  <c r="AL383" i="2" a="1"/>
  <c r="AL383" i="2"/>
  <c r="AL384" i="2" a="1"/>
  <c r="AL384" i="2" s="1"/>
  <c r="AL385" i="2" a="1"/>
  <c r="AL385" i="2" s="1"/>
  <c r="AL386" i="2" a="1"/>
  <c r="AL386" i="2" s="1"/>
  <c r="AL387" i="2" a="1"/>
  <c r="AL387" i="2" s="1"/>
  <c r="AL388" i="2" a="1"/>
  <c r="AL388" i="2" s="1"/>
  <c r="AL389" i="2" a="1"/>
  <c r="AL389" i="2" s="1"/>
  <c r="AL390" i="2" a="1"/>
  <c r="AL390" i="2" s="1"/>
  <c r="AL391" i="2" a="1"/>
  <c r="AL391" i="2" s="1"/>
  <c r="AL392" i="2" a="1"/>
  <c r="AL392" i="2"/>
  <c r="AL393" i="2" a="1"/>
  <c r="AL393" i="2"/>
  <c r="AL394" i="2" a="1"/>
  <c r="AL394" i="2" s="1"/>
  <c r="AL395" i="2" a="1"/>
  <c r="AL395" i="2" s="1"/>
  <c r="AL396" i="2" a="1"/>
  <c r="AL396" i="2" s="1"/>
  <c r="AL397" i="2" a="1"/>
  <c r="AL397" i="2" s="1"/>
  <c r="AL398" i="2" a="1"/>
  <c r="AL398" i="2" s="1"/>
  <c r="AL399" i="2" a="1"/>
  <c r="AL399" i="2" s="1"/>
  <c r="AL400" i="2" a="1"/>
  <c r="AL400" i="2" s="1"/>
  <c r="AL401" i="2" a="1"/>
  <c r="AL401" i="2"/>
  <c r="AL402" i="2" a="1"/>
  <c r="AL402" i="2" s="1"/>
  <c r="AL403" i="2" a="1"/>
  <c r="AL403" i="2" s="1"/>
  <c r="AL404" i="2" a="1"/>
  <c r="AL404" i="2" s="1"/>
  <c r="AL405" i="2" a="1"/>
  <c r="AL405" i="2" s="1"/>
  <c r="AL406" i="2" a="1"/>
  <c r="AL406" i="2" s="1"/>
  <c r="AL407" i="2" a="1"/>
  <c r="AL407" i="2" s="1"/>
  <c r="AL408" i="2" a="1"/>
  <c r="AL408" i="2" s="1"/>
  <c r="AL409" i="2" a="1"/>
  <c r="AL409" i="2" s="1"/>
  <c r="AL410" i="2" a="1"/>
  <c r="AL410" i="2" s="1"/>
  <c r="AL411" i="2" a="1"/>
  <c r="AL411" i="2"/>
  <c r="AL412" i="2" a="1"/>
  <c r="AL412" i="2" s="1"/>
  <c r="AL413" i="2" a="1"/>
  <c r="AL413" i="2" s="1"/>
  <c r="AL414" i="2" a="1"/>
  <c r="AL414" i="2" s="1"/>
  <c r="AL415" i="2" a="1"/>
  <c r="AL415" i="2" s="1"/>
  <c r="AL416" i="2" a="1"/>
  <c r="AL416" i="2"/>
  <c r="AL417" i="2" a="1"/>
  <c r="AL417" i="2" s="1"/>
  <c r="AL418" i="2" a="1"/>
  <c r="AL418" i="2" s="1"/>
  <c r="AL419" i="2" a="1"/>
  <c r="AL419" i="2" s="1"/>
  <c r="AL420" i="2" a="1"/>
  <c r="AL420" i="2"/>
  <c r="AL421" i="2" a="1"/>
  <c r="AL421" i="2" s="1"/>
  <c r="AL422" i="2" a="1"/>
  <c r="AL422" i="2" s="1"/>
  <c r="AL423" i="2" a="1"/>
  <c r="AL423" i="2" s="1"/>
  <c r="AL424" i="2" a="1"/>
  <c r="AL424" i="2" s="1"/>
  <c r="AL425" i="2" a="1"/>
  <c r="AL425" i="2" s="1"/>
  <c r="AL426" i="2" a="1"/>
  <c r="AL426" i="2" s="1"/>
  <c r="AL427" i="2" a="1"/>
  <c r="AL427" i="2" s="1"/>
  <c r="AL428" i="2" a="1"/>
  <c r="AL428" i="2" s="1"/>
  <c r="AL429" i="2" a="1"/>
  <c r="AL429" i="2" s="1"/>
  <c r="AL430" i="2" a="1"/>
  <c r="AL430" i="2" s="1"/>
  <c r="AL431" i="2" a="1"/>
  <c r="AL431" i="2"/>
  <c r="AL432" i="2" a="1"/>
  <c r="AL432" i="2" s="1"/>
  <c r="AL433" i="2" a="1"/>
  <c r="AL433" i="2" s="1"/>
  <c r="AL434" i="2" a="1"/>
  <c r="AL434" i="2"/>
  <c r="AL435" i="2" a="1"/>
  <c r="AL435" i="2"/>
  <c r="AL436" i="2" a="1"/>
  <c r="AL436" i="2" s="1"/>
  <c r="AL437" i="2" a="1"/>
  <c r="AL437" i="2"/>
  <c r="AL438" i="2" a="1"/>
  <c r="AL438" i="2" s="1"/>
  <c r="AL439" i="2" a="1"/>
  <c r="AL439" i="2" s="1"/>
  <c r="AL440" i="2" a="1"/>
  <c r="AL440" i="2" s="1"/>
  <c r="AL441" i="2" a="1"/>
  <c r="AL441" i="2" s="1"/>
  <c r="AL442" i="2" a="1"/>
  <c r="AL442" i="2" s="1"/>
  <c r="AL443" i="2" a="1"/>
  <c r="AL443" i="2"/>
  <c r="AL444" i="2" a="1"/>
  <c r="AL444" i="2"/>
  <c r="AL445" i="2" a="1"/>
  <c r="AL445" i="2" s="1"/>
  <c r="AL446" i="2" a="1"/>
  <c r="AL446" i="2" s="1"/>
  <c r="AL447" i="2" a="1"/>
  <c r="AL447" i="2" s="1"/>
  <c r="AL448" i="2" a="1"/>
  <c r="AL448" i="2"/>
  <c r="AL449" i="2" a="1"/>
  <c r="AL449" i="2" s="1"/>
  <c r="AL450" i="2" a="1"/>
  <c r="AL450" i="2" s="1"/>
  <c r="AL451" i="2" a="1"/>
  <c r="AL451" i="2" s="1"/>
  <c r="AL452" i="2" a="1"/>
  <c r="AL452" i="2" s="1"/>
  <c r="AL453" i="2" a="1"/>
  <c r="AL453" i="2" s="1"/>
  <c r="AL454" i="2" a="1"/>
  <c r="AL454" i="2" s="1"/>
  <c r="AL455" i="2" a="1"/>
  <c r="AL455" i="2"/>
  <c r="AL456" i="2" a="1"/>
  <c r="AL456" i="2" s="1"/>
  <c r="AL457" i="2" a="1"/>
  <c r="AL457" i="2" s="1"/>
  <c r="AL458" i="2" a="1"/>
  <c r="AL458" i="2" s="1"/>
  <c r="AL459" i="2" a="1"/>
  <c r="AL459" i="2" s="1"/>
  <c r="AL460" i="2" a="1"/>
  <c r="AL460" i="2" s="1"/>
  <c r="AL461" i="2" a="1"/>
  <c r="AL461" i="2" s="1"/>
  <c r="AL462" i="2" a="1"/>
  <c r="AL462" i="2" s="1"/>
  <c r="AL463" i="2" a="1"/>
  <c r="AL463" i="2" s="1"/>
  <c r="AL464" i="2" a="1"/>
  <c r="AL464" i="2" s="1"/>
  <c r="AL465" i="2" a="1"/>
  <c r="AL465" i="2"/>
  <c r="AL466" i="2" a="1"/>
  <c r="AL466" i="2"/>
  <c r="AL467" i="2" a="1"/>
  <c r="AL467" i="2" s="1"/>
  <c r="AL468" i="2" a="1"/>
  <c r="AL468" i="2" s="1"/>
  <c r="AL469" i="2" a="1"/>
  <c r="AL469" i="2" s="1"/>
  <c r="AL470" i="2" a="1"/>
  <c r="AL470" i="2" s="1"/>
  <c r="AL471" i="2" a="1"/>
  <c r="AL471" i="2" s="1"/>
  <c r="AL472" i="2" a="1"/>
  <c r="AL472" i="2" s="1"/>
  <c r="AL473" i="2" a="1"/>
  <c r="AL473" i="2" s="1"/>
  <c r="AL474" i="2" a="1"/>
  <c r="AL474" i="2"/>
  <c r="AL475" i="2" a="1"/>
  <c r="AL475" i="2" s="1"/>
  <c r="AL476" i="2" a="1"/>
  <c r="AL476" i="2" s="1"/>
  <c r="AL477" i="2" a="1"/>
  <c r="AL477" i="2" s="1"/>
  <c r="AL478" i="2" a="1"/>
  <c r="AL478" i="2" s="1"/>
  <c r="AL479" i="2" a="1"/>
  <c r="AL479" i="2"/>
  <c r="AL480" i="2" a="1"/>
  <c r="AL480" i="2"/>
  <c r="AL481" i="2" a="1"/>
  <c r="AL481" i="2" s="1"/>
  <c r="AL482" i="2" a="1"/>
  <c r="AL482" i="2" s="1"/>
  <c r="AL483" i="2" a="1"/>
  <c r="AL483" i="2"/>
  <c r="AL484" i="2" a="1"/>
  <c r="AL484" i="2" s="1"/>
  <c r="AL485" i="2" a="1"/>
  <c r="AL485" i="2" s="1"/>
  <c r="AL486" i="2" a="1"/>
  <c r="AL486" i="2" s="1"/>
  <c r="AL487" i="2" a="1"/>
  <c r="AL487" i="2" s="1"/>
  <c r="AL488" i="2" a="1"/>
  <c r="AL488" i="2" s="1"/>
  <c r="AL489" i="2" a="1"/>
  <c r="AL489" i="2" s="1"/>
  <c r="AL490" i="2" a="1"/>
  <c r="AL490" i="2" s="1"/>
  <c r="AL491" i="2" a="1"/>
  <c r="AL491" i="2"/>
  <c r="AL492" i="2" a="1"/>
  <c r="AL492" i="2" s="1"/>
  <c r="AL493" i="2" a="1"/>
  <c r="AL493" i="2" s="1"/>
  <c r="AL494" i="2" a="1"/>
  <c r="AL494" i="2" s="1"/>
  <c r="AL495" i="2" a="1"/>
  <c r="AL495" i="2" s="1"/>
  <c r="AL496" i="2" a="1"/>
  <c r="AL496" i="2" s="1"/>
  <c r="AL497" i="2" a="1"/>
  <c r="AL497" i="2" s="1"/>
  <c r="AL498" i="2" a="1"/>
  <c r="AL498" i="2" s="1"/>
  <c r="AL499" i="2" a="1"/>
  <c r="AL499" i="2" s="1"/>
  <c r="AL500" i="2" a="1"/>
  <c r="AL500" i="2"/>
  <c r="AL501" i="2" a="1"/>
  <c r="AL501" i="2" s="1"/>
  <c r="AL502" i="2" a="1"/>
  <c r="AL502" i="2"/>
  <c r="AL503" i="2" a="1"/>
  <c r="AL503" i="2" s="1"/>
  <c r="AL504" i="2" a="1"/>
  <c r="AL504" i="2" s="1"/>
  <c r="AL505" i="2" a="1"/>
  <c r="AL505" i="2" s="1"/>
  <c r="AL506" i="2" a="1"/>
  <c r="AL506" i="2" s="1"/>
  <c r="AL507" i="2" a="1"/>
  <c r="AL507" i="2" s="1"/>
  <c r="AL508" i="2" a="1"/>
  <c r="AL508" i="2" s="1"/>
  <c r="AL509" i="2" a="1"/>
  <c r="AL509" i="2"/>
  <c r="AL510" i="2" a="1"/>
  <c r="AL510" i="2" s="1"/>
  <c r="AL511" i="2" a="1"/>
  <c r="AL511" i="2" s="1"/>
  <c r="AL512" i="2" a="1"/>
  <c r="AL512" i="2" s="1"/>
  <c r="AL513" i="2" a="1"/>
  <c r="AL513" i="2" s="1"/>
  <c r="AL514" i="2" a="1"/>
  <c r="AL514" i="2" s="1"/>
  <c r="AL515" i="2" a="1"/>
  <c r="AL515" i="2" s="1"/>
  <c r="AL516" i="2" a="1"/>
  <c r="AL516" i="2"/>
  <c r="AL517" i="2" a="1"/>
  <c r="AL517" i="2" s="1"/>
  <c r="AL518" i="2" a="1"/>
  <c r="AL518" i="2" s="1"/>
  <c r="AL519" i="2" a="1"/>
  <c r="AL519" i="2" s="1"/>
  <c r="AL520" i="2" a="1"/>
  <c r="AL520" i="2" s="1"/>
  <c r="AL521" i="2" a="1"/>
  <c r="AL521" i="2" s="1"/>
  <c r="AL522" i="2" a="1"/>
  <c r="AL522" i="2" s="1"/>
  <c r="AL523" i="2" a="1"/>
  <c r="AL523" i="2" s="1"/>
  <c r="AL524" i="2" a="1"/>
  <c r="AL524" i="2" s="1"/>
  <c r="AL525" i="2" a="1"/>
  <c r="AL525" i="2" s="1"/>
  <c r="AL526" i="2" a="1"/>
  <c r="AL526" i="2"/>
  <c r="AL527" i="2" a="1"/>
  <c r="AL527" i="2"/>
  <c r="AL528" i="2" a="1"/>
  <c r="AL528" i="2" s="1"/>
  <c r="AL529" i="2" a="1"/>
  <c r="AL529" i="2" s="1"/>
  <c r="AL530" i="2" a="1"/>
  <c r="AL530" i="2"/>
  <c r="AL531" i="2" a="1"/>
  <c r="AL531" i="2"/>
  <c r="AL532" i="2" a="1"/>
  <c r="AL532" i="2"/>
  <c r="AL533" i="2" a="1"/>
  <c r="AL533" i="2" s="1"/>
  <c r="AL534" i="2" a="1"/>
  <c r="AL534" i="2" s="1"/>
  <c r="AL535" i="2" a="1"/>
  <c r="AL535" i="2" s="1"/>
  <c r="AL536" i="2" a="1"/>
  <c r="AL536" i="2" s="1"/>
  <c r="AL537" i="2" a="1"/>
  <c r="AL537" i="2" s="1"/>
  <c r="AL538" i="2" a="1"/>
  <c r="AL538" i="2" s="1"/>
  <c r="AL539" i="2" a="1"/>
  <c r="AL539" i="2" s="1"/>
  <c r="AL540" i="2" a="1"/>
  <c r="AL540" i="2"/>
  <c r="AL541" i="2" a="1"/>
  <c r="AL541" i="2" s="1"/>
  <c r="AL542" i="2" a="1"/>
  <c r="AL542" i="2"/>
  <c r="AL543" i="2" a="1"/>
  <c r="AL543" i="2" s="1"/>
  <c r="AL544" i="2" a="1"/>
  <c r="AL544" i="2"/>
  <c r="AL545" i="2" a="1"/>
  <c r="AL545" i="2"/>
  <c r="AL546" i="2" a="1"/>
  <c r="AL546" i="2" s="1"/>
  <c r="AL547" i="2" a="1"/>
  <c r="AL547" i="2" s="1"/>
  <c r="AL548" i="2" a="1"/>
  <c r="AL548" i="2"/>
  <c r="AL549" i="2" a="1"/>
  <c r="AL549" i="2"/>
  <c r="AL550" i="2" a="1"/>
  <c r="AL550" i="2" s="1"/>
  <c r="AL551" i="2" a="1"/>
  <c r="AL551" i="2" s="1"/>
  <c r="AL552" i="2" a="1"/>
  <c r="AL552" i="2" s="1"/>
  <c r="AL553" i="2" a="1"/>
  <c r="AL553" i="2" s="1"/>
  <c r="AL554" i="2" a="1"/>
  <c r="AL554" i="2"/>
  <c r="AL555" i="2" a="1"/>
  <c r="AL555" i="2"/>
  <c r="AL556" i="2" a="1"/>
  <c r="AL556" i="2"/>
  <c r="AL557" i="2" a="1"/>
  <c r="AL557" i="2" s="1"/>
  <c r="AL558" i="2" a="1"/>
  <c r="AL558" i="2"/>
  <c r="AL559" i="2" a="1"/>
  <c r="AL559" i="2" s="1"/>
  <c r="AL560" i="2" a="1"/>
  <c r="AL560" i="2" s="1"/>
  <c r="AL561" i="2" a="1"/>
  <c r="AL561" i="2"/>
  <c r="AL562" i="2" a="1"/>
  <c r="AL562" i="2" s="1"/>
  <c r="AL563" i="2" a="1"/>
  <c r="AL563" i="2" s="1"/>
  <c r="AL564" i="2" a="1"/>
  <c r="AL564" i="2" s="1"/>
  <c r="AL565" i="2" a="1"/>
  <c r="AL565" i="2" s="1"/>
  <c r="AL566" i="2" a="1"/>
  <c r="AL566" i="2"/>
  <c r="AL567" i="2" a="1"/>
  <c r="AL567" i="2"/>
  <c r="AL568" i="2" a="1"/>
  <c r="AL568" i="2"/>
  <c r="AL569" i="2" a="1"/>
  <c r="AL569" i="2"/>
  <c r="AL570" i="2" a="1"/>
  <c r="AL570" i="2"/>
  <c r="AL571" i="2" a="1"/>
  <c r="AL571" i="2" s="1"/>
  <c r="AL572" i="2" a="1"/>
  <c r="AL572" i="2" s="1"/>
  <c r="AL573" i="2" a="1"/>
  <c r="AL573" i="2" s="1"/>
  <c r="AL574" i="2" a="1"/>
  <c r="AL574" i="2" s="1"/>
  <c r="AL575" i="2" a="1"/>
  <c r="AL575" i="2" s="1"/>
  <c r="AL576" i="2" a="1"/>
  <c r="AL576" i="2" s="1"/>
  <c r="AL577" i="2" a="1"/>
  <c r="AL577" i="2" s="1"/>
  <c r="AL578" i="2" a="1"/>
  <c r="AL578" i="2"/>
  <c r="AL579" i="2" a="1"/>
  <c r="AL579" i="2" s="1"/>
  <c r="AL580" i="2" a="1"/>
  <c r="AL580" i="2" s="1"/>
  <c r="AL581" i="2" a="1"/>
  <c r="AL581" i="2" s="1"/>
  <c r="AL582" i="2" a="1"/>
  <c r="AL582" i="2" s="1"/>
  <c r="AL583" i="2" a="1"/>
  <c r="AL583" i="2" s="1"/>
  <c r="AL584" i="2" a="1"/>
  <c r="AL584" i="2"/>
  <c r="AL585" i="2" a="1"/>
  <c r="AL585" i="2"/>
  <c r="AL586" i="2" a="1"/>
  <c r="AL586" i="2" s="1"/>
  <c r="AL587" i="2" a="1"/>
  <c r="AL587" i="2" s="1"/>
  <c r="AL588" i="2" a="1"/>
  <c r="AL588" i="2" s="1"/>
  <c r="AL589" i="2" a="1"/>
  <c r="AL589" i="2" s="1"/>
  <c r="AL590" i="2" a="1"/>
  <c r="AL590" i="2" s="1"/>
  <c r="AL591" i="2" a="1"/>
  <c r="AL591" i="2"/>
  <c r="AL592" i="2" a="1"/>
  <c r="AL592" i="2" s="1"/>
  <c r="AL593" i="2" a="1"/>
  <c r="AL593" i="2" s="1"/>
  <c r="AL594" i="2" a="1"/>
  <c r="AL594" i="2" s="1"/>
  <c r="AL595" i="2" a="1"/>
  <c r="AL595" i="2" s="1"/>
  <c r="AL596" i="2" a="1"/>
  <c r="AL596" i="2"/>
  <c r="AL597" i="2" a="1"/>
  <c r="AL597" i="2"/>
  <c r="AL598" i="2" a="1"/>
  <c r="AL598" i="2"/>
  <c r="AL599" i="2" a="1"/>
  <c r="AL599" i="2"/>
  <c r="AL600" i="2" a="1"/>
  <c r="AL600" i="2"/>
  <c r="AL601" i="2" a="1"/>
  <c r="AL601" i="2" s="1"/>
  <c r="AL602" i="2" a="1"/>
  <c r="AL602" i="2" s="1"/>
  <c r="AL603" i="2" a="1"/>
  <c r="AL603" i="2" s="1"/>
  <c r="AL604" i="2" a="1"/>
  <c r="AL604" i="2" s="1"/>
  <c r="AL605" i="2" a="1"/>
  <c r="AL605" i="2" s="1"/>
  <c r="AL606" i="2" a="1"/>
  <c r="AL606" i="2" s="1"/>
  <c r="AL607" i="2" a="1"/>
  <c r="AL607" i="2" s="1"/>
  <c r="AL608" i="2" a="1"/>
  <c r="AL608" i="2"/>
  <c r="AL609" i="2" a="1"/>
  <c r="AL609" i="2" s="1"/>
  <c r="AL610" i="2" a="1"/>
  <c r="AL610" i="2" s="1"/>
  <c r="AL611" i="2" a="1"/>
  <c r="AL611" i="2"/>
  <c r="AL612" i="2" a="1"/>
  <c r="AL612" i="2"/>
  <c r="AL613" i="2" a="1"/>
  <c r="AL613" i="2" s="1"/>
  <c r="AL614" i="2" a="1"/>
  <c r="AL614" i="2"/>
  <c r="AL615" i="2" a="1"/>
  <c r="AL615" i="2"/>
  <c r="AL616" i="2" a="1"/>
  <c r="AL616" i="2" s="1"/>
  <c r="AL617" i="2" a="1"/>
  <c r="AL617" i="2" s="1"/>
  <c r="AL618" i="2" a="1"/>
  <c r="AL618" i="2" s="1"/>
  <c r="AL619" i="2" a="1"/>
  <c r="AL619" i="2" s="1"/>
  <c r="AL620" i="2" a="1"/>
  <c r="AL620" i="2"/>
  <c r="AL621" i="2" a="1"/>
  <c r="AL621" i="2"/>
  <c r="AL622" i="2" a="1"/>
  <c r="AL622" i="2"/>
  <c r="AL623" i="2" a="1"/>
  <c r="AL623" i="2"/>
  <c r="AL624" i="2" a="1"/>
  <c r="AL624" i="2" s="1"/>
  <c r="AL625" i="2" a="1"/>
  <c r="AL625" i="2" s="1"/>
  <c r="AL626" i="2" a="1"/>
  <c r="AL626" i="2"/>
  <c r="AL627" i="2" a="1"/>
  <c r="AL627" i="2"/>
  <c r="AL628" i="2" a="1"/>
  <c r="AL628" i="2"/>
  <c r="AL629" i="2" a="1"/>
  <c r="AL629" i="2"/>
  <c r="AL630" i="2" a="1"/>
  <c r="AL630" i="2" s="1"/>
  <c r="AL631" i="2" a="1"/>
  <c r="AL631" i="2" s="1"/>
  <c r="AL632" i="2" a="1"/>
  <c r="AL632" i="2" s="1"/>
  <c r="AL633" i="2" a="1"/>
  <c r="AL633" i="2"/>
  <c r="AL634" i="2" a="1"/>
  <c r="AL634" i="2"/>
  <c r="AL635" i="2" a="1"/>
  <c r="AL635" i="2"/>
  <c r="AL636" i="2" a="1"/>
  <c r="AL636" i="2"/>
  <c r="AL637" i="2" a="1"/>
  <c r="AL637" i="2" s="1"/>
  <c r="AL638" i="2" a="1"/>
  <c r="AL638" i="2" s="1"/>
  <c r="AL639" i="2" a="1"/>
  <c r="AL639" i="2" s="1"/>
  <c r="AL640" i="2" a="1"/>
  <c r="AL640" i="2" s="1"/>
  <c r="AL641" i="2" a="1"/>
  <c r="AL641" i="2" s="1"/>
  <c r="AL642" i="2" a="1"/>
  <c r="AL642" i="2" s="1"/>
  <c r="AL643" i="2" a="1"/>
  <c r="AL643" i="2" s="1"/>
  <c r="AL644" i="2" a="1"/>
  <c r="AL644" i="2"/>
  <c r="AL645" i="2" a="1"/>
  <c r="AL645" i="2"/>
  <c r="AL646" i="2" a="1"/>
  <c r="AL646" i="2" s="1"/>
  <c r="AL647" i="2" a="1"/>
  <c r="AL647" i="2"/>
  <c r="AL648" i="2" a="1"/>
  <c r="AL648" i="2"/>
  <c r="AL649" i="2" a="1"/>
  <c r="AL649" i="2" s="1"/>
  <c r="AL650" i="2" a="1"/>
  <c r="AL650" i="2"/>
  <c r="AL651" i="2" a="1"/>
  <c r="AL651" i="2" s="1"/>
  <c r="AL652" i="2" a="1"/>
  <c r="AL652" i="2" s="1"/>
  <c r="AL653" i="2" a="1"/>
  <c r="AL653" i="2" s="1"/>
  <c r="AL654" i="2" a="1"/>
  <c r="AL654" i="2" s="1"/>
  <c r="AL655" i="2" a="1"/>
  <c r="AL655" i="2" s="1"/>
  <c r="AL656" i="2" a="1"/>
  <c r="AL656" i="2"/>
  <c r="AL657" i="2" a="1"/>
  <c r="AL657" i="2"/>
  <c r="AL658" i="2" a="1"/>
  <c r="AL658" i="2"/>
  <c r="AL659" i="2" a="1"/>
  <c r="AL659" i="2"/>
  <c r="AL660" i="2" a="1"/>
  <c r="AL660" i="2" s="1"/>
  <c r="AL661" i="2" a="1"/>
  <c r="AL661" i="2" s="1"/>
  <c r="AL662" i="2" a="1"/>
  <c r="AL662" i="2"/>
  <c r="AL663" i="2" a="1"/>
  <c r="AL663" i="2"/>
  <c r="AL664" i="2" a="1"/>
  <c r="AL664" i="2" s="1"/>
  <c r="AL665" i="2" a="1"/>
  <c r="AL665" i="2" s="1"/>
  <c r="AL666" i="2" a="1"/>
  <c r="AL666" i="2"/>
  <c r="AL667" i="2" a="1"/>
  <c r="AL667" i="2" s="1"/>
  <c r="AL668" i="2" a="1"/>
  <c r="AL668" i="2" s="1"/>
  <c r="AL669" i="2" a="1"/>
  <c r="AL669" i="2" s="1"/>
  <c r="AL670" i="2" a="1"/>
  <c r="AL670" i="2"/>
  <c r="AL671" i="2" a="1"/>
  <c r="AL671" i="2"/>
  <c r="AL672" i="2" a="1"/>
  <c r="AL672" i="2"/>
  <c r="AL673" i="2" a="1"/>
  <c r="AL673" i="2" s="1"/>
  <c r="AL674" i="2" a="1"/>
  <c r="AL674" i="2"/>
  <c r="AL675" i="2" a="1"/>
  <c r="AL675" i="2" s="1"/>
  <c r="AL676" i="2" a="1"/>
  <c r="AL676" i="2" s="1"/>
  <c r="AL677" i="2" a="1"/>
  <c r="AL677" i="2" s="1"/>
  <c r="AL678" i="2" a="1"/>
  <c r="AL678" i="2" s="1"/>
  <c r="AL679" i="2" a="1"/>
  <c r="AL679" i="2" s="1"/>
  <c r="AL680" i="2" a="1"/>
  <c r="AL680" i="2"/>
  <c r="AL681" i="2" a="1"/>
  <c r="AL681" i="2" s="1"/>
  <c r="AL682" i="2" a="1"/>
  <c r="AL682" i="2" s="1"/>
  <c r="AL683" i="2" a="1"/>
  <c r="AL683" i="2"/>
  <c r="AL684" i="2" a="1"/>
  <c r="AL684" i="2" s="1"/>
  <c r="AL685" i="2" a="1"/>
  <c r="AL685" i="2" s="1"/>
  <c r="AL686" i="2" a="1"/>
  <c r="AL686" i="2" s="1"/>
  <c r="AL687" i="2" a="1"/>
  <c r="AL687" i="2" s="1"/>
  <c r="AL688" i="2" a="1"/>
  <c r="AL688" i="2"/>
  <c r="AL689" i="2" a="1"/>
  <c r="AL689" i="2"/>
  <c r="AL690" i="2" a="1"/>
  <c r="AL690" i="2" s="1"/>
  <c r="AL691" i="2" a="1"/>
  <c r="AL691" i="2" s="1"/>
  <c r="AL692" i="2" a="1"/>
  <c r="AL692" i="2" s="1"/>
  <c r="AL693" i="2" a="1"/>
  <c r="AL693" i="2"/>
  <c r="AL694" i="2" a="1"/>
  <c r="AL694" i="2" s="1"/>
  <c r="AL695" i="2" a="1"/>
  <c r="AL695" i="2" s="1"/>
  <c r="AL696" i="2" a="1"/>
  <c r="AL696" i="2"/>
  <c r="AL697" i="2" a="1"/>
  <c r="AL697" i="2" s="1"/>
  <c r="AL698" i="2" a="1"/>
  <c r="AL698" i="2" s="1"/>
  <c r="AL699" i="2" a="1"/>
  <c r="AL699" i="2" s="1"/>
  <c r="AL700" i="2" a="1"/>
  <c r="AL700" i="2" s="1"/>
  <c r="AL701" i="2" a="1"/>
  <c r="AL701" i="2" s="1"/>
  <c r="AL702" i="2" a="1"/>
  <c r="AL702" i="2"/>
  <c r="AL703" i="2" a="1"/>
  <c r="AL703" i="2" s="1"/>
  <c r="AL704" i="2" a="1"/>
  <c r="AL704" i="2"/>
  <c r="AL705" i="2" a="1"/>
  <c r="AL705" i="2"/>
  <c r="AL706" i="2" a="1"/>
  <c r="AL706" i="2" s="1"/>
  <c r="AL707" i="2" a="1"/>
  <c r="AL707" i="2" s="1"/>
  <c r="AL708" i="2" a="1"/>
  <c r="AL708" i="2" s="1"/>
  <c r="AL709" i="2" a="1"/>
  <c r="AL709" i="2" s="1"/>
  <c r="AL710" i="2" a="1"/>
  <c r="AL710" i="2" s="1"/>
  <c r="AL711" i="2" a="1"/>
  <c r="AL711" i="2" s="1"/>
  <c r="AL712" i="2" a="1"/>
  <c r="AL712" i="2"/>
  <c r="AL713" i="2" a="1"/>
  <c r="AL713" i="2"/>
  <c r="AL714" i="2" a="1"/>
  <c r="AL714" i="2" s="1"/>
  <c r="AL715" i="2" a="1"/>
  <c r="AL715" i="2" s="1"/>
  <c r="AL716" i="2" a="1"/>
  <c r="AL716" i="2" s="1"/>
  <c r="AL717" i="2" a="1"/>
  <c r="AL717" i="2" s="1"/>
  <c r="AL718" i="2" a="1"/>
  <c r="AL718" i="2" s="1"/>
  <c r="AL719" i="2" a="1"/>
  <c r="AL719" i="2"/>
  <c r="AL720" i="2" a="1"/>
  <c r="AL720" i="2"/>
  <c r="AL721" i="2" a="1"/>
  <c r="AL721" i="2" s="1"/>
  <c r="AL722" i="2" a="1"/>
  <c r="AL722" i="2" s="1"/>
  <c r="AL723" i="2" a="1"/>
  <c r="AL723" i="2" s="1"/>
  <c r="AL724" i="2" a="1"/>
  <c r="AL724" i="2" s="1"/>
  <c r="AL725" i="2" a="1"/>
  <c r="AL725" i="2" s="1"/>
  <c r="AL726" i="2" a="1"/>
  <c r="AL726" i="2" s="1"/>
  <c r="AL727" i="2" a="1"/>
  <c r="AL727" i="2" s="1"/>
  <c r="AL728" i="2" a="1"/>
  <c r="AL728" i="2"/>
  <c r="AL729" i="2" a="1"/>
  <c r="AL729" i="2"/>
  <c r="AL730" i="2" a="1"/>
  <c r="AL730" i="2" s="1"/>
  <c r="AL731" i="2" a="1"/>
  <c r="AL731" i="2"/>
  <c r="AL732" i="2" a="1"/>
  <c r="AL732" i="2"/>
  <c r="AL733" i="2" a="1"/>
  <c r="AL733" i="2" s="1"/>
  <c r="AL734" i="2" a="1"/>
  <c r="AL734" i="2"/>
  <c r="AL735" i="2" a="1"/>
  <c r="AL735" i="2"/>
  <c r="AL736" i="2" a="1"/>
  <c r="AL736" i="2" s="1"/>
  <c r="AL737" i="2" a="1"/>
  <c r="AL737" i="2" s="1"/>
  <c r="AL738" i="2" a="1"/>
  <c r="AL738" i="2" s="1"/>
  <c r="AL739" i="2" a="1"/>
  <c r="AL739" i="2" s="1"/>
  <c r="AL740" i="2" a="1"/>
  <c r="AL740" i="2"/>
  <c r="AL741" i="2" a="1"/>
  <c r="AL741" i="2"/>
  <c r="AL742" i="2" a="1"/>
  <c r="AL742" i="2"/>
  <c r="AL743" i="2" a="1"/>
  <c r="AL743" i="2"/>
  <c r="AL744" i="2" a="1"/>
  <c r="AL744" i="2" s="1"/>
  <c r="AL745" i="2" a="1"/>
  <c r="AL745" i="2" s="1"/>
  <c r="AL746" i="2" a="1"/>
  <c r="AL746" i="2" s="1"/>
  <c r="AL747" i="2" a="1"/>
  <c r="AL747" i="2" s="1"/>
  <c r="AL748" i="2" a="1"/>
  <c r="AL748" i="2"/>
  <c r="AL749" i="2" a="1"/>
  <c r="AL749" i="2" s="1"/>
  <c r="AL750" i="2" a="1"/>
  <c r="AL750" i="2" s="1"/>
  <c r="AL751" i="2" a="1"/>
  <c r="AL751" i="2" s="1"/>
  <c r="AL752" i="2" a="1"/>
  <c r="AL752" i="2" s="1"/>
  <c r="AL753" i="2" a="1"/>
  <c r="AL753" i="2" s="1"/>
  <c r="AL754" i="2" a="1"/>
  <c r="AL754" i="2"/>
  <c r="AL755" i="2" a="1"/>
  <c r="AL755" i="2"/>
  <c r="AL756" i="2" a="1"/>
  <c r="AL756" i="2"/>
  <c r="AL757" i="2" a="1"/>
  <c r="AL757" i="2" s="1"/>
  <c r="AL758" i="2" a="1"/>
  <c r="AL758" i="2" s="1"/>
  <c r="AL759" i="2" a="1"/>
  <c r="AL759" i="2"/>
  <c r="AL760" i="2" a="1"/>
  <c r="AL760" i="2" s="1"/>
  <c r="AL761" i="2" a="1"/>
  <c r="AL761" i="2"/>
  <c r="AL762" i="2" a="1"/>
  <c r="AL762" i="2" s="1"/>
  <c r="AL763" i="2" a="1"/>
  <c r="AL763" i="2" s="1"/>
  <c r="AL764" i="2" a="1"/>
  <c r="AL764" i="2"/>
  <c r="AL765" i="2" a="1"/>
  <c r="AL765" i="2" s="1"/>
  <c r="AL766" i="2" a="1"/>
  <c r="AL766" i="2"/>
  <c r="AL767" i="2" a="1"/>
  <c r="AL767" i="2" s="1"/>
  <c r="AL768" i="2" a="1"/>
  <c r="AL768" i="2" s="1"/>
  <c r="AL769" i="2" a="1"/>
  <c r="AL769" i="2" s="1"/>
  <c r="AL770" i="2" a="1"/>
  <c r="AL770" i="2" s="1"/>
  <c r="AL771" i="2" a="1"/>
  <c r="AL771" i="2" s="1"/>
  <c r="AL772" i="2" a="1"/>
  <c r="AL772" i="2" s="1"/>
  <c r="AL773" i="2" a="1"/>
  <c r="AL773" i="2"/>
  <c r="AL774" i="2" a="1"/>
  <c r="AL774" i="2"/>
  <c r="AL775" i="2" a="1"/>
  <c r="AL775" i="2" s="1"/>
  <c r="AL776" i="2" a="1"/>
  <c r="AL776" i="2" s="1"/>
  <c r="AL777" i="2" a="1"/>
  <c r="AL777" i="2" s="1"/>
  <c r="AL778" i="2" a="1"/>
  <c r="AL778" i="2" s="1"/>
  <c r="AL779" i="2" a="1"/>
  <c r="AL779" i="2" s="1"/>
  <c r="AL780" i="2" a="1"/>
  <c r="AL780" i="2" s="1"/>
  <c r="AL781" i="2" a="1"/>
  <c r="AL781" i="2" s="1"/>
  <c r="AL782" i="2" a="1"/>
  <c r="AL782" i="2" s="1"/>
  <c r="AL783" i="2" a="1"/>
  <c r="AL783" i="2" s="1"/>
  <c r="AL784" i="2" a="1"/>
  <c r="AL784" i="2" s="1"/>
  <c r="AL785" i="2" a="1"/>
  <c r="AL785" i="2"/>
  <c r="AL786" i="2" a="1"/>
  <c r="AL786" i="2" s="1"/>
  <c r="AL787" i="2" a="1"/>
  <c r="AL787" i="2" s="1"/>
  <c r="AL788" i="2" a="1"/>
  <c r="AL788" i="2" s="1"/>
  <c r="AL789" i="2" a="1"/>
  <c r="AL789" i="2"/>
  <c r="AL790" i="2" a="1"/>
  <c r="AL790" i="2"/>
  <c r="AL791" i="2" a="1"/>
  <c r="AL791" i="2" s="1"/>
  <c r="AL792" i="2" a="1"/>
  <c r="AL792" i="2" s="1"/>
  <c r="AL793" i="2" a="1"/>
  <c r="AL793" i="2" s="1"/>
  <c r="AL794" i="2" a="1"/>
  <c r="AL794" i="2"/>
  <c r="AL795" i="2" a="1"/>
  <c r="AL795" i="2" s="1"/>
  <c r="AL796" i="2" a="1"/>
  <c r="AL796" i="2" s="1"/>
  <c r="AL797" i="2" a="1"/>
  <c r="AL797" i="2"/>
  <c r="AL798" i="2" a="1"/>
  <c r="AL798" i="2"/>
  <c r="AL799" i="2" a="1"/>
  <c r="AL799" i="2" s="1"/>
  <c r="AL800" i="2" a="1"/>
  <c r="AL800" i="2" s="1"/>
  <c r="AL801" i="2" a="1"/>
  <c r="AL801" i="2" s="1"/>
  <c r="AL802" i="2" a="1"/>
  <c r="AL802" i="2"/>
  <c r="AL803" i="2" a="1"/>
  <c r="AL803" i="2"/>
  <c r="AL804" i="2" a="1"/>
  <c r="AL804" i="2"/>
  <c r="AL805" i="2" a="1"/>
  <c r="AL805" i="2" s="1"/>
  <c r="AL806" i="2" a="1"/>
  <c r="AL806" i="2" s="1"/>
  <c r="AL807" i="2" a="1"/>
  <c r="AL807" i="2" s="1"/>
  <c r="AL808" i="2" a="1"/>
  <c r="AL808" i="2" s="1"/>
  <c r="AL809" i="2" a="1"/>
  <c r="AL809" i="2" s="1"/>
  <c r="AL810" i="2" a="1"/>
  <c r="AL810" i="2"/>
  <c r="AL811" i="2" a="1"/>
  <c r="AL811" i="2" s="1"/>
  <c r="AL812" i="2" a="1"/>
  <c r="AL812" i="2"/>
  <c r="AL813" i="2" a="1"/>
  <c r="AL813" i="2"/>
  <c r="AL814" i="2" a="1"/>
  <c r="AL814" i="2" s="1"/>
  <c r="AL815" i="2" a="1"/>
  <c r="AL815" i="2" s="1"/>
  <c r="AL816" i="2" a="1"/>
  <c r="AL816" i="2" s="1"/>
  <c r="AL817" i="2" a="1"/>
  <c r="AL817" i="2" s="1"/>
  <c r="AL818" i="2" a="1"/>
  <c r="AL818" i="2"/>
  <c r="AL819" i="2" a="1"/>
  <c r="AL819" i="2"/>
  <c r="AL820" i="2" a="1"/>
  <c r="AL820" i="2"/>
  <c r="AL821" i="2" a="1"/>
  <c r="AL821" i="2" s="1"/>
  <c r="AL822" i="2" a="1"/>
  <c r="AL822" i="2" s="1"/>
  <c r="AL823" i="2" a="1"/>
  <c r="AL823" i="2" s="1"/>
  <c r="AL824" i="2" a="1"/>
  <c r="AL824" i="2" s="1"/>
  <c r="AL825" i="2" a="1"/>
  <c r="AL825" i="2"/>
  <c r="AL826" i="2" a="1"/>
  <c r="AL826" i="2"/>
  <c r="AL827" i="2" a="1"/>
  <c r="AL827" i="2"/>
  <c r="AL828" i="2" a="1"/>
  <c r="AL828" i="2"/>
  <c r="AL829" i="2" a="1"/>
  <c r="AL829" i="2" s="1"/>
  <c r="AL830" i="2" a="1"/>
  <c r="AL830" i="2" s="1"/>
  <c r="AL831" i="2" a="1"/>
  <c r="AL831" i="2" s="1"/>
  <c r="AL832" i="2" a="1"/>
  <c r="AL832" i="2" s="1"/>
  <c r="AL833" i="2" a="1"/>
  <c r="AL833" i="2"/>
  <c r="AL834" i="2" a="1"/>
  <c r="AL834" i="2" s="1"/>
  <c r="AL835" i="2" a="1"/>
  <c r="AL835" i="2" s="1"/>
  <c r="AL836" i="2" a="1"/>
  <c r="AL836" i="2" s="1"/>
  <c r="AL837" i="2" a="1"/>
  <c r="AL837" i="2" s="1"/>
  <c r="AL838" i="2" a="1"/>
  <c r="AL838" i="2" s="1"/>
  <c r="AL839" i="2" a="1"/>
  <c r="AL839" i="2" s="1"/>
  <c r="AL840" i="2" a="1"/>
  <c r="AL840" i="2"/>
  <c r="AL841" i="2" a="1"/>
  <c r="AL841" i="2" s="1"/>
  <c r="AL842" i="2" a="1"/>
  <c r="AL842" i="2" s="1"/>
  <c r="AL843" i="2" a="1"/>
  <c r="AL843" i="2" s="1"/>
  <c r="AL844" i="2" a="1"/>
  <c r="AL844" i="2" s="1"/>
  <c r="AL845" i="2" a="1"/>
  <c r="AL845" i="2"/>
  <c r="AL846" i="2" a="1"/>
  <c r="AL846" i="2" s="1"/>
  <c r="AL847" i="2" a="1"/>
  <c r="AL847" i="2" s="1"/>
  <c r="AL848" i="2" a="1"/>
  <c r="AL848" i="2" s="1"/>
  <c r="AL849" i="2" a="1"/>
  <c r="AL849" i="2"/>
  <c r="AL850" i="2" a="1"/>
  <c r="AL850" i="2" s="1"/>
  <c r="AL851" i="2" a="1"/>
  <c r="AL851" i="2" s="1"/>
  <c r="AL852" i="2" a="1"/>
  <c r="AL852" i="2" s="1"/>
  <c r="AL853" i="2" a="1"/>
  <c r="AL853" i="2" s="1"/>
  <c r="AL854" i="2" a="1"/>
  <c r="AL854" i="2" s="1"/>
  <c r="AL855" i="2" a="1"/>
  <c r="AL855" i="2" s="1"/>
  <c r="AL856" i="2" a="1"/>
  <c r="AL856" i="2"/>
  <c r="AL857" i="2" a="1"/>
  <c r="AL857" i="2" s="1"/>
  <c r="AL858" i="2" a="1"/>
  <c r="AL858" i="2"/>
  <c r="AL859" i="2" a="1"/>
  <c r="AL859" i="2" s="1"/>
  <c r="AL860" i="2" a="1"/>
  <c r="AL860" i="2" s="1"/>
  <c r="AL861" i="2" a="1"/>
  <c r="AL861" i="2"/>
  <c r="AL862" i="2" a="1"/>
  <c r="AL862" i="2" s="1"/>
  <c r="AL863" i="2" a="1"/>
  <c r="AL863" i="2"/>
  <c r="AL864" i="2" a="1"/>
  <c r="AL864" i="2" s="1"/>
  <c r="AL865" i="2" a="1"/>
  <c r="AL865" i="2" s="1"/>
  <c r="AL866" i="2" a="1"/>
  <c r="AL866" i="2" s="1"/>
  <c r="AL867" i="2" a="1"/>
  <c r="AL867" i="2" s="1"/>
  <c r="AL868" i="2" a="1"/>
  <c r="AL868" i="2" s="1"/>
  <c r="AL869" i="2" a="1"/>
  <c r="AL869" i="2"/>
  <c r="AL870" i="2" a="1"/>
  <c r="AL870" i="2" s="1"/>
  <c r="AL871" i="2" a="1"/>
  <c r="AL871" i="2" s="1"/>
  <c r="AL872" i="2" a="1"/>
  <c r="AL872" i="2" s="1"/>
  <c r="AL873" i="2" a="1"/>
  <c r="AL873" i="2"/>
  <c r="AL874" i="2" a="1"/>
  <c r="AL874" i="2" s="1"/>
  <c r="AL875" i="2" a="1"/>
  <c r="AL875" i="2" s="1"/>
  <c r="AL876" i="2" a="1"/>
  <c r="AL876" i="2"/>
  <c r="AL877" i="2" a="1"/>
  <c r="AL877" i="2" s="1"/>
  <c r="AL878" i="2" a="1"/>
  <c r="AL878" i="2" s="1"/>
  <c r="AL879" i="2" a="1"/>
  <c r="AL879" i="2" s="1"/>
  <c r="AL880" i="2" a="1"/>
  <c r="AL880" i="2"/>
  <c r="AL881" i="2" a="1"/>
  <c r="AL881" i="2"/>
  <c r="AL882" i="2" a="1"/>
  <c r="AL882" i="2" s="1"/>
  <c r="AL883" i="2" a="1"/>
  <c r="AL883" i="2" s="1"/>
  <c r="AL884" i="2" a="1"/>
  <c r="AL884" i="2" s="1"/>
  <c r="AL885" i="2" a="1"/>
  <c r="AL885" i="2" s="1"/>
  <c r="AL886" i="2" a="1"/>
  <c r="AL886" i="2" s="1"/>
  <c r="AL887" i="2" a="1"/>
  <c r="AL887" i="2"/>
  <c r="AL888" i="2" a="1"/>
  <c r="AL888" i="2"/>
  <c r="AL889" i="2" a="1"/>
  <c r="AL889" i="2" s="1"/>
  <c r="AL890" i="2" a="1"/>
  <c r="AL890" i="2" s="1"/>
  <c r="AL891" i="2" a="1"/>
  <c r="AL891" i="2" s="1"/>
  <c r="AL892" i="2" a="1"/>
  <c r="AL892" i="2"/>
  <c r="AL893" i="2" a="1"/>
  <c r="AL893" i="2" s="1"/>
  <c r="AL894" i="2" a="1"/>
  <c r="AL894" i="2"/>
  <c r="AL895" i="2" a="1"/>
  <c r="AL895" i="2" s="1"/>
  <c r="AL896" i="2" a="1"/>
  <c r="AL896" i="2" s="1"/>
  <c r="AL897" i="2" a="1"/>
  <c r="AL897" i="2"/>
  <c r="AL898" i="2" a="1"/>
  <c r="AL898" i="2" s="1"/>
  <c r="AL899" i="2" a="1"/>
  <c r="AL899" i="2"/>
  <c r="AL900" i="2" a="1"/>
  <c r="AL900" i="2" s="1"/>
  <c r="AL901" i="2" a="1"/>
  <c r="AL901" i="2" s="1"/>
  <c r="AL902" i="2" a="1"/>
  <c r="AL902" i="2" s="1"/>
  <c r="AL903" i="2" a="1"/>
  <c r="AL903" i="2"/>
  <c r="AL904" i="2" a="1"/>
  <c r="AL904" i="2"/>
  <c r="AL905" i="2" a="1"/>
  <c r="AL905" i="2" s="1"/>
  <c r="AL906" i="2" a="1"/>
  <c r="AL906" i="2" s="1"/>
  <c r="AL907" i="2" a="1"/>
  <c r="AL907" i="2" s="1"/>
  <c r="AL908" i="2" a="1"/>
  <c r="AL908" i="2" s="1"/>
  <c r="AL909" i="2" a="1"/>
  <c r="AL909" i="2" s="1"/>
  <c r="AL910" i="2" a="1"/>
  <c r="AL910" i="2"/>
  <c r="AL911" i="2" a="1"/>
  <c r="AL911" i="2"/>
  <c r="AL912" i="2" a="1"/>
  <c r="AL912" i="2"/>
  <c r="AL913" i="2" a="1"/>
  <c r="AL913" i="2" s="1"/>
  <c r="AL914" i="2" a="1"/>
  <c r="AL914" i="2" s="1"/>
  <c r="AL915" i="2" a="1"/>
  <c r="AL915" i="2" s="1"/>
  <c r="AL916" i="2" a="1"/>
  <c r="AL916" i="2" s="1"/>
  <c r="AL917" i="2" a="1"/>
  <c r="AL917" i="2"/>
  <c r="AL918" i="2" a="1"/>
  <c r="AL918" i="2"/>
  <c r="AL919" i="2" a="1"/>
  <c r="AL919" i="2" s="1"/>
  <c r="AL920" i="2" a="1"/>
  <c r="AL920" i="2" s="1"/>
  <c r="AL921" i="2" a="1"/>
  <c r="AL921" i="2" s="1"/>
  <c r="AL922" i="2" a="1"/>
  <c r="AL922" i="2" s="1"/>
  <c r="AL923" i="2" a="1"/>
  <c r="AL923" i="2"/>
  <c r="AL924" i="2" a="1"/>
  <c r="AL924" i="2" s="1"/>
  <c r="AL925" i="2" a="1"/>
  <c r="AL925" i="2" s="1"/>
  <c r="AL926" i="2" a="1"/>
  <c r="AL926" i="2" s="1"/>
  <c r="AL927" i="2" a="1"/>
  <c r="AL927" i="2"/>
  <c r="AL928" i="2" a="1"/>
  <c r="AL928" i="2"/>
  <c r="AL929" i="2" a="1"/>
  <c r="AL929" i="2" s="1"/>
  <c r="AL930" i="2" a="1"/>
  <c r="AL930" i="2"/>
  <c r="AL931" i="2" a="1"/>
  <c r="AL931" i="2" s="1"/>
  <c r="AL932" i="2" a="1"/>
  <c r="AL932" i="2" s="1"/>
  <c r="AL933" i="2" a="1"/>
  <c r="AL933" i="2" s="1"/>
  <c r="AL934" i="2" a="1"/>
  <c r="AL934" i="2"/>
  <c r="AL935" i="2" a="1"/>
  <c r="AL935" i="2"/>
  <c r="AL936" i="2" a="1"/>
  <c r="AL936" i="2" s="1"/>
  <c r="AL937" i="2" a="1"/>
  <c r="AL937" i="2" s="1"/>
  <c r="AL938" i="2" a="1"/>
  <c r="AL938" i="2" s="1"/>
  <c r="AL939" i="2" a="1"/>
  <c r="AL939" i="2"/>
  <c r="AL940" i="2" a="1"/>
  <c r="AL940" i="2"/>
  <c r="AL941" i="2" a="1"/>
  <c r="AL941" i="2"/>
  <c r="AL942" i="2" a="1"/>
  <c r="AL942" i="2"/>
  <c r="AL943" i="2" a="1"/>
  <c r="AL943" i="2" s="1"/>
  <c r="AL944" i="2" a="1"/>
  <c r="AL944" i="2" s="1"/>
  <c r="AL945" i="2" a="1"/>
  <c r="AL945" i="2" s="1"/>
  <c r="AL946" i="2" a="1"/>
  <c r="AL946" i="2"/>
  <c r="AL947" i="2" a="1"/>
  <c r="AL947" i="2"/>
  <c r="AL948" i="2" a="1"/>
  <c r="AL948" i="2"/>
  <c r="AL949" i="2" a="1"/>
  <c r="AL949" i="2" s="1"/>
  <c r="AL950" i="2" a="1"/>
  <c r="AL950" i="2" s="1"/>
  <c r="AL951" i="2" a="1"/>
  <c r="AL951" i="2" s="1"/>
  <c r="AL952" i="2" a="1"/>
  <c r="AL952" i="2" s="1"/>
  <c r="AL953" i="2" a="1"/>
  <c r="AL953" i="2"/>
  <c r="AL954" i="2" a="1"/>
  <c r="AL954" i="2" s="1"/>
  <c r="AL955" i="2" a="1"/>
  <c r="AL955" i="2" s="1"/>
  <c r="AL956" i="2" a="1"/>
  <c r="AL956" i="2" s="1"/>
  <c r="AL957" i="2" a="1"/>
  <c r="AL957" i="2"/>
  <c r="AL958" i="2" a="1"/>
  <c r="AL958" i="2" s="1"/>
  <c r="AL959" i="2" a="1"/>
  <c r="AL959" i="2" s="1"/>
  <c r="AL960" i="2" a="1"/>
  <c r="AL960" i="2" s="1"/>
  <c r="AL961" i="2" a="1"/>
  <c r="AL961" i="2" s="1"/>
  <c r="AL962" i="2" a="1"/>
  <c r="AL962" i="2" s="1"/>
  <c r="AL963" i="2" a="1"/>
  <c r="AL963" i="2" s="1"/>
  <c r="AL964" i="2" a="1"/>
  <c r="AL964" i="2" s="1"/>
  <c r="AL965" i="2" a="1"/>
  <c r="AL965" i="2" s="1"/>
  <c r="AL966" i="2" a="1"/>
  <c r="AL966" i="2" s="1"/>
  <c r="AL967" i="2" a="1"/>
  <c r="AL967" i="2" s="1"/>
  <c r="AL968" i="2" a="1"/>
  <c r="AL968" i="2" s="1"/>
  <c r="AL969" i="2" a="1"/>
  <c r="AL969" i="2" s="1"/>
  <c r="AL970" i="2" a="1"/>
  <c r="AL970" i="2"/>
  <c r="AL971" i="2" a="1"/>
  <c r="AL971" i="2" s="1"/>
  <c r="AL972" i="2" a="1"/>
  <c r="AL972" i="2" s="1"/>
  <c r="AL973" i="2" a="1"/>
  <c r="AL973" i="2" s="1"/>
  <c r="AL974" i="2" a="1"/>
  <c r="AL974" i="2" s="1"/>
  <c r="AL975" i="2" a="1"/>
  <c r="AL975" i="2"/>
  <c r="AL976" i="2" a="1"/>
  <c r="AL976" i="2"/>
  <c r="AL977" i="2" a="1"/>
  <c r="AL977" i="2" s="1"/>
  <c r="AL978" i="2" a="1"/>
  <c r="AL978" i="2"/>
  <c r="AL979" i="2" a="1"/>
  <c r="AL979" i="2" s="1"/>
  <c r="AL980" i="2" a="1"/>
  <c r="AL980" i="2" s="1"/>
  <c r="AL981" i="2" a="1"/>
  <c r="AL981" i="2" s="1"/>
  <c r="AL982" i="2" a="1"/>
  <c r="AL982" i="2"/>
  <c r="AL983" i="2" a="1"/>
  <c r="AL983" i="2"/>
  <c r="AL984" i="2" a="1"/>
  <c r="AL984" i="2" s="1"/>
  <c r="AL985" i="2" a="1"/>
  <c r="AL985" i="2" s="1"/>
  <c r="AL986" i="2" a="1"/>
  <c r="AL986" i="2" s="1"/>
  <c r="AL987" i="2" a="1"/>
  <c r="AL987" i="2" s="1"/>
  <c r="AL988" i="2" a="1"/>
  <c r="AL988" i="2" s="1"/>
  <c r="AL989" i="2" a="1"/>
  <c r="AL989" i="2" s="1"/>
  <c r="AL990" i="2" a="1"/>
  <c r="AL990" i="2"/>
  <c r="AL991" i="2" a="1"/>
  <c r="AL991" i="2" s="1"/>
  <c r="AL992" i="2" a="1"/>
  <c r="AL992" i="2" s="1"/>
  <c r="AL993" i="2" a="1"/>
  <c r="AL993" i="2" s="1"/>
  <c r="AL994" i="2" a="1"/>
  <c r="AL994" i="2" s="1"/>
  <c r="AL995" i="2" a="1"/>
  <c r="AL995" i="2" s="1"/>
  <c r="AL996" i="2" a="1"/>
  <c r="AL996" i="2" s="1"/>
  <c r="AL997" i="2" a="1"/>
  <c r="AL997" i="2" s="1"/>
  <c r="AL998" i="2" a="1"/>
  <c r="AL998" i="2" s="1"/>
  <c r="AL999" i="2" a="1"/>
  <c r="AL999" i="2"/>
  <c r="AL1000" i="2" a="1"/>
  <c r="AL1000" i="2"/>
  <c r="AL1001" i="2" a="1"/>
  <c r="AL1001" i="2" s="1"/>
  <c r="AL1002" i="2" a="1"/>
  <c r="AL1002" i="2" s="1"/>
  <c r="AL1003" i="2" a="1"/>
  <c r="AL1003" i="2" s="1"/>
  <c r="AL1004" i="2" a="1"/>
  <c r="AL1004" i="2" s="1"/>
  <c r="AL1005" i="2" a="1"/>
  <c r="AL1005" i="2" s="1"/>
  <c r="AL1006" i="2" a="1"/>
  <c r="AL1006" i="2" s="1"/>
  <c r="AL1007" i="2" a="1"/>
  <c r="AL1007" i="2"/>
  <c r="AL1008" i="2" a="1"/>
  <c r="AL1008" i="2" s="1"/>
  <c r="AL1009" i="2" a="1"/>
  <c r="AL1009" i="2" s="1"/>
  <c r="AL1010" i="2" a="1"/>
  <c r="AL1010" i="2" s="1"/>
  <c r="AL1011" i="2" a="1"/>
  <c r="AL1011" i="2" s="1"/>
  <c r="AL1012" i="2" a="1"/>
  <c r="AL1012" i="2"/>
  <c r="AL1013" i="2" a="1"/>
  <c r="AL1013" i="2"/>
  <c r="AL1014" i="2" a="1"/>
  <c r="AL1014" i="2"/>
  <c r="AL1015" i="2" a="1"/>
  <c r="AL1015" i="2" s="1"/>
  <c r="AL1016" i="2" a="1"/>
  <c r="AL1016" i="2" s="1"/>
  <c r="AL1017" i="2" a="1"/>
  <c r="AL1017" i="2" s="1"/>
  <c r="AL1018" i="2" a="1"/>
  <c r="AL1018" i="2" s="1"/>
  <c r="AL1019" i="2" a="1"/>
  <c r="AL1019" i="2"/>
  <c r="AL1020" i="2" a="1"/>
  <c r="AL1020" i="2" s="1"/>
  <c r="AL1021" i="2" a="1"/>
  <c r="AL1021" i="2" s="1"/>
  <c r="AL1022" i="2" a="1"/>
  <c r="AL1022" i="2" s="1"/>
  <c r="AL1023" i="2" a="1"/>
  <c r="AL1023" i="2" s="1"/>
  <c r="AL1024" i="2" a="1"/>
  <c r="AL1024" i="2" s="1"/>
  <c r="AL1025" i="2" a="1"/>
  <c r="AL1025" i="2"/>
  <c r="AL1026" i="2" a="1"/>
  <c r="AL1026" i="2" s="1"/>
  <c r="AL1027" i="2" a="1"/>
  <c r="AL1027" i="2" s="1"/>
  <c r="AL1028" i="2" a="1"/>
  <c r="AL1028" i="2" s="1"/>
  <c r="AL1029" i="2" a="1"/>
  <c r="AL1029" i="2" s="1"/>
  <c r="AL1030" i="2" a="1"/>
  <c r="AL1030" i="2" s="1"/>
  <c r="AL1031" i="2" a="1"/>
  <c r="AL1031" i="2" s="1"/>
  <c r="AL1032" i="2" a="1"/>
  <c r="AL1032" i="2"/>
  <c r="AL1033" i="2" a="1"/>
  <c r="AL1033" i="2" s="1"/>
  <c r="AL1034" i="2" a="1"/>
  <c r="AL1034" i="2" s="1"/>
  <c r="AL1035" i="2" a="1"/>
  <c r="AL1035" i="2" s="1"/>
  <c r="AL1036" i="2" a="1"/>
  <c r="AL1036" i="2"/>
  <c r="AL1037" i="2" a="1"/>
  <c r="AL1037" i="2" s="1"/>
  <c r="AL1038" i="2" a="1"/>
  <c r="AL1038" i="2" s="1"/>
  <c r="AL1039" i="2" a="1"/>
  <c r="AL1039" i="2" s="1"/>
  <c r="AL1040" i="2" a="1"/>
  <c r="AL1040" i="2" s="1"/>
  <c r="AL1041" i="2" a="1"/>
  <c r="AL1041" i="2"/>
  <c r="AL1042" i="2" a="1"/>
  <c r="AL1042" i="2"/>
  <c r="AL1043" i="2" a="1"/>
  <c r="AL1043" i="2" s="1"/>
  <c r="AL1044" i="2" a="1"/>
  <c r="AL1044" i="2" s="1"/>
  <c r="AL1045" i="2" a="1"/>
  <c r="AL1045" i="2" s="1"/>
  <c r="AL1046" i="2" a="1"/>
  <c r="AL1046" i="2" s="1"/>
  <c r="AL1047" i="2" a="1"/>
  <c r="AL1047" i="2"/>
  <c r="AL1048" i="2" a="1"/>
  <c r="AL1048" i="2"/>
  <c r="AL1049" i="2" a="1"/>
  <c r="AL1049" i="2"/>
  <c r="AL1050" i="2" a="1"/>
  <c r="AL1050" i="2"/>
  <c r="AL1051" i="2" a="1"/>
  <c r="AL1051" i="2" s="1"/>
  <c r="AL1052" i="2" a="1"/>
  <c r="AL1052" i="2" s="1"/>
  <c r="AL1053" i="2" a="1"/>
  <c r="AL1053" i="2" s="1"/>
  <c r="AL1054" i="2" a="1"/>
  <c r="AL1054" i="2" s="1"/>
  <c r="AL1055" i="2" a="1"/>
  <c r="AL1055" i="2" s="1"/>
  <c r="AL1056" i="2" a="1"/>
  <c r="AL1056" i="2"/>
  <c r="AL1057" i="2" a="1"/>
  <c r="AL1057" i="2" s="1"/>
  <c r="AL1058" i="2" a="1"/>
  <c r="AL1058" i="2" s="1"/>
  <c r="AL1059" i="2" a="1"/>
  <c r="AL1059" i="2" s="1"/>
  <c r="AL1060" i="2" a="1"/>
  <c r="AL1060" i="2" s="1"/>
  <c r="AL1061" i="2" a="1"/>
  <c r="AL1061" i="2"/>
  <c r="AL1062" i="2" a="1"/>
  <c r="AL1062" i="2" s="1"/>
  <c r="AL1063" i="2" a="1"/>
  <c r="AL1063" i="2"/>
  <c r="AL1064" i="2" a="1"/>
  <c r="AL1064" i="2"/>
  <c r="AL1065" i="2" a="1"/>
  <c r="AL1065" i="2"/>
  <c r="AL1066" i="2" a="1"/>
  <c r="AL1066" i="2"/>
  <c r="AL1067" i="2" a="1"/>
  <c r="AL1067" i="2" s="1"/>
  <c r="AL1068" i="2" a="1"/>
  <c r="AL1068" i="2" s="1"/>
  <c r="AL1069" i="2" a="1"/>
  <c r="AL1069" i="2" s="1"/>
  <c r="AL1070" i="2" a="1"/>
  <c r="AL1070" i="2" s="1"/>
  <c r="AL1071" i="2" a="1"/>
  <c r="AL1071" i="2"/>
  <c r="AL1072" i="2" a="1"/>
  <c r="AL1072" i="2" s="1"/>
  <c r="AL1073" i="2" a="1"/>
  <c r="AL1073" i="2" s="1"/>
  <c r="AL1074" i="2" a="1"/>
  <c r="AL1074" i="2" s="1"/>
  <c r="AL1075" i="2" a="1"/>
  <c r="AL1075" i="2" s="1"/>
  <c r="AL1076" i="2" a="1"/>
  <c r="AL1076" i="2"/>
  <c r="AL1077" i="2" a="1"/>
  <c r="AL1077" i="2"/>
  <c r="AL1078" i="2" a="1"/>
  <c r="AL1078" i="2"/>
  <c r="AL1079" i="2" a="1"/>
  <c r="AL1079" i="2"/>
  <c r="AL1080" i="2" a="1"/>
  <c r="AL1080" i="2" s="1"/>
  <c r="AL1081" i="2" a="1"/>
  <c r="AL1081" i="2" s="1"/>
  <c r="AL1082" i="2" a="1"/>
  <c r="AL1082" i="2" s="1"/>
  <c r="AL1083" i="2" a="1"/>
  <c r="AL1083" i="2" s="1"/>
  <c r="AL1084" i="2" a="1"/>
  <c r="AL1084" i="2" s="1"/>
  <c r="AL1085" i="2" a="1"/>
  <c r="AL1085" i="2" s="1"/>
  <c r="AL1086" i="2" a="1"/>
  <c r="AL1086" i="2" s="1"/>
  <c r="AL1087" i="2" a="1"/>
  <c r="AL1087" i="2"/>
  <c r="AL1088" i="2" a="1"/>
  <c r="AL1088" i="2" s="1"/>
  <c r="AL1089" i="2" a="1"/>
  <c r="AL1089" i="2" s="1"/>
  <c r="AL1090" i="2" a="1"/>
  <c r="AL1090" i="2" s="1"/>
  <c r="AL1091" i="2" a="1"/>
  <c r="AL1091" i="2" s="1"/>
  <c r="AL1092" i="2" a="1"/>
  <c r="AL1092" i="2" s="1"/>
  <c r="AL1093" i="2" a="1"/>
  <c r="AL1093" i="2" s="1"/>
  <c r="AL1094" i="2" a="1"/>
  <c r="AL1094" i="2" s="1"/>
  <c r="AL1095" i="2" a="1"/>
  <c r="AL1095" i="2"/>
  <c r="AL1096" i="2" a="1"/>
  <c r="AL1096" i="2"/>
  <c r="AL1097" i="2" a="1"/>
  <c r="AL1097" i="2"/>
  <c r="AL1098" i="2" a="1"/>
  <c r="AL1098" i="2" s="1"/>
  <c r="AL1099" i="2" a="1"/>
  <c r="AL1099" i="2" s="1"/>
  <c r="AL1100" i="2" a="1"/>
  <c r="AL1100" i="2" s="1"/>
  <c r="AL1101" i="2" a="1"/>
  <c r="AL1101" i="2"/>
  <c r="AL1102" i="2" a="1"/>
  <c r="AL1102" i="2"/>
  <c r="AL1103" i="2" a="1"/>
  <c r="AL1103" i="2" s="1"/>
  <c r="AL1104" i="2" a="1"/>
  <c r="AL1104" i="2" s="1"/>
  <c r="AL1105" i="2" a="1"/>
  <c r="AL1105" i="2"/>
  <c r="AL1106" i="2" a="1"/>
  <c r="AL1106" i="2" s="1"/>
  <c r="AL1107" i="2" a="1"/>
  <c r="AL1107" i="2" s="1"/>
  <c r="AL1108" i="2" a="1"/>
  <c r="AL1108" i="2"/>
  <c r="AL1109" i="2" a="1"/>
  <c r="AL1109" i="2"/>
  <c r="AL1110" i="2" a="1"/>
  <c r="AL1110" i="2" s="1"/>
  <c r="AL1111" i="2" a="1"/>
  <c r="AL1111" i="2"/>
  <c r="AL1112" i="2" a="1"/>
  <c r="AL1112" i="2" s="1"/>
  <c r="AL1113" i="2" a="1"/>
  <c r="AL1113" i="2" s="1"/>
  <c r="AL1114" i="2" a="1"/>
  <c r="AL1114" i="2" s="1"/>
  <c r="AL1115" i="2" a="1"/>
  <c r="AL1115" i="2"/>
  <c r="AL1116" i="2" a="1"/>
  <c r="AL1116" i="2" s="1"/>
  <c r="AL1117" i="2" a="1"/>
  <c r="AL1117" i="2"/>
  <c r="AL1118" i="2" a="1"/>
  <c r="AL1118" i="2" s="1"/>
  <c r="AL1119" i="2" a="1"/>
  <c r="AL1119" i="2" s="1"/>
  <c r="AL1120" i="2" a="1"/>
  <c r="AL1120" i="2" s="1"/>
  <c r="AL1121" i="2" a="1"/>
  <c r="AL1121" i="2" s="1"/>
  <c r="AL1122" i="2" a="1"/>
  <c r="AL1122" i="2" s="1"/>
  <c r="AL1123" i="2" a="1"/>
  <c r="AL1123" i="2"/>
  <c r="AL1124" i="2" a="1"/>
  <c r="AL1124" i="2" s="1"/>
  <c r="AL1125" i="2" a="1"/>
  <c r="AL1125" i="2" s="1"/>
  <c r="AL1126" i="2" a="1"/>
  <c r="AL1126" i="2" s="1"/>
  <c r="AL1127" i="2" a="1"/>
  <c r="AL1127" i="2" s="1"/>
  <c r="AL1128" i="2" a="1"/>
  <c r="AL1128" i="2" s="1"/>
  <c r="AL1129" i="2" a="1"/>
  <c r="AL1129" i="2" s="1"/>
  <c r="AL1130" i="2" a="1"/>
  <c r="AL1130" i="2" s="1"/>
  <c r="AL1131" i="2" a="1"/>
  <c r="AL1131" i="2"/>
  <c r="AL1132" i="2" a="1"/>
  <c r="AL1132" i="2"/>
  <c r="AL1133" i="2" a="1"/>
  <c r="AL1133" i="2"/>
  <c r="AL1134" i="2" a="1"/>
  <c r="AL1134" i="2" s="1"/>
  <c r="AL1135" i="2" a="1"/>
  <c r="AL1135" i="2" s="1"/>
  <c r="AL1136" i="2" a="1"/>
  <c r="AL1136" i="2" s="1"/>
  <c r="AL1137" i="2" a="1"/>
  <c r="AL1137" i="2" s="1"/>
  <c r="AL1138" i="2" a="1"/>
  <c r="AL1138" i="2"/>
  <c r="AL1139" i="2" a="1"/>
  <c r="AL1139" i="2"/>
  <c r="AL1140" i="2" a="1"/>
  <c r="AL1140" i="2" s="1"/>
  <c r="AL1141" i="2" a="1"/>
  <c r="AL1141" i="2"/>
  <c r="AL1142" i="2" a="1"/>
  <c r="AL1142" i="2" s="1"/>
  <c r="AL1143" i="2" a="1"/>
  <c r="AL1143" i="2" s="1"/>
  <c r="AL1144" i="2" a="1"/>
  <c r="AL1144" i="2" s="1"/>
  <c r="AL1145" i="2" a="1"/>
  <c r="AL1145" i="2"/>
  <c r="AL1146" i="2" a="1"/>
  <c r="AL1146" i="2" s="1"/>
  <c r="AL1147" i="2" a="1"/>
  <c r="AL1147" i="2"/>
  <c r="AL1148" i="2" a="1"/>
  <c r="AL1148" i="2" s="1"/>
  <c r="AL1149" i="2" a="1"/>
  <c r="AL1149" i="2" s="1"/>
  <c r="AL1150" i="2" a="1"/>
  <c r="AL1150" i="2" s="1"/>
  <c r="AL1151" i="2" a="1"/>
  <c r="AL1151" i="2" s="1"/>
  <c r="AL1152" i="2" a="1"/>
  <c r="AL1152" i="2" s="1"/>
  <c r="AL1153" i="2" a="1"/>
  <c r="AL1153" i="2"/>
  <c r="AL1154" i="2" a="1"/>
  <c r="AL1154" i="2" s="1"/>
  <c r="AL1155" i="2" a="1"/>
  <c r="AL1155" i="2" s="1"/>
  <c r="AL1156" i="2" a="1"/>
  <c r="AL1156" i="2" s="1"/>
  <c r="AL1157" i="2" a="1"/>
  <c r="AL1157" i="2" s="1"/>
  <c r="AL1158" i="2" a="1"/>
  <c r="AL1158" i="2" s="1"/>
  <c r="AL1159" i="2" a="1"/>
  <c r="AL1159" i="2"/>
  <c r="AL1160" i="2" a="1"/>
  <c r="AL1160" i="2" s="1"/>
  <c r="AL1161" i="2" a="1"/>
  <c r="AL1161" i="2"/>
  <c r="AL1162" i="2" a="1"/>
  <c r="AL1162" i="2" s="1"/>
  <c r="AL1163" i="2" a="1"/>
  <c r="AL1163" i="2" s="1"/>
  <c r="AL1164" i="2" a="1"/>
  <c r="AL1164" i="2" s="1"/>
  <c r="AL1165" i="2" a="1"/>
  <c r="AL1165" i="2" s="1"/>
  <c r="AL1166" i="2" a="1"/>
  <c r="AL1166" i="2" s="1"/>
  <c r="AL1167" i="2" a="1"/>
  <c r="AL1167" i="2"/>
  <c r="AL1168" i="2" a="1"/>
  <c r="AL1168" i="2"/>
  <c r="AL1169" i="2" a="1"/>
  <c r="AL1169" i="2"/>
  <c r="AL1170" i="2" a="1"/>
  <c r="AL1170" i="2" s="1"/>
  <c r="AL1171" i="2" a="1"/>
  <c r="AL1171" i="2" s="1"/>
  <c r="AL1172" i="2" a="1"/>
  <c r="AL1172" i="2" s="1"/>
  <c r="AL1173" i="2" a="1"/>
  <c r="AL1173" i="2" s="1"/>
  <c r="AL1174" i="2" a="1"/>
  <c r="AL1174" i="2" s="1"/>
  <c r="AL1175" i="2" a="1"/>
  <c r="AL1175" i="2"/>
  <c r="AL1176" i="2" a="1"/>
  <c r="AL1176" i="2" s="1"/>
  <c r="AL1177" i="2" a="1"/>
  <c r="AL1177" i="2"/>
  <c r="AL1178" i="2" a="1"/>
  <c r="AL1178" i="2" s="1"/>
  <c r="AL1179" i="2" a="1"/>
  <c r="AL1179" i="2" s="1"/>
  <c r="AL1180" i="2" a="1"/>
  <c r="AL1180" i="2" s="1"/>
  <c r="AL1181" i="2" a="1"/>
  <c r="AL1181" i="2"/>
  <c r="AL1182" i="2" a="1"/>
  <c r="AL1182" i="2" s="1"/>
  <c r="AL1183" i="2" a="1"/>
  <c r="AL1183" i="2"/>
  <c r="AL1184" i="2" a="1"/>
  <c r="AL1184" i="2" s="1"/>
  <c r="AL1185" i="2" a="1"/>
  <c r="AL1185" i="2"/>
  <c r="AL1186" i="2" a="1"/>
  <c r="AL1186" i="2"/>
  <c r="AL1187" i="2" a="1"/>
  <c r="AL1187" i="2" s="1"/>
  <c r="AL1188" i="2" a="1"/>
  <c r="AL1188" i="2" s="1"/>
  <c r="AL1189" i="2" a="1"/>
  <c r="AL1189" i="2"/>
  <c r="AL1190" i="2" a="1"/>
  <c r="AL1190" i="2" s="1"/>
  <c r="AL1191" i="2" a="1"/>
  <c r="AL1191" i="2"/>
  <c r="AL1192" i="2" a="1"/>
  <c r="AL1192" i="2"/>
  <c r="AL1193" i="2" a="1"/>
  <c r="AL1193" i="2" s="1"/>
  <c r="AL1194" i="2" a="1"/>
  <c r="AL1194" i="2" s="1"/>
  <c r="AL1195" i="2" a="1"/>
  <c r="AL1195" i="2" s="1"/>
  <c r="AL1196" i="2" a="1"/>
  <c r="AL1196" i="2" s="1"/>
  <c r="AL1197" i="2" a="1"/>
  <c r="AL1197" i="2"/>
  <c r="AL1198" i="2" a="1"/>
  <c r="AL1198" i="2"/>
  <c r="AL1199" i="2" a="1"/>
  <c r="AL1199" i="2"/>
  <c r="AL1200" i="2" a="1"/>
  <c r="AL1200" i="2" s="1"/>
  <c r="AL1201" i="2" a="1"/>
  <c r="AL1201" i="2" s="1"/>
  <c r="AL1202" i="2" a="1"/>
  <c r="AL1202" i="2" s="1"/>
  <c r="AL1203" i="2" a="1"/>
  <c r="AL1203" i="2" s="1"/>
  <c r="AL1204" i="2" a="1"/>
  <c r="AL1204" i="2" s="1"/>
  <c r="AL1205" i="2" a="1"/>
  <c r="AL1205" i="2" s="1"/>
  <c r="AL1206" i="2" a="1"/>
  <c r="AL1206" i="2" s="1"/>
  <c r="AL1207" i="2" a="1"/>
  <c r="AL1207" i="2" s="1"/>
  <c r="AL1208" i="2" a="1"/>
  <c r="AL1208" i="2" s="1"/>
  <c r="AL1209" i="2" a="1"/>
  <c r="AL1209" i="2" s="1"/>
  <c r="AL1210" i="2" a="1"/>
  <c r="AL1210" i="2" s="1"/>
  <c r="AL1211" i="2" a="1"/>
  <c r="AL1211" i="2" s="1"/>
  <c r="AL1212" i="2" a="1"/>
  <c r="AL1212" i="2" s="1"/>
  <c r="AL1213" i="2" a="1"/>
  <c r="AL1213" i="2"/>
  <c r="AL1214" i="2" a="1"/>
  <c r="AL1214" i="2" s="1"/>
  <c r="AL1215" i="2" a="1"/>
  <c r="AL1215" i="2" s="1"/>
  <c r="AL1216" i="2" a="1"/>
  <c r="AL1216" i="2" s="1"/>
  <c r="AL1217" i="2" a="1"/>
  <c r="AL1217" i="2"/>
  <c r="AL1218" i="2" a="1"/>
  <c r="AL1218" i="2" s="1"/>
  <c r="AL1219" i="2" a="1"/>
  <c r="AL1219" i="2"/>
  <c r="AL1220" i="2" a="1"/>
  <c r="AL1220" i="2" s="1"/>
  <c r="AL1221" i="2" a="1"/>
  <c r="AL1221" i="2" s="1"/>
  <c r="AL1222" i="2" a="1"/>
  <c r="AL1222" i="2" s="1"/>
  <c r="AL1223" i="2" a="1"/>
  <c r="AL1223" i="2" s="1"/>
  <c r="AL1224" i="2" a="1"/>
  <c r="AL1224" i="2" s="1"/>
  <c r="AL1225" i="2" a="1"/>
  <c r="AL1225" i="2"/>
  <c r="AL1226" i="2" a="1"/>
  <c r="AL1226" i="2" s="1"/>
  <c r="AL1227" i="2" a="1"/>
  <c r="AL1227" i="2" s="1"/>
  <c r="AL1228" i="2" a="1"/>
  <c r="AL1228" i="2" s="1"/>
  <c r="AL1229" i="2" a="1"/>
  <c r="AL1229" i="2" s="1"/>
  <c r="AL1230" i="2" a="1"/>
  <c r="AL1230" i="2" s="1"/>
  <c r="AL1231" i="2" a="1"/>
  <c r="AL1231" i="2" s="1"/>
  <c r="AL1232" i="2" a="1"/>
  <c r="AL1232" i="2" s="1"/>
  <c r="AL1233" i="2" a="1"/>
  <c r="AL1233" i="2"/>
  <c r="AL1234" i="2" a="1"/>
  <c r="AL1234" i="2"/>
  <c r="AL1235" i="2" a="1"/>
  <c r="AL1235" i="2"/>
  <c r="AL1236" i="2" a="1"/>
  <c r="AL1236" i="2" s="1"/>
  <c r="AL1237" i="2" a="1"/>
  <c r="AL1237" i="2" s="1"/>
  <c r="AL1238" i="2" a="1"/>
  <c r="AL1238" i="2" s="1"/>
  <c r="AL1239" i="2" a="1"/>
  <c r="AL1239" i="2"/>
  <c r="AL1240" i="2" a="1"/>
  <c r="AL1240" i="2"/>
  <c r="AL1241" i="2" a="1"/>
  <c r="AL1241" i="2"/>
  <c r="AL1242" i="2" a="1"/>
  <c r="AL1242" i="2" s="1"/>
  <c r="AL1243" i="2" a="1"/>
  <c r="AL1243" i="2" s="1"/>
  <c r="AL1244" i="2" a="1"/>
  <c r="AL1244" i="2" s="1"/>
  <c r="AL1245" i="2" a="1"/>
  <c r="AL1245" i="2" s="1"/>
  <c r="AL1246" i="2" a="1"/>
  <c r="AL1246" i="2"/>
  <c r="AL1247" i="2" a="1"/>
  <c r="AL1247" i="2"/>
  <c r="AL1248" i="2" a="1"/>
  <c r="AL1248" i="2" s="1"/>
  <c r="AL1249" i="2" a="1"/>
  <c r="AL1249" i="2"/>
  <c r="AL1250" i="2" a="1"/>
  <c r="AL1250" i="2" s="1"/>
  <c r="AL1251" i="2" a="1"/>
  <c r="AL1251" i="2" s="1"/>
  <c r="AL1252" i="2" a="1"/>
  <c r="AL1252" i="2" s="1"/>
  <c r="AL1253" i="2" a="1"/>
  <c r="AL1253" i="2"/>
  <c r="AL1254" i="2" a="1"/>
  <c r="AL1254" i="2" s="1"/>
  <c r="AL1255" i="2" a="1"/>
  <c r="AL1255" i="2" s="1"/>
  <c r="AL1256" i="2" a="1"/>
  <c r="AL1256" i="2" s="1"/>
  <c r="AL1257" i="2" a="1"/>
  <c r="AL1257" i="2"/>
  <c r="AL1258" i="2" a="1"/>
  <c r="AL1258" i="2" s="1"/>
  <c r="AL1259" i="2" a="1"/>
  <c r="AL1259" i="2" s="1"/>
  <c r="AL1260" i="2" a="1"/>
  <c r="AL1260" i="2" s="1"/>
  <c r="AL1261" i="2" a="1"/>
  <c r="AL1261" i="2" s="1"/>
  <c r="AL1262" i="2" a="1"/>
  <c r="AL1262" i="2" s="1"/>
  <c r="AL1263" i="2" a="1"/>
  <c r="AL1263" i="2"/>
  <c r="AL1264" i="2" a="1"/>
  <c r="AL1264" i="2"/>
  <c r="AL1265" i="2" a="1"/>
  <c r="AL1265" i="2" s="1"/>
  <c r="AL1266" i="2" a="1"/>
  <c r="AL1266" i="2" s="1"/>
  <c r="AL1267" i="2" a="1"/>
  <c r="AL1267" i="2"/>
  <c r="AL1268" i="2" a="1"/>
  <c r="AL1268" i="2" s="1"/>
  <c r="AL1269" i="2" a="1"/>
  <c r="AL1269" i="2" s="1"/>
  <c r="AL1270" i="2" a="1"/>
  <c r="AL1270" i="2" s="1"/>
  <c r="AL1271" i="2" a="1"/>
  <c r="AL1271" i="2" s="1"/>
  <c r="AL1272" i="2" a="1"/>
  <c r="AL1272" i="2" s="1"/>
  <c r="AL1273" i="2" a="1"/>
  <c r="AL1273" i="2"/>
  <c r="AL1274" i="2" a="1"/>
  <c r="AL1274" i="2" s="1"/>
  <c r="AL1275" i="2" a="1"/>
  <c r="AL1275" i="2" s="1"/>
  <c r="AL1276" i="2" a="1"/>
  <c r="AL1276" i="2" s="1"/>
  <c r="AL1277" i="2" a="1"/>
  <c r="AL1277" i="2" s="1"/>
  <c r="AL1278" i="2" a="1"/>
  <c r="AL1278" i="2" s="1"/>
  <c r="AL1279" i="2" a="1"/>
  <c r="AL1279" i="2" s="1"/>
  <c r="AL1280" i="2" a="1"/>
  <c r="AL1280" i="2" s="1"/>
  <c r="AL1281" i="2" a="1"/>
  <c r="AL1281" i="2" s="1"/>
  <c r="AL1282" i="2" a="1"/>
  <c r="AL1282" i="2"/>
  <c r="AL1283" i="2" a="1"/>
  <c r="AL1283" i="2" s="1"/>
  <c r="AL1284" i="2" a="1"/>
  <c r="AL1284" i="2" s="1"/>
  <c r="AL1285" i="2" a="1"/>
  <c r="AL1285" i="2"/>
  <c r="AL1286" i="2" a="1"/>
  <c r="AL1286" i="2" s="1"/>
  <c r="AL1287" i="2" a="1"/>
  <c r="AL1287" i="2" s="1"/>
  <c r="AL1288" i="2" a="1"/>
  <c r="AL1288" i="2" s="1"/>
  <c r="AL1289" i="2" a="1"/>
  <c r="AL1289" i="2"/>
  <c r="AL1290" i="2" a="1"/>
  <c r="AL1290" i="2" s="1"/>
  <c r="AL1291" i="2" a="1"/>
  <c r="AL1291" i="2"/>
  <c r="AL1292" i="2" a="1"/>
  <c r="AL1292" i="2" s="1"/>
  <c r="AL1293" i="2" a="1"/>
  <c r="AL1293" i="2" s="1"/>
  <c r="AL1294" i="2" a="1"/>
  <c r="AL1294" i="2" s="1"/>
  <c r="AL1295" i="2" a="1"/>
  <c r="AL1295" i="2" s="1"/>
  <c r="AL1296" i="2" a="1"/>
  <c r="AL1296" i="2" s="1"/>
  <c r="AL1297" i="2" a="1"/>
  <c r="AL1297" i="2"/>
  <c r="AL1298" i="2" a="1"/>
  <c r="AL1298" i="2" s="1"/>
  <c r="AL1299" i="2" a="1"/>
  <c r="AL1299" i="2"/>
  <c r="AL1300" i="2" a="1"/>
  <c r="AL1300" i="2"/>
  <c r="AL1301" i="2" a="1"/>
  <c r="AL1301" i="2" s="1"/>
  <c r="AL1302" i="2" a="1"/>
  <c r="AL1302" i="2" s="1"/>
  <c r="AL1303" i="2" a="1"/>
  <c r="AL1303" i="2" s="1"/>
  <c r="AL1304" i="2" a="1"/>
  <c r="AL1304" i="2" s="1"/>
  <c r="AL1305" i="2" a="1"/>
  <c r="AL1305" i="2"/>
  <c r="AL1306" i="2" a="1"/>
  <c r="AL1306" i="2"/>
  <c r="AL1307" i="2" a="1"/>
  <c r="AL1307" i="2"/>
  <c r="AL1308" i="2" a="1"/>
  <c r="AL1308" i="2" s="1"/>
  <c r="AL1309" i="2" a="1"/>
  <c r="AL1309" i="2" s="1"/>
  <c r="AL1310" i="2" a="1"/>
  <c r="AL1310" i="2" s="1"/>
  <c r="AL1311" i="2" a="1"/>
  <c r="AL1311" i="2"/>
  <c r="AL1312" i="2" a="1"/>
  <c r="AL1312" i="2"/>
  <c r="AL1313" i="2" a="1"/>
  <c r="AL1313" i="2"/>
  <c r="AL1314" i="2" a="1"/>
  <c r="AL1314" i="2" s="1"/>
  <c r="AL1315" i="2" a="1"/>
  <c r="AL1315" i="2" s="1"/>
  <c r="AL1316" i="2" a="1"/>
  <c r="AL1316" i="2" s="1"/>
  <c r="AL1317" i="2" a="1"/>
  <c r="AL1317" i="2" s="1"/>
  <c r="AL1318" i="2" a="1"/>
  <c r="AL1318" i="2"/>
  <c r="AL1319" i="2" a="1"/>
  <c r="AL1319" i="2"/>
  <c r="AL1320" i="2" a="1"/>
  <c r="AL1320" i="2" s="1"/>
  <c r="AL1321" i="2" a="1"/>
  <c r="AL1321" i="2"/>
  <c r="AL1322" i="2" a="1"/>
  <c r="AL1322" i="2" s="1"/>
  <c r="AL1323" i="2" a="1"/>
  <c r="AL1323" i="2" s="1"/>
  <c r="AL1324" i="2" a="1"/>
  <c r="AL1324" i="2" s="1"/>
  <c r="AL1325" i="2" a="1"/>
  <c r="AL1325" i="2"/>
  <c r="AL1326" i="2" a="1"/>
  <c r="AL1326" i="2" s="1"/>
  <c r="AL1327" i="2" a="1"/>
  <c r="AL1327" i="2" s="1"/>
  <c r="AL1328" i="2" a="1"/>
  <c r="AL1328" i="2" s="1"/>
  <c r="AL1329" i="2" a="1"/>
  <c r="AL1329" i="2"/>
  <c r="AL1330" i="2" a="1"/>
  <c r="AL1330" i="2" s="1"/>
  <c r="AL1331" i="2" a="1"/>
  <c r="AL1331" i="2" s="1"/>
  <c r="AL1332" i="2" a="1"/>
  <c r="AL1332" i="2" s="1"/>
  <c r="AL1333" i="2" a="1"/>
  <c r="AL1333" i="2"/>
  <c r="AL1334" i="2" a="1"/>
  <c r="AL1334" i="2" s="1"/>
  <c r="AL1335" i="2" a="1"/>
  <c r="AL1335" i="2"/>
  <c r="AL1336" i="2" a="1"/>
  <c r="AL1336" i="2"/>
  <c r="AL1337" i="2" a="1"/>
  <c r="AL1337" i="2" s="1"/>
  <c r="AL1338" i="2" a="1"/>
  <c r="AL1338" i="2" s="1"/>
  <c r="AL1339" i="2" a="1"/>
  <c r="AL1339" i="2"/>
  <c r="AL1340" i="2" a="1"/>
  <c r="AL1340" i="2" s="1"/>
  <c r="AL1341" i="2" a="1"/>
  <c r="AL1341" i="2"/>
  <c r="AL1342" i="2" a="1"/>
  <c r="AL1342" i="2" s="1"/>
  <c r="AL1343" i="2" a="1"/>
  <c r="AL1343" i="2" s="1"/>
  <c r="AL1344" i="2" a="1"/>
  <c r="AL1344" i="2" s="1"/>
  <c r="AL1345" i="2" a="1"/>
  <c r="AL1345" i="2"/>
  <c r="AL1346" i="2" a="1"/>
  <c r="AL1346" i="2" s="1"/>
  <c r="AL1347" i="2" a="1"/>
  <c r="AL1347" i="2"/>
  <c r="AL1348" i="2" a="1"/>
  <c r="AL1348" i="2"/>
  <c r="AL1349" i="2" a="1"/>
  <c r="AL1349" i="2" s="1"/>
  <c r="AL1350" i="2" a="1"/>
  <c r="AL1350" i="2" s="1"/>
  <c r="AL1351" i="2" a="1"/>
  <c r="AL1351" i="2" s="1"/>
  <c r="AL1352" i="2" a="1"/>
  <c r="AL1352" i="2" s="1"/>
  <c r="AL1353" i="2" a="1"/>
  <c r="AL1353" i="2" s="1"/>
  <c r="AL1354" i="2" a="1"/>
  <c r="AL1354" i="2"/>
  <c r="AL1355" i="2" a="1"/>
  <c r="AL1355" i="2"/>
  <c r="AL1356" i="2" a="1"/>
  <c r="AL1356" i="2" s="1"/>
  <c r="AL1357" i="2" a="1"/>
  <c r="AL1357" i="2"/>
  <c r="AL1358" i="2" a="1"/>
  <c r="AL1358" i="2" s="1"/>
  <c r="AL1359" i="2" a="1"/>
  <c r="AL1359" i="2" s="1"/>
  <c r="AL1360" i="2" a="1"/>
  <c r="AL1360" i="2" s="1"/>
  <c r="AL1361" i="2" a="1"/>
  <c r="AL1361" i="2" s="1"/>
  <c r="AL1362" i="2" a="1"/>
  <c r="AL1362" i="2" s="1"/>
  <c r="AL1363" i="2" a="1"/>
  <c r="AL1363" i="2"/>
  <c r="AL1364" i="2" a="1"/>
  <c r="AL1364" i="2" s="1"/>
  <c r="AL1365" i="2" a="1"/>
  <c r="AL1365" i="2"/>
  <c r="AL1366" i="2" a="1"/>
  <c r="AL1366" i="2" s="1"/>
  <c r="AL1367" i="2" a="1"/>
  <c r="AL1367" i="2" s="1"/>
  <c r="AL1368" i="2" a="1"/>
  <c r="AL1368" i="2" s="1"/>
  <c r="AL1369" i="2" a="1"/>
  <c r="AL1369" i="2"/>
  <c r="AL1370" i="2" a="1"/>
  <c r="AL1370" i="2" s="1"/>
  <c r="AL1371" i="2" a="1"/>
  <c r="AL1371" i="2"/>
  <c r="AL1372" i="2" a="1"/>
  <c r="AL1372" i="2"/>
  <c r="AL1373" i="2" a="1"/>
  <c r="AL1373" i="2" s="1"/>
  <c r="AL1374" i="2" a="1"/>
  <c r="AL1374" i="2" s="1"/>
  <c r="AL1375" i="2" a="1"/>
  <c r="AL1375" i="2" s="1"/>
  <c r="AL1376" i="2" a="1"/>
  <c r="AL1376" i="2" s="1"/>
  <c r="AL1377" i="2" a="1"/>
  <c r="AL1377" i="2"/>
  <c r="AL1378" i="2" a="1"/>
  <c r="AL1378" i="2"/>
  <c r="AL1379" i="2" a="1"/>
  <c r="AL1379" i="2"/>
  <c r="AL1380" i="2" a="1"/>
  <c r="AL1380" i="2" s="1"/>
  <c r="AL1381" i="2" a="1"/>
  <c r="AL1381" i="2"/>
  <c r="AL1382" i="2" a="1"/>
  <c r="AL1382" i="2" s="1"/>
  <c r="AL1383" i="2" a="1"/>
  <c r="AL1383" i="2"/>
  <c r="AL1384" i="2" a="1"/>
  <c r="AL1384" i="2"/>
  <c r="AL1385" i="2" a="1"/>
  <c r="AL1385" i="2"/>
  <c r="AL1386" i="2" a="1"/>
  <c r="AL1386" i="2" s="1"/>
  <c r="AL1387" i="2" a="1"/>
  <c r="AL1387" i="2" s="1"/>
  <c r="AL1388" i="2" a="1"/>
  <c r="AL1388" i="2" s="1"/>
  <c r="AL1389" i="2" a="1"/>
  <c r="AL1389" i="2" s="1"/>
  <c r="AL1390" i="2" a="1"/>
  <c r="AL1390" i="2"/>
  <c r="AL1391" i="2" a="1"/>
  <c r="AL1391" i="2"/>
  <c r="AL1392" i="2" a="1"/>
  <c r="AL1392" i="2" s="1"/>
  <c r="AL1393" i="2" a="1"/>
  <c r="AL1393" i="2" s="1"/>
  <c r="AL1394" i="2" a="1"/>
  <c r="AL1394" i="2" s="1"/>
  <c r="AL1395" i="2" a="1"/>
  <c r="AL1395" i="2" s="1"/>
  <c r="AL1396" i="2" a="1"/>
  <c r="AL1396" i="2" s="1"/>
  <c r="AL1397" i="2" a="1"/>
  <c r="AL1397" i="2"/>
  <c r="AL1398" i="2" a="1"/>
  <c r="AL1398" i="2" s="1"/>
  <c r="AL1399" i="2" a="1"/>
  <c r="AL1399" i="2" s="1"/>
  <c r="AL1400" i="2" a="1"/>
  <c r="AL1400" i="2" s="1"/>
  <c r="AL1401" i="2" a="1"/>
  <c r="AL1401" i="2"/>
  <c r="AL1402" i="2" a="1"/>
  <c r="AL1402" i="2" s="1"/>
  <c r="AL1403" i="2" a="1"/>
  <c r="AL1403" i="2" s="1"/>
  <c r="AL1404" i="2" a="1"/>
  <c r="AL1404" i="2" s="1"/>
  <c r="AL1405" i="2" a="1"/>
  <c r="AL1405" i="2"/>
  <c r="AL1406" i="2" a="1"/>
  <c r="AL1406" i="2" s="1"/>
  <c r="AL1407" i="2" a="1"/>
  <c r="AL1407" i="2"/>
  <c r="AL1408" i="2" a="1"/>
  <c r="AL1408" i="2"/>
  <c r="AL1409" i="2" a="1"/>
  <c r="AL1409" i="2" s="1"/>
  <c r="AL1410" i="2" a="1"/>
  <c r="AL1410" i="2" s="1"/>
  <c r="AL1411" i="2" a="1"/>
  <c r="AL1411" i="2"/>
  <c r="AL1412" i="2" a="1"/>
  <c r="AL1412" i="2" s="1"/>
  <c r="AL1413" i="2" a="1"/>
  <c r="AL1413" i="2"/>
  <c r="AL1414" i="2" a="1"/>
  <c r="AL1414" i="2"/>
  <c r="AL1415" i="2" a="1"/>
  <c r="AL1415" i="2" s="1"/>
  <c r="AL1416" i="2" a="1"/>
  <c r="AL1416" i="2" s="1"/>
  <c r="AL1417" i="2" a="1"/>
  <c r="AL1417" i="2"/>
  <c r="AL1418" i="2" a="1"/>
  <c r="AL1418" i="2" s="1"/>
  <c r="AL1419" i="2" a="1"/>
  <c r="AL1419" i="2"/>
  <c r="AL1420" i="2" a="1"/>
  <c r="AL1420" i="2"/>
  <c r="AL1421" i="2" a="1"/>
  <c r="AL1421" i="2"/>
  <c r="AL1422" i="2" a="1"/>
  <c r="AL1422" i="2" s="1"/>
  <c r="AL1423" i="2" a="1"/>
  <c r="AL1423" i="2" s="1"/>
  <c r="AL1424" i="2" a="1"/>
  <c r="AL1424" i="2" s="1"/>
  <c r="AL1425" i="2" a="1"/>
  <c r="AL1425" i="2" s="1"/>
  <c r="AL1426" i="2" a="1"/>
  <c r="AL1426" i="2" s="1"/>
  <c r="AL1427" i="2" a="1"/>
  <c r="AL1427" i="2"/>
  <c r="AL1428" i="2" a="1"/>
  <c r="AL1428" i="2" s="1"/>
  <c r="AL1429" i="2" a="1"/>
  <c r="AL1429" i="2"/>
  <c r="AL1430" i="2" a="1"/>
  <c r="AL1430" i="2" s="1"/>
  <c r="AL1431" i="2" a="1"/>
  <c r="AL1431" i="2" s="1"/>
  <c r="AL1432" i="2" a="1"/>
  <c r="AL1432" i="2" s="1"/>
  <c r="AL1433" i="2" a="1"/>
  <c r="AL1433" i="2" s="1"/>
  <c r="AL1434" i="2" a="1"/>
  <c r="AL1434" i="2" s="1"/>
  <c r="AL1435" i="2" a="1"/>
  <c r="AL1435" i="2"/>
  <c r="AL1436" i="2" a="1"/>
  <c r="AL1436" i="2" s="1"/>
  <c r="AL1437" i="2" a="1"/>
  <c r="AL1437" i="2"/>
  <c r="AL1438" i="2" a="1"/>
  <c r="AL1438" i="2" s="1"/>
  <c r="AL1439" i="2" a="1"/>
  <c r="AL1439" i="2" s="1"/>
  <c r="AL1440" i="2" a="1"/>
  <c r="AL1440" i="2" s="1"/>
  <c r="AL1441" i="2" a="1"/>
  <c r="AL1441" i="2"/>
  <c r="AL1442" i="2" a="1"/>
  <c r="AL1442" i="2" s="1"/>
  <c r="AL1443" i="2" a="1"/>
  <c r="AL1443" i="2" s="1"/>
  <c r="AL1444" i="2" a="1"/>
  <c r="AL1444" i="2"/>
  <c r="AL1445" i="2" a="1"/>
  <c r="AL1445" i="2" s="1"/>
  <c r="AL1446" i="2" a="1"/>
  <c r="AL1446" i="2" s="1"/>
  <c r="AL1447" i="2" a="1"/>
  <c r="AL1447" i="2"/>
  <c r="AL1448" i="2" a="1"/>
  <c r="AL1448" i="2" s="1"/>
  <c r="AL1449" i="2" a="1"/>
  <c r="AL1449" i="2"/>
  <c r="AL1450" i="2" a="1"/>
  <c r="AL1450" i="2"/>
  <c r="AL1451" i="2" a="1"/>
  <c r="AL1451" i="2"/>
  <c r="AL1452" i="2" a="1"/>
  <c r="AL1452" i="2" s="1"/>
  <c r="AL1453" i="2" a="1"/>
  <c r="AL1453" i="2"/>
  <c r="AL1454" i="2" a="1"/>
  <c r="AL1454" i="2" s="1"/>
  <c r="AL1455" i="2" a="1"/>
  <c r="AL1455" i="2"/>
  <c r="AL1456" i="2" a="1"/>
  <c r="AL1456" i="2"/>
  <c r="AL1457" i="2" a="1"/>
  <c r="AL1457" i="2"/>
  <c r="AL1458" i="2" a="1"/>
  <c r="AL1458" i="2" s="1"/>
  <c r="AL1459" i="2" a="1"/>
  <c r="AL1459" i="2" s="1"/>
  <c r="AL1460" i="2" a="1"/>
  <c r="AL1460" i="2" s="1"/>
  <c r="AL1461" i="2" a="1"/>
  <c r="AL1461" i="2" s="1"/>
  <c r="AL1462" i="2" a="1"/>
  <c r="AL1462" i="2"/>
  <c r="AL1463" i="2" a="1"/>
  <c r="AL1463" i="2"/>
  <c r="AL1464" i="2" a="1"/>
  <c r="AL1464" i="2" s="1"/>
  <c r="AL1465" i="2" a="1"/>
  <c r="AL1465" i="2" s="1"/>
  <c r="AL1466" i="2" a="1"/>
  <c r="AL1466" i="2" s="1"/>
  <c r="AL1467" i="2" a="1"/>
  <c r="AL1467" i="2" s="1"/>
  <c r="AL1468" i="2" a="1"/>
  <c r="AL1468" i="2" s="1"/>
  <c r="AL1469" i="2" a="1"/>
  <c r="AL1469" i="2"/>
  <c r="AL1470" i="2" a="1"/>
  <c r="AL1470" i="2" s="1"/>
  <c r="AL1471" i="2" a="1"/>
  <c r="AL1471" i="2"/>
  <c r="A20" i="1"/>
  <c r="B3" i="1"/>
  <c r="BY282" i="1" s="1"/>
  <c r="B5" i="1"/>
  <c r="Y24" i="1"/>
  <c r="B84" i="1"/>
  <c r="B83" i="1"/>
  <c r="X23" i="1"/>
  <c r="X22" i="1"/>
  <c r="Y23" i="1"/>
  <c r="X24" i="1"/>
  <c r="Y22" i="1"/>
  <c r="BY281"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15B3645-96B9-482E-8736-3DD9CCF6A8F4}" keepAlive="1" name="Query - HR-Employee-Attrition" description="Connection to the 'HR-Employee-Attrition' query in the workbook." type="5" refreshedVersion="8" background="1" saveData="1">
    <dbPr connection="Provider=Microsoft.Mashup.OleDb.1;Data Source=$Workbook$;Location=HR-Employee-Attrition;Extended Properties=&quot;&quot;" command="SELECT * FROM [HR-Employee-Attrition]"/>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<sst xmlns="http://schemas.openxmlformats.org/spreadsheetml/2006/main" count="13353" uniqueCount="98">
  <si>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</si>
  <si>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</si>
  <si>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</si>
  <si>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</si>
  <si>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</si>
  <si>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</si>
  <si>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</si>
  <si>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</si>
  <si>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</si>
  <si>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</si>
  <si>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</si>
  <si>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</si>
  <si>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</si>
  <si>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</si>
  <si>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</si>
  <si>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</si>
  <si>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</si>
  <si>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</si>
  <si>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</si>
  <si>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</si>
  <si>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</si>
  <si>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</si>
  <si>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</si>
  <si>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</si>
  <si>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</si>
  <si>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</si>
  <si>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</si>
  <si>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</si>
  <si>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</si>
  <si>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</si>
  <si>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</si>
  <si>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</si>
  <si>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</si>
  <si>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</si>
  <si>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</si>
  <si>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</si>
  <si>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</si>
  <si>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</si>
  <si>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</si>
  <si>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</si>
  <si>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</si>
  <si>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</si>
  <si>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</si>
  <si>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</si>
  <si>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</si>
  <si>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</si>
  <si>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</si>
  <si>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</si>
  <si>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</si>
  <si>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</si>
  <si>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</si>
  <si>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</si>
  <si>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</si>
  <si>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</si>
  <si>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</si>
  <si>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</si>
  <si>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</si>
  <si>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</si>
  <si>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</si>
  <si>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</si>
  <si>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</si>
  <si>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</si>
  <si>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Count of employees</t>
  </si>
  <si>
    <t>attritioncount</t>
  </si>
  <si>
    <t>rate</t>
  </si>
  <si>
    <t>Row Labels</t>
  </si>
  <si>
    <t>Grand Total</t>
  </si>
  <si>
    <t>Sum of EmployeeCount</t>
  </si>
  <si>
    <t>Column Labels</t>
  </si>
  <si>
    <t>Age group</t>
  </si>
  <si>
    <t>18-20</t>
  </si>
  <si>
    <t>20-29</t>
  </si>
  <si>
    <t>30-39</t>
  </si>
  <si>
    <t>40-49</t>
  </si>
  <si>
    <t>50-59</t>
  </si>
  <si>
    <t>avg age</t>
  </si>
  <si>
    <t>AVG MONTHLY INCOME</t>
  </si>
  <si>
    <t>worked years</t>
  </si>
  <si>
    <t>s</t>
  </si>
  <si>
    <t>0-2</t>
  </si>
  <si>
    <t>10+</t>
  </si>
  <si>
    <t>3-5</t>
  </si>
  <si>
    <t>6-10</t>
  </si>
  <si>
    <t>10001-15000</t>
  </si>
  <si>
    <t>1000-5000</t>
  </si>
  <si>
    <t>15001-20000</t>
  </si>
  <si>
    <t>5001-10000</t>
  </si>
  <si>
    <t>helper table</t>
  </si>
  <si>
    <t>dummy</t>
  </si>
  <si>
    <t>## &amp;#x20;Retained vs Left</t>
  </si>
  <si>
    <t>### Chart type:-how to make this chart</t>
  </si>
  <si>
    <t>Left</t>
  </si>
  <si>
    <t>Retained</t>
  </si>
  <si>
    <t>Attrition_flag</t>
  </si>
  <si>
    <t>Average of Attrition_flag</t>
  </si>
  <si>
    <t>Sum of Attrition_flag</t>
  </si>
  <si>
    <t>Employee</t>
  </si>
  <si>
    <t>monthly incomerange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</si>
</sst>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1"/>
      <color theme="9" tint="0.79998168889431442"/>
      <name val="Calibri"/>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0"/>
        <bgColor indexed="64"/>
      </patternFill>
    </fill>
    <fill>
      <patternFill patternType="solid">
        <fgColor theme="9"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3">
    <xf numFmtId="0" fontId="0" fillId="0" borderId="0" xfId="0"/>
    <xf numFmtId="0" fontId="0" fillId="0" borderId="0" xfId="0" pivotButton="1"/>
    <xf numFmtId="0" fontId="0" fillId="0" borderId="0" xfId="0" applyAlignment="1">
      <alignment horizontal="left"/>
    </xf>
    <xf numFmtId="0" fontId="1" fillId="2" borderId="1" xfId="0" applyFont="1" applyFill="1" applyBorder="1"/>
    <xf numFmtId="0" fontId="1" fillId="2" borderId="2" xfId="0" applyFont="1" applyFill="1" applyBorder="1" applyAlignment="1">
      <alignment horizontal="left"/>
    </xf>
    <xf numFmtId="0" fontId="1" fillId="2" borderId="2" xfId="0" applyFont="1" applyFill="1" applyBorder="1"/>
    <xf numFmtId="0" fontId="0" fillId="3" borderId="0" xfId="0" applyFill="1"/>
    <xf numFmtId="0" fontId="2" fillId="3" borderId="0" xfId="0" applyFont="1" applyFill="1"/>
    <xf numFmtId="0" fontId="2" fillId="4" borderId="0" xfId="0" applyFont="1" applyFill="1"/>
    <xf numFmtId="0" fontId="0" fillId="4" borderId="0" xfId="0" applyFill="1"/>
    <xf numFmtId="0" fontId="2" fillId="4" borderId="0" xfId="0" applyFont="1" applyFill="1" applyAlignment="1">
      <alignment wrapText="1"/>
    </xf>
    <xf numFmtId="10" fontId="0" fillId="0" borderId="0" xfId="0" applyNumberFormat="1"/>
    <xf numFmtId="9" fontId="0" fillId="0" borderId="0" xfId="0" applyNumberFormat="1"/>
  </cellXfs>
  <cellStyles count="1">
    <cellStyle name="Normal" xfId="0" builtinId="0"/>
  </cellStyles>
  <dxfs count="1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3E5F44"/>
      <color rgb="FFDCCFC0"/>
      <color rgb="FF93DA97"/>
      <color rgb="FF000000"/>
      <color rgb="FFF7F7F7"/>
      <color rgb="FF467235"/>
      <color rgb="FF3AA83F"/>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onnections" Target="connections.xml"/><Relationship Id="rId5" Type="http://schemas.microsoft.com/office/2007/relationships/slicerCache" Target="slicerCaches/slicerCache1.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1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1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2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2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800" b="1">
                <a:latin typeface="Segoe UI" panose="020B0502040204020203" pitchFamily="34" charset="0"/>
                <a:cs typeface="Segoe UI" panose="020B0502040204020203" pitchFamily="34" charset="0"/>
              </a:rPr>
              <a:t>Employee Rentention &amp;Attrition</a:t>
            </a:r>
          </a:p>
        </c:rich>
      </c:tx>
      <c:layout>
        <c:manualLayout>
          <c:xMode val="edge"/>
          <c:yMode val="edge"/>
          <c:x val="0.15865139584824625"/>
          <c:y val="6.172839506172839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percentStacked"/>
        <c:varyColors val="0"/>
        <c:ser>
          <c:idx val="0"/>
          <c:order val="0"/>
          <c:tx>
            <c:strRef>
              <c:f>Sheet1!$A$24</c:f>
              <c:strCache>
                <c:ptCount val="1"/>
                <c:pt idx="0">
                  <c:v>Left</c:v>
                </c:pt>
              </c:strCache>
            </c:strRef>
          </c:tx>
          <c:spPr>
            <a:solidFill>
              <a:srgbClr val="93DA97"/>
            </a:solidFill>
            <a:ln>
              <a:noFill/>
            </a:ln>
            <a:effectLst/>
          </c:spPr>
          <c:invertIfNegative val="0"/>
          <c:cat>
            <c:numRef>
              <c:f>Sheet1!$B$23</c:f>
              <c:numCache>
                <c:formatCode>General</c:formatCode>
                <c:ptCount val="1"/>
              </c:numCache>
            </c:numRef>
          </c:cat>
          <c:val>
            <c:numRef>
              <c:f>Sheet1!$B$24</c:f>
              <c:numCache>
                <c:formatCode>General</c:formatCode>
                <c:ptCount val="1"/>
                <c:pt idx="0">
                  <c:v>237</c:v>
                </c:pt>
              </c:numCache>
            </c:numRef>
          </c:val>
          <c:extLst>
            <c:ext xmlns:c16="http://schemas.microsoft.com/office/drawing/2014/chart" uri="{C3380CC4-5D6E-409C-BE32-E72D297353CC}">
              <c16:uniqueId val="{00000000-50C1-4130-89CD-EB7932F98831}"/>
            </c:ext>
          </c:extLst>
        </c:ser>
        <c:ser>
          <c:idx val="1"/>
          <c:order val="1"/>
          <c:tx>
            <c:strRef>
              <c:f>Sheet1!$A$25</c:f>
              <c:strCache>
                <c:ptCount val="1"/>
                <c:pt idx="0">
                  <c:v>Retained</c:v>
                </c:pt>
              </c:strCache>
            </c:strRef>
          </c:tx>
          <c:spPr>
            <a:solidFill>
              <a:srgbClr val="3E5F44"/>
            </a:solidFill>
            <a:ln>
              <a:noFill/>
            </a:ln>
            <a:effectLst/>
          </c:spPr>
          <c:invertIfNegative val="0"/>
          <c:cat>
            <c:numRef>
              <c:f>Sheet1!$B$23</c:f>
              <c:numCache>
                <c:formatCode>General</c:formatCode>
                <c:ptCount val="1"/>
              </c:numCache>
            </c:numRef>
          </c:cat>
          <c:val>
            <c:numRef>
              <c:f>Sheet1!$B$25</c:f>
              <c:numCache>
                <c:formatCode>General</c:formatCode>
                <c:ptCount val="1"/>
                <c:pt idx="0">
                  <c:v>1233</c:v>
                </c:pt>
              </c:numCache>
            </c:numRef>
          </c:val>
          <c:extLst>
            <c:ext xmlns:c16="http://schemas.microsoft.com/office/drawing/2014/chart" uri="{C3380CC4-5D6E-409C-BE32-E72D297353CC}">
              <c16:uniqueId val="{00000001-50C1-4130-89CD-EB7932F98831}"/>
            </c:ext>
          </c:extLst>
        </c:ser>
        <c:dLbls>
          <c:showLegendKey val="0"/>
          <c:showVal val="0"/>
          <c:showCatName val="0"/>
          <c:showSerName val="0"/>
          <c:showPercent val="0"/>
          <c:showBubbleSize val="0"/>
        </c:dLbls>
        <c:gapWidth val="150"/>
        <c:overlap val="100"/>
        <c:axId val="1040270160"/>
        <c:axId val="800722416"/>
      </c:barChart>
      <c:catAx>
        <c:axId val="10402701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0722416"/>
        <c:crosses val="autoZero"/>
        <c:auto val="1"/>
        <c:lblAlgn val="ctr"/>
        <c:lblOffset val="100"/>
        <c:noMultiLvlLbl val="0"/>
      </c:catAx>
      <c:valAx>
        <c:axId val="80072241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0270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[EXCELPROJECT.xlsx]Sheet1!PivotTable39</c:name>
    <c:fmtId val="13"/>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200" b="1">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3E5F44"/>
          </a:solidFill>
          <a:ln w="19050">
            <a:solidFill>
              <a:schemeClr val="lt1"/>
            </a:solidFill>
          </a:ln>
          <a:effectLst/>
        </c:spPr>
        <c:dLbl>
          <c:idx val="0"/>
          <c:layout>
            <c:manualLayout>
              <c:x val="0.11075949367088607"/>
              <c:y val="-0.1208981001727116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DCCFC0"/>
          </a:solidFill>
          <a:ln w="19050">
            <a:solidFill>
              <a:schemeClr val="lt1"/>
            </a:solidFill>
          </a:ln>
          <a:effectLst/>
        </c:spPr>
        <c:dLbl>
          <c:idx val="0"/>
          <c:layout>
            <c:manualLayout>
              <c:x val="-7.223278993081815E-2"/>
              <c:y val="0.163989916493280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4854623116198576"/>
                  <c:h val="0.1205967532808505"/>
                </c:manualLayout>
              </c15:layout>
            </c:ext>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3E5F44"/>
          </a:solidFill>
          <a:ln w="19050">
            <a:solidFill>
              <a:schemeClr val="lt1"/>
            </a:solidFill>
          </a:ln>
          <a:effectLst/>
        </c:spPr>
        <c:dLbl>
          <c:idx val="0"/>
          <c:layout>
            <c:manualLayout>
              <c:x val="0.11075949367088607"/>
              <c:y val="-0.1208981001727116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rgbClr val="DCCFC0"/>
          </a:solidFill>
          <a:ln w="19050">
            <a:solidFill>
              <a:schemeClr val="lt1"/>
            </a:solidFill>
          </a:ln>
          <a:effectLst/>
        </c:spPr>
        <c:dLbl>
          <c:idx val="0"/>
          <c:layout>
            <c:manualLayout>
              <c:x val="-7.223278993081815E-2"/>
              <c:y val="0.163989916493280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4854623116198576"/>
                  <c:h val="0.1205967532808505"/>
                </c:manualLayout>
              </c15:layout>
            </c:ext>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3E5F44"/>
          </a:solidFill>
          <a:ln w="19050">
            <a:solidFill>
              <a:schemeClr val="lt1"/>
            </a:solidFill>
          </a:ln>
          <a:effectLst/>
        </c:spPr>
        <c:dLbl>
          <c:idx val="0"/>
          <c:layout>
            <c:manualLayout>
              <c:x val="0.11075949367088607"/>
              <c:y val="-0.1208981001727116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rgbClr val="DCCFC0"/>
          </a:solidFill>
          <a:ln w="19050">
            <a:solidFill>
              <a:schemeClr val="lt1"/>
            </a:solidFill>
          </a:ln>
          <a:effectLst/>
        </c:spPr>
        <c:dLbl>
          <c:idx val="0"/>
          <c:layout>
            <c:manualLayout>
              <c:x val="-7.223278993081815E-2"/>
              <c:y val="0.163989916493280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4854623116198576"/>
                  <c:h val="0.1205967532808505"/>
                </c:manualLayout>
              </c15:layout>
            </c:ext>
          </c:extLst>
        </c:dLbl>
      </c:pivotFmt>
      <c:pivotFmt>
        <c:idx val="13"/>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3E5F44"/>
          </a:solidFill>
          <a:ln w="19050">
            <a:solidFill>
              <a:schemeClr val="lt1"/>
            </a:solidFill>
          </a:ln>
          <a:effectLst/>
        </c:spPr>
        <c:dLbl>
          <c:idx val="0"/>
          <c:layout>
            <c:manualLayout>
              <c:x val="0.11075949367088607"/>
              <c:y val="-0.1208981001727116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5"/>
        <c:spPr>
          <a:solidFill>
            <a:srgbClr val="DCCFC0"/>
          </a:solidFill>
          <a:ln w="19050">
            <a:solidFill>
              <a:schemeClr val="lt1"/>
            </a:solidFill>
          </a:ln>
          <a:effectLst/>
        </c:spPr>
        <c:dLbl>
          <c:idx val="0"/>
          <c:layout>
            <c:manualLayout>
              <c:x val="-7.223278993081815E-2"/>
              <c:y val="0.163989916493280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4854623116198576"/>
                  <c:h val="0.1205967532808505"/>
                </c:manualLayout>
              </c15:layout>
            </c:ext>
          </c:extLst>
        </c:dLbl>
      </c:pivotFmt>
    </c:pivotFmts>
    <c:plotArea>
      <c:layout/>
      <c:doughnutChart>
        <c:varyColors val="1"/>
        <c:ser>
          <c:idx val="0"/>
          <c:order val="0"/>
          <c:tx>
            <c:strRef>
              <c:f>Sheet1!$E$2</c:f>
              <c:strCache>
                <c:ptCount val="1"/>
                <c:pt idx="0">
                  <c:v>Total</c:v>
                </c:pt>
              </c:strCache>
            </c:strRef>
          </c:tx>
          <c:dPt>
            <c:idx val="0"/>
            <c:bubble3D val="0"/>
            <c:spPr>
              <a:solidFill>
                <a:srgbClr val="3E5F44"/>
              </a:solidFill>
              <a:ln w="19050">
                <a:solidFill>
                  <a:schemeClr val="lt1"/>
                </a:solidFill>
              </a:ln>
              <a:effectLst/>
            </c:spPr>
            <c:extLst>
              <c:ext xmlns:c16="http://schemas.microsoft.com/office/drawing/2014/chart" uri="{C3380CC4-5D6E-409C-BE32-E72D297353CC}">
                <c16:uniqueId val="{0000001F-6747-456A-A699-1572C21FB857}"/>
              </c:ext>
            </c:extLst>
          </c:dPt>
          <c:dPt>
            <c:idx val="1"/>
            <c:bubble3D val="0"/>
            <c:spPr>
              <a:solidFill>
                <a:srgbClr val="DCCFC0"/>
              </a:solidFill>
              <a:ln w="19050">
                <a:solidFill>
                  <a:schemeClr val="lt1"/>
                </a:solidFill>
              </a:ln>
              <a:effectLst/>
            </c:spPr>
            <c:extLst>
              <c:ext xmlns:c16="http://schemas.microsoft.com/office/drawing/2014/chart" uri="{C3380CC4-5D6E-409C-BE32-E72D297353CC}">
                <c16:uniqueId val="{00000021-6747-456A-A699-1572C21FB857}"/>
              </c:ext>
            </c:extLst>
          </c:dPt>
          <c:dLbls>
            <c:dLbl>
              <c:idx val="0"/>
              <c:layout>
                <c:manualLayout>
                  <c:x val="0.11075949367088607"/>
                  <c:y val="-0.12089810017271164"/>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1F-6747-456A-A699-1572C21FB857}"/>
                </c:ext>
              </c:extLst>
            </c:dLbl>
            <c:dLbl>
              <c:idx val="1"/>
              <c:layout>
                <c:manualLayout>
                  <c:x val="-7.223278993081815E-2"/>
                  <c:y val="0.163989916493280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4854623116198576"/>
                      <c:h val="0.1205967532808505"/>
                    </c:manualLayout>
                  </c15:layout>
                </c:ext>
                <c:ext xmlns:c16="http://schemas.microsoft.com/office/drawing/2014/chart" uri="{C3380CC4-5D6E-409C-BE32-E72D297353CC}">
                  <c16:uniqueId val="{00000021-6747-456A-A699-1572C21FB85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Sheet1!$D$3:$D$5</c:f>
              <c:strCache>
                <c:ptCount val="2"/>
                <c:pt idx="0">
                  <c:v>No</c:v>
                </c:pt>
                <c:pt idx="1">
                  <c:v>Yes</c:v>
                </c:pt>
              </c:strCache>
            </c:strRef>
          </c:cat>
          <c:val>
            <c:numRef>
              <c:f>Sheet1!$E$3:$E$5</c:f>
              <c:numCache>
                <c:formatCode>General</c:formatCode>
                <c:ptCount val="2"/>
                <c:pt idx="0">
                  <c:v>110</c:v>
                </c:pt>
                <c:pt idx="1">
                  <c:v>127</c:v>
                </c:pt>
              </c:numCache>
            </c:numRef>
          </c:val>
          <c:extLst>
            <c:ext xmlns:c16="http://schemas.microsoft.com/office/drawing/2014/chart" uri="{C3380CC4-5D6E-409C-BE32-E72D297353CC}">
              <c16:uniqueId val="{00000022-6747-456A-A699-1572C21FB857}"/>
            </c:ext>
          </c:extLst>
        </c:ser>
        <c:dLbls>
          <c:showLegendKey val="0"/>
          <c:showVal val="1"/>
          <c:showCatName val="0"/>
          <c:showSerName val="0"/>
          <c:showPercent val="0"/>
          <c:showBubbleSize val="0"/>
          <c:showLeaderLines val="1"/>
        </c:dLbls>
        <c:firstSliceAng val="0"/>
        <c:holeSize val="75"/>
      </c:doughnut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[EXCELPROJECT.xlsx]Sheet1!PivotTable44</c:name>
    <c:fmtId val="1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4"/>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3E5F44"/>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Sheet1!$E$12</c:f>
              <c:strCache>
                <c:ptCount val="1"/>
                <c:pt idx="0">
                  <c:v>Total</c:v>
                </c:pt>
              </c:strCache>
            </c:strRef>
          </c:tx>
          <c:spPr>
            <a:solidFill>
              <a:srgbClr val="3E5F44"/>
            </a:solidFill>
            <a:ln>
              <a:noFill/>
            </a:ln>
            <a:effectLst/>
          </c:spPr>
          <c:invertIfNegative val="0"/>
          <c:cat>
            <c:strRef>
              <c:f>Sheet1!$D$13:$D$22</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Sheet1!$E$13:$E$22</c:f>
              <c:numCache>
                <c:formatCode>0.00%</c:formatCode>
                <c:ptCount val="9"/>
                <c:pt idx="0">
                  <c:v>6.8702290076335881E-2</c:v>
                </c:pt>
                <c:pt idx="1">
                  <c:v>0.23076923076923078</c:v>
                </c:pt>
                <c:pt idx="2">
                  <c:v>0.23938223938223938</c:v>
                </c:pt>
                <c:pt idx="3">
                  <c:v>4.9019607843137254E-2</c:v>
                </c:pt>
                <c:pt idx="4">
                  <c:v>6.8965517241379309E-2</c:v>
                </c:pt>
                <c:pt idx="5">
                  <c:v>2.5000000000000001E-2</c:v>
                </c:pt>
                <c:pt idx="6">
                  <c:v>0.16095890410958905</c:v>
                </c:pt>
                <c:pt idx="7">
                  <c:v>0.17484662576687116</c:v>
                </c:pt>
                <c:pt idx="8">
                  <c:v>0.39759036144578314</c:v>
                </c:pt>
              </c:numCache>
            </c:numRef>
          </c:val>
          <c:extLst>
            <c:ext xmlns:c16="http://schemas.microsoft.com/office/drawing/2014/chart" uri="{C3380CC4-5D6E-409C-BE32-E72D297353CC}">
              <c16:uniqueId val="{00000002-2E42-4E55-A4F9-A699DA8112A6}"/>
            </c:ext>
          </c:extLst>
        </c:ser>
        <c:dLbls>
          <c:showLegendKey val="0"/>
          <c:showVal val="0"/>
          <c:showCatName val="0"/>
          <c:showSerName val="0"/>
          <c:showPercent val="0"/>
          <c:showBubbleSize val="0"/>
        </c:dLbls>
        <c:gapWidth val="182"/>
        <c:axId val="136014127"/>
        <c:axId val="169562927"/>
      </c:barChart>
      <c:catAx>
        <c:axId val="1360141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62927"/>
        <c:crosses val="autoZero"/>
        <c:auto val="1"/>
        <c:lblAlgn val="ctr"/>
        <c:lblOffset val="100"/>
        <c:noMultiLvlLbl val="0"/>
      </c:catAx>
      <c:valAx>
        <c:axId val="169562927"/>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014127"/>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[EXCELPROJECT.xlsx]Sheet1!PivotTable36</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4"/>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3E5F44"/>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Sheet1!$G$2</c:f>
              <c:strCache>
                <c:ptCount val="1"/>
                <c:pt idx="0">
                  <c:v>Total</c:v>
                </c:pt>
              </c:strCache>
            </c:strRef>
          </c:tx>
          <c:spPr>
            <a:solidFill>
              <a:srgbClr val="3E5F44"/>
            </a:solidFill>
            <a:ln>
              <a:noFill/>
            </a:ln>
            <a:effectLst/>
          </c:spPr>
          <c:invertIfNegative val="0"/>
          <c:cat>
            <c:strRef>
              <c:f>Sheet1!$F$3:$F$8</c:f>
              <c:strCache>
                <c:ptCount val="5"/>
                <c:pt idx="0">
                  <c:v>18-20</c:v>
                </c:pt>
                <c:pt idx="1">
                  <c:v>20-29</c:v>
                </c:pt>
                <c:pt idx="2">
                  <c:v>30-39</c:v>
                </c:pt>
                <c:pt idx="3">
                  <c:v>40-49</c:v>
                </c:pt>
                <c:pt idx="4">
                  <c:v>50-59</c:v>
                </c:pt>
              </c:strCache>
            </c:strRef>
          </c:cat>
          <c:val>
            <c:numRef>
              <c:f>Sheet1!$G$3:$G$8</c:f>
              <c:numCache>
                <c:formatCode>0.00%</c:formatCode>
                <c:ptCount val="5"/>
                <c:pt idx="0">
                  <c:v>0.58823529411764708</c:v>
                </c:pt>
                <c:pt idx="1">
                  <c:v>0.26213592233009708</c:v>
                </c:pt>
                <c:pt idx="2">
                  <c:v>0.14308681672025725</c:v>
                </c:pt>
                <c:pt idx="3">
                  <c:v>9.7421203438395415E-2</c:v>
                </c:pt>
                <c:pt idx="4">
                  <c:v>0.13294797687861271</c:v>
                </c:pt>
              </c:numCache>
            </c:numRef>
          </c:val>
          <c:extLst>
            <c:ext xmlns:c16="http://schemas.microsoft.com/office/drawing/2014/chart" uri="{C3380CC4-5D6E-409C-BE32-E72D297353CC}">
              <c16:uniqueId val="{00000002-68C1-4126-B913-3C1C349DA033}"/>
            </c:ext>
          </c:extLst>
        </c:ser>
        <c:dLbls>
          <c:showLegendKey val="0"/>
          <c:showVal val="0"/>
          <c:showCatName val="0"/>
          <c:showSerName val="0"/>
          <c:showPercent val="0"/>
          <c:showBubbleSize val="0"/>
        </c:dLbls>
        <c:gapWidth val="219"/>
        <c:overlap val="-27"/>
        <c:axId val="737416368"/>
        <c:axId val="957381936"/>
      </c:barChart>
      <c:catAx>
        <c:axId val="737416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381936"/>
        <c:crosses val="autoZero"/>
        <c:auto val="1"/>
        <c:lblAlgn val="ctr"/>
        <c:lblOffset val="100"/>
        <c:noMultiLvlLbl val="0"/>
      </c:catAx>
      <c:valAx>
        <c:axId val="95738193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7416368"/>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[EXCELPROJECT.xlsx]Sheet1!PivotTable40</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28575" cap="rnd">
            <a:solidFill>
              <a:srgbClr val="3E5F44"/>
            </a:solidFill>
            <a:round/>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rgbClr val="3E5F44"/>
            </a:solidFill>
            <a:round/>
          </a:ln>
          <a:effectLst/>
        </c:spPr>
        <c:marker>
          <c:symbol val="none"/>
        </c:marker>
        <c:dLbl>
          <c:idx val="0"/>
          <c:delete val="1"/>
          <c:extLst>
            <c:ext xmlns:c15="http://schemas.microsoft.com/office/drawing/2012/chart" uri="{CE6537A1-D6FC-4f65-9D91-7224C49458BB}"/>
          </c:extLst>
        </c:dLbl>
      </c:pivotFmt>
      <c:pivotFmt>
        <c:idx val="4"/>
        <c:spPr>
          <a:ln w="28575" cap="rnd">
            <a:solidFill>
              <a:srgbClr val="3E5F44"/>
            </a:solidFill>
            <a:round/>
          </a:ln>
          <a:effectLst/>
        </c:spPr>
        <c:marker>
          <c:symbol val="none"/>
        </c:marker>
        <c:dLbl>
          <c:idx val="0"/>
          <c:delete val="1"/>
          <c:extLst>
            <c:ext xmlns:c15="http://schemas.microsoft.com/office/drawing/2012/chart" uri="{CE6537A1-D6FC-4f65-9D91-7224C49458BB}"/>
          </c:extLst>
        </c:dLbl>
      </c:pivotFmt>
      <c:pivotFmt>
        <c:idx val="5"/>
        <c:spPr>
          <a:ln w="28575" cap="rnd">
            <a:solidFill>
              <a:srgbClr val="3E5F44"/>
            </a:solidFill>
            <a:round/>
          </a:ln>
          <a:effectLst/>
        </c:spPr>
        <c:marker>
          <c:symbol val="none"/>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Sheet1!$J$10</c:f>
              <c:strCache>
                <c:ptCount val="1"/>
                <c:pt idx="0">
                  <c:v>Total</c:v>
                </c:pt>
              </c:strCache>
            </c:strRef>
          </c:tx>
          <c:spPr>
            <a:ln w="28575" cap="rnd">
              <a:solidFill>
                <a:srgbClr val="3E5F44"/>
              </a:solidFill>
              <a:round/>
            </a:ln>
            <a:effectLst/>
          </c:spPr>
          <c:marker>
            <c:symbol val="none"/>
          </c:marker>
          <c:cat>
            <c:strRef>
              <c:f>Sheet1!$I$11:$I$15</c:f>
              <c:strCache>
                <c:ptCount val="4"/>
                <c:pt idx="0">
                  <c:v>0-2</c:v>
                </c:pt>
                <c:pt idx="1">
                  <c:v>3-5</c:v>
                </c:pt>
                <c:pt idx="2">
                  <c:v>6-10</c:v>
                </c:pt>
                <c:pt idx="3">
                  <c:v>10+</c:v>
                </c:pt>
              </c:strCache>
            </c:strRef>
          </c:cat>
          <c:val>
            <c:numRef>
              <c:f>Sheet1!$J$11:$J$15</c:f>
              <c:numCache>
                <c:formatCode>0%</c:formatCode>
                <c:ptCount val="4"/>
                <c:pt idx="0">
                  <c:v>0.2982456140350877</c:v>
                </c:pt>
                <c:pt idx="1">
                  <c:v>0.13824884792626729</c:v>
                </c:pt>
                <c:pt idx="2">
                  <c:v>0.12276785714285714</c:v>
                </c:pt>
                <c:pt idx="3">
                  <c:v>8.1300813008130079E-2</c:v>
                </c:pt>
              </c:numCache>
            </c:numRef>
          </c:val>
          <c:smooth val="0"/>
          <c:extLst>
            <c:ext xmlns:c16="http://schemas.microsoft.com/office/drawing/2014/chart" uri="{C3380CC4-5D6E-409C-BE32-E72D297353CC}">
              <c16:uniqueId val="{00000002-380A-466B-9C08-9480B5F57D64}"/>
            </c:ext>
          </c:extLst>
        </c:ser>
        <c:dLbls>
          <c:showLegendKey val="0"/>
          <c:showVal val="0"/>
          <c:showCatName val="0"/>
          <c:showSerName val="0"/>
          <c:showPercent val="0"/>
          <c:showBubbleSize val="0"/>
        </c:dLbls>
        <c:smooth val="0"/>
        <c:axId val="1130298479"/>
        <c:axId val="169755887"/>
      </c:lineChart>
      <c:catAx>
        <c:axId val="1130298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55887"/>
        <c:crosses val="autoZero"/>
        <c:auto val="1"/>
        <c:lblAlgn val="ctr"/>
        <c:lblOffset val="100"/>
        <c:noMultiLvlLbl val="0"/>
      </c:catAx>
      <c:valAx>
        <c:axId val="16975588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298479"/>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[EXCELPROJECT.xlsx]Sheet1!PivotTable38</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4"/>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3E5F44"/>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Sheet1!$K$1</c:f>
              <c:strCache>
                <c:ptCount val="1"/>
                <c:pt idx="0">
                  <c:v>Total</c:v>
                </c:pt>
              </c:strCache>
            </c:strRef>
          </c:tx>
          <c:spPr>
            <a:solidFill>
              <a:srgbClr val="3E5F44"/>
            </a:solidFill>
            <a:ln>
              <a:noFill/>
            </a:ln>
            <a:effectLst/>
          </c:spPr>
          <c:invertIfNegative val="0"/>
          <c:cat>
            <c:strRef>
              <c:f>Sheet1!$J$2:$J$7</c:f>
              <c:strCache>
                <c:ptCount val="5"/>
                <c:pt idx="0">
                  <c:v>1</c:v>
                </c:pt>
                <c:pt idx="1">
                  <c:v>3</c:v>
                </c:pt>
                <c:pt idx="2">
                  <c:v>2</c:v>
                </c:pt>
                <c:pt idx="3">
                  <c:v>5</c:v>
                </c:pt>
                <c:pt idx="4">
                  <c:v>4</c:v>
                </c:pt>
              </c:strCache>
            </c:strRef>
          </c:cat>
          <c:val>
            <c:numRef>
              <c:f>Sheet1!$K$2:$K$7</c:f>
              <c:numCache>
                <c:formatCode>0.00%</c:formatCode>
                <c:ptCount val="5"/>
                <c:pt idx="0">
                  <c:v>0.26335174953959484</c:v>
                </c:pt>
                <c:pt idx="1">
                  <c:v>0.14678899082568808</c:v>
                </c:pt>
                <c:pt idx="2">
                  <c:v>9.7378277153558054E-2</c:v>
                </c:pt>
                <c:pt idx="3">
                  <c:v>7.2463768115942032E-2</c:v>
                </c:pt>
                <c:pt idx="4">
                  <c:v>4.716981132075472E-2</c:v>
                </c:pt>
              </c:numCache>
            </c:numRef>
          </c:val>
          <c:extLst>
            <c:ext xmlns:c16="http://schemas.microsoft.com/office/drawing/2014/chart" uri="{C3380CC4-5D6E-409C-BE32-E72D297353CC}">
              <c16:uniqueId val="{00000002-4EC9-4BB7-BB46-56EEEF2FBE23}"/>
            </c:ext>
          </c:extLst>
        </c:ser>
        <c:dLbls>
          <c:showLegendKey val="0"/>
          <c:showVal val="0"/>
          <c:showCatName val="0"/>
          <c:showSerName val="0"/>
          <c:showPercent val="0"/>
          <c:showBubbleSize val="0"/>
        </c:dLbls>
        <c:gapWidth val="150"/>
        <c:axId val="910376192"/>
        <c:axId val="957488976"/>
      </c:barChart>
      <c:catAx>
        <c:axId val="9103761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488976"/>
        <c:crosses val="autoZero"/>
        <c:auto val="1"/>
        <c:lblAlgn val="ctr"/>
        <c:lblOffset val="100"/>
        <c:noMultiLvlLbl val="0"/>
      </c:catAx>
      <c:valAx>
        <c:axId val="9574889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376192"/>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[EXCELPROJECT.xlsx]Sheet1!PivotTable41</c:name>
    <c:fmtId val="1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100" b="1" i="0" u="none" strike="noStrike" kern="1200" spc="0" baseline="0">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4"/>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3E5F44"/>
          </a:solidFill>
          <a:ln>
            <a:noFill/>
          </a:ln>
          <a:effectLst/>
        </c:spPr>
        <c:marker>
          <c:symbol val="none"/>
        </c:marker>
        <c:dLbl>
          <c:idx val="0"/>
          <c:delete val="1"/>
          <c:extLst>
            <c:ext xmlns:c15="http://schemas.microsoft.com/office/drawing/2012/chart" uri="{CE6537A1-D6FC-4f65-9D91-7224C49458BB}"/>
          </c:extLst>
        </c:dLbl>
      </c:pivotFmt>
    </c:pivotFmts>
    <c:plotArea>
      <c:layout/>
      <c:areaChart>
        <c:grouping val="stacked"/>
        <c:varyColors val="0"/>
        <c:ser>
          <c:idx val="0"/>
          <c:order val="0"/>
          <c:tx>
            <c:strRef>
              <c:f>Sheet1!$J$18</c:f>
              <c:strCache>
                <c:ptCount val="1"/>
                <c:pt idx="0">
                  <c:v>Total</c:v>
                </c:pt>
              </c:strCache>
            </c:strRef>
          </c:tx>
          <c:spPr>
            <a:solidFill>
              <a:srgbClr val="3E5F44"/>
            </a:solidFill>
            <a:ln>
              <a:noFill/>
            </a:ln>
            <a:effectLst/>
          </c:spPr>
          <c:cat>
            <c:strRef>
              <c:f>Sheet1!$I$19:$I$22</c:f>
              <c:strCache>
                <c:ptCount val="3"/>
                <c:pt idx="0">
                  <c:v>Non-Travel</c:v>
                </c:pt>
                <c:pt idx="1">
                  <c:v>Travel_Frequently</c:v>
                </c:pt>
                <c:pt idx="2">
                  <c:v>Travel_Rarely</c:v>
                </c:pt>
              </c:strCache>
            </c:strRef>
          </c:cat>
          <c:val>
            <c:numRef>
              <c:f>Sheet1!$J$19:$J$22</c:f>
              <c:numCache>
                <c:formatCode>0.00%</c:formatCode>
                <c:ptCount val="3"/>
                <c:pt idx="0">
                  <c:v>0.08</c:v>
                </c:pt>
                <c:pt idx="1">
                  <c:v>0.24909747292418771</c:v>
                </c:pt>
                <c:pt idx="2">
                  <c:v>0.14956855225311602</c:v>
                </c:pt>
              </c:numCache>
            </c:numRef>
          </c:val>
          <c:extLst>
            <c:ext xmlns:c16="http://schemas.microsoft.com/office/drawing/2014/chart" uri="{C3380CC4-5D6E-409C-BE32-E72D297353CC}">
              <c16:uniqueId val="{00000002-B545-473C-B4E2-A14A8592D257}"/>
            </c:ext>
          </c:extLst>
        </c:ser>
        <c:dLbls>
          <c:showLegendKey val="0"/>
          <c:showVal val="0"/>
          <c:showCatName val="0"/>
          <c:showSerName val="0"/>
          <c:showPercent val="0"/>
          <c:showBubbleSize val="0"/>
        </c:dLbls>
        <c:axId val="1130303583"/>
        <c:axId val="1148045551"/>
      </c:areaChart>
      <c:catAx>
        <c:axId val="113030358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8045551"/>
        <c:crosses val="autoZero"/>
        <c:auto val="1"/>
        <c:lblAlgn val="ctr"/>
        <c:lblOffset val="100"/>
        <c:noMultiLvlLbl val="0"/>
      </c:catAx>
      <c:valAx>
        <c:axId val="11480455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303583"/>
        <c:crosses val="autoZero"/>
        <c:crossBetween val="midCat"/>
      </c:valAx>
    </c:plotArea>
    <c:plotVisOnly val="1"/>
    <c:dispBlanksAs val="zero"/>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[EXCELPROJECT.xlsx]Sheet1!PivotTable37</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rgbClr val="3E5F44"/>
                </a:solidFill>
                <a:latin typeface="Segoe UI" panose="020B0502040204020203" pitchFamily="34" charset="0"/>
                <a:cs typeface="Segoe UI" panose="020B0502040204020203" pitchFamily="34" charset="0"/>
              </a:rPr>
              <a:t>Attrition rate by department</a:t>
            </a:r>
          </a:p>
        </c:rich>
      </c:tx>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Sheet1!$D$23</c:f>
              <c:strCache>
                <c:ptCount val="1"/>
                <c:pt idx="0">
                  <c:v>Total</c:v>
                </c:pt>
              </c:strCache>
            </c:strRef>
          </c:tx>
          <c:spPr>
            <a:solidFill>
              <a:srgbClr val="3E5F4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Sheet1!$C$24:$C$27</c:f>
              <c:strCache>
                <c:ptCount val="3"/>
                <c:pt idx="0">
                  <c:v>Human Resources</c:v>
                </c:pt>
                <c:pt idx="1">
                  <c:v>Research &amp; Development</c:v>
                </c:pt>
                <c:pt idx="2">
                  <c:v>Sales</c:v>
                </c:pt>
              </c:strCache>
            </c:strRef>
          </c:cat>
          <c:val>
            <c:numRef>
              <c:f>Sheet1!$D$24:$D$27</c:f>
              <c:numCache>
                <c:formatCode>0.00%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0-35D3-48CF-85B3-90AC9A5031E9}"/>
            </c:ext>
          </c:extLst>
        </c:ser>
        <c:dLbls>
          <c:dLblPos val="outEnd"/>
          <c:showLegendKey val="0"/>
          <c:showVal val="1"/>
          <c:showCatName val="0"/>
          <c:showSerName val="0"/>
          <c:showPercent val="0"/>
          <c:showBubbleSize val="0"/>
        </c:dLbls>
        <c:gapWidth val="182"/>
        <c:axId val="910329328"/>
        <c:axId val="1128700944"/>
      </c:barChart>
      <c:catAx>
        <c:axId val="91032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8700944"/>
        <c:crosses val="autoZero"/>
        <c:auto val="1"/>
        <c:lblAlgn val="ctr"/>
        <c:lblOffset val="100"/>
        <c:noMultiLvlLbl val="0"/>
      </c:catAx>
      <c:valAx>
        <c:axId val="112870094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329328"/>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[EXCELPROJECT.xlsx]Sheet1!PivotTable42</c:name>
    <c:fmtId val="2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200" b="1" i="0" u="none" strike="noStrike" kern="1200" spc="0" baseline="0">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4"/>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3E5F44"/>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Sheet1!$D$28</c:f>
              <c:strCache>
                <c:ptCount val="1"/>
                <c:pt idx="0">
                  <c:v>Total</c:v>
                </c:pt>
              </c:strCache>
            </c:strRef>
          </c:tx>
          <c:spPr>
            <a:solidFill>
              <a:srgbClr val="3E5F44"/>
            </a:solidFill>
            <a:ln>
              <a:noFill/>
            </a:ln>
            <a:effectLst/>
          </c:spPr>
          <c:invertIfNegative val="0"/>
          <c:cat>
            <c:strRef>
              <c:f>Sheet1!$C$29:$C$33</c:f>
              <c:strCache>
                <c:ptCount val="4"/>
                <c:pt idx="0">
                  <c:v>1000-5000</c:v>
                </c:pt>
                <c:pt idx="1">
                  <c:v>5001-10000</c:v>
                </c:pt>
                <c:pt idx="2">
                  <c:v>10001-15000</c:v>
                </c:pt>
                <c:pt idx="3">
                  <c:v>15001-20000</c:v>
                </c:pt>
              </c:strCache>
            </c:strRef>
          </c:cat>
          <c:val>
            <c:numRef>
              <c:f>Sheet1!$D$29:$D$33</c:f>
              <c:numCache>
                <c:formatCode>0%</c:formatCode>
                <c:ptCount val="4"/>
                <c:pt idx="0">
                  <c:v>0.21762349799732977</c:v>
                </c:pt>
                <c:pt idx="1">
                  <c:v>0.11136363636363636</c:v>
                </c:pt>
                <c:pt idx="2">
                  <c:v>0.13513513513513514</c:v>
                </c:pt>
                <c:pt idx="3">
                  <c:v>3.7593984962406013E-2</c:v>
                </c:pt>
              </c:numCache>
            </c:numRef>
          </c:val>
          <c:extLst>
            <c:ext xmlns:c16="http://schemas.microsoft.com/office/drawing/2014/chart" uri="{C3380CC4-5D6E-409C-BE32-E72D297353CC}">
              <c16:uniqueId val="{00000000-7E9F-43F5-B6FA-5370BC51005A}"/>
            </c:ext>
          </c:extLst>
        </c:ser>
        <c:dLbls>
          <c:showLegendKey val="0"/>
          <c:showVal val="0"/>
          <c:showCatName val="0"/>
          <c:showSerName val="0"/>
          <c:showPercent val="0"/>
          <c:showBubbleSize val="0"/>
        </c:dLbls>
        <c:gapWidth val="219"/>
        <c:overlap val="-27"/>
        <c:axId val="1264159999"/>
        <c:axId val="758375823"/>
      </c:barChart>
      <c:catAx>
        <c:axId val="1264159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8375823"/>
        <c:crosses val="autoZero"/>
        <c:auto val="1"/>
        <c:lblAlgn val="ctr"/>
        <c:lblOffset val="100"/>
        <c:noMultiLvlLbl val="0"/>
      </c:catAx>
      <c:valAx>
        <c:axId val="75837582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159999"/>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[EXCELPROJECT.xlsx]Sheet1!PivotTable43</c:name>
    <c:fmtId val="1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100" b="1" i="0" u="none" strike="noStrike" kern="1200" spc="0" baseline="0">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4"/>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3E5F44"/>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Sheet1!$I$24</c:f>
              <c:strCache>
                <c:ptCount val="1"/>
                <c:pt idx="0">
                  <c:v>Total</c:v>
                </c:pt>
              </c:strCache>
            </c:strRef>
          </c:tx>
          <c:spPr>
            <a:solidFill>
              <a:srgbClr val="3E5F44"/>
            </a:solidFill>
            <a:ln>
              <a:noFill/>
            </a:ln>
            <a:effectLst/>
          </c:spPr>
          <c:invertIfNegative val="0"/>
          <c:cat>
            <c:strRef>
              <c:f>Sheet1!$H$25:$H$29</c:f>
              <c:strCache>
                <c:ptCount val="4"/>
                <c:pt idx="0">
                  <c:v>1</c:v>
                </c:pt>
                <c:pt idx="1">
                  <c:v>2</c:v>
                </c:pt>
                <c:pt idx="2">
                  <c:v>3</c:v>
                </c:pt>
                <c:pt idx="3">
                  <c:v>4</c:v>
                </c:pt>
              </c:strCache>
            </c:strRef>
          </c:cat>
          <c:val>
            <c:numRef>
              <c:f>Sheet1!$I$25:$I$29</c:f>
              <c:numCache>
                <c:formatCode>0.00%</c:formatCode>
                <c:ptCount val="4"/>
                <c:pt idx="0">
                  <c:v>0.3125</c:v>
                </c:pt>
                <c:pt idx="1">
                  <c:v>0.16860465116279069</c:v>
                </c:pt>
                <c:pt idx="2">
                  <c:v>0.14221724524076149</c:v>
                </c:pt>
                <c:pt idx="3">
                  <c:v>0.17647058823529413</c:v>
                </c:pt>
              </c:numCache>
            </c:numRef>
          </c:val>
          <c:extLst>
            <c:ext xmlns:c16="http://schemas.microsoft.com/office/drawing/2014/chart" uri="{C3380CC4-5D6E-409C-BE32-E72D297353CC}">
              <c16:uniqueId val="{00000000-9EE7-4A05-99A8-C6016B7A23EA}"/>
            </c:ext>
          </c:extLst>
        </c:ser>
        <c:dLbls>
          <c:showLegendKey val="0"/>
          <c:showVal val="0"/>
          <c:showCatName val="0"/>
          <c:showSerName val="0"/>
          <c:showPercent val="0"/>
          <c:showBubbleSize val="0"/>
        </c:dLbls>
        <c:gapWidth val="182"/>
        <c:axId val="135977935"/>
        <c:axId val="1147996111"/>
      </c:barChart>
      <c:catAx>
        <c:axId val="1359779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7996111"/>
        <c:crosses val="autoZero"/>
        <c:auto val="1"/>
        <c:lblAlgn val="ctr"/>
        <c:lblOffset val="100"/>
        <c:noMultiLvlLbl val="0"/>
      </c:catAx>
      <c:valAx>
        <c:axId val="114799611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7793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00" b="1">
                <a:solidFill>
                  <a:srgbClr val="3E5F44"/>
                </a:solidFill>
                <a:latin typeface="Segoe UI" panose="020B0502040204020203" pitchFamily="34" charset="0"/>
                <a:cs typeface="Segoe UI" panose="020B0502040204020203" pitchFamily="34" charset="0"/>
              </a:rPr>
              <a:t>Attrition By Jobsatsfaction</a:t>
            </a:r>
          </a:p>
        </c:rich>
      </c:tx>
      <c:layout>
        <c:manualLayout>
          <c:xMode val="edge"/>
          <c:yMode val="edge"/>
          <c:x val="0.24353236546228574"/>
          <c:y val="5.405405405405405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w="28575" cap="rnd">
            <a:solidFill>
              <a:schemeClr val="accent6"/>
            </a:solidFill>
            <a:round/>
          </a:ln>
          <a:effectLst/>
        </c:spPr>
        <c:marker>
          <c:symbol val="circle"/>
          <c:size val="5"/>
          <c:spPr>
            <a:solidFill>
              <a:schemeClr val="accent6">
                <a:tint val="58000"/>
              </a:schemeClr>
            </a:solidFill>
            <a:ln w="9525">
              <a:solidFill>
                <a:schemeClr val="accent6">
                  <a:tint val="58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w="28575" cap="rnd">
            <a:solidFill>
              <a:schemeClr val="accent6"/>
            </a:solidFill>
            <a:round/>
          </a:ln>
          <a:effectLst/>
        </c:spPr>
        <c:marker>
          <c:symbol val="circle"/>
          <c:size val="5"/>
          <c:spPr>
            <a:solidFill>
              <a:schemeClr val="accent6">
                <a:tint val="86000"/>
              </a:schemeClr>
            </a:solidFill>
            <a:ln w="9525">
              <a:solidFill>
                <a:schemeClr val="accent6">
                  <a:tint val="8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w="28575" cap="rnd">
            <a:solidFill>
              <a:schemeClr val="accent6"/>
            </a:solidFill>
            <a:round/>
          </a:ln>
          <a:effectLst/>
        </c:spPr>
        <c:marker>
          <c:symbol val="circle"/>
          <c:size val="5"/>
          <c:spPr>
            <a:solidFill>
              <a:schemeClr val="accent6">
                <a:shade val="86000"/>
              </a:schemeClr>
            </a:solidFill>
            <a:ln w="9525">
              <a:solidFill>
                <a:schemeClr val="accent6">
                  <a:shade val="8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w="28575" cap="rnd">
            <a:solidFill>
              <a:schemeClr val="accent6"/>
            </a:solidFill>
            <a:round/>
          </a:ln>
          <a:effectLst/>
        </c:spPr>
        <c:marker>
          <c:symbol val="circle"/>
          <c:size val="5"/>
          <c:spPr>
            <a:solidFill>
              <a:schemeClr val="accent6">
                <a:shade val="58000"/>
              </a:schemeClr>
            </a:solidFill>
            <a:ln w="9525">
              <a:solidFill>
                <a:schemeClr val="accent6">
                  <a:shade val="58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w="28575" cap="rnd">
            <a:solidFill>
              <a:schemeClr val="accent6"/>
            </a:solidFill>
            <a:round/>
          </a:ln>
          <a:effectLst/>
        </c:spPr>
        <c:marker>
          <c:symbol val="circle"/>
          <c:size val="5"/>
          <c:spPr>
            <a:solidFill>
              <a:srgbClr val="3E5F44"/>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6"/>
              </a:solidFill>
              <a:round/>
            </a:ln>
            <a:effectLst/>
          </c:spPr>
          <c:marker>
            <c:symbol val="circle"/>
            <c:size val="5"/>
            <c:spPr>
              <a:solidFill>
                <a:srgbClr val="3E5F44"/>
              </a:solidFill>
              <a:ln w="9525">
                <a:solidFill>
                  <a:schemeClr val="accent6"/>
                </a:solidFill>
              </a:ln>
              <a:effectLst/>
            </c:spPr>
          </c:marker>
          <c:cat>
            <c:strLit>
              <c:ptCount val="4"/>
              <c:pt idx="0">
                <c:v>1</c:v>
              </c:pt>
              <c:pt idx="1">
                <c:v>2</c:v>
              </c:pt>
              <c:pt idx="2">
                <c:v>3</c:v>
              </c:pt>
              <c:pt idx="3">
                <c:v>4</c:v>
              </c:pt>
            </c:strLit>
          </c:cat>
          <c:val>
            <c:numLit>
              <c:formatCode>General</c:formatCode>
              <c:ptCount val="4"/>
              <c:pt idx="0">
                <c:v>223</c:v>
              </c:pt>
              <c:pt idx="1">
                <c:v>234</c:v>
              </c:pt>
              <c:pt idx="2">
                <c:v>369</c:v>
              </c:pt>
              <c:pt idx="3">
                <c:v>407</c:v>
              </c:pt>
            </c:numLit>
          </c:val>
          <c:smooth val="0"/>
          <c:extLst>
            <c:ext xmlns:c16="http://schemas.microsoft.com/office/drawing/2014/chart" uri="{C3380CC4-5D6E-409C-BE32-E72D297353CC}">
              <c16:uniqueId val="{00000000-DE4A-46D1-A8BC-A1CFDBA46CE2}"/>
            </c:ext>
          </c:extLst>
        </c:ser>
        <c:dLbls>
          <c:showLegendKey val="0"/>
          <c:showVal val="0"/>
          <c:showCatName val="0"/>
          <c:showSerName val="0"/>
          <c:showPercent val="0"/>
          <c:showBubbleSize val="0"/>
        </c:dLbls>
        <c:marker val="1"/>
        <c:smooth val="0"/>
        <c:axId val="875450528"/>
        <c:axId val="1226132944"/>
      </c:lineChart>
      <c:catAx>
        <c:axId val="875450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6132944"/>
        <c:crosses val="autoZero"/>
        <c:auto val="1"/>
        <c:lblAlgn val="ctr"/>
        <c:lblOffset val="100"/>
        <c:noMultiLvlLbl val="0"/>
      </c:catAx>
      <c:valAx>
        <c:axId val="1226132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5450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a:latin typeface="Segoe UI" panose="020B0502040204020203" pitchFamily="34" charset="0"/>
                <a:cs typeface="Segoe UI" panose="020B0502040204020203" pitchFamily="34" charset="0"/>
              </a:rPr>
              <a:t>Employee Rentention &amp;Attrition</a:t>
            </a:r>
          </a:p>
        </c:rich>
      </c:tx>
      <c:layout>
        <c:manualLayout>
          <c:xMode val="edge"/>
          <c:yMode val="edge"/>
          <c:x val="0.15865139584824625"/>
          <c:y val="6.172839506172839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percentStacked"/>
        <c:varyColors val="0"/>
        <c:ser>
          <c:idx val="0"/>
          <c:order val="0"/>
          <c:tx>
            <c:strRef>
              <c:f>Sheet1!$A$24</c:f>
              <c:strCache>
                <c:ptCount val="1"/>
                <c:pt idx="0">
                  <c:v>Left</c:v>
                </c:pt>
              </c:strCache>
            </c:strRef>
          </c:tx>
          <c:spPr>
            <a:solidFill>
              <a:srgbClr val="93DA97"/>
            </a:solidFill>
            <a:ln>
              <a:noFill/>
            </a:ln>
            <a:effectLst/>
          </c:spPr>
          <c:invertIfNegative val="0"/>
          <c:cat>
            <c:numRef>
              <c:f>Sheet1!$B$23</c:f>
              <c:numCache>
                <c:formatCode>General</c:formatCode>
                <c:ptCount val="1"/>
              </c:numCache>
            </c:numRef>
          </c:cat>
          <c:val>
            <c:numRef>
              <c:f>Sheet1!$B$24</c:f>
              <c:numCache>
                <c:formatCode>General</c:formatCode>
                <c:ptCount val="1"/>
                <c:pt idx="0">
                  <c:v>237</c:v>
                </c:pt>
              </c:numCache>
            </c:numRef>
          </c:val>
          <c:extLst>
            <c:ext xmlns:c16="http://schemas.microsoft.com/office/drawing/2014/chart" uri="{C3380CC4-5D6E-409C-BE32-E72D297353CC}">
              <c16:uniqueId val="{00000000-CA92-4B45-8F85-A83E4E1BE197}"/>
            </c:ext>
          </c:extLst>
        </c:ser>
        <c:ser>
          <c:idx val="1"/>
          <c:order val="1"/>
          <c:tx>
            <c:strRef>
              <c:f>Sheet1!$A$25</c:f>
              <c:strCache>
                <c:ptCount val="1"/>
                <c:pt idx="0">
                  <c:v>Retained</c:v>
                </c:pt>
              </c:strCache>
            </c:strRef>
          </c:tx>
          <c:spPr>
            <a:solidFill>
              <a:srgbClr val="3E5F44"/>
            </a:solidFill>
            <a:ln>
              <a:noFill/>
            </a:ln>
            <a:effectLst/>
          </c:spPr>
          <c:invertIfNegative val="0"/>
          <c:cat>
            <c:numRef>
              <c:f>Sheet1!$B$23</c:f>
              <c:numCache>
                <c:formatCode>General</c:formatCode>
                <c:ptCount val="1"/>
              </c:numCache>
            </c:numRef>
          </c:cat>
          <c:val>
            <c:numRef>
              <c:f>Sheet1!$B$25</c:f>
              <c:numCache>
                <c:formatCode>General</c:formatCode>
                <c:ptCount val="1"/>
                <c:pt idx="0">
                  <c:v>1233</c:v>
                </c:pt>
              </c:numCache>
            </c:numRef>
          </c:val>
          <c:extLst>
            <c:ext xmlns:c16="http://schemas.microsoft.com/office/drawing/2014/chart" uri="{C3380CC4-5D6E-409C-BE32-E72D297353CC}">
              <c16:uniqueId val="{00000001-CA92-4B45-8F85-A83E4E1BE197}"/>
            </c:ext>
          </c:extLst>
        </c:ser>
        <c:dLbls>
          <c:showLegendKey val="0"/>
          <c:showVal val="0"/>
          <c:showCatName val="0"/>
          <c:showSerName val="0"/>
          <c:showPercent val="0"/>
          <c:showBubbleSize val="0"/>
        </c:dLbls>
        <c:gapWidth val="150"/>
        <c:overlap val="100"/>
        <c:axId val="1040270160"/>
        <c:axId val="800722416"/>
      </c:barChart>
      <c:catAx>
        <c:axId val="10402701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0722416"/>
        <c:crosses val="autoZero"/>
        <c:auto val="1"/>
        <c:lblAlgn val="ctr"/>
        <c:lblOffset val="100"/>
        <c:noMultiLvlLbl val="0"/>
      </c:catAx>
      <c:valAx>
        <c:axId val="80072241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0270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[EXCELPROJECT.xlsx]Sheet1!PivotTable37</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rgbClr val="3E5F44"/>
                </a:solidFill>
                <a:latin typeface="Segoe UI" panose="020B0502040204020203" pitchFamily="34" charset="0"/>
                <a:cs typeface="Segoe UI" panose="020B0502040204020203" pitchFamily="34" charset="0"/>
              </a:rPr>
              <a:t>Attrition</a:t>
            </a:r>
            <a:r>
              <a:rPr lang="en-US" sz="1200" b="1" baseline="0">
                <a:solidFill>
                  <a:srgbClr val="3E5F44"/>
                </a:solidFill>
                <a:latin typeface="Segoe UI" panose="020B0502040204020203" pitchFamily="34" charset="0"/>
                <a:cs typeface="Segoe UI" panose="020B0502040204020203" pitchFamily="34" charset="0"/>
              </a:rPr>
              <a:t> Rate by Department</a:t>
            </a:r>
            <a:endParaRPr lang="en-US" sz="1200" b="1">
              <a:solidFill>
                <a:srgbClr val="3E5F44"/>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Sheet1!$D$23</c:f>
              <c:strCache>
                <c:ptCount val="1"/>
                <c:pt idx="0">
                  <c:v>Total</c:v>
                </c:pt>
              </c:strCache>
            </c:strRef>
          </c:tx>
          <c:spPr>
            <a:solidFill>
              <a:srgbClr val="3E5F4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Sheet1!$C$24:$C$27</c:f>
              <c:strCache>
                <c:ptCount val="3"/>
                <c:pt idx="0">
                  <c:v>Human Resources</c:v>
                </c:pt>
                <c:pt idx="1">
                  <c:v>Research &amp; Development</c:v>
                </c:pt>
                <c:pt idx="2">
                  <c:v>Sales</c:v>
                </c:pt>
              </c:strCache>
            </c:strRef>
          </c:cat>
          <c:val>
            <c:numRef>
              <c:f>Sheet1!$D$24:$D$27</c:f>
              <c:numCache>
                <c:formatCode>0.00%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0-AD13-4C09-9D39-89262400A6B3}"/>
            </c:ext>
          </c:extLst>
        </c:ser>
        <c:dLbls>
          <c:dLblPos val="outEnd"/>
          <c:showLegendKey val="0"/>
          <c:showVal val="1"/>
          <c:showCatName val="0"/>
          <c:showSerName val="0"/>
          <c:showPercent val="0"/>
          <c:showBubbleSize val="0"/>
        </c:dLbls>
        <c:gapWidth val="182"/>
        <c:axId val="910329328"/>
        <c:axId val="1128700944"/>
      </c:barChart>
      <c:catAx>
        <c:axId val="91032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8700944"/>
        <c:crosses val="autoZero"/>
        <c:auto val="1"/>
        <c:lblAlgn val="ctr"/>
        <c:lblOffset val="100"/>
        <c:noMultiLvlLbl val="0"/>
      </c:catAx>
      <c:valAx>
        <c:axId val="112870094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32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rgbClr val="3E5F44"/>
                </a:solidFill>
                <a:latin typeface="Segoe UI" panose="020B0502040204020203" pitchFamily="34" charset="0"/>
                <a:cs typeface="Segoe UI" panose="020B0502040204020203" pitchFamily="34" charset="0"/>
              </a:rPr>
              <a:t>Attrition</a:t>
            </a:r>
            <a:r>
              <a:rPr lang="en-US" sz="1100" b="1" baseline="0">
                <a:solidFill>
                  <a:srgbClr val="3E5F44"/>
                </a:solidFill>
                <a:latin typeface="Segoe UI" panose="020B0502040204020203" pitchFamily="34" charset="0"/>
                <a:cs typeface="Segoe UI" panose="020B0502040204020203" pitchFamily="34" charset="0"/>
              </a:rPr>
              <a:t> Rate by Job level</a:t>
            </a:r>
            <a:endParaRPr lang="en-US" sz="1100" b="1">
              <a:solidFill>
                <a:srgbClr val="3E5F44"/>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Sheet1!$K$1</c:f>
              <c:strCache>
                <c:ptCount val="1"/>
                <c:pt idx="0">
                  <c:v>Total</c:v>
                </c:pt>
              </c:strCache>
            </c:strRef>
          </c:tx>
          <c:spPr>
            <a:solidFill>
              <a:srgbClr val="3E5F44"/>
            </a:solidFill>
            <a:ln>
              <a:noFill/>
            </a:ln>
            <a:effectLst/>
          </c:spPr>
          <c:invertIfNegative val="0"/>
          <c:cat>
            <c:strRef>
              <c:f>Sheet1!$J$2:$J$7</c:f>
              <c:strCache>
                <c:ptCount val="5"/>
                <c:pt idx="0">
                  <c:v>1</c:v>
                </c:pt>
                <c:pt idx="1">
                  <c:v>3</c:v>
                </c:pt>
                <c:pt idx="2">
                  <c:v>2</c:v>
                </c:pt>
                <c:pt idx="3">
                  <c:v>5</c:v>
                </c:pt>
                <c:pt idx="4">
                  <c:v>4</c:v>
                </c:pt>
              </c:strCache>
            </c:strRef>
          </c:cat>
          <c:val>
            <c:numRef>
              <c:f>Sheet1!$K$2:$K$7</c:f>
              <c:numCache>
                <c:formatCode>0.00%</c:formatCode>
                <c:ptCount val="5"/>
                <c:pt idx="0">
                  <c:v>0.26335174953959484</c:v>
                </c:pt>
                <c:pt idx="1">
                  <c:v>0.14678899082568808</c:v>
                </c:pt>
                <c:pt idx="2">
                  <c:v>9.7378277153558054E-2</c:v>
                </c:pt>
                <c:pt idx="3">
                  <c:v>7.2463768115942032E-2</c:v>
                </c:pt>
                <c:pt idx="4">
                  <c:v>4.716981132075472E-2</c:v>
                </c:pt>
              </c:numCache>
            </c:numRef>
          </c:val>
          <c:extLst>
            <c:ext xmlns:c16="http://schemas.microsoft.com/office/drawing/2014/chart" uri="{C3380CC4-5D6E-409C-BE32-E72D297353CC}">
              <c16:uniqueId val="{00000000-AD42-4A42-BF38-A262779E753D}"/>
            </c:ext>
          </c:extLst>
        </c:ser>
        <c:dLbls>
          <c:showLegendKey val="0"/>
          <c:showVal val="0"/>
          <c:showCatName val="0"/>
          <c:showSerName val="0"/>
          <c:showPercent val="0"/>
          <c:showBubbleSize val="0"/>
        </c:dLbls>
        <c:gapWidth val="150"/>
        <c:axId val="910376192"/>
        <c:axId val="957488976"/>
      </c:barChart>
      <c:catAx>
        <c:axId val="9103761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488976"/>
        <c:crosses val="autoZero"/>
        <c:auto val="1"/>
        <c:lblAlgn val="ctr"/>
        <c:lblOffset val="100"/>
        <c:noMultiLvlLbl val="0"/>
      </c:catAx>
      <c:valAx>
        <c:axId val="9574889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376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[EXCELPROJECT.xlsx]Sheet1!PivotTable36</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rgbClr val="3E5F44"/>
                </a:solidFill>
                <a:latin typeface="Segoe UI" panose="020B0502040204020203" pitchFamily="34" charset="0"/>
                <a:cs typeface="Segoe UI" panose="020B0502040204020203" pitchFamily="34" charset="0"/>
              </a:rPr>
              <a:t>Attrition</a:t>
            </a:r>
            <a:r>
              <a:rPr lang="en-US" sz="1200" b="1" baseline="0">
                <a:solidFill>
                  <a:srgbClr val="3E5F44"/>
                </a:solidFill>
                <a:latin typeface="Segoe UI" panose="020B0502040204020203" pitchFamily="34" charset="0"/>
                <a:cs typeface="Segoe UI" panose="020B0502040204020203" pitchFamily="34" charset="0"/>
              </a:rPr>
              <a:t> Rate by Age Group</a:t>
            </a:r>
            <a:endParaRPr lang="en-US" sz="1200" b="1">
              <a:solidFill>
                <a:srgbClr val="3E5F44"/>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Sheet1!$G$2</c:f>
              <c:strCache>
                <c:ptCount val="1"/>
                <c:pt idx="0">
                  <c:v>Total</c:v>
                </c:pt>
              </c:strCache>
            </c:strRef>
          </c:tx>
          <c:spPr>
            <a:solidFill>
              <a:srgbClr val="3E5F44"/>
            </a:solidFill>
            <a:ln>
              <a:noFill/>
            </a:ln>
            <a:effectLst/>
          </c:spPr>
          <c:invertIfNegative val="0"/>
          <c:cat>
            <c:strRef>
              <c:f>Sheet1!$F$3:$F$8</c:f>
              <c:strCache>
                <c:ptCount val="5"/>
                <c:pt idx="0">
                  <c:v>18-20</c:v>
                </c:pt>
                <c:pt idx="1">
                  <c:v>20-29</c:v>
                </c:pt>
                <c:pt idx="2">
                  <c:v>30-39</c:v>
                </c:pt>
                <c:pt idx="3">
                  <c:v>40-49</c:v>
                </c:pt>
                <c:pt idx="4">
                  <c:v>50-59</c:v>
                </c:pt>
              </c:strCache>
            </c:strRef>
          </c:cat>
          <c:val>
            <c:numRef>
              <c:f>Sheet1!$G$3:$G$8</c:f>
              <c:numCache>
                <c:formatCode>0.00%</c:formatCode>
                <c:ptCount val="5"/>
                <c:pt idx="0">
                  <c:v>0.58823529411764708</c:v>
                </c:pt>
                <c:pt idx="1">
                  <c:v>0.26213592233009708</c:v>
                </c:pt>
                <c:pt idx="2">
                  <c:v>0.14308681672025725</c:v>
                </c:pt>
                <c:pt idx="3">
                  <c:v>9.7421203438395415E-2</c:v>
                </c:pt>
                <c:pt idx="4">
                  <c:v>0.13294797687861271</c:v>
                </c:pt>
              </c:numCache>
            </c:numRef>
          </c:val>
          <c:extLst>
            <c:ext xmlns:c16="http://schemas.microsoft.com/office/drawing/2014/chart" uri="{C3380CC4-5D6E-409C-BE32-E72D297353CC}">
              <c16:uniqueId val="{00000000-628C-486E-9F5A-BFDD8970AA78}"/>
            </c:ext>
          </c:extLst>
        </c:ser>
        <c:dLbls>
          <c:showLegendKey val="0"/>
          <c:showVal val="0"/>
          <c:showCatName val="0"/>
          <c:showSerName val="0"/>
          <c:showPercent val="0"/>
          <c:showBubbleSize val="0"/>
        </c:dLbls>
        <c:gapWidth val="219"/>
        <c:overlap val="-27"/>
        <c:axId val="737416368"/>
        <c:axId val="957381936"/>
      </c:barChart>
      <c:catAx>
        <c:axId val="737416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381936"/>
        <c:crosses val="autoZero"/>
        <c:auto val="1"/>
        <c:lblAlgn val="ctr"/>
        <c:lblOffset val="100"/>
        <c:noMultiLvlLbl val="0"/>
      </c:catAx>
      <c:valAx>
        <c:axId val="95738193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7416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[EXCELPROJECT.xlsx]Sheet1!PivotTable39</c:name>
    <c:fmtId val="7"/>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200" b="1">
                <a:solidFill>
                  <a:srgbClr val="3E5F44"/>
                </a:solidFill>
                <a:latin typeface="Segoe UI" panose="020B0502040204020203" pitchFamily="34" charset="0"/>
                <a:cs typeface="Segoe UI" panose="020B0502040204020203" pitchFamily="34" charset="0"/>
              </a:rPr>
              <a:t>Attrition</a:t>
            </a:r>
            <a:r>
              <a:rPr lang="en-US" sz="1200" b="1" baseline="0">
                <a:solidFill>
                  <a:srgbClr val="3E5F44"/>
                </a:solidFill>
                <a:latin typeface="Segoe UI" panose="020B0502040204020203" pitchFamily="34" charset="0"/>
                <a:cs typeface="Segoe UI" panose="020B0502040204020203" pitchFamily="34" charset="0"/>
              </a:rPr>
              <a:t> Rate by Over Time</a:t>
            </a:r>
            <a:endParaRPr lang="en-US" sz="1200" b="1">
              <a:solidFill>
                <a:srgbClr val="3E5F44"/>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3E5F44"/>
          </a:solidFill>
          <a:ln w="19050">
            <a:solidFill>
              <a:schemeClr val="lt1"/>
            </a:solidFill>
          </a:ln>
          <a:effectLst/>
        </c:spPr>
        <c:dLbl>
          <c:idx val="0"/>
          <c:layout>
            <c:manualLayout>
              <c:x val="0.11075949367088607"/>
              <c:y val="-0.1208981001727116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DCCFC0"/>
          </a:solidFill>
          <a:ln w="19050">
            <a:solidFill>
              <a:schemeClr val="lt1"/>
            </a:solidFill>
          </a:ln>
          <a:effectLst/>
        </c:spPr>
        <c:dLbl>
          <c:idx val="0"/>
          <c:layout>
            <c:manualLayout>
              <c:x val="-7.223278993081815E-2"/>
              <c:y val="0.163989916493280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4854623116198576"/>
                  <c:h val="0.1205967532808505"/>
                </c:manualLayout>
              </c15:layout>
            </c:ext>
          </c:extLst>
        </c:dLbl>
      </c:pivotFmt>
    </c:pivotFmts>
    <c:plotArea>
      <c:layout/>
      <c:doughnutChart>
        <c:varyColors val="1"/>
        <c:ser>
          <c:idx val="0"/>
          <c:order val="0"/>
          <c:tx>
            <c:strRef>
              <c:f>Sheet1!$E$2</c:f>
              <c:strCache>
                <c:ptCount val="1"/>
                <c:pt idx="0">
                  <c:v>Total</c:v>
                </c:pt>
              </c:strCache>
            </c:strRef>
          </c:tx>
          <c:dPt>
            <c:idx val="0"/>
            <c:bubble3D val="0"/>
            <c:spPr>
              <a:solidFill>
                <a:srgbClr val="3E5F44"/>
              </a:solidFill>
              <a:ln w="19050">
                <a:solidFill>
                  <a:schemeClr val="lt1"/>
                </a:solidFill>
              </a:ln>
              <a:effectLst/>
            </c:spPr>
            <c:extLst>
              <c:ext xmlns:c16="http://schemas.microsoft.com/office/drawing/2014/chart" uri="{C3380CC4-5D6E-409C-BE32-E72D297353CC}">
                <c16:uniqueId val="{00000001-55B1-4D47-AFDA-471A594E7EE2}"/>
              </c:ext>
            </c:extLst>
          </c:dPt>
          <c:dPt>
            <c:idx val="1"/>
            <c:bubble3D val="0"/>
            <c:spPr>
              <a:solidFill>
                <a:srgbClr val="DCCFC0"/>
              </a:solidFill>
              <a:ln w="19050">
                <a:solidFill>
                  <a:schemeClr val="lt1"/>
                </a:solidFill>
              </a:ln>
              <a:effectLst/>
            </c:spPr>
            <c:extLst>
              <c:ext xmlns:c16="http://schemas.microsoft.com/office/drawing/2014/chart" uri="{C3380CC4-5D6E-409C-BE32-E72D297353CC}">
                <c16:uniqueId val="{00000003-55B1-4D47-AFDA-471A594E7EE2}"/>
              </c:ext>
            </c:extLst>
          </c:dPt>
          <c:dLbls>
            <c:dLbl>
              <c:idx val="0"/>
              <c:layout>
                <c:manualLayout>
                  <c:x val="0.11075949367088607"/>
                  <c:y val="-0.12089810017271164"/>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55B1-4D47-AFDA-471A594E7EE2}"/>
                </c:ext>
              </c:extLst>
            </c:dLbl>
            <c:dLbl>
              <c:idx val="1"/>
              <c:layout>
                <c:manualLayout>
                  <c:x val="-7.223278993081815E-2"/>
                  <c:y val="0.163989916493280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4854623116198576"/>
                      <c:h val="0.1205967532808505"/>
                    </c:manualLayout>
                  </c15:layout>
                </c:ext>
                <c:ext xmlns:c16="http://schemas.microsoft.com/office/drawing/2014/chart" uri="{C3380CC4-5D6E-409C-BE32-E72D297353CC}">
                  <c16:uniqueId val="{00000003-55B1-4D47-AFDA-471A594E7EE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Sheet1!$D$3:$D$5</c:f>
              <c:strCache>
                <c:ptCount val="2"/>
                <c:pt idx="0">
                  <c:v>No</c:v>
                </c:pt>
                <c:pt idx="1">
                  <c:v>Yes</c:v>
                </c:pt>
              </c:strCache>
            </c:strRef>
          </c:cat>
          <c:val>
            <c:numRef>
              <c:f>Sheet1!$E$3:$E$5</c:f>
              <c:numCache>
                <c:formatCode>General</c:formatCode>
                <c:ptCount val="2"/>
                <c:pt idx="0">
                  <c:v>110</c:v>
                </c:pt>
                <c:pt idx="1">
                  <c:v>127</c:v>
                </c:pt>
              </c:numCache>
            </c:numRef>
          </c:val>
          <c:extLst>
            <c:ext xmlns:c16="http://schemas.microsoft.com/office/drawing/2014/chart" uri="{C3380CC4-5D6E-409C-BE32-E72D297353CC}">
              <c16:uniqueId val="{00000004-55B1-4D47-AFDA-471A594E7EE2}"/>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rgbClr val="3E5F44"/>
                </a:solidFill>
                <a:latin typeface="Segoe UI" panose="020B0502040204020203" pitchFamily="34" charset="0"/>
                <a:cs typeface="Segoe UI" panose="020B0502040204020203" pitchFamily="34" charset="0"/>
              </a:rPr>
              <a:t>Attrition Rate vs Tensure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3E5F4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Sheet1!$J$10</c:f>
              <c:strCache>
                <c:ptCount val="1"/>
                <c:pt idx="0">
                  <c:v>Total</c:v>
                </c:pt>
              </c:strCache>
            </c:strRef>
          </c:tx>
          <c:spPr>
            <a:ln w="28575" cap="rnd">
              <a:solidFill>
                <a:srgbClr val="3E5F44"/>
              </a:solidFill>
              <a:round/>
            </a:ln>
            <a:effectLst/>
          </c:spPr>
          <c:marker>
            <c:symbol val="none"/>
          </c:marker>
          <c:cat>
            <c:strRef>
              <c:f>Sheet1!$I$11:$I$15</c:f>
              <c:strCache>
                <c:ptCount val="4"/>
                <c:pt idx="0">
                  <c:v>0-2</c:v>
                </c:pt>
                <c:pt idx="1">
                  <c:v>3-5</c:v>
                </c:pt>
                <c:pt idx="2">
                  <c:v>6-10</c:v>
                </c:pt>
                <c:pt idx="3">
                  <c:v>10+</c:v>
                </c:pt>
              </c:strCache>
            </c:strRef>
          </c:cat>
          <c:val>
            <c:numRef>
              <c:f>Sheet1!$J$11:$J$15</c:f>
              <c:numCache>
                <c:formatCode>0%</c:formatCode>
                <c:ptCount val="4"/>
                <c:pt idx="0">
                  <c:v>0.2982456140350877</c:v>
                </c:pt>
                <c:pt idx="1">
                  <c:v>0.13824884792626729</c:v>
                </c:pt>
                <c:pt idx="2">
                  <c:v>0.12276785714285714</c:v>
                </c:pt>
                <c:pt idx="3">
                  <c:v>8.1300813008130079E-2</c:v>
                </c:pt>
              </c:numCache>
            </c:numRef>
          </c:val>
          <c:smooth val="0"/>
          <c:extLst>
            <c:ext xmlns:c16="http://schemas.microsoft.com/office/drawing/2014/chart" uri="{C3380CC4-5D6E-409C-BE32-E72D297353CC}">
              <c16:uniqueId val="{00000000-7442-473A-A9A8-2876739076E3}"/>
            </c:ext>
          </c:extLst>
        </c:ser>
        <c:dLbls>
          <c:showLegendKey val="0"/>
          <c:showVal val="0"/>
          <c:showCatName val="0"/>
          <c:showSerName val="0"/>
          <c:showPercent val="0"/>
          <c:showBubbleSize val="0"/>
        </c:dLbls>
        <c:smooth val="0"/>
        <c:axId val="1130298479"/>
        <c:axId val="169755887"/>
      </c:lineChart>
      <c:catAx>
        <c:axId val="1130298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55887"/>
        <c:crosses val="autoZero"/>
        <c:auto val="1"/>
        <c:lblAlgn val="ctr"/>
        <c:lblOffset val="100"/>
        <c:noMultiLvlLbl val="0"/>
      </c:catAx>
      <c:valAx>
        <c:axId val="16975588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298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[EXCELPROJECT.xlsx]Sheet1!PivotTable41</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100" b="1" i="0" u="none" strike="noStrike" kern="1200" spc="0" baseline="0">
                <a:solidFill>
                  <a:srgbClr val="3E5F44"/>
                </a:solidFill>
                <a:latin typeface="Segoe UI" panose="020B0502040204020203" pitchFamily="34" charset="0"/>
                <a:cs typeface="Segoe UI" panose="020B0502040204020203" pitchFamily="34" charset="0"/>
              </a:rPr>
              <a:t>Attrition Rate by Bussiness-Travel</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Sheet1!$J$18</c:f>
              <c:strCache>
                <c:ptCount val="1"/>
                <c:pt idx="0">
                  <c:v>Total</c:v>
                </c:pt>
              </c:strCache>
            </c:strRef>
          </c:tx>
          <c:spPr>
            <a:solidFill>
              <a:srgbClr val="3E5F44"/>
            </a:solidFill>
            <a:ln>
              <a:noFill/>
            </a:ln>
            <a:effectLst/>
          </c:spPr>
          <c:cat>
            <c:strRef>
              <c:f>Sheet1!$I$19:$I$22</c:f>
              <c:strCache>
                <c:ptCount val="3"/>
                <c:pt idx="0">
                  <c:v>Non-Travel</c:v>
                </c:pt>
                <c:pt idx="1">
                  <c:v>Travel_Frequently</c:v>
                </c:pt>
                <c:pt idx="2">
                  <c:v>Travel_Rarely</c:v>
                </c:pt>
              </c:strCache>
            </c:strRef>
          </c:cat>
          <c:val>
            <c:numRef>
              <c:f>Sheet1!$J$19:$J$22</c:f>
              <c:numCache>
                <c:formatCode>0.00%</c:formatCode>
                <c:ptCount val="3"/>
                <c:pt idx="0">
                  <c:v>0.08</c:v>
                </c:pt>
                <c:pt idx="1">
                  <c:v>0.24909747292418771</c:v>
                </c:pt>
                <c:pt idx="2">
                  <c:v>0.14956855225311602</c:v>
                </c:pt>
              </c:numCache>
            </c:numRef>
          </c:val>
          <c:extLst>
            <c:ext xmlns:c16="http://schemas.microsoft.com/office/drawing/2014/chart" uri="{C3380CC4-5D6E-409C-BE32-E72D297353CC}">
              <c16:uniqueId val="{00000000-02A9-4DFD-8F5E-928140D00D69}"/>
            </c:ext>
          </c:extLst>
        </c:ser>
        <c:dLbls>
          <c:showLegendKey val="0"/>
          <c:showVal val="0"/>
          <c:showCatName val="0"/>
          <c:showSerName val="0"/>
          <c:showPercent val="0"/>
          <c:showBubbleSize val="0"/>
        </c:dLbls>
        <c:axId val="1130303583"/>
        <c:axId val="1148045551"/>
      </c:areaChart>
      <c:catAx>
        <c:axId val="113030358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8045551"/>
        <c:crosses val="autoZero"/>
        <c:auto val="1"/>
        <c:lblAlgn val="ctr"/>
        <c:lblOffset val="100"/>
        <c:noMultiLvlLbl val="0"/>
      </c:catAx>
      <c:valAx>
        <c:axId val="11480455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30358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[EXCELPROJECT.xlsx]Sheet1!PivotTable42</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200" b="1" i="0" u="none" strike="noStrike" kern="1200" spc="0" baseline="0">
                <a:solidFill>
                  <a:srgbClr val="3E5F44"/>
                </a:solidFill>
                <a:latin typeface="Segoe UI" panose="020B0502040204020203" pitchFamily="34" charset="0"/>
                <a:cs typeface="Segoe UI" panose="020B0502040204020203" pitchFamily="34" charset="0"/>
              </a:rPr>
              <a:t>Attrtion Rate by Monthly income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Sheet1!$D$28</c:f>
              <c:strCache>
                <c:ptCount val="1"/>
                <c:pt idx="0">
                  <c:v>Total</c:v>
                </c:pt>
              </c:strCache>
            </c:strRef>
          </c:tx>
          <c:spPr>
            <a:solidFill>
              <a:srgbClr val="3E5F44"/>
            </a:solidFill>
            <a:ln>
              <a:noFill/>
            </a:ln>
            <a:effectLst/>
          </c:spPr>
          <c:invertIfNegative val="0"/>
          <c:cat>
            <c:strRef>
              <c:f>Sheet1!$C$29:$C$33</c:f>
              <c:strCache>
                <c:ptCount val="4"/>
                <c:pt idx="0">
                  <c:v>1000-5000</c:v>
                </c:pt>
                <c:pt idx="1">
                  <c:v>5001-10000</c:v>
                </c:pt>
                <c:pt idx="2">
                  <c:v>10001-15000</c:v>
                </c:pt>
                <c:pt idx="3">
                  <c:v>15001-20000</c:v>
                </c:pt>
              </c:strCache>
            </c:strRef>
          </c:cat>
          <c:val>
            <c:numRef>
              <c:f>Sheet1!$D$29:$D$33</c:f>
              <c:numCache>
                <c:formatCode>0%</c:formatCode>
                <c:ptCount val="4"/>
                <c:pt idx="0">
                  <c:v>0.21762349799732977</c:v>
                </c:pt>
                <c:pt idx="1">
                  <c:v>0.11136363636363636</c:v>
                </c:pt>
                <c:pt idx="2">
                  <c:v>0.13513513513513514</c:v>
                </c:pt>
                <c:pt idx="3">
                  <c:v>3.7593984962406013E-2</c:v>
                </c:pt>
              </c:numCache>
            </c:numRef>
          </c:val>
          <c:extLst>
            <c:ext xmlns:c16="http://schemas.microsoft.com/office/drawing/2014/chart" uri="{C3380CC4-5D6E-409C-BE32-E72D297353CC}">
              <c16:uniqueId val="{00000000-523B-4E0A-99DE-DE0D8D52A690}"/>
            </c:ext>
          </c:extLst>
        </c:ser>
        <c:dLbls>
          <c:showLegendKey val="0"/>
          <c:showVal val="0"/>
          <c:showCatName val="0"/>
          <c:showSerName val="0"/>
          <c:showPercent val="0"/>
          <c:showBubbleSize val="0"/>
        </c:dLbls>
        <c:gapWidth val="219"/>
        <c:overlap val="-27"/>
        <c:axId val="1264159999"/>
        <c:axId val="758375823"/>
      </c:barChart>
      <c:catAx>
        <c:axId val="1264159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8375823"/>
        <c:crosses val="autoZero"/>
        <c:auto val="1"/>
        <c:lblAlgn val="ctr"/>
        <c:lblOffset val="100"/>
        <c:noMultiLvlLbl val="0"/>
      </c:catAx>
      <c:valAx>
        <c:axId val="75837582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159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[EXCELPROJECT.xlsx]Sheet1!PivotTable43</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100" b="1" i="0" u="none" strike="noStrike" kern="1200" spc="0" baseline="0">
                <a:solidFill>
                  <a:srgbClr val="3E5F44"/>
                </a:solidFill>
                <a:latin typeface="Segoe UI" panose="020B0502040204020203" pitchFamily="34" charset="0"/>
                <a:cs typeface="Segoe UI" panose="020B0502040204020203" pitchFamily="34" charset="0"/>
              </a:rPr>
              <a:t>Attrition Rate by worklife balance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Sheet1!$I$24</c:f>
              <c:strCache>
                <c:ptCount val="1"/>
                <c:pt idx="0">
                  <c:v>Total</c:v>
                </c:pt>
              </c:strCache>
            </c:strRef>
          </c:tx>
          <c:spPr>
            <a:solidFill>
              <a:srgbClr val="3E5F44"/>
            </a:solidFill>
            <a:ln>
              <a:noFill/>
            </a:ln>
            <a:effectLst/>
          </c:spPr>
          <c:invertIfNegative val="0"/>
          <c:cat>
            <c:strRef>
              <c:f>Sheet1!$H$25:$H$29</c:f>
              <c:strCache>
                <c:ptCount val="4"/>
                <c:pt idx="0">
                  <c:v>1</c:v>
                </c:pt>
                <c:pt idx="1">
                  <c:v>2</c:v>
                </c:pt>
                <c:pt idx="2">
                  <c:v>3</c:v>
                </c:pt>
                <c:pt idx="3">
                  <c:v>4</c:v>
                </c:pt>
              </c:strCache>
            </c:strRef>
          </c:cat>
          <c:val>
            <c:numRef>
              <c:f>Sheet1!$I$25:$I$29</c:f>
              <c:numCache>
                <c:formatCode>0.00%</c:formatCode>
                <c:ptCount val="4"/>
                <c:pt idx="0">
                  <c:v>0.3125</c:v>
                </c:pt>
                <c:pt idx="1">
                  <c:v>0.16860465116279069</c:v>
                </c:pt>
                <c:pt idx="2">
                  <c:v>0.14221724524076149</c:v>
                </c:pt>
                <c:pt idx="3">
                  <c:v>0.17647058823529413</c:v>
                </c:pt>
              </c:numCache>
            </c:numRef>
          </c:val>
          <c:extLst>
            <c:ext xmlns:c16="http://schemas.microsoft.com/office/drawing/2014/chart" uri="{C3380CC4-5D6E-409C-BE32-E72D297353CC}">
              <c16:uniqueId val="{00000000-45DE-44A8-9C4E-DE3AD160B39F}"/>
            </c:ext>
          </c:extLst>
        </c:ser>
        <c:dLbls>
          <c:showLegendKey val="0"/>
          <c:showVal val="0"/>
          <c:showCatName val="0"/>
          <c:showSerName val="0"/>
          <c:showPercent val="0"/>
          <c:showBubbleSize val="0"/>
        </c:dLbls>
        <c:gapWidth val="182"/>
        <c:axId val="135977935"/>
        <c:axId val="1147996111"/>
      </c:barChart>
      <c:catAx>
        <c:axId val="1359779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7996111"/>
        <c:crosses val="autoZero"/>
        <c:auto val="1"/>
        <c:lblAlgn val="ctr"/>
        <c:lblOffset val="100"/>
        <c:noMultiLvlLbl val="0"/>
      </c:catAx>
      <c:valAx>
        <c:axId val="114799611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7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[EXCELPROJECT.xlsx]Sheet1!PivotTable44</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400" b="1" i="0" u="none" strike="noStrike" kern="1200" spc="0" baseline="0">
                <a:solidFill>
                  <a:srgbClr val="3E5F44"/>
                </a:solidFill>
                <a:latin typeface="Segoe UI" panose="020B0502040204020203" pitchFamily="34" charset="0"/>
                <a:cs typeface="Segoe UI" panose="020B0502040204020203" pitchFamily="34" charset="0"/>
              </a:rPr>
              <a:t>Attrition Rate by Job Role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Sheet1!$E$12</c:f>
              <c:strCache>
                <c:ptCount val="1"/>
                <c:pt idx="0">
                  <c:v>Total</c:v>
                </c:pt>
              </c:strCache>
            </c:strRef>
          </c:tx>
          <c:spPr>
            <a:solidFill>
              <a:srgbClr val="3E5F44"/>
            </a:solidFill>
            <a:ln>
              <a:noFill/>
            </a:ln>
            <a:effectLst/>
          </c:spPr>
          <c:invertIfNegative val="0"/>
          <c:cat>
            <c:strRef>
              <c:f>Sheet1!$D$13:$D$22</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Sheet1!$E$13:$E$22</c:f>
              <c:numCache>
                <c:formatCode>0.00%</c:formatCode>
                <c:ptCount val="9"/>
                <c:pt idx="0">
                  <c:v>6.8702290076335881E-2</c:v>
                </c:pt>
                <c:pt idx="1">
                  <c:v>0.23076923076923078</c:v>
                </c:pt>
                <c:pt idx="2">
                  <c:v>0.23938223938223938</c:v>
                </c:pt>
                <c:pt idx="3">
                  <c:v>4.9019607843137254E-2</c:v>
                </c:pt>
                <c:pt idx="4">
                  <c:v>6.8965517241379309E-2</c:v>
                </c:pt>
                <c:pt idx="5">
                  <c:v>2.5000000000000001E-2</c:v>
                </c:pt>
                <c:pt idx="6">
                  <c:v>0.16095890410958905</c:v>
                </c:pt>
                <c:pt idx="7">
                  <c:v>0.17484662576687116</c:v>
                </c:pt>
                <c:pt idx="8">
                  <c:v>0.39759036144578314</c:v>
                </c:pt>
              </c:numCache>
            </c:numRef>
          </c:val>
          <c:extLst>
            <c:ext xmlns:c16="http://schemas.microsoft.com/office/drawing/2014/chart" uri="{C3380CC4-5D6E-409C-BE32-E72D297353CC}">
              <c16:uniqueId val="{00000000-97DB-41E3-A757-D06819B5F627}"/>
            </c:ext>
          </c:extLst>
        </c:ser>
        <c:dLbls>
          <c:showLegendKey val="0"/>
          <c:showVal val="0"/>
          <c:showCatName val="0"/>
          <c:showSerName val="0"/>
          <c:showPercent val="0"/>
          <c:showBubbleSize val="0"/>
        </c:dLbls>
        <c:gapWidth val="182"/>
        <c:axId val="136014127"/>
        <c:axId val="169562927"/>
      </c:barChart>
      <c:catAx>
        <c:axId val="1360141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62927"/>
        <c:crosses val="autoZero"/>
        <c:auto val="1"/>
        <c:lblAlgn val="ctr"/>
        <c:lblOffset val="100"/>
        <c:noMultiLvlLbl val="0"/>
      </c:catAx>
      <c:valAx>
        <c:axId val="169562927"/>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0141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11" Type="http://schemas.openxmlformats.org/officeDocument/2006/relationships/chart" Target="../charts/chart21.xml"/><Relationship Id="rId5" Type="http://schemas.openxmlformats.org/officeDocument/2006/relationships/chart" Target="../charts/chart15.xml"/><Relationship Id="rId10" Type="http://schemas.openxmlformats.org/officeDocument/2006/relationships/chart" Target="../charts/chart20.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0</xdr:col>
      <xdr:colOff>0</xdr:colOff>
      <xdr:row>25</xdr:row>
      <xdr:rowOff>91439</xdr:rowOff>
    </xdr:from>
    <xdr:to>
      <xdr:col>2</xdr:col>
      <xdr:colOff>252061</xdr:colOff>
      <xdr:row>31</xdr:row>
      <xdr:rowOff>96272</xdr:rowOff>
    </xdr:to>
    <xdr:graphicFrame macro="">
      <xdr:nvGraphicFramePr>
        <xdr:cNvPr id="54" name="Chart 53">
          <a:extLst>
            <a:ext uri="{FF2B5EF4-FFF2-40B4-BE49-F238E27FC236}">
              <a16:creationId xmlns:a16="http://schemas.microsoft.com/office/drawing/2014/main" id="{469B5CC2-1ED3-4C62-AB50-D0336A1C2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564697</xdr:colOff>
      <xdr:row>0</xdr:row>
      <xdr:rowOff>54429</xdr:rowOff>
    </xdr:from>
    <xdr:to>
      <xdr:col>2</xdr:col>
      <xdr:colOff>2197652</xdr:colOff>
      <xdr:row>3</xdr:row>
      <xdr:rowOff>65619</xdr:rowOff>
    </xdr:to>
    <xdr:sp macro="" textlink="">
      <xdr:nvSpPr>
        <xdr:cNvPr id="58" name="Rectangle: Rounded Corners 57">
          <a:extLst>
            <a:ext uri="{FF2B5EF4-FFF2-40B4-BE49-F238E27FC236}">
              <a16:creationId xmlns:a16="http://schemas.microsoft.com/office/drawing/2014/main" id="{6C65F7CB-463F-45EF-AFE1-CFB4F9D663FC}"/>
            </a:ext>
          </a:extLst>
        </xdr:cNvPr>
        <xdr:cNvSpPr/>
      </xdr:nvSpPr>
      <xdr:spPr>
        <a:xfrm>
          <a:off x="1624871" y="54429"/>
          <a:ext cx="2240346" cy="574407"/>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i="0" u="none" strike="noStrike">
              <a:solidFill>
                <a:schemeClr val="lt1"/>
              </a:solidFill>
              <a:effectLst/>
              <a:latin typeface="Segoe UI" panose="020B0502040204020203" pitchFamily="34" charset="0"/>
              <a:ea typeface="+mn-ea"/>
              <a:cs typeface="Segoe UI" panose="020B0502040204020203" pitchFamily="34" charset="0"/>
            </a:rPr>
            <a:t>Total</a:t>
          </a:r>
          <a:r>
            <a:rPr lang="en-IN" sz="1100" b="1" i="0" u="none" strike="noStrike" baseline="0">
              <a:solidFill>
                <a:schemeClr val="lt1"/>
              </a:solidFill>
              <a:effectLst/>
              <a:latin typeface="Segoe UI" panose="020B0502040204020203" pitchFamily="34" charset="0"/>
              <a:ea typeface="+mn-ea"/>
              <a:cs typeface="Segoe UI" panose="020B0502040204020203" pitchFamily="34" charset="0"/>
            </a:rPr>
            <a:t> Employees</a:t>
          </a:r>
        </a:p>
        <a:p>
          <a:pPr algn="ctr"/>
          <a:r>
            <a:rPr lang="en-IN" sz="1000" b="1" i="0" u="none" strike="noStrike">
              <a:solidFill>
                <a:schemeClr val="lt1"/>
              </a:solidFill>
              <a:effectLst/>
              <a:latin typeface="Segoe UI" panose="020B0502040204020203" pitchFamily="34" charset="0"/>
              <a:ea typeface="+mn-ea"/>
              <a:cs typeface="Segoe UI" panose="020B0502040204020203" pitchFamily="34" charset="0"/>
            </a:rPr>
            <a:t>1470</a:t>
          </a:r>
          <a:r>
            <a:rPr lang="en-IN" sz="1000" b="1">
              <a:effectLst/>
              <a:latin typeface="Segoe UI" panose="020B0502040204020203" pitchFamily="34" charset="0"/>
              <a:cs typeface="Segoe UI" panose="020B0502040204020203" pitchFamily="34" charset="0"/>
            </a:rPr>
            <a:t> </a:t>
          </a:r>
          <a:endParaRPr lang="en-IN" sz="1000" b="1">
            <a:latin typeface="Segoe UI" panose="020B0502040204020203" pitchFamily="34" charset="0"/>
            <a:cs typeface="Segoe UI" panose="020B0502040204020203" pitchFamily="34" charset="0"/>
          </a:endParaRPr>
        </a:p>
      </xdr:txBody>
    </xdr:sp>
    <xdr:clientData/>
  </xdr:twoCellAnchor>
  <xdr:twoCellAnchor>
    <xdr:from>
      <xdr:col>2</xdr:col>
      <xdr:colOff>0</xdr:colOff>
      <xdr:row>4</xdr:row>
      <xdr:rowOff>0</xdr:rowOff>
    </xdr:from>
    <xdr:to>
      <xdr:col>2</xdr:col>
      <xdr:colOff>2241826</xdr:colOff>
      <xdr:row>7</xdr:row>
      <xdr:rowOff>6804</xdr:rowOff>
    </xdr:to>
    <xdr:sp macro="" textlink="">
      <xdr:nvSpPr>
        <xdr:cNvPr id="59" name="Rectangle: Rounded Corners 58">
          <a:extLst>
            <a:ext uri="{FF2B5EF4-FFF2-40B4-BE49-F238E27FC236}">
              <a16:creationId xmlns:a16="http://schemas.microsoft.com/office/drawing/2014/main" id="{D7F601D7-F2EB-42AC-A1C2-CF6C76DF4E1C}"/>
            </a:ext>
          </a:extLst>
        </xdr:cNvPr>
        <xdr:cNvSpPr/>
      </xdr:nvSpPr>
      <xdr:spPr>
        <a:xfrm>
          <a:off x="1667565" y="750957"/>
          <a:ext cx="2241826" cy="570021"/>
        </a:xfrm>
        <a:prstGeom prst="roundRect">
          <a:avLst/>
        </a:prstGeom>
        <a:solidFill>
          <a:srgbClr val="3E5F44"/>
        </a:solidFill>
        <a:ln>
          <a:solidFill>
            <a:srgbClr val="3E5F4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effectLst/>
              <a:latin typeface="Segoe UI" panose="020B0502040204020203" pitchFamily="34" charset="0"/>
              <a:cs typeface="Segoe UI" panose="020B0502040204020203" pitchFamily="34" charset="0"/>
            </a:rPr>
            <a:t>Employees</a:t>
          </a:r>
          <a:r>
            <a:rPr lang="en-IN" sz="1200" b="1" baseline="0">
              <a:effectLst/>
              <a:latin typeface="Segoe UI" panose="020B0502040204020203" pitchFamily="34" charset="0"/>
              <a:cs typeface="Segoe UI" panose="020B0502040204020203" pitchFamily="34" charset="0"/>
            </a:rPr>
            <a:t> </a:t>
          </a:r>
          <a:r>
            <a:rPr lang="en-IN" sz="1200" b="1">
              <a:effectLst/>
              <a:latin typeface="Segoe UI" panose="020B0502040204020203" pitchFamily="34" charset="0"/>
              <a:cs typeface="Segoe UI" panose="020B0502040204020203" pitchFamily="34" charset="0"/>
            </a:rPr>
            <a:t>Left </a:t>
          </a:r>
        </a:p>
        <a:p>
          <a:pPr algn="ctr"/>
          <a:r>
            <a:rPr lang="en-IN" sz="1100" b="1" i="0" u="none" strike="noStrike">
              <a:solidFill>
                <a:schemeClr val="lt1"/>
              </a:solidFill>
              <a:effectLst/>
              <a:latin typeface="Segoe UI" panose="020B0502040204020203" pitchFamily="34" charset="0"/>
              <a:ea typeface="+mn-ea"/>
              <a:cs typeface="Segoe UI" panose="020B0502040204020203" pitchFamily="34" charset="0"/>
            </a:rPr>
            <a:t>237</a:t>
          </a:r>
          <a:r>
            <a:rPr lang="en-IN" sz="1100" b="1">
              <a:effectLst/>
              <a:latin typeface="Segoe UI" panose="020B0502040204020203" pitchFamily="34" charset="0"/>
              <a:cs typeface="Segoe UI" panose="020B0502040204020203" pitchFamily="34" charset="0"/>
            </a:rPr>
            <a:t> </a:t>
          </a:r>
          <a:endParaRPr lang="en-IN" sz="1100" b="1">
            <a:latin typeface="Segoe UI" panose="020B0502040204020203" pitchFamily="34" charset="0"/>
            <a:cs typeface="Segoe UI" panose="020B0502040204020203" pitchFamily="34" charset="0"/>
          </a:endParaRPr>
        </a:p>
      </xdr:txBody>
    </xdr:sp>
    <xdr:clientData/>
  </xdr:twoCellAnchor>
  <xdr:twoCellAnchor>
    <xdr:from>
      <xdr:col>2</xdr:col>
      <xdr:colOff>1</xdr:colOff>
      <xdr:row>7</xdr:row>
      <xdr:rowOff>102054</xdr:rowOff>
    </xdr:from>
    <xdr:to>
      <xdr:col>2</xdr:col>
      <xdr:colOff>2252871</xdr:colOff>
      <xdr:row>10</xdr:row>
      <xdr:rowOff>95250</xdr:rowOff>
    </xdr:to>
    <xdr:sp macro="" textlink="">
      <xdr:nvSpPr>
        <xdr:cNvPr id="60" name="Rectangle: Rounded Corners 59">
          <a:extLst>
            <a:ext uri="{FF2B5EF4-FFF2-40B4-BE49-F238E27FC236}">
              <a16:creationId xmlns:a16="http://schemas.microsoft.com/office/drawing/2014/main" id="{35F431F6-0E40-45D9-B77A-D928CB1693DB}"/>
            </a:ext>
          </a:extLst>
        </xdr:cNvPr>
        <xdr:cNvSpPr/>
      </xdr:nvSpPr>
      <xdr:spPr>
        <a:xfrm>
          <a:off x="1667566" y="1416228"/>
          <a:ext cx="2252870" cy="556413"/>
        </a:xfrm>
        <a:prstGeom prst="roundRect">
          <a:avLst/>
        </a:prstGeom>
        <a:solidFill>
          <a:srgbClr val="3E5F44"/>
        </a:solidFill>
        <a:ln>
          <a:miter lim="800000"/>
        </a:ln>
      </xdr:spPr>
      <xdr:style>
        <a:lnRef idx="2">
          <a:schemeClr val="accent1">
            <a:shade val="15000"/>
          </a:schemeClr>
        </a:lnRef>
        <a:fillRef idx="1002">
          <a:schemeClr val="lt2"/>
        </a:fillRef>
        <a:effectRef idx="0">
          <a:schemeClr val="accent1"/>
        </a:effectRef>
        <a:fontRef idx="minor">
          <a:schemeClr val="lt1"/>
        </a:fontRef>
      </xdr:style>
      <xdr:txBody>
        <a:bodyPr vertOverflow="clip" horzOverflow="clip" rtlCol="0" anchor="t"/>
        <a:lstStyle/>
        <a:p>
          <a:pPr algn="ctr"/>
          <a:r>
            <a:rPr lang="en-IN" sz="1000" b="1">
              <a:latin typeface="Segoe UI" panose="020B0502040204020203" pitchFamily="34" charset="0"/>
              <a:cs typeface="Segoe UI" panose="020B0502040204020203" pitchFamily="34" charset="0"/>
            </a:rPr>
            <a:t>Attrition</a:t>
          </a:r>
          <a:r>
            <a:rPr lang="en-IN" sz="1000" b="1" baseline="0">
              <a:latin typeface="Segoe UI" panose="020B0502040204020203" pitchFamily="34" charset="0"/>
              <a:cs typeface="Segoe UI" panose="020B0502040204020203" pitchFamily="34" charset="0"/>
            </a:rPr>
            <a:t>  Rate</a:t>
          </a:r>
        </a:p>
        <a:p>
          <a:pPr algn="ctr"/>
          <a:r>
            <a:rPr lang="en-IN" sz="1000" b="1" i="0" u="none" strike="noStrike">
              <a:solidFill>
                <a:schemeClr val="lt1"/>
              </a:solidFill>
              <a:effectLst/>
              <a:latin typeface="Segoe UI" panose="020B0502040204020203" pitchFamily="34" charset="0"/>
              <a:ea typeface="+mn-ea"/>
              <a:cs typeface="Segoe UI" panose="020B0502040204020203" pitchFamily="34" charset="0"/>
            </a:rPr>
            <a:t>16.12</a:t>
          </a:r>
          <a:r>
            <a:rPr lang="en-IN" sz="1000" b="1">
              <a:effectLst/>
              <a:latin typeface="Segoe UI" panose="020B0502040204020203" pitchFamily="34" charset="0"/>
              <a:cs typeface="Segoe UI" panose="020B0502040204020203" pitchFamily="34" charset="0"/>
            </a:rPr>
            <a:t> %</a:t>
          </a:r>
          <a:endParaRPr lang="en-IN" sz="1000" b="1">
            <a:latin typeface="Segoe UI" panose="020B0502040204020203" pitchFamily="34" charset="0"/>
            <a:cs typeface="Segoe UI" panose="020B0502040204020203" pitchFamily="34" charset="0"/>
          </a:endParaRPr>
        </a:p>
      </xdr:txBody>
    </xdr:sp>
    <xdr:clientData/>
  </xdr:twoCellAnchor>
  <xdr:twoCellAnchor>
    <xdr:from>
      <xdr:col>2</xdr:col>
      <xdr:colOff>13411</xdr:colOff>
      <xdr:row>10</xdr:row>
      <xdr:rowOff>178567</xdr:rowOff>
    </xdr:from>
    <xdr:to>
      <xdr:col>2</xdr:col>
      <xdr:colOff>2263913</xdr:colOff>
      <xdr:row>15</xdr:row>
      <xdr:rowOff>83318</xdr:rowOff>
    </xdr:to>
    <xdr:sp macro="" textlink="">
      <xdr:nvSpPr>
        <xdr:cNvPr id="61" name="Rectangle: Rounded Corners 60">
          <a:extLst>
            <a:ext uri="{FF2B5EF4-FFF2-40B4-BE49-F238E27FC236}">
              <a16:creationId xmlns:a16="http://schemas.microsoft.com/office/drawing/2014/main" id="{324288A7-8A2F-4476-B74D-4DA20B591D42}"/>
            </a:ext>
          </a:extLst>
        </xdr:cNvPr>
        <xdr:cNvSpPr/>
      </xdr:nvSpPr>
      <xdr:spPr>
        <a:xfrm>
          <a:off x="1680976" y="2055958"/>
          <a:ext cx="2250502" cy="843447"/>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defTabSz="914400" eaLnBrk="1" fontAlgn="b" latinLnBrk="0" hangingPunct="1">
            <a:lnSpc>
              <a:spcPct val="100000"/>
            </a:lnSpc>
            <a:spcBef>
              <a:spcPts val="0"/>
            </a:spcBef>
            <a:spcAft>
              <a:spcPts val="0"/>
            </a:spcAft>
            <a:buClrTx/>
            <a:buSzTx/>
            <a:buFontTx/>
            <a:buNone/>
            <a:tabLst/>
            <a:defRPr/>
          </a:pPr>
          <a:r>
            <a:rPr lang="en-IN" sz="1100" b="0" i="0" u="none" strike="noStrike">
              <a:solidFill>
                <a:schemeClr val="lt1"/>
              </a:solidFill>
              <a:effectLst/>
              <a:latin typeface="+mn-lt"/>
              <a:ea typeface="+mn-ea"/>
              <a:cs typeface="+mn-cs"/>
            </a:rPr>
            <a:t> </a:t>
          </a:r>
        </a:p>
        <a:p>
          <a:pPr algn="ctr" fontAlgn="b"/>
          <a:r>
            <a:rPr lang="en-IN" sz="1100" b="1" i="0" u="none" strike="noStrike">
              <a:solidFill>
                <a:schemeClr val="lt1"/>
              </a:solidFill>
              <a:effectLst/>
              <a:latin typeface="Segoe UI" panose="020B0502040204020203" pitchFamily="34" charset="0"/>
              <a:ea typeface="+mn-ea"/>
              <a:cs typeface="Segoe UI" panose="020B0502040204020203" pitchFamily="34" charset="0"/>
            </a:rPr>
            <a:t>AVERAGE AGE</a:t>
          </a:r>
        </a:p>
        <a:p>
          <a:pPr algn="ctr" fontAlgn="b"/>
          <a:r>
            <a:rPr lang="en-IN" sz="1600" b="1" i="0" u="none" strike="noStrike">
              <a:solidFill>
                <a:schemeClr val="lt1"/>
              </a:solidFill>
              <a:effectLst/>
              <a:latin typeface="Segoe UI" panose="020B0502040204020203" pitchFamily="34" charset="0"/>
              <a:ea typeface="+mn-ea"/>
              <a:cs typeface="Segoe UI" panose="020B0502040204020203" pitchFamily="34" charset="0"/>
            </a:rPr>
            <a:t>36.9</a:t>
          </a:r>
        </a:p>
      </xdr:txBody>
    </xdr:sp>
    <xdr:clientData/>
  </xdr:twoCellAnchor>
  <xdr:twoCellAnchor>
    <xdr:from>
      <xdr:col>2</xdr:col>
      <xdr:colOff>0</xdr:colOff>
      <xdr:row>16</xdr:row>
      <xdr:rowOff>183695</xdr:rowOff>
    </xdr:from>
    <xdr:to>
      <xdr:col>2</xdr:col>
      <xdr:colOff>2352261</xdr:colOff>
      <xdr:row>21</xdr:row>
      <xdr:rowOff>142874</xdr:rowOff>
    </xdr:to>
    <xdr:sp macro="" textlink="">
      <xdr:nvSpPr>
        <xdr:cNvPr id="62" name="Rectangle: Rounded Corners 61">
          <a:extLst>
            <a:ext uri="{FF2B5EF4-FFF2-40B4-BE49-F238E27FC236}">
              <a16:creationId xmlns:a16="http://schemas.microsoft.com/office/drawing/2014/main" id="{94FD49FE-68A2-40C6-9BA0-86C667023D12}"/>
            </a:ext>
          </a:extLst>
        </xdr:cNvPr>
        <xdr:cNvSpPr/>
      </xdr:nvSpPr>
      <xdr:spPr>
        <a:xfrm>
          <a:off x="1667565" y="3187521"/>
          <a:ext cx="2352261" cy="897875"/>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latin typeface="Segoe UI" panose="020B0502040204020203" pitchFamily="34" charset="0"/>
              <a:cs typeface="Segoe UI" panose="020B0502040204020203" pitchFamily="34" charset="0"/>
            </a:rPr>
            <a:t>Average Monthly</a:t>
          </a:r>
          <a:r>
            <a:rPr lang="en-IN" sz="1200" b="1" baseline="0">
              <a:latin typeface="Segoe UI" panose="020B0502040204020203" pitchFamily="34" charset="0"/>
              <a:cs typeface="Segoe UI" panose="020B0502040204020203" pitchFamily="34" charset="0"/>
            </a:rPr>
            <a:t> Income                            </a:t>
          </a:r>
          <a:r>
            <a:rPr lang="en-IN" sz="1200" b="1" baseline="0">
              <a:effectLst/>
            </a:rPr>
            <a:t>  </a:t>
          </a:r>
          <a:r>
            <a:rPr lang="en-IN" sz="1600" b="1" i="0" u="none" strike="noStrike">
              <a:solidFill>
                <a:schemeClr val="lt1"/>
              </a:solidFill>
              <a:effectLst/>
              <a:latin typeface="+mn-lt"/>
              <a:ea typeface="+mn-ea"/>
              <a:cs typeface="+mn-cs"/>
            </a:rPr>
            <a:t>6502.93</a:t>
          </a:r>
          <a:endParaRPr lang="en-IN" sz="1600" b="1"/>
        </a:p>
      </xdr:txBody>
    </xdr:sp>
    <xdr:clientData/>
  </xdr:twoCellAnchor>
  <xdr:twoCellAnchor>
    <xdr:from>
      <xdr:col>3</xdr:col>
      <xdr:colOff>27978</xdr:colOff>
      <xdr:row>4</xdr:row>
      <xdr:rowOff>154279</xdr:rowOff>
    </xdr:from>
    <xdr:to>
      <xdr:col>4</xdr:col>
      <xdr:colOff>1242060</xdr:colOff>
      <xdr:row>10</xdr:row>
      <xdr:rowOff>99060</xdr:rowOff>
    </xdr:to>
    <xdr:graphicFrame macro="">
      <xdr:nvGraphicFramePr>
        <xdr:cNvPr id="63" name="Chart 62">
          <a:extLst>
            <a:ext uri="{FF2B5EF4-FFF2-40B4-BE49-F238E27FC236}">
              <a16:creationId xmlns:a16="http://schemas.microsoft.com/office/drawing/2014/main" id="{85C10C33-937B-4D01-8F82-5D8F861D53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13207</xdr:colOff>
      <xdr:row>11</xdr:row>
      <xdr:rowOff>63249</xdr:rowOff>
    </xdr:from>
    <xdr:to>
      <xdr:col>7</xdr:col>
      <xdr:colOff>1043940</xdr:colOff>
      <xdr:row>20</xdr:row>
      <xdr:rowOff>167641</xdr:rowOff>
    </xdr:to>
    <xdr:graphicFrame macro="">
      <xdr:nvGraphicFramePr>
        <xdr:cNvPr id="64" name="Chart 63">
          <a:extLst>
            <a:ext uri="{FF2B5EF4-FFF2-40B4-BE49-F238E27FC236}">
              <a16:creationId xmlns:a16="http://schemas.microsoft.com/office/drawing/2014/main" id="{8D67219B-AF0B-48AC-A51B-01372300E8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5541</xdr:colOff>
      <xdr:row>0</xdr:row>
      <xdr:rowOff>22860</xdr:rowOff>
    </xdr:from>
    <xdr:to>
      <xdr:col>8</xdr:col>
      <xdr:colOff>701040</xdr:colOff>
      <xdr:row>8</xdr:row>
      <xdr:rowOff>30480</xdr:rowOff>
    </xdr:to>
    <xdr:graphicFrame macro="">
      <xdr:nvGraphicFramePr>
        <xdr:cNvPr id="65" name="Chart 64">
          <a:extLst>
            <a:ext uri="{FF2B5EF4-FFF2-40B4-BE49-F238E27FC236}">
              <a16:creationId xmlns:a16="http://schemas.microsoft.com/office/drawing/2014/main" id="{A8641A20-FA60-47C5-A19F-A30709676E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377</xdr:colOff>
      <xdr:row>7</xdr:row>
      <xdr:rowOff>84269</xdr:rowOff>
    </xdr:from>
    <xdr:to>
      <xdr:col>15</xdr:col>
      <xdr:colOff>261179</xdr:colOff>
      <xdr:row>15</xdr:row>
      <xdr:rowOff>60961</xdr:rowOff>
    </xdr:to>
    <xdr:graphicFrame macro="">
      <xdr:nvGraphicFramePr>
        <xdr:cNvPr id="68" name="Chart 67">
          <a:extLst>
            <a:ext uri="{FF2B5EF4-FFF2-40B4-BE49-F238E27FC236}">
              <a16:creationId xmlns:a16="http://schemas.microsoft.com/office/drawing/2014/main" id="{3A325CEA-45F9-474F-A370-1DE87B115E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17890</xdr:colOff>
      <xdr:row>0</xdr:row>
      <xdr:rowOff>0</xdr:rowOff>
    </xdr:from>
    <xdr:to>
      <xdr:col>15</xdr:col>
      <xdr:colOff>464820</xdr:colOff>
      <xdr:row>7</xdr:row>
      <xdr:rowOff>60960</xdr:rowOff>
    </xdr:to>
    <xdr:graphicFrame macro="">
      <xdr:nvGraphicFramePr>
        <xdr:cNvPr id="70" name="Chart 69">
          <a:extLst>
            <a:ext uri="{FF2B5EF4-FFF2-40B4-BE49-F238E27FC236}">
              <a16:creationId xmlns:a16="http://schemas.microsoft.com/office/drawing/2014/main" id="{040A8C1B-BF2C-46E7-8CEF-DF18CAA2F6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15239</xdr:colOff>
      <xdr:row>16</xdr:row>
      <xdr:rowOff>93317</xdr:rowOff>
    </xdr:from>
    <xdr:to>
      <xdr:col>15</xdr:col>
      <xdr:colOff>480060</xdr:colOff>
      <xdr:row>24</xdr:row>
      <xdr:rowOff>83820</xdr:rowOff>
    </xdr:to>
    <xdr:graphicFrame macro="">
      <xdr:nvGraphicFramePr>
        <xdr:cNvPr id="71" name="Chart 70">
          <a:extLst>
            <a:ext uri="{FF2B5EF4-FFF2-40B4-BE49-F238E27FC236}">
              <a16:creationId xmlns:a16="http://schemas.microsoft.com/office/drawing/2014/main" id="{4376A73C-C477-4ADB-83A6-3CCC46974A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22859</xdr:colOff>
      <xdr:row>21</xdr:row>
      <xdr:rowOff>106679</xdr:rowOff>
    </xdr:from>
    <xdr:to>
      <xdr:col>7</xdr:col>
      <xdr:colOff>381000</xdr:colOff>
      <xdr:row>27</xdr:row>
      <xdr:rowOff>114300</xdr:rowOff>
    </xdr:to>
    <xdr:graphicFrame macro="">
      <xdr:nvGraphicFramePr>
        <xdr:cNvPr id="73" name="Chart 72">
          <a:extLst>
            <a:ext uri="{FF2B5EF4-FFF2-40B4-BE49-F238E27FC236}">
              <a16:creationId xmlns:a16="http://schemas.microsoft.com/office/drawing/2014/main" id="{898A1A69-3DB1-4A25-9421-C8B3A4865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45720</xdr:colOff>
      <xdr:row>27</xdr:row>
      <xdr:rowOff>121920</xdr:rowOff>
    </xdr:from>
    <xdr:to>
      <xdr:col>7</xdr:col>
      <xdr:colOff>388620</xdr:colOff>
      <xdr:row>33</xdr:row>
      <xdr:rowOff>68580</xdr:rowOff>
    </xdr:to>
    <xdr:graphicFrame macro="">
      <xdr:nvGraphicFramePr>
        <xdr:cNvPr id="74" name="Chart 73">
          <a:extLst>
            <a:ext uri="{FF2B5EF4-FFF2-40B4-BE49-F238E27FC236}">
              <a16:creationId xmlns:a16="http://schemas.microsoft.com/office/drawing/2014/main" id="{501AAE68-D98C-45E3-92BA-B3640462D9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7621</xdr:colOff>
      <xdr:row>24</xdr:row>
      <xdr:rowOff>83820</xdr:rowOff>
    </xdr:from>
    <xdr:to>
      <xdr:col>13</xdr:col>
      <xdr:colOff>68580</xdr:colOff>
      <xdr:row>33</xdr:row>
      <xdr:rowOff>114300</xdr:rowOff>
    </xdr:to>
    <xdr:graphicFrame macro="">
      <xdr:nvGraphicFramePr>
        <xdr:cNvPr id="75" name="Chart 74">
          <a:extLst>
            <a:ext uri="{FF2B5EF4-FFF2-40B4-BE49-F238E27FC236}">
              <a16:creationId xmlns:a16="http://schemas.microsoft.com/office/drawing/2014/main" id="{F4142D91-8191-4B51-A003-8AFA45C9B3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18969</xdr:colOff>
      <xdr:row>4</xdr:row>
      <xdr:rowOff>101709</xdr:rowOff>
    </xdr:from>
    <xdr:to>
      <xdr:col>2</xdr:col>
      <xdr:colOff>458977</xdr:colOff>
      <xdr:row>7</xdr:row>
      <xdr:rowOff>108545</xdr:rowOff>
    </xdr:to>
    <xdr:sp macro="" textlink="">
      <xdr:nvSpPr>
        <xdr:cNvPr id="7" name="Rectangle: Rounded Corners 6">
          <a:extLst>
            <a:ext uri="{FF2B5EF4-FFF2-40B4-BE49-F238E27FC236}">
              <a16:creationId xmlns:a16="http://schemas.microsoft.com/office/drawing/2014/main" id="{577B0427-09A0-212E-D9E7-1D59124D48D4}"/>
            </a:ext>
          </a:extLst>
        </xdr:cNvPr>
        <xdr:cNvSpPr/>
      </xdr:nvSpPr>
      <xdr:spPr>
        <a:xfrm>
          <a:off x="18969" y="844171"/>
          <a:ext cx="1651393" cy="563682"/>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i="0" u="none" strike="noStrike">
              <a:solidFill>
                <a:schemeClr val="lt1"/>
              </a:solidFill>
              <a:effectLst/>
              <a:latin typeface="Segoe UI" panose="020B0502040204020203" pitchFamily="34" charset="0"/>
              <a:ea typeface="+mn-ea"/>
              <a:cs typeface="Segoe UI" panose="020B0502040204020203" pitchFamily="34" charset="0"/>
            </a:rPr>
            <a:t>Total</a:t>
          </a:r>
          <a:r>
            <a:rPr lang="en-IN" sz="1100" b="1" i="0" u="none" strike="noStrike" baseline="0">
              <a:solidFill>
                <a:schemeClr val="lt1"/>
              </a:solidFill>
              <a:effectLst/>
              <a:latin typeface="Segoe UI" panose="020B0502040204020203" pitchFamily="34" charset="0"/>
              <a:ea typeface="+mn-ea"/>
              <a:cs typeface="Segoe UI" panose="020B0502040204020203" pitchFamily="34" charset="0"/>
            </a:rPr>
            <a:t> Employees</a:t>
          </a:r>
        </a:p>
        <a:p>
          <a:pPr algn="ctr"/>
          <a:r>
            <a:rPr lang="en-IN" sz="1000" b="1" i="0" u="none" strike="noStrike">
              <a:solidFill>
                <a:schemeClr val="lt1"/>
              </a:solidFill>
              <a:effectLst/>
              <a:latin typeface="Segoe UI" panose="020B0502040204020203" pitchFamily="34" charset="0"/>
              <a:ea typeface="+mn-ea"/>
              <a:cs typeface="Segoe UI" panose="020B0502040204020203" pitchFamily="34" charset="0"/>
            </a:rPr>
            <a:t>1470</a:t>
          </a:r>
          <a:r>
            <a:rPr lang="en-IN" sz="1000" b="1">
              <a:effectLst/>
              <a:latin typeface="Segoe UI" panose="020B0502040204020203" pitchFamily="34" charset="0"/>
              <a:cs typeface="Segoe UI" panose="020B0502040204020203" pitchFamily="34" charset="0"/>
            </a:rPr>
            <a:t> </a:t>
          </a:r>
          <a:endParaRPr lang="en-IN" sz="1000" b="1">
            <a:latin typeface="Segoe UI" panose="020B0502040204020203" pitchFamily="34" charset="0"/>
            <a:cs typeface="Segoe UI" panose="020B0502040204020203" pitchFamily="34" charset="0"/>
          </a:endParaRPr>
        </a:p>
      </xdr:txBody>
    </xdr:sp>
    <xdr:clientData/>
  </xdr:twoCellAnchor>
  <xdr:twoCellAnchor>
    <xdr:from>
      <xdr:col>15</xdr:col>
      <xdr:colOff>353135</xdr:colOff>
      <xdr:row>56</xdr:row>
      <xdr:rowOff>167640</xdr:rowOff>
    </xdr:from>
    <xdr:to>
      <xdr:col>19</xdr:col>
      <xdr:colOff>462702</xdr:colOff>
      <xdr:row>64</xdr:row>
      <xdr:rowOff>68580</xdr:rowOff>
    </xdr:to>
    <xdr:graphicFrame macro="">
      <xdr:nvGraphicFramePr>
        <xdr:cNvPr id="10" name="Chart 9">
          <a:extLst>
            <a:ext uri="{FF2B5EF4-FFF2-40B4-BE49-F238E27FC236}">
              <a16:creationId xmlns:a16="http://schemas.microsoft.com/office/drawing/2014/main" id="{9EBF2556-9131-4C1E-A657-7624DB4383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261107</xdr:colOff>
      <xdr:row>4</xdr:row>
      <xdr:rowOff>81644</xdr:rowOff>
    </xdr:from>
    <xdr:to>
      <xdr:col>14</xdr:col>
      <xdr:colOff>366402</xdr:colOff>
      <xdr:row>7</xdr:row>
      <xdr:rowOff>92063</xdr:rowOff>
    </xdr:to>
    <xdr:sp macro="" textlink="">
      <xdr:nvSpPr>
        <xdr:cNvPr id="13" name="Rectangle: Rounded Corners 12">
          <a:extLst>
            <a:ext uri="{FF2B5EF4-FFF2-40B4-BE49-F238E27FC236}">
              <a16:creationId xmlns:a16="http://schemas.microsoft.com/office/drawing/2014/main" id="{FD96FD15-2383-48DE-8B08-C371CE05B1A8}"/>
            </a:ext>
          </a:extLst>
        </xdr:cNvPr>
        <xdr:cNvSpPr/>
      </xdr:nvSpPr>
      <xdr:spPr>
        <a:xfrm>
          <a:off x="6946750" y="807358"/>
          <a:ext cx="1928652" cy="554705"/>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b" latinLnBrk="0" hangingPunct="1">
            <a:lnSpc>
              <a:spcPct val="100000"/>
            </a:lnSpc>
            <a:spcBef>
              <a:spcPts val="0"/>
            </a:spcBef>
            <a:spcAft>
              <a:spcPts val="0"/>
            </a:spcAft>
            <a:buClrTx/>
            <a:buSzTx/>
            <a:buFontTx/>
            <a:buNone/>
            <a:tabLst/>
            <a:defRPr/>
          </a:pPr>
          <a:r>
            <a:rPr lang="en-IN" sz="1100" b="0" i="0" u="none" strike="noStrike">
              <a:solidFill>
                <a:schemeClr val="lt1"/>
              </a:solidFill>
              <a:effectLst/>
              <a:latin typeface="+mn-lt"/>
              <a:ea typeface="+mn-ea"/>
              <a:cs typeface="+mn-cs"/>
            </a:rPr>
            <a:t> </a:t>
          </a:r>
          <a:r>
            <a:rPr lang="en-IN" sz="1000" b="1" i="0" u="none" strike="noStrike">
              <a:solidFill>
                <a:schemeClr val="lt1"/>
              </a:solidFill>
              <a:effectLst/>
              <a:latin typeface="Segoe UI" panose="020B0502040204020203" pitchFamily="34" charset="0"/>
              <a:ea typeface="+mn-ea"/>
              <a:cs typeface="Segoe UI" panose="020B0502040204020203" pitchFamily="34" charset="0"/>
            </a:rPr>
            <a:t>Average  Age</a:t>
          </a:r>
        </a:p>
        <a:p>
          <a:pPr algn="ctr" fontAlgn="b"/>
          <a:r>
            <a:rPr lang="en-IN" sz="1000" b="1" i="0" u="none" strike="noStrike">
              <a:solidFill>
                <a:schemeClr val="lt1"/>
              </a:solidFill>
              <a:effectLst/>
              <a:latin typeface="Segoe UI" panose="020B0502040204020203" pitchFamily="34" charset="0"/>
              <a:ea typeface="+mn-ea"/>
              <a:cs typeface="Segoe UI" panose="020B0502040204020203" pitchFamily="34" charset="0"/>
            </a:rPr>
            <a:t>36.9</a:t>
          </a:r>
        </a:p>
      </xdr:txBody>
    </xdr:sp>
    <xdr:clientData/>
  </xdr:twoCellAnchor>
  <xdr:twoCellAnchor>
    <xdr:from>
      <xdr:col>15</xdr:col>
      <xdr:colOff>351091</xdr:colOff>
      <xdr:row>4</xdr:row>
      <xdr:rowOff>79450</xdr:rowOff>
    </xdr:from>
    <xdr:to>
      <xdr:col>18</xdr:col>
      <xdr:colOff>587857</xdr:colOff>
      <xdr:row>7</xdr:row>
      <xdr:rowOff>64601</xdr:rowOff>
    </xdr:to>
    <xdr:sp macro="" textlink="">
      <xdr:nvSpPr>
        <xdr:cNvPr id="12" name="Rectangle: Rounded Corners 11">
          <a:extLst>
            <a:ext uri="{FF2B5EF4-FFF2-40B4-BE49-F238E27FC236}">
              <a16:creationId xmlns:a16="http://schemas.microsoft.com/office/drawing/2014/main" id="{0AB214D4-901B-4E85-9DAB-43575DC126C1}"/>
            </a:ext>
          </a:extLst>
        </xdr:cNvPr>
        <xdr:cNvSpPr/>
      </xdr:nvSpPr>
      <xdr:spPr>
        <a:xfrm>
          <a:off x="9436476" y="821912"/>
          <a:ext cx="2053843" cy="541997"/>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latin typeface="Segoe UI" panose="020B0502040204020203" pitchFamily="34" charset="0"/>
              <a:cs typeface="Segoe UI" panose="020B0502040204020203" pitchFamily="34" charset="0"/>
            </a:rPr>
            <a:t>Average Monthly</a:t>
          </a:r>
          <a:r>
            <a:rPr lang="en-IN" sz="1100" b="1" baseline="0">
              <a:latin typeface="Segoe UI" panose="020B0502040204020203" pitchFamily="34" charset="0"/>
              <a:cs typeface="Segoe UI" panose="020B0502040204020203" pitchFamily="34" charset="0"/>
            </a:rPr>
            <a:t> Income                            </a:t>
          </a:r>
          <a:r>
            <a:rPr lang="en-IN" sz="1100" b="1" baseline="0">
              <a:effectLst/>
            </a:rPr>
            <a:t>  </a:t>
          </a:r>
        </a:p>
        <a:p>
          <a:pPr algn="ctr"/>
          <a:r>
            <a:rPr lang="en-IN" sz="1000" b="1" i="0" u="none" strike="noStrike">
              <a:solidFill>
                <a:schemeClr val="lt1"/>
              </a:solidFill>
              <a:effectLst/>
              <a:latin typeface="+mn-lt"/>
              <a:ea typeface="+mn-ea"/>
              <a:cs typeface="+mn-cs"/>
            </a:rPr>
            <a:t>6502.93</a:t>
          </a:r>
          <a:endParaRPr lang="en-IN" sz="1000" b="1"/>
        </a:p>
      </xdr:txBody>
    </xdr:sp>
    <xdr:clientData/>
  </xdr:twoCellAnchor>
  <xdr:twoCellAnchor editAs="oneCell">
    <xdr:from>
      <xdr:col>20</xdr:col>
      <xdr:colOff>99060</xdr:colOff>
      <xdr:row>1</xdr:row>
      <xdr:rowOff>0</xdr:rowOff>
    </xdr:from>
    <xdr:to>
      <xdr:col>23</xdr:col>
      <xdr:colOff>129540</xdr:colOff>
      <xdr:row>6</xdr:row>
      <xdr:rowOff>7620</xdr:rowOff>
    </xdr:to>
    <mc:AlternateContent xmlns:mc="http://schemas.openxmlformats.org/markup-compatibility/2006" xmlns:a14="http://schemas.microsoft.com/office/drawing/2010/main">
      <mc:Choice Requires="a14">
        <xdr:graphicFrame macro="">
          <xdr:nvGraphicFramePr>
            <xdr:cNvPr id="5" name="Attrition">
              <a:extLst>
                <a:ext uri="{FF2B5EF4-FFF2-40B4-BE49-F238E27FC236}">
                  <a16:creationId xmlns:a16="http://schemas.microsoft.com/office/drawing/2014/main" id="{69E728E6-290B-6AAB-77C5-A744A826F911}"/>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12291060" y="182880"/>
              <a:ext cx="1859280" cy="9220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252427</xdr:colOff>
      <xdr:row>9</xdr:row>
      <xdr:rowOff>171113</xdr:rowOff>
    </xdr:from>
    <xdr:to>
      <xdr:col>1</xdr:col>
      <xdr:colOff>472991</xdr:colOff>
      <xdr:row>11</xdr:row>
      <xdr:rowOff>20254</xdr:rowOff>
    </xdr:to>
    <xdr:sp macro="" textlink="">
      <xdr:nvSpPr>
        <xdr:cNvPr id="26" name="Rectangle 25">
          <a:extLst>
            <a:ext uri="{FF2B5EF4-FFF2-40B4-BE49-F238E27FC236}">
              <a16:creationId xmlns:a16="http://schemas.microsoft.com/office/drawing/2014/main" id="{10DB80D8-8B33-154C-919E-7653F66E8F36}"/>
            </a:ext>
          </a:extLst>
        </xdr:cNvPr>
        <xdr:cNvSpPr/>
      </xdr:nvSpPr>
      <xdr:spPr>
        <a:xfrm>
          <a:off x="252427" y="1817033"/>
          <a:ext cx="830164" cy="2149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800"/>
            <a:t>   </a:t>
          </a:r>
          <a:endParaRPr lang="en-IN" sz="800">
            <a:solidFill>
              <a:schemeClr val="tx1">
                <a:lumMod val="95000"/>
                <a:lumOff val="5000"/>
              </a:schemeClr>
            </a:solidFill>
          </a:endParaRPr>
        </a:p>
      </xdr:txBody>
    </xdr:sp>
    <xdr:clientData/>
  </xdr:twoCellAnchor>
  <xdr:twoCellAnchor>
    <xdr:from>
      <xdr:col>0</xdr:col>
      <xdr:colOff>0</xdr:colOff>
      <xdr:row>0</xdr:row>
      <xdr:rowOff>0</xdr:rowOff>
    </xdr:from>
    <xdr:to>
      <xdr:col>24</xdr:col>
      <xdr:colOff>9769</xdr:colOff>
      <xdr:row>3</xdr:row>
      <xdr:rowOff>166077</xdr:rowOff>
    </xdr:to>
    <xdr:sp macro="" textlink="">
      <xdr:nvSpPr>
        <xdr:cNvPr id="33" name="Rectangle 32">
          <a:extLst>
            <a:ext uri="{FF2B5EF4-FFF2-40B4-BE49-F238E27FC236}">
              <a16:creationId xmlns:a16="http://schemas.microsoft.com/office/drawing/2014/main" id="{BBDE0437-FB54-FFF5-C138-343010A19725}"/>
            </a:ext>
          </a:extLst>
        </xdr:cNvPr>
        <xdr:cNvSpPr/>
      </xdr:nvSpPr>
      <xdr:spPr>
        <a:xfrm>
          <a:off x="0" y="0"/>
          <a:ext cx="14546384" cy="722923"/>
        </a:xfrm>
        <a:prstGeom prst="rect">
          <a:avLst/>
        </a:prstGeom>
        <a:solidFill>
          <a:srgbClr val="3E5F4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b="1">
              <a:solidFill>
                <a:schemeClr val="bg1"/>
              </a:solidFill>
              <a:latin typeface="Segoe UI" panose="020B0502040204020203" pitchFamily="34" charset="0"/>
              <a:cs typeface="Segoe UI" panose="020B0502040204020203" pitchFamily="34" charset="0"/>
            </a:rPr>
            <a:t>EMPLOYEE</a:t>
          </a:r>
          <a:r>
            <a:rPr lang="en-IN" sz="2000" b="1" baseline="0">
              <a:solidFill>
                <a:schemeClr val="bg1"/>
              </a:solidFill>
              <a:latin typeface="Segoe UI" panose="020B0502040204020203" pitchFamily="34" charset="0"/>
              <a:cs typeface="Segoe UI" panose="020B0502040204020203" pitchFamily="34" charset="0"/>
            </a:rPr>
            <a:t> ATTRITION ANALYSIS</a:t>
          </a:r>
        </a:p>
        <a:p>
          <a:pPr algn="ctr"/>
          <a:r>
            <a:rPr lang="en-IN" sz="1400" b="1" baseline="0">
              <a:solidFill>
                <a:schemeClr val="bg1"/>
              </a:solidFill>
              <a:latin typeface="Segoe UI" panose="020B0502040204020203" pitchFamily="34" charset="0"/>
              <a:cs typeface="Segoe UI" panose="020B0502040204020203" pitchFamily="34" charset="0"/>
            </a:rPr>
            <a:t>Workforce Retention &amp; Attrition Drivers</a:t>
          </a:r>
          <a:endParaRPr lang="en-IN" sz="14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7</xdr:col>
      <xdr:colOff>211336</xdr:colOff>
      <xdr:row>4</xdr:row>
      <xdr:rowOff>154215</xdr:rowOff>
    </xdr:from>
    <xdr:to>
      <xdr:col>10</xdr:col>
      <xdr:colOff>316169</xdr:colOff>
      <xdr:row>7</xdr:row>
      <xdr:rowOff>111919</xdr:rowOff>
    </xdr:to>
    <xdr:sp macro="" textlink="">
      <xdr:nvSpPr>
        <xdr:cNvPr id="4" name="Rectangle: Rounded Corners 3">
          <a:extLst>
            <a:ext uri="{FF2B5EF4-FFF2-40B4-BE49-F238E27FC236}">
              <a16:creationId xmlns:a16="http://schemas.microsoft.com/office/drawing/2014/main" id="{5397ABF3-E0F3-466B-9B23-8FE9F0587DAE}"/>
            </a:ext>
          </a:extLst>
        </xdr:cNvPr>
        <xdr:cNvSpPr/>
      </xdr:nvSpPr>
      <xdr:spPr>
        <a:xfrm>
          <a:off x="4465836" y="879929"/>
          <a:ext cx="1928190" cy="501990"/>
        </a:xfrm>
        <a:prstGeom prst="roundRect">
          <a:avLst/>
        </a:prstGeom>
        <a:solidFill>
          <a:srgbClr val="3E5F44"/>
        </a:solidFill>
        <a:ln>
          <a:miter lim="800000"/>
        </a:ln>
      </xdr:spPr>
      <xdr:style>
        <a:lnRef idx="2">
          <a:schemeClr val="accent1">
            <a:shade val="15000"/>
          </a:schemeClr>
        </a:lnRef>
        <a:fillRef idx="1002">
          <a:schemeClr val="lt2"/>
        </a:fillRef>
        <a:effectRef idx="0">
          <a:schemeClr val="accent1"/>
        </a:effectRef>
        <a:fontRef idx="minor">
          <a:schemeClr val="lt1"/>
        </a:fontRef>
      </xdr:style>
      <xdr:txBody>
        <a:bodyPr vertOverflow="clip" horzOverflow="clip" rtlCol="0" anchor="t"/>
        <a:lstStyle/>
        <a:p>
          <a:pPr algn="ctr"/>
          <a:r>
            <a:rPr lang="en-IN" sz="1000" b="1">
              <a:latin typeface="Segoe UI" panose="020B0502040204020203" pitchFamily="34" charset="0"/>
              <a:cs typeface="Segoe UI" panose="020B0502040204020203" pitchFamily="34" charset="0"/>
            </a:rPr>
            <a:t>Attrition</a:t>
          </a:r>
          <a:r>
            <a:rPr lang="en-IN" sz="1000" b="1" baseline="0">
              <a:latin typeface="Segoe UI" panose="020B0502040204020203" pitchFamily="34" charset="0"/>
              <a:cs typeface="Segoe UI" panose="020B0502040204020203" pitchFamily="34" charset="0"/>
            </a:rPr>
            <a:t>  Rate</a:t>
          </a:r>
        </a:p>
        <a:p>
          <a:pPr algn="ctr"/>
          <a:r>
            <a:rPr lang="en-IN" sz="1000" b="1" i="0" u="none" strike="noStrike">
              <a:solidFill>
                <a:schemeClr val="lt1"/>
              </a:solidFill>
              <a:effectLst/>
              <a:latin typeface="Segoe UI" panose="020B0502040204020203" pitchFamily="34" charset="0"/>
              <a:ea typeface="+mn-ea"/>
              <a:cs typeface="Segoe UI" panose="020B0502040204020203" pitchFamily="34" charset="0"/>
            </a:rPr>
            <a:t>16.12</a:t>
          </a:r>
          <a:r>
            <a:rPr lang="en-IN" sz="1000" b="1">
              <a:effectLst/>
              <a:latin typeface="Segoe UI" panose="020B0502040204020203" pitchFamily="34" charset="0"/>
              <a:cs typeface="Segoe UI" panose="020B0502040204020203" pitchFamily="34" charset="0"/>
            </a:rPr>
            <a:t> %</a:t>
          </a:r>
          <a:endParaRPr lang="en-IN" sz="1000" b="1">
            <a:latin typeface="Segoe UI" panose="020B0502040204020203" pitchFamily="34" charset="0"/>
            <a:cs typeface="Segoe UI" panose="020B0502040204020203" pitchFamily="34" charset="0"/>
          </a:endParaRPr>
        </a:p>
      </xdr:txBody>
    </xdr:sp>
    <xdr:clientData/>
  </xdr:twoCellAnchor>
  <xdr:twoCellAnchor editAs="oneCell">
    <xdr:from>
      <xdr:col>20</xdr:col>
      <xdr:colOff>152785</xdr:colOff>
      <xdr:row>22</xdr:row>
      <xdr:rowOff>167564</xdr:rowOff>
    </xdr:from>
    <xdr:to>
      <xdr:col>23</xdr:col>
      <xdr:colOff>152785</xdr:colOff>
      <xdr:row>29</xdr:row>
      <xdr:rowOff>53263</xdr:rowOff>
    </xdr:to>
    <mc:AlternateContent xmlns:mc="http://schemas.openxmlformats.org/markup-compatibility/2006" xmlns:a14="http://schemas.microsoft.com/office/drawing/2010/main">
      <mc:Choice Requires="a14">
        <xdr:graphicFrame macro="">
          <xdr:nvGraphicFramePr>
            <xdr:cNvPr id="2" name="Department">
              <a:extLst>
                <a:ext uri="{FF2B5EF4-FFF2-40B4-BE49-F238E27FC236}">
                  <a16:creationId xmlns:a16="http://schemas.microsoft.com/office/drawing/2014/main" id="{6E54BFCE-849B-B46A-6B81-1C8C92BDD439}"/>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2344785" y="4190924"/>
              <a:ext cx="1828800" cy="11658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129540</xdr:colOff>
      <xdr:row>17</xdr:row>
      <xdr:rowOff>121921</xdr:rowOff>
    </xdr:from>
    <xdr:to>
      <xdr:col>23</xdr:col>
      <xdr:colOff>129540</xdr:colOff>
      <xdr:row>22</xdr:row>
      <xdr:rowOff>129541</xdr:rowOff>
    </xdr:to>
    <mc:AlternateContent xmlns:mc="http://schemas.openxmlformats.org/markup-compatibility/2006" xmlns:a14="http://schemas.microsoft.com/office/drawing/2010/main">
      <mc:Choice Requires="a14">
        <xdr:graphicFrame macro="">
          <xdr:nvGraphicFramePr>
            <xdr:cNvPr id="23" name="Gender">
              <a:extLst>
                <a:ext uri="{FF2B5EF4-FFF2-40B4-BE49-F238E27FC236}">
                  <a16:creationId xmlns:a16="http://schemas.microsoft.com/office/drawing/2014/main" id="{F99D7540-C381-4FD6-5940-A14ECAEBFA4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2321540" y="3230881"/>
              <a:ext cx="1828800" cy="9220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121920</xdr:colOff>
      <xdr:row>12</xdr:row>
      <xdr:rowOff>106681</xdr:rowOff>
    </xdr:from>
    <xdr:to>
      <xdr:col>23</xdr:col>
      <xdr:colOff>121920</xdr:colOff>
      <xdr:row>17</xdr:row>
      <xdr:rowOff>91441</xdr:rowOff>
    </xdr:to>
    <mc:AlternateContent xmlns:mc="http://schemas.openxmlformats.org/markup-compatibility/2006" xmlns:a14="http://schemas.microsoft.com/office/drawing/2010/main">
      <mc:Choice Requires="a14">
        <xdr:graphicFrame macro="">
          <xdr:nvGraphicFramePr>
            <xdr:cNvPr id="24" name="OverTime">
              <a:extLst>
                <a:ext uri="{FF2B5EF4-FFF2-40B4-BE49-F238E27FC236}">
                  <a16:creationId xmlns:a16="http://schemas.microsoft.com/office/drawing/2014/main" id="{5A318B90-9B74-E5A3-C5B6-E6232C42E7CE}"/>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mlns="">
        <xdr:sp macro="" textlink="">
          <xdr:nvSpPr>
            <xdr:cNvPr id="0" name=""/>
            <xdr:cNvSpPr>
              <a:spLocks noTextEdit="1"/>
            </xdr:cNvSpPr>
          </xdr:nvSpPr>
          <xdr:spPr>
            <a:xfrm>
              <a:off x="12313920" y="2301241"/>
              <a:ext cx="1828800" cy="899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342651</xdr:colOff>
      <xdr:row>4</xdr:row>
      <xdr:rowOff>108857</xdr:rowOff>
    </xdr:from>
    <xdr:to>
      <xdr:col>6</xdr:col>
      <xdr:colOff>341034</xdr:colOff>
      <xdr:row>7</xdr:row>
      <xdr:rowOff>110465</xdr:rowOff>
    </xdr:to>
    <xdr:sp macro="" textlink="">
      <xdr:nvSpPr>
        <xdr:cNvPr id="22" name="Rectangle: Rounded Corners 21">
          <a:extLst>
            <a:ext uri="{FF2B5EF4-FFF2-40B4-BE49-F238E27FC236}">
              <a16:creationId xmlns:a16="http://schemas.microsoft.com/office/drawing/2014/main" id="{C6CCD09A-714A-41BE-A735-05A92508DD0D}"/>
            </a:ext>
          </a:extLst>
        </xdr:cNvPr>
        <xdr:cNvSpPr/>
      </xdr:nvSpPr>
      <xdr:spPr>
        <a:xfrm>
          <a:off x="2166008" y="834571"/>
          <a:ext cx="1821740" cy="545894"/>
        </a:xfrm>
        <a:prstGeom prst="roundRect">
          <a:avLst/>
        </a:prstGeom>
        <a:solidFill>
          <a:srgbClr val="3E5F44"/>
        </a:solidFill>
        <a:ln>
          <a:solidFill>
            <a:srgbClr val="3E5F4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effectLst/>
              <a:latin typeface="Segoe UI" panose="020B0502040204020203" pitchFamily="34" charset="0"/>
              <a:cs typeface="Segoe UI" panose="020B0502040204020203" pitchFamily="34" charset="0"/>
            </a:rPr>
            <a:t>Employees</a:t>
          </a:r>
          <a:r>
            <a:rPr lang="en-IN" sz="1200" b="1" baseline="0">
              <a:effectLst/>
              <a:latin typeface="Segoe UI" panose="020B0502040204020203" pitchFamily="34" charset="0"/>
              <a:cs typeface="Segoe UI" panose="020B0502040204020203" pitchFamily="34" charset="0"/>
            </a:rPr>
            <a:t> </a:t>
          </a:r>
          <a:r>
            <a:rPr lang="en-IN" sz="1200" b="1">
              <a:effectLst/>
              <a:latin typeface="Segoe UI" panose="020B0502040204020203" pitchFamily="34" charset="0"/>
              <a:cs typeface="Segoe UI" panose="020B0502040204020203" pitchFamily="34" charset="0"/>
            </a:rPr>
            <a:t>Left </a:t>
          </a:r>
        </a:p>
        <a:p>
          <a:pPr algn="ctr"/>
          <a:r>
            <a:rPr lang="en-IN" sz="1100" b="1" i="0" u="none" strike="noStrike">
              <a:solidFill>
                <a:schemeClr val="lt1"/>
              </a:solidFill>
              <a:effectLst/>
              <a:latin typeface="Segoe UI" panose="020B0502040204020203" pitchFamily="34" charset="0"/>
              <a:ea typeface="+mn-ea"/>
              <a:cs typeface="Segoe UI" panose="020B0502040204020203" pitchFamily="34" charset="0"/>
            </a:rPr>
            <a:t>237</a:t>
          </a:r>
          <a:r>
            <a:rPr lang="en-IN" sz="1100" b="1">
              <a:effectLst/>
              <a:latin typeface="Segoe UI" panose="020B0502040204020203" pitchFamily="34" charset="0"/>
              <a:cs typeface="Segoe UI" panose="020B0502040204020203" pitchFamily="34" charset="0"/>
            </a:rPr>
            <a:t> </a:t>
          </a:r>
          <a:endParaRPr lang="en-IN" sz="1100" b="1">
            <a:latin typeface="Segoe UI" panose="020B0502040204020203" pitchFamily="34" charset="0"/>
            <a:cs typeface="Segoe UI" panose="020B0502040204020203" pitchFamily="34" charset="0"/>
          </a:endParaRPr>
        </a:p>
      </xdr:txBody>
    </xdr:sp>
    <xdr:clientData/>
  </xdr:twoCellAnchor>
  <xdr:twoCellAnchor>
    <xdr:from>
      <xdr:col>0</xdr:col>
      <xdr:colOff>15241</xdr:colOff>
      <xdr:row>7</xdr:row>
      <xdr:rowOff>146538</xdr:rowOff>
    </xdr:from>
    <xdr:to>
      <xdr:col>5</xdr:col>
      <xdr:colOff>195384</xdr:colOff>
      <xdr:row>14</xdr:row>
      <xdr:rowOff>137160</xdr:rowOff>
    </xdr:to>
    <xdr:graphicFrame macro="">
      <xdr:nvGraphicFramePr>
        <xdr:cNvPr id="25" name="Chart 24">
          <a:extLst>
            <a:ext uri="{FF2B5EF4-FFF2-40B4-BE49-F238E27FC236}">
              <a16:creationId xmlns:a16="http://schemas.microsoft.com/office/drawing/2014/main" id="{502DABED-E221-4D41-A2A6-479AD0B20F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121920</xdr:colOff>
      <xdr:row>6</xdr:row>
      <xdr:rowOff>22861</xdr:rowOff>
    </xdr:from>
    <xdr:to>
      <xdr:col>23</xdr:col>
      <xdr:colOff>121920</xdr:colOff>
      <xdr:row>12</xdr:row>
      <xdr:rowOff>83821</xdr:rowOff>
    </xdr:to>
    <mc:AlternateContent xmlns:mc="http://schemas.openxmlformats.org/markup-compatibility/2006" xmlns:a14="http://schemas.microsoft.com/office/drawing/2010/main">
      <mc:Choice Requires="a14">
        <xdr:graphicFrame macro="">
          <xdr:nvGraphicFramePr>
            <xdr:cNvPr id="27" name="BusinessTravel">
              <a:extLst>
                <a:ext uri="{FF2B5EF4-FFF2-40B4-BE49-F238E27FC236}">
                  <a16:creationId xmlns:a16="http://schemas.microsoft.com/office/drawing/2014/main" id="{68137ED0-9B3F-1537-F08E-38D08C46283C}"/>
                </a:ext>
              </a:extLst>
            </xdr:cNvPr>
            <xdr:cNvGraphicFramePr/>
          </xdr:nvGraphicFramePr>
          <xdr:xfrm>
            <a:off x="0" y="0"/>
            <a:ext cx="0" cy="0"/>
          </xdr:xfrm>
          <a:graphic>
            <a:graphicData uri="http://schemas.microsoft.com/office/drawing/2010/slicer">
              <sle:slicer xmlns:sle="http://schemas.microsoft.com/office/drawing/2010/slicer" name="BusinessTravel"/>
            </a:graphicData>
          </a:graphic>
        </xdr:graphicFrame>
      </mc:Choice>
      <mc:Fallback xmlns="">
        <xdr:sp macro="" textlink="">
          <xdr:nvSpPr>
            <xdr:cNvPr id="0" name=""/>
            <xdr:cNvSpPr>
              <a:spLocks noTextEdit="1"/>
            </xdr:cNvSpPr>
          </xdr:nvSpPr>
          <xdr:spPr>
            <a:xfrm>
              <a:off x="12313920" y="1120141"/>
              <a:ext cx="1828800" cy="11582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228980</xdr:colOff>
      <xdr:row>14</xdr:row>
      <xdr:rowOff>166271</xdr:rowOff>
    </xdr:from>
    <xdr:to>
      <xdr:col>10</xdr:col>
      <xdr:colOff>279009</xdr:colOff>
      <xdr:row>22</xdr:row>
      <xdr:rowOff>117425</xdr:rowOff>
    </xdr:to>
    <xdr:graphicFrame macro="">
      <xdr:nvGraphicFramePr>
        <xdr:cNvPr id="9" name="Chart 8">
          <a:extLst>
            <a:ext uri="{FF2B5EF4-FFF2-40B4-BE49-F238E27FC236}">
              <a16:creationId xmlns:a16="http://schemas.microsoft.com/office/drawing/2014/main" id="{A32660A7-6076-410E-A8FE-9DF2E5FA52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115532</xdr:colOff>
      <xdr:row>15</xdr:row>
      <xdr:rowOff>182684</xdr:rowOff>
    </xdr:from>
    <xdr:to>
      <xdr:col>20</xdr:col>
      <xdr:colOff>69351</xdr:colOff>
      <xdr:row>22</xdr:row>
      <xdr:rowOff>129693</xdr:rowOff>
    </xdr:to>
    <xdr:graphicFrame macro="">
      <xdr:nvGraphicFramePr>
        <xdr:cNvPr id="11" name="Chart 10">
          <a:extLst>
            <a:ext uri="{FF2B5EF4-FFF2-40B4-BE49-F238E27FC236}">
              <a16:creationId xmlns:a16="http://schemas.microsoft.com/office/drawing/2014/main" id="{BAE48E1D-C87D-4C4C-9F3F-76A71DF92E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14</xdr:row>
      <xdr:rowOff>168409</xdr:rowOff>
    </xdr:from>
    <xdr:to>
      <xdr:col>4</xdr:col>
      <xdr:colOff>180607</xdr:colOff>
      <xdr:row>22</xdr:row>
      <xdr:rowOff>129924</xdr:rowOff>
    </xdr:to>
    <xdr:graphicFrame macro="">
      <xdr:nvGraphicFramePr>
        <xdr:cNvPr id="14" name="Chart 13">
          <a:extLst>
            <a:ext uri="{FF2B5EF4-FFF2-40B4-BE49-F238E27FC236}">
              <a16:creationId xmlns:a16="http://schemas.microsoft.com/office/drawing/2014/main" id="{3DD27365-A71D-4270-8F71-E2A707FA0A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244230</xdr:colOff>
      <xdr:row>7</xdr:row>
      <xdr:rowOff>175847</xdr:rowOff>
    </xdr:from>
    <xdr:to>
      <xdr:col>10</xdr:col>
      <xdr:colOff>293077</xdr:colOff>
      <xdr:row>14</xdr:row>
      <xdr:rowOff>144781</xdr:rowOff>
    </xdr:to>
    <xdr:graphicFrame macro="">
      <xdr:nvGraphicFramePr>
        <xdr:cNvPr id="3" name="Chart 2">
          <a:extLst>
            <a:ext uri="{FF2B5EF4-FFF2-40B4-BE49-F238E27FC236}">
              <a16:creationId xmlns:a16="http://schemas.microsoft.com/office/drawing/2014/main" id="{1075061E-3166-485C-B90A-10180EC28C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339774</xdr:colOff>
      <xdr:row>16</xdr:row>
      <xdr:rowOff>13872</xdr:rowOff>
    </xdr:from>
    <xdr:to>
      <xdr:col>16</xdr:col>
      <xdr:colOff>85774</xdr:colOff>
      <xdr:row>22</xdr:row>
      <xdr:rowOff>122152</xdr:rowOff>
    </xdr:to>
    <xdr:graphicFrame macro="">
      <xdr:nvGraphicFramePr>
        <xdr:cNvPr id="8" name="Chart 7">
          <a:extLst>
            <a:ext uri="{FF2B5EF4-FFF2-40B4-BE49-F238E27FC236}">
              <a16:creationId xmlns:a16="http://schemas.microsoft.com/office/drawing/2014/main" id="{3AC3C386-42E0-4C7E-B546-01C192CA8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9312</xdr:colOff>
      <xdr:row>22</xdr:row>
      <xdr:rowOff>152246</xdr:rowOff>
    </xdr:from>
    <xdr:to>
      <xdr:col>6</xdr:col>
      <xdr:colOff>284787</xdr:colOff>
      <xdr:row>30</xdr:row>
      <xdr:rowOff>145473</xdr:rowOff>
    </xdr:to>
    <xdr:graphicFrame macro="">
      <xdr:nvGraphicFramePr>
        <xdr:cNvPr id="18" name="Chart 17">
          <a:extLst>
            <a:ext uri="{FF2B5EF4-FFF2-40B4-BE49-F238E27FC236}">
              <a16:creationId xmlns:a16="http://schemas.microsoft.com/office/drawing/2014/main" id="{1F21E3C6-6B5F-43BF-9374-E49891F611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298115</xdr:colOff>
      <xdr:row>22</xdr:row>
      <xdr:rowOff>157161</xdr:rowOff>
    </xdr:from>
    <xdr:to>
      <xdr:col>13</xdr:col>
      <xdr:colOff>307429</xdr:colOff>
      <xdr:row>31</xdr:row>
      <xdr:rowOff>12767</xdr:rowOff>
    </xdr:to>
    <xdr:graphicFrame macro="">
      <xdr:nvGraphicFramePr>
        <xdr:cNvPr id="21" name="Chart 20">
          <a:extLst>
            <a:ext uri="{FF2B5EF4-FFF2-40B4-BE49-F238E27FC236}">
              <a16:creationId xmlns:a16="http://schemas.microsoft.com/office/drawing/2014/main" id="{D18F3869-C753-4BF3-B806-6C87C866F8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357163</xdr:colOff>
      <xdr:row>22</xdr:row>
      <xdr:rowOff>155242</xdr:rowOff>
    </xdr:from>
    <xdr:to>
      <xdr:col>20</xdr:col>
      <xdr:colOff>103163</xdr:colOff>
      <xdr:row>30</xdr:row>
      <xdr:rowOff>155242</xdr:rowOff>
    </xdr:to>
    <xdr:graphicFrame macro="">
      <xdr:nvGraphicFramePr>
        <xdr:cNvPr id="28" name="Chart 27">
          <a:extLst>
            <a:ext uri="{FF2B5EF4-FFF2-40B4-BE49-F238E27FC236}">
              <a16:creationId xmlns:a16="http://schemas.microsoft.com/office/drawing/2014/main" id="{71FF1B9A-6B3F-45DC-8E28-535EAD95BF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10</xdr:col>
      <xdr:colOff>351693</xdr:colOff>
      <xdr:row>7</xdr:row>
      <xdr:rowOff>134102</xdr:rowOff>
    </xdr:from>
    <xdr:to>
      <xdr:col>20</xdr:col>
      <xdr:colOff>48847</xdr:colOff>
      <xdr:row>15</xdr:row>
      <xdr:rowOff>160020</xdr:rowOff>
    </xdr:to>
    <xdr:graphicFrame macro="">
      <xdr:nvGraphicFramePr>
        <xdr:cNvPr id="29" name="Chart 28">
          <a:extLst>
            <a:ext uri="{FF2B5EF4-FFF2-40B4-BE49-F238E27FC236}">
              <a16:creationId xmlns:a16="http://schemas.microsoft.com/office/drawing/2014/main" id="{ABA7E453-DAE3-4562-9E49-D716BFF92C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15241</xdr:colOff>
      <xdr:row>31</xdr:row>
      <xdr:rowOff>63193</xdr:rowOff>
    </xdr:from>
    <xdr:to>
      <xdr:col>4</xdr:col>
      <xdr:colOff>251098</xdr:colOff>
      <xdr:row>33</xdr:row>
      <xdr:rowOff>131299</xdr:rowOff>
    </xdr:to>
    <xdr:sp macro="" textlink="">
      <xdr:nvSpPr>
        <xdr:cNvPr id="30" name="Rectangle: Rounded Corners 29">
          <a:extLst>
            <a:ext uri="{FF2B5EF4-FFF2-40B4-BE49-F238E27FC236}">
              <a16:creationId xmlns:a16="http://schemas.microsoft.com/office/drawing/2014/main" id="{0374A264-FF38-8EBD-6197-B60081A858E4}"/>
            </a:ext>
          </a:extLst>
        </xdr:cNvPr>
        <xdr:cNvSpPr/>
      </xdr:nvSpPr>
      <xdr:spPr>
        <a:xfrm>
          <a:off x="15241" y="5732473"/>
          <a:ext cx="2674257" cy="433866"/>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a:t>🔎 </a:t>
          </a:r>
          <a:r>
            <a:rPr lang="en-IN" b="1"/>
            <a:t>Sales Representatives:</a:t>
          </a:r>
          <a:r>
            <a:rPr lang="en-IN"/>
            <a:t> 39.8% attrition</a:t>
          </a:r>
          <a:endParaRPr lang="en-IN" sz="1100"/>
        </a:p>
      </xdr:txBody>
    </xdr:sp>
    <xdr:clientData/>
  </xdr:twoCellAnchor>
  <xdr:twoCellAnchor>
    <xdr:from>
      <xdr:col>4</xdr:col>
      <xdr:colOff>299358</xdr:colOff>
      <xdr:row>31</xdr:row>
      <xdr:rowOff>87923</xdr:rowOff>
    </xdr:from>
    <xdr:to>
      <xdr:col>9</xdr:col>
      <xdr:colOff>181429</xdr:colOff>
      <xdr:row>33</xdr:row>
      <xdr:rowOff>139700</xdr:rowOff>
    </xdr:to>
    <xdr:sp macro="" textlink="">
      <xdr:nvSpPr>
        <xdr:cNvPr id="32" name="Rectangle: Rounded Corners 31">
          <a:extLst>
            <a:ext uri="{FF2B5EF4-FFF2-40B4-BE49-F238E27FC236}">
              <a16:creationId xmlns:a16="http://schemas.microsoft.com/office/drawing/2014/main" id="{3E0CECB0-7A3E-49CD-8F87-6AC6E5DFE50D}"/>
            </a:ext>
          </a:extLst>
        </xdr:cNvPr>
        <xdr:cNvSpPr/>
      </xdr:nvSpPr>
      <xdr:spPr>
        <a:xfrm>
          <a:off x="2737758" y="5757203"/>
          <a:ext cx="2930071" cy="417537"/>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a:t>🔎 </a:t>
          </a:r>
          <a:r>
            <a:rPr lang="en-IN" b="1"/>
            <a:t>Young Employees (18–20):</a:t>
          </a:r>
          <a:r>
            <a:rPr lang="en-IN"/>
            <a:t> 35.8% attrition</a:t>
          </a:r>
          <a:br>
            <a:rPr lang="en-IN"/>
          </a:br>
          <a:endParaRPr lang="en-IN" sz="1100"/>
        </a:p>
      </xdr:txBody>
    </xdr:sp>
    <xdr:clientData/>
  </xdr:twoCellAnchor>
  <xdr:twoCellAnchor>
    <xdr:from>
      <xdr:col>9</xdr:col>
      <xdr:colOff>220614</xdr:colOff>
      <xdr:row>31</xdr:row>
      <xdr:rowOff>80303</xdr:rowOff>
    </xdr:from>
    <xdr:to>
      <xdr:col>14</xdr:col>
      <xdr:colOff>447402</xdr:colOff>
      <xdr:row>33</xdr:row>
      <xdr:rowOff>141152</xdr:rowOff>
    </xdr:to>
    <xdr:sp macro="" textlink="">
      <xdr:nvSpPr>
        <xdr:cNvPr id="34" name="Rectangle: Rounded Corners 33">
          <a:extLst>
            <a:ext uri="{FF2B5EF4-FFF2-40B4-BE49-F238E27FC236}">
              <a16:creationId xmlns:a16="http://schemas.microsoft.com/office/drawing/2014/main" id="{0748F24A-2EE9-4C79-B426-1170972A5086}"/>
            </a:ext>
          </a:extLst>
        </xdr:cNvPr>
        <xdr:cNvSpPr/>
      </xdr:nvSpPr>
      <xdr:spPr>
        <a:xfrm>
          <a:off x="5707014" y="5749583"/>
          <a:ext cx="3274788" cy="426609"/>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a:t>🔎 </a:t>
          </a:r>
          <a:r>
            <a:rPr lang="en-IN" b="1"/>
            <a:t>Low Work-Life Balance (Level 1):</a:t>
          </a:r>
          <a:r>
            <a:rPr lang="en-IN"/>
            <a:t> 31.1% attrition</a:t>
          </a:r>
          <a:br>
            <a:rPr lang="en-IN"/>
          </a:br>
          <a:endParaRPr lang="en-IN" sz="1100"/>
        </a:p>
      </xdr:txBody>
    </xdr:sp>
    <xdr:clientData/>
  </xdr:twoCellAnchor>
  <xdr:twoCellAnchor>
    <xdr:from>
      <xdr:col>14</xdr:col>
      <xdr:colOff>489854</xdr:colOff>
      <xdr:row>31</xdr:row>
      <xdr:rowOff>69166</xdr:rowOff>
    </xdr:from>
    <xdr:to>
      <xdr:col>19</xdr:col>
      <xdr:colOff>72570</xdr:colOff>
      <xdr:row>33</xdr:row>
      <xdr:rowOff>148773</xdr:rowOff>
    </xdr:to>
    <xdr:sp macro="" textlink="">
      <xdr:nvSpPr>
        <xdr:cNvPr id="35" name="Rectangle: Rounded Corners 34">
          <a:extLst>
            <a:ext uri="{FF2B5EF4-FFF2-40B4-BE49-F238E27FC236}">
              <a16:creationId xmlns:a16="http://schemas.microsoft.com/office/drawing/2014/main" id="{DBCDFC16-01F1-4C2B-8888-8054CA4EA198}"/>
            </a:ext>
          </a:extLst>
        </xdr:cNvPr>
        <xdr:cNvSpPr/>
      </xdr:nvSpPr>
      <xdr:spPr>
        <a:xfrm>
          <a:off x="9024254" y="5738446"/>
          <a:ext cx="2630716" cy="445367"/>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a:t>🔎 </a:t>
          </a:r>
          <a:r>
            <a:rPr lang="en-IN" b="1"/>
            <a:t>Overtime Employees:</a:t>
          </a:r>
          <a:r>
            <a:rPr lang="en-IN"/>
            <a:t> 30.5% attrition</a:t>
          </a:r>
          <a:br>
            <a:rPr lang="en-IN"/>
          </a:br>
          <a:endParaRPr lang="en-IN" sz="1100"/>
        </a:p>
      </xdr:txBody>
    </xdr:sp>
    <xdr:clientData/>
  </xdr:twoCellAnchor>
  <xdr:twoCellAnchor>
    <xdr:from>
      <xdr:col>19</xdr:col>
      <xdr:colOff>101237</xdr:colOff>
      <xdr:row>31</xdr:row>
      <xdr:rowOff>72682</xdr:rowOff>
    </xdr:from>
    <xdr:to>
      <xdr:col>23</xdr:col>
      <xdr:colOff>591095</xdr:colOff>
      <xdr:row>33</xdr:row>
      <xdr:rowOff>142602</xdr:rowOff>
    </xdr:to>
    <xdr:sp macro="" textlink="">
      <xdr:nvSpPr>
        <xdr:cNvPr id="36" name="Rectangle: Rounded Corners 35">
          <a:extLst>
            <a:ext uri="{FF2B5EF4-FFF2-40B4-BE49-F238E27FC236}">
              <a16:creationId xmlns:a16="http://schemas.microsoft.com/office/drawing/2014/main" id="{3826B33F-1CA8-42FC-9D68-C6C08BBA4F19}"/>
            </a:ext>
          </a:extLst>
        </xdr:cNvPr>
        <xdr:cNvSpPr/>
      </xdr:nvSpPr>
      <xdr:spPr>
        <a:xfrm>
          <a:off x="11683637" y="5741962"/>
          <a:ext cx="2928258" cy="435680"/>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a:t>🔎 </a:t>
          </a:r>
          <a:r>
            <a:rPr lang="en-IN" b="1"/>
            <a:t>Travel_Rarely Employees:</a:t>
          </a:r>
          <a:r>
            <a:rPr lang="en-IN"/>
            <a:t> 27.2% attrition</a:t>
          </a:r>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dya" refreshedDate="46243.822684027778" createdVersion="8" refreshedVersion="8" minRefreshableVersion="3" recordCount="1470" xr:uid="{92714625-4A71-46E9-B676-71ECC8D27E28}">
  <cacheSource type="worksheet">
    <worksheetSource name="HR_Employee_Attrition"/>
  </cacheSource>
  <cacheFields count="39">
    <cacheField name="Age" numFmtId="0">
      <sharedItems containsSemiMixedTypes="0" containsString="0" containsNumber="1" containsInteger="1" minValue="18" maxValue="60" count="43">
        <n v="41"/>
        <n v="49"/>
        <n v="37"/>
        <n v="33"/>
        <n v="27"/>
        <n v="32"/>
        <n v="59"/>
        <n v="30"/>
        <n v="38"/>
        <n v="36"/>
        <n v="35"/>
        <n v="29"/>
        <n v="31"/>
        <n v="34"/>
        <n v="28"/>
        <n v="22"/>
        <n v="53"/>
        <n v="24"/>
        <n v="21"/>
        <n v="42"/>
        <n v="44"/>
        <n v="46"/>
        <n v="39"/>
        <n v="43"/>
        <n v="50"/>
        <n v="26"/>
        <n v="48"/>
        <n v="55"/>
        <n v="45"/>
        <n v="56"/>
        <n v="23"/>
        <n v="51"/>
        <n v="40"/>
        <n v="54"/>
        <n v="58"/>
        <n v="20"/>
        <n v="25"/>
        <n v="19"/>
        <n v="57"/>
        <n v="52"/>
        <n v="47"/>
        <n v="18"/>
        <n v="60"/>
      </sharedItems>
    </cacheField>
    <cacheField name="Attrition" numFmtId="0">
      <sharedItems count="2">
        <s v="Yes"/>
        <s v="No"/>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6">
        <s v="Sales"/>
        <s v="Research &amp; Development"/>
        <s v="Human Resources"/>
        <s v="R&amp;D" u="1"/>
        <s v="HR" u="1"/>
        <s v="R &amp; D" u="1"/>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ount="5">
        <n v="2"/>
        <n v="1"/>
        <n v="4"/>
        <n v="3"/>
        <n v="5"/>
      </sharedItems>
    </cacheField>
    <cacheField name="EducationField" numFmtId="0">
      <sharedItems count="7">
        <s v="Life Sciences"/>
        <s v="Other"/>
        <s v="Medical"/>
        <s v="Marketing"/>
        <s v="Technical Degree"/>
        <s v="Human Resources"/>
        <s v="HR" u="1"/>
      </sharedItems>
    </cacheField>
    <cacheField name="EmployeeCount" numFmtId="0">
      <sharedItems containsSemiMixedTypes="0" containsString="0" containsNumber="1" containsInteger="1" minValue="1" maxValue="1" count="1">
        <n v="1"/>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ount="4">
        <n v="2"/>
        <n v="3"/>
        <n v="4"/>
        <n v="1"/>
      </sharedItems>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ount="5">
        <n v="2"/>
        <n v="1"/>
        <n v="3"/>
        <n v="4"/>
        <n v="5"/>
      </sharedItems>
    </cacheField>
    <cacheField name="JobRole" numFmtId="0">
      <sharedItems count="10">
        <s v="Sales Executive"/>
        <s v="Research Scientist"/>
        <s v="Laboratory Technician"/>
        <s v="Manufacturing Director"/>
        <s v="Healthcare Representative"/>
        <s v="Manager"/>
        <s v="Sales Representative"/>
        <s v="Research Director"/>
        <s v="Human Resources"/>
        <s v="HR" u="1"/>
      </sharedItems>
    </cacheField>
    <cacheField name="JobSatisfaction" numFmtId="0">
      <sharedItems containsSemiMixedTypes="0" containsString="0" containsNumber="1" containsInteger="1" minValue="1" maxValue="4" count="4">
        <n v="4"/>
        <n v="2"/>
        <n v="3"/>
        <n v="1"/>
      </sharedItems>
    </cacheField>
    <cacheField name="MaritalStatus" numFmtId="0">
      <sharedItems count="3">
        <s v="Single"/>
        <s v="Married"/>
        <s v="Divorced"/>
      </sharedItems>
    </cacheField>
    <cacheField name="MonthlyIncome" numFmtId="0">
      <sharedItems containsSemiMixedTypes="0" containsString="0" containsNumber="1" containsInteger="1" minValue="1009" maxValue="19999" count="1349">
        <n v="5993"/>
        <n v="5130"/>
        <n v="2090"/>
        <n v="2909"/>
        <n v="3468"/>
        <n v="3068"/>
        <n v="2670"/>
        <n v="2693"/>
        <n v="9526"/>
        <n v="5237"/>
        <n v="2426"/>
        <n v="4193"/>
        <n v="2911"/>
        <n v="2661"/>
        <n v="2028"/>
        <n v="9980"/>
        <n v="3298"/>
        <n v="2935"/>
        <n v="15427"/>
        <n v="3944"/>
        <n v="4011"/>
        <n v="3407"/>
        <n v="11994"/>
        <n v="1232"/>
        <n v="2960"/>
        <n v="19094"/>
        <n v="3919"/>
        <n v="6825"/>
        <n v="10248"/>
        <n v="18947"/>
        <n v="2496"/>
        <n v="6465"/>
        <n v="2206"/>
        <n v="2086"/>
        <n v="2293"/>
        <n v="2645"/>
        <n v="2683"/>
        <n v="2014"/>
        <n v="3419"/>
        <n v="5376"/>
        <n v="1951"/>
        <n v="2341"/>
        <n v="8726"/>
        <n v="19545"/>
        <n v="4568"/>
        <n v="3022"/>
        <n v="5772"/>
        <n v="2269"/>
        <n v="5381"/>
        <n v="3441"/>
        <n v="5454"/>
        <n v="9884"/>
        <n v="4157"/>
        <n v="13458"/>
        <n v="9069"/>
        <n v="4014"/>
        <n v="5915"/>
        <n v="6162"/>
        <n v="2406"/>
        <n v="18740"/>
        <n v="7637"/>
        <n v="10096"/>
        <n v="14756"/>
        <n v="6499"/>
        <n v="9724"/>
        <n v="2194"/>
        <n v="3388"/>
        <n v="5473"/>
        <n v="2703"/>
        <n v="2501"/>
        <n v="6220"/>
        <n v="3038"/>
        <n v="4424"/>
        <n v="4312"/>
        <n v="13245"/>
        <n v="13664"/>
        <n v="5021"/>
        <n v="5126"/>
        <n v="2859"/>
        <n v="10239"/>
        <n v="5329"/>
        <n v="4325"/>
        <n v="7260"/>
        <n v="2322"/>
        <n v="2075"/>
        <n v="4152"/>
        <n v="9619"/>
        <n v="13503"/>
        <n v="5441"/>
        <n v="5209"/>
        <n v="10673"/>
        <n v="5010"/>
        <n v="13549"/>
        <n v="4999"/>
        <n v="4221"/>
        <n v="13872"/>
        <n v="2042"/>
        <n v="2073"/>
        <n v="2956"/>
        <n v="2926"/>
        <n v="4809"/>
        <n v="5163"/>
        <n v="18844"/>
        <n v="18172"/>
        <n v="5744"/>
        <n v="2889"/>
        <n v="2871"/>
        <n v="7484"/>
        <n v="6074"/>
        <n v="17328"/>
        <n v="2774"/>
        <n v="4505"/>
        <n v="7428"/>
        <n v="11631"/>
        <n v="9738"/>
        <n v="2835"/>
        <n v="16959"/>
        <n v="2613"/>
        <n v="6146"/>
        <n v="4963"/>
        <n v="19537"/>
        <n v="6172"/>
        <n v="2368"/>
        <n v="10312"/>
        <n v="1675"/>
        <n v="2523"/>
        <n v="6567"/>
        <n v="4739"/>
        <n v="9208"/>
        <n v="4559"/>
        <n v="8189"/>
        <n v="2942"/>
        <n v="4941"/>
        <n v="10650"/>
        <n v="5902"/>
        <n v="8639"/>
        <n v="6347"/>
        <n v="4200"/>
        <n v="3452"/>
        <n v="4317"/>
        <n v="2632"/>
        <n v="4668"/>
        <n v="3204"/>
        <n v="2720"/>
        <n v="17181"/>
        <n v="2238"/>
        <n v="1483"/>
        <n v="5605"/>
        <n v="7295"/>
        <n v="2306"/>
        <n v="2348"/>
        <n v="8998"/>
        <n v="4319"/>
        <n v="6132"/>
        <n v="3346"/>
        <n v="10855"/>
        <n v="2231"/>
        <n v="2323"/>
        <n v="2024"/>
        <n v="2713"/>
        <n v="9439"/>
        <n v="2566"/>
        <n v="19926"/>
        <n v="2451"/>
        <n v="9419"/>
        <n v="8686"/>
        <n v="3058"/>
        <n v="2325"/>
        <n v="2088"/>
        <n v="3072"/>
        <n v="5006"/>
        <n v="4257"/>
        <n v="2500"/>
        <n v="1102"/>
        <n v="10453"/>
        <n v="2288"/>
        <n v="3929"/>
        <n v="2311"/>
        <n v="3140"/>
        <n v="3690"/>
        <n v="4450"/>
        <n v="2756"/>
        <n v="19033"/>
        <n v="18722"/>
        <n v="9547"/>
        <n v="13734"/>
        <n v="19999"/>
        <n v="2279"/>
        <n v="5916"/>
        <n v="2089"/>
        <n v="16792"/>
        <n v="3564"/>
        <n v="4425"/>
        <n v="5265"/>
        <n v="6553"/>
        <n v="6261"/>
        <n v="4298"/>
        <n v="6804"/>
        <n v="3815"/>
        <n v="2741"/>
        <n v="6673"/>
        <n v="7639"/>
        <n v="2328"/>
        <n v="2153"/>
        <n v="4876"/>
        <n v="9396"/>
        <n v="10400"/>
        <n v="8474"/>
        <n v="9981"/>
        <n v="12490"/>
        <n v="2657"/>
        <n v="13591"/>
        <n v="6696"/>
        <n v="2058"/>
        <n v="8865"/>
        <n v="5940"/>
        <n v="5914"/>
        <n v="2622"/>
        <n v="12185"/>
        <n v="10609"/>
        <n v="4345"/>
        <n v="2177"/>
        <n v="2793"/>
        <n v="7918"/>
        <n v="8789"/>
        <n v="2389"/>
        <n v="3212"/>
        <n v="19232"/>
        <n v="2267"/>
        <n v="19517"/>
        <n v="2436"/>
        <n v="16064"/>
        <n v="2707"/>
        <n v="19068"/>
        <n v="3931"/>
        <n v="3730"/>
        <n v="2232"/>
        <n v="4465"/>
        <n v="3319"/>
        <n v="19202"/>
        <n v="13675"/>
        <n v="5957"/>
        <n v="3920"/>
        <n v="6434"/>
        <n v="10048"/>
        <n v="10938"/>
        <n v="2340"/>
        <n v="6545"/>
        <n v="6931"/>
        <n v="4898"/>
        <n v="2593"/>
        <n v="19436"/>
        <n v="2723"/>
        <n v="3479"/>
        <n v="2794"/>
        <n v="5249"/>
        <n v="2176"/>
        <n v="16872"/>
        <n v="3485"/>
        <n v="6644"/>
        <n v="5582"/>
        <n v="4000"/>
        <n v="13496"/>
        <n v="3210"/>
        <n v="19045"/>
        <n v="11849"/>
        <n v="2070"/>
        <n v="6502"/>
        <n v="3230"/>
        <n v="13603"/>
        <n v="11996"/>
        <n v="6397"/>
        <n v="19144"/>
        <n v="17584"/>
        <n v="4907"/>
        <n v="4554"/>
        <n v="5415"/>
        <n v="4741"/>
        <n v="2115"/>
        <n v="3161"/>
        <n v="5745"/>
        <n v="2373"/>
        <n v="3310"/>
        <n v="18665"/>
        <n v="4485"/>
        <n v="2789"/>
        <n v="5828"/>
        <n v="2326"/>
        <n v="13525"/>
        <n v="1420"/>
        <n v="8020"/>
        <n v="3688"/>
        <n v="5482"/>
        <n v="16015"/>
        <n v="1200"/>
        <n v="5661"/>
        <n v="6929"/>
        <n v="9613"/>
        <n v="5674"/>
        <n v="5484"/>
        <n v="12061"/>
        <n v="5660"/>
        <n v="4821"/>
        <n v="6410"/>
        <n v="5210"/>
        <n v="2695"/>
        <n v="11878"/>
        <n v="17068"/>
        <n v="2455"/>
        <n v="13964"/>
        <n v="2478"/>
        <n v="5228"/>
        <n v="4478"/>
        <n v="7547"/>
        <n v="5055"/>
        <n v="3464"/>
        <n v="5775"/>
        <n v="8943"/>
        <n v="19272"/>
        <n v="5238"/>
        <n v="4682"/>
        <n v="18300"/>
        <n v="5257"/>
        <n v="6349"/>
        <n v="4869"/>
        <n v="9985"/>
        <n v="3697"/>
        <n v="7457"/>
        <n v="2119"/>
        <n v="3983"/>
        <n v="6118"/>
        <n v="6214"/>
        <n v="11510"/>
        <n v="7143"/>
        <n v="8268"/>
        <n v="8095"/>
        <n v="2904"/>
        <n v="6032"/>
        <n v="2976"/>
        <n v="15992"/>
        <n v="4649"/>
        <n v="2696"/>
        <n v="2370"/>
        <n v="12504"/>
        <n v="5974"/>
        <n v="4736"/>
        <n v="5296"/>
        <n v="6781"/>
        <n v="2174"/>
        <n v="6653"/>
        <n v="9699"/>
        <n v="6755"/>
        <n v="2213"/>
        <n v="2610"/>
        <n v="2851"/>
        <n v="5258"/>
        <n v="9355"/>
        <n v="10496"/>
        <n v="6380"/>
        <n v="2716"/>
        <n v="2201"/>
        <n v="6540"/>
        <n v="3816"/>
        <n v="5253"/>
        <n v="10965"/>
        <n v="4936"/>
        <n v="2543"/>
        <n v="5304"/>
        <n v="16659"/>
        <n v="4260"/>
        <n v="2476"/>
        <n v="3102"/>
        <n v="2244"/>
        <n v="7596"/>
        <n v="2285"/>
        <n v="3034"/>
        <n v="5715"/>
        <n v="2576"/>
        <n v="4197"/>
        <n v="14336"/>
        <n v="3448"/>
        <n v="19406"/>
        <n v="6538"/>
        <n v="4306"/>
        <n v="2258"/>
        <n v="4522"/>
        <n v="4487"/>
        <n v="4449"/>
        <n v="2218"/>
        <n v="19197"/>
        <n v="13212"/>
        <n v="6577"/>
        <n v="8392"/>
        <n v="4558"/>
        <n v="4031"/>
        <n v="7969"/>
        <n v="2654"/>
        <n v="16555"/>
        <n v="4556"/>
        <n v="6091"/>
        <n v="19566"/>
        <n v="4810"/>
        <n v="4523"/>
        <n v="3202"/>
        <n v="2351"/>
        <n v="1702"/>
        <n v="18041"/>
        <n v="2886"/>
        <n v="2097"/>
        <n v="11935"/>
        <n v="2546"/>
        <n v="2564"/>
        <n v="8412"/>
        <n v="14118"/>
        <n v="17046"/>
        <n v="10266"/>
        <n v="5070"/>
        <n v="17861"/>
        <n v="4230"/>
        <n v="3780"/>
        <n v="2768"/>
        <n v="9071"/>
        <n v="10648"/>
        <n v="13610"/>
        <n v="3408"/>
        <n v="2983"/>
        <n v="7632"/>
        <n v="9824"/>
        <n v="9950"/>
        <n v="2093"/>
        <n v="3894"/>
        <n v="4051"/>
        <n v="16835"/>
        <n v="6230"/>
        <n v="4717"/>
        <n v="13237"/>
        <n v="3755"/>
        <n v="6582"/>
        <n v="7406"/>
        <n v="4805"/>
        <n v="4262"/>
        <n v="16184"/>
        <n v="11557"/>
        <n v="1878"/>
        <n v="10932"/>
        <n v="6811"/>
        <n v="4859"/>
        <n v="5337"/>
        <n v="7491"/>
        <n v="10527"/>
        <n v="16595"/>
        <n v="8834"/>
        <n v="5577"/>
        <n v="4707"/>
        <n v="2400"/>
        <n v="6447"/>
        <n v="19502"/>
        <n v="2725"/>
        <n v="6272"/>
        <n v="2127"/>
        <n v="18200"/>
        <n v="2096"/>
        <n v="2033"/>
        <n v="3622"/>
        <n v="4233"/>
        <n v="3681"/>
        <n v="5460"/>
        <n v="2187"/>
        <n v="9602"/>
        <n v="2836"/>
        <n v="4089"/>
        <n v="16627"/>
        <n v="2619"/>
        <n v="5679"/>
        <n v="15402"/>
        <n v="5985"/>
        <n v="2579"/>
        <n v="3041"/>
        <n v="3447"/>
        <n v="19513"/>
        <n v="2773"/>
        <n v="7104"/>
        <n v="6322"/>
        <n v="2083"/>
        <n v="8381"/>
        <n v="2691"/>
        <n v="4286"/>
        <n v="2659"/>
        <n v="9434"/>
        <n v="5561"/>
        <n v="6646"/>
        <n v="7725"/>
        <n v="10725"/>
        <n v="8847"/>
        <n v="2045"/>
        <n v="1009"/>
        <n v="3348"/>
        <n v="1281"/>
        <n v="2819"/>
        <n v="4851"/>
        <n v="4028"/>
        <n v="8120"/>
        <n v="4647"/>
        <n v="4680"/>
        <n v="3221"/>
        <n v="8621"/>
        <n v="4577"/>
        <n v="4553"/>
        <n v="5396"/>
        <n v="6796"/>
        <n v="7625"/>
        <n v="7412"/>
        <n v="11159"/>
        <n v="4960"/>
        <n v="10475"/>
        <n v="14814"/>
        <n v="19141"/>
        <n v="5405"/>
        <n v="8793"/>
        <n v="19189"/>
        <n v="3875"/>
        <n v="2216"/>
        <n v="11713"/>
        <n v="7861"/>
        <n v="3708"/>
        <n v="13770"/>
        <n v="2642"/>
        <n v="2759"/>
        <n v="6142"/>
        <n v="6389"/>
        <n v="11103"/>
        <n v="2342"/>
        <n v="2297"/>
        <n v="2450"/>
        <n v="5093"/>
        <n v="5309"/>
        <n v="3057"/>
        <n v="5121"/>
        <n v="16856"/>
        <n v="2686"/>
        <n v="6180"/>
        <n v="6632"/>
        <n v="3505"/>
        <n v="6274"/>
        <n v="19859"/>
        <n v="7587"/>
        <n v="4258"/>
        <n v="4364"/>
        <n v="4335"/>
        <n v="5326"/>
        <n v="3280"/>
        <n v="5485"/>
        <n v="4342"/>
        <n v="2782"/>
        <n v="5980"/>
        <n v="4381"/>
        <n v="2572"/>
        <n v="3833"/>
        <n v="4244"/>
        <n v="6500"/>
        <n v="18430"/>
        <n v="1601"/>
        <n v="2694"/>
        <n v="3149"/>
        <n v="17639"/>
        <n v="2319"/>
        <n v="11691"/>
        <n v="5324"/>
        <n v="16752"/>
        <n v="2700"/>
        <n v="19246"/>
        <n v="2506"/>
        <n v="6062"/>
        <n v="4382"/>
        <n v="2143"/>
        <n v="5094"/>
        <n v="6877"/>
        <n v="2274"/>
        <n v="4434"/>
        <n v="6288"/>
        <n v="2553"/>
        <n v="7654"/>
        <n v="5160"/>
        <n v="17159"/>
        <n v="12808"/>
        <n v="10221"/>
        <n v="4779"/>
        <n v="3737"/>
        <n v="2366"/>
        <n v="1706"/>
        <n v="16307"/>
        <n v="5933"/>
        <n v="3424"/>
        <n v="4037"/>
        <n v="2559"/>
        <n v="6201"/>
        <n v="4403"/>
        <n v="3761"/>
        <n v="10934"/>
        <n v="10761"/>
        <n v="5175"/>
        <n v="13826"/>
        <n v="6334"/>
        <n v="4775"/>
        <n v="2818"/>
        <n v="2515"/>
        <n v="4194"/>
        <n v="10685"/>
        <n v="2022"/>
        <n v="2314"/>
        <n v="4256"/>
        <n v="3580"/>
        <n v="3162"/>
        <n v="6524"/>
        <n v="2899"/>
        <n v="5231"/>
        <n v="2356"/>
        <n v="2800"/>
        <n v="11836"/>
        <n v="10903"/>
        <n v="2973"/>
        <n v="14275"/>
        <n v="5562"/>
        <n v="4537"/>
        <n v="7642"/>
        <n v="17924"/>
        <n v="5204"/>
        <n v="2277"/>
        <n v="2795"/>
        <n v="2532"/>
        <n v="4908"/>
        <n v="2380"/>
        <n v="4765"/>
        <n v="2044"/>
        <n v="6586"/>
        <n v="3294"/>
        <n v="4171"/>
        <n v="2778"/>
        <n v="2377"/>
        <n v="2404"/>
        <n v="2318"/>
        <n v="2008"/>
        <n v="6244"/>
        <n v="2799"/>
        <n v="10552"/>
        <n v="2329"/>
        <n v="7403"/>
        <n v="2259"/>
        <n v="6932"/>
        <n v="4678"/>
        <n v="13582"/>
        <n v="2332"/>
        <n v="2413"/>
        <n v="9705"/>
        <n v="4294"/>
        <n v="4721"/>
        <n v="2519"/>
        <n v="2121"/>
        <n v="5855"/>
        <n v="3617"/>
        <n v="6725"/>
        <n v="10325"/>
        <n v="6949"/>
        <n v="4447"/>
        <n v="2157"/>
        <n v="4601"/>
        <n v="17099"/>
        <n v="2479"/>
        <n v="14852"/>
        <n v="7264"/>
        <n v="5666"/>
        <n v="7823"/>
        <n v="7880"/>
        <n v="13194"/>
        <n v="5067"/>
        <n v="5079"/>
        <n v="2321"/>
        <n v="17444"/>
        <n v="2270"/>
        <n v="17399"/>
        <n v="5488"/>
        <n v="19419"/>
        <n v="2811"/>
        <n v="3633"/>
        <n v="4163"/>
        <n v="2132"/>
        <n v="13973"/>
        <n v="2684"/>
        <n v="10845"/>
        <n v="4377"/>
        <n v="3743"/>
        <n v="4148"/>
        <n v="1051"/>
        <n v="10739"/>
        <n v="10388"/>
        <n v="11416"/>
        <n v="2600"/>
        <n v="2422"/>
        <n v="5472"/>
        <n v="4240"/>
        <n v="10999"/>
        <n v="5003"/>
        <n v="12742"/>
        <n v="4227"/>
        <n v="3917"/>
        <n v="18303"/>
        <n v="13726"/>
        <n v="4777"/>
        <n v="6385"/>
        <n v="19973"/>
        <n v="6861"/>
        <n v="4969"/>
        <n v="19845"/>
        <n v="13320"/>
        <n v="2743"/>
        <n v="10880"/>
        <n v="17650"/>
        <n v="4025"/>
        <n v="9725"/>
        <n v="11904"/>
        <n v="7525"/>
        <n v="4834"/>
        <n v="2220"/>
        <n v="1052"/>
        <n v="2821"/>
        <n v="19237"/>
        <n v="4107"/>
        <n v="8396"/>
        <n v="2007"/>
        <n v="19627"/>
        <n v="10686"/>
        <n v="8858"/>
        <n v="16756"/>
        <n v="10798"/>
        <n v="1416"/>
        <n v="4615"/>
        <n v="2461"/>
        <n v="8722"/>
        <n v="3955"/>
        <n v="9957"/>
        <n v="3376"/>
        <n v="8823"/>
        <n v="10322"/>
        <n v="4621"/>
        <n v="10976"/>
        <n v="3660"/>
        <n v="10482"/>
        <n v="7119"/>
        <n v="9582"/>
        <n v="4508"/>
        <n v="2207"/>
        <n v="7756"/>
        <n v="6694"/>
        <n v="3691"/>
        <n v="2313"/>
        <n v="17665"/>
        <n v="2596"/>
        <n v="4728"/>
        <n v="4302"/>
        <n v="2979"/>
        <n v="16885"/>
        <n v="5593"/>
        <n v="10445"/>
        <n v="8740"/>
        <n v="2514"/>
        <n v="7655"/>
        <n v="17465"/>
        <n v="7351"/>
        <n v="10820"/>
        <n v="12169"/>
        <n v="19626"/>
        <n v="6782"/>
        <n v="7779"/>
        <n v="2791"/>
        <n v="3201"/>
        <n v="4968"/>
        <n v="13120"/>
        <n v="4033"/>
        <n v="3291"/>
        <n v="4272"/>
        <n v="5056"/>
        <n v="2844"/>
        <n v="1904"/>
        <n v="8224"/>
        <n v="4766"/>
        <n v="5731"/>
        <n v="2539"/>
        <n v="5714"/>
        <n v="4323"/>
        <n v="7336"/>
        <n v="13499"/>
        <n v="13758"/>
        <n v="5155"/>
        <n v="3597"/>
        <n v="4420"/>
        <n v="6578"/>
        <n v="4422"/>
        <n v="10274"/>
        <n v="5343"/>
        <n v="2376"/>
        <n v="5346"/>
        <n v="2827"/>
        <n v="19943"/>
        <n v="3131"/>
        <n v="2552"/>
        <n v="4477"/>
        <n v="6474"/>
        <n v="3033"/>
        <n v="2936"/>
        <n v="18606"/>
        <n v="2168"/>
        <n v="2853"/>
        <n v="17048"/>
        <n v="2290"/>
        <n v="3600"/>
        <n v="2107"/>
        <n v="4115"/>
        <n v="4327"/>
        <n v="17856"/>
        <n v="3196"/>
        <n v="19081"/>
        <n v="8966"/>
        <n v="2210"/>
        <n v="4539"/>
        <n v="3491"/>
        <n v="4541"/>
        <n v="2678"/>
        <n v="7379"/>
        <n v="5220"/>
        <n v="4998"/>
        <n v="10252"/>
        <n v="2781"/>
        <n v="6852"/>
        <n v="4950"/>
        <n v="3579"/>
        <n v="13191"/>
        <n v="10377"/>
        <n v="2235"/>
        <n v="10502"/>
        <n v="2011"/>
        <n v="1859"/>
        <n v="3760"/>
        <n v="17779"/>
        <n v="6833"/>
        <n v="6812"/>
        <n v="5171"/>
        <n v="19740"/>
        <n v="18711"/>
        <n v="3692"/>
        <n v="2517"/>
        <n v="6623"/>
        <n v="18265"/>
        <n v="16124"/>
        <n v="2585"/>
        <n v="18213"/>
        <n v="8380"/>
        <n v="2994"/>
        <n v="1223"/>
        <n v="1118"/>
        <n v="2875"/>
        <n v="18824"/>
        <n v="13577"/>
        <n v="2625"/>
        <n v="18789"/>
        <n v="4538"/>
        <n v="19847"/>
        <n v="10512"/>
        <n v="4444"/>
        <n v="2154"/>
        <n v="19190"/>
        <n v="4490"/>
        <n v="3506"/>
        <n v="2372"/>
        <n v="10231"/>
        <n v="5410"/>
        <n v="7978"/>
        <n v="3867"/>
        <n v="2838"/>
        <n v="4695"/>
        <n v="3339"/>
        <n v="2080"/>
        <n v="6209"/>
        <n v="18061"/>
        <n v="17123"/>
        <n v="4883"/>
        <n v="3904"/>
        <n v="4627"/>
        <n v="7094"/>
        <n v="3423"/>
        <n v="6674"/>
        <n v="16880"/>
        <n v="9094"/>
        <n v="8446"/>
        <n v="11916"/>
        <n v="4534"/>
        <n v="9852"/>
        <n v="6151"/>
        <n v="2302"/>
        <n v="2362"/>
        <n v="19187"/>
        <n v="19717"/>
        <n v="3544"/>
        <n v="8500"/>
        <n v="4661"/>
        <n v="4103"/>
        <n v="4249"/>
        <n v="14026"/>
        <n v="6893"/>
        <n v="6125"/>
        <n v="3669"/>
        <n v="10008"/>
        <n v="2387"/>
        <n v="4639"/>
        <n v="7898"/>
        <n v="2534"/>
        <n v="13142"/>
        <n v="1611"/>
        <n v="5363"/>
        <n v="5071"/>
        <n v="13695"/>
        <n v="13402"/>
        <n v="2029"/>
        <n v="6377"/>
        <n v="5429"/>
        <n v="2785"/>
        <n v="4614"/>
        <n v="6687"/>
        <n v="4724"/>
        <n v="6179"/>
        <n v="6120"/>
        <n v="10596"/>
        <n v="5467"/>
        <n v="2996"/>
        <n v="9998"/>
        <n v="4078"/>
        <n v="10920"/>
        <n v="6232"/>
        <n v="13247"/>
        <n v="4081"/>
        <n v="5769"/>
        <n v="2394"/>
        <n v="16799"/>
        <n v="2950"/>
        <n v="3629"/>
        <n v="9362"/>
        <n v="3229"/>
        <n v="3578"/>
        <n v="7988"/>
        <n v="4284"/>
        <n v="7553"/>
        <n v="19701"/>
        <n v="14732"/>
        <n v="9278"/>
        <n v="1359"/>
        <n v="16422"/>
        <n v="1261"/>
        <n v="2099"/>
        <n v="5810"/>
        <n v="5647"/>
        <n v="3420"/>
        <n v="4400"/>
        <n v="3500"/>
        <n v="2066"/>
        <n v="17169"/>
        <n v="4162"/>
        <n v="9204"/>
        <n v="3975"/>
        <n v="10793"/>
        <n v="3646"/>
        <n v="7446"/>
        <n v="10851"/>
        <n v="2109"/>
        <n v="3722"/>
        <n v="9380"/>
        <n v="5486"/>
        <n v="2742"/>
        <n v="13757"/>
        <n v="8463"/>
        <n v="16598"/>
        <n v="6651"/>
        <n v="2345"/>
        <n v="4373"/>
        <n v="4759"/>
        <n v="5301"/>
        <n v="3673"/>
        <n v="4768"/>
        <n v="1274"/>
        <n v="4900"/>
        <n v="10466"/>
        <n v="17007"/>
        <n v="5765"/>
        <n v="4599"/>
        <n v="3172"/>
        <n v="10209"/>
        <n v="8620"/>
        <n v="2064"/>
        <n v="4035"/>
        <n v="3838"/>
        <n v="4591"/>
        <n v="2561"/>
        <n v="1563"/>
        <n v="4789"/>
        <n v="3180"/>
        <n v="6549"/>
        <n v="6388"/>
        <n v="11244"/>
        <n v="16032"/>
        <n v="16328"/>
        <n v="8376"/>
        <n v="16606"/>
        <n v="8606"/>
        <n v="2272"/>
        <n v="2018"/>
        <n v="7083"/>
        <n v="4084"/>
        <n v="14411"/>
        <n v="2308"/>
        <n v="4841"/>
        <n v="4285"/>
        <n v="9715"/>
        <n v="4320"/>
        <n v="10124"/>
        <n v="5207"/>
        <n v="16437"/>
        <n v="2296"/>
        <n v="4069"/>
        <n v="7441"/>
        <n v="2430"/>
        <n v="5878"/>
        <n v="2644"/>
        <n v="6439"/>
        <n v="6392"/>
        <n v="9714"/>
        <n v="6077"/>
        <n v="9250"/>
        <n v="2074"/>
        <n v="10169"/>
        <n v="4855"/>
        <n v="4087"/>
        <n v="2367"/>
        <n v="2972"/>
        <n v="19586"/>
        <n v="2061"/>
        <n v="9924"/>
        <n v="4198"/>
        <n v="6815"/>
        <n v="4723"/>
        <n v="8237"/>
        <n v="8853"/>
        <n v="19331"/>
        <n v="19613"/>
        <n v="5063"/>
        <n v="2690"/>
        <n v="17567"/>
        <n v="2408"/>
        <n v="2814"/>
        <n v="11245"/>
        <n v="3312"/>
        <n v="19049"/>
        <n v="2141"/>
        <n v="4385"/>
        <n v="5332"/>
        <n v="4663"/>
        <n v="3211"/>
        <n v="5377"/>
        <n v="4066"/>
        <n v="5208"/>
        <n v="4877"/>
        <n v="3117"/>
        <n v="1569"/>
        <n v="19658"/>
        <n v="3069"/>
        <n v="10435"/>
        <n v="5768"/>
        <n v="5042"/>
        <n v="5770"/>
        <n v="10306"/>
        <n v="3936"/>
        <n v="7945"/>
        <n v="5743"/>
        <n v="15202"/>
        <n v="5440"/>
        <n v="3517"/>
        <n v="2580"/>
        <n v="2166"/>
        <n v="5869"/>
        <n v="8008"/>
        <n v="5206"/>
        <n v="5295"/>
        <n v="16413"/>
        <n v="13269"/>
        <n v="2783"/>
        <n v="5433"/>
        <n v="2013"/>
        <n v="13966"/>
        <n v="4374"/>
        <n v="6842"/>
        <n v="17426"/>
        <n v="17603"/>
        <n v="4581"/>
        <n v="4735"/>
        <n v="4187"/>
        <n v="5505"/>
        <n v="5470"/>
        <n v="5476"/>
        <n v="2587"/>
        <n v="2440"/>
        <n v="15972"/>
        <n v="15379"/>
        <n v="7082"/>
        <n v="2728"/>
        <n v="5368"/>
        <n v="5347"/>
        <n v="3195"/>
        <n v="3989"/>
        <n v="3306"/>
        <n v="7005"/>
        <n v="2655"/>
        <n v="1393"/>
        <n v="2570"/>
        <n v="3537"/>
        <n v="3986"/>
        <n v="10883"/>
        <n v="9525"/>
        <n v="2929"/>
        <n v="2275"/>
        <n v="7879"/>
        <n v="4930"/>
        <n v="7847"/>
        <n v="4401"/>
        <n v="9241"/>
        <n v="2974"/>
        <n v="4502"/>
        <n v="10748"/>
        <n v="1555"/>
        <n v="12936"/>
        <n v="2305"/>
        <n v="16704"/>
        <n v="3433"/>
        <n v="3477"/>
        <n v="6430"/>
        <n v="6516"/>
        <n v="3907"/>
        <n v="6883"/>
        <n v="2862"/>
        <n v="4978"/>
        <n v="10368"/>
        <n v="6134"/>
        <n v="6735"/>
        <n v="3295"/>
        <n v="6472"/>
        <n v="9610"/>
        <n v="19833"/>
        <n v="9756"/>
        <n v="2145"/>
        <n v="2180"/>
        <n v="8346"/>
        <n v="3445"/>
        <n v="2760"/>
        <n v="6294"/>
        <n v="7140"/>
        <n v="2932"/>
        <n v="5147"/>
        <n v="4507"/>
        <n v="8564"/>
        <n v="2468"/>
        <n v="8161"/>
        <n v="5294"/>
        <n v="2718"/>
        <n v="5811"/>
        <n v="2437"/>
        <n v="2766"/>
        <n v="19038"/>
        <n v="3055"/>
        <n v="2289"/>
        <n v="4001"/>
        <n v="12965"/>
        <n v="3539"/>
        <n v="6029"/>
        <n v="2679"/>
        <n v="3702"/>
        <n v="2398"/>
        <n v="5468"/>
        <n v="13116"/>
        <n v="4189"/>
        <n v="19328"/>
        <n v="8321"/>
        <n v="4071"/>
        <n v="5813"/>
        <n v="3143"/>
        <n v="13464"/>
        <n v="7991"/>
        <n v="3377"/>
        <n v="5538"/>
        <n v="5762"/>
        <n v="2592"/>
        <n v="4213"/>
        <n v="4127"/>
        <n v="2438"/>
        <n v="6870"/>
        <n v="10447"/>
        <n v="9667"/>
        <n v="2148"/>
        <n v="8926"/>
        <n v="6513"/>
        <n v="6799"/>
        <n v="16291"/>
        <n v="2705"/>
        <n v="10333"/>
        <n v="4448"/>
        <n v="6854"/>
        <n v="9637"/>
        <n v="3591"/>
        <n v="4684"/>
        <n v="15787"/>
        <n v="1514"/>
        <n v="2335"/>
        <n v="5154"/>
        <n v="6962"/>
        <n v="5675"/>
        <n v="2379"/>
        <n v="3812"/>
        <n v="4648"/>
        <n v="2105"/>
        <n v="8578"/>
        <n v="2706"/>
        <n v="6384"/>
        <n v="3968"/>
        <n v="9907"/>
        <n v="13225"/>
        <n v="3540"/>
        <n v="2804"/>
        <n v="19392"/>
        <n v="19665"/>
        <n v="2439"/>
        <n v="7314"/>
        <n v="4774"/>
        <n v="3902"/>
        <n v="2662"/>
        <n v="2856"/>
        <n v="1081"/>
        <n v="2472"/>
        <n v="5673"/>
        <n v="9713"/>
        <n v="2062"/>
        <n v="4788"/>
        <n v="5906"/>
        <n v="3886"/>
        <n v="16823"/>
        <n v="2933"/>
        <n v="17174"/>
        <n v="5033"/>
        <n v="2307"/>
        <n v="5507"/>
        <n v="4393"/>
        <n v="13348"/>
        <n v="6583"/>
        <n v="8103"/>
        <n v="3978"/>
        <n v="2544"/>
        <n v="5399"/>
        <n v="5487"/>
        <n v="6834"/>
        <n v="1091"/>
        <n v="5736"/>
        <n v="2226"/>
        <n v="5747"/>
        <n v="9854"/>
        <n v="5380"/>
        <n v="5151"/>
        <n v="2133"/>
        <n v="17875"/>
        <n v="2432"/>
        <n v="4771"/>
        <n v="19161"/>
        <n v="5087"/>
        <n v="2863"/>
        <n v="2144"/>
        <n v="3065"/>
        <n v="2810"/>
        <n v="9888"/>
        <n v="8628"/>
        <n v="2867"/>
        <n v="5373"/>
        <n v="6667"/>
        <n v="2858"/>
        <n v="4105"/>
        <n v="9679"/>
        <n v="5617"/>
        <n v="10448"/>
        <n v="2897"/>
        <n v="5968"/>
        <n v="7510"/>
        <n v="2991"/>
        <n v="19636"/>
        <n v="1129"/>
        <n v="13341"/>
        <n v="4332"/>
        <n v="11031"/>
        <n v="4440"/>
        <n v="4617"/>
        <n v="2647"/>
        <n v="6323"/>
        <n v="5677"/>
        <n v="3748"/>
        <n v="3977"/>
        <n v="8633"/>
        <n v="3067"/>
        <n v="5321"/>
        <n v="11957"/>
        <n v="2660"/>
        <n v="3375"/>
        <n v="5098"/>
        <n v="4878"/>
        <n v="2837"/>
        <n v="4108"/>
        <n v="13206"/>
        <n v="10422"/>
        <n v="13744"/>
        <n v="3482"/>
        <n v="19431"/>
        <n v="1790"/>
        <n v="7644"/>
        <n v="5131"/>
        <n v="6306"/>
        <n v="4787"/>
        <n v="18880"/>
        <n v="2339"/>
        <n v="13570"/>
        <n v="6712"/>
        <n v="5406"/>
        <n v="8938"/>
        <n v="8837"/>
        <n v="6728"/>
        <n v="6652"/>
        <n v="4850"/>
        <n v="2809"/>
        <n v="5689"/>
        <n v="2001"/>
        <n v="2977"/>
        <n v="3785"/>
        <n v="10854"/>
        <n v="12031"/>
        <n v="9936"/>
        <n v="2966"/>
        <n v="2571"/>
        <n v="9991"/>
        <n v="5390"/>
        <n v="4404"/>
      </sharedItems>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ount="4">
        <n v="1"/>
        <n v="4"/>
        <n v="2"/>
        <n v="3"/>
      </sharedItems>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ount="16">
        <n v="0"/>
        <n v="1"/>
        <n v="3"/>
        <n v="2"/>
        <n v="7"/>
        <n v="4"/>
        <n v="8"/>
        <n v="6"/>
        <n v="5"/>
        <n v="15"/>
        <n v="9"/>
        <n v="13"/>
        <n v="12"/>
        <n v="10"/>
        <n v="11"/>
        <n v="14"/>
      </sharedItems>
    </cacheField>
    <cacheField name="YearsWithCurrManager" numFmtId="0">
      <sharedItems containsSemiMixedTypes="0" containsString="0" containsNumber="1" containsInteger="1" minValue="0" maxValue="17" count="18">
        <n v="5"/>
        <n v="7"/>
        <n v="0"/>
        <n v="2"/>
        <n v="6"/>
        <n v="8"/>
        <n v="3"/>
        <n v="11"/>
        <n v="17"/>
        <n v="1"/>
        <n v="4"/>
        <n v="12"/>
        <n v="9"/>
        <n v="10"/>
        <n v="15"/>
        <n v="13"/>
        <n v="16"/>
        <n v="14"/>
      </sharedItems>
    </cacheField>
    <cacheField name="Age group" numFmtId="0">
      <sharedItems count="5">
        <s v="40-49"/>
        <s v="30-39"/>
        <s v="20-29"/>
        <s v="50-59"/>
        <s v="18-20"/>
      </sharedItems>
    </cacheField>
    <cacheField name="worked years" numFmtId="0">
      <sharedItems count="4">
        <s v="6-10"/>
        <s v="0-2"/>
        <s v="3-5"/>
        <s v="10+"/>
      </sharedItems>
    </cacheField>
    <cacheField name="monthly incomerange\" numFmtId="0">
      <sharedItems count="4">
        <s v="5001-10000"/>
        <s v="1000-5000"/>
        <s v="15001-20000"/>
        <s v="10001-15000"/>
      </sharedItems>
    </cacheField>
    <cacheField name="Attrition_flag"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128077397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x v="0"/>
    <n v="1102"/>
    <x v="0"/>
    <n v="1"/>
    <x v="0"/>
    <x v="0"/>
    <x v="0"/>
    <n v="1"/>
    <x v="0"/>
    <x v="0"/>
    <n v="94"/>
    <x v="0"/>
    <x v="0"/>
    <x v="0"/>
    <x v="0"/>
    <x v="0"/>
    <x v="0"/>
    <n v="19479"/>
    <n v="8"/>
    <s v="Y"/>
    <x v="0"/>
    <n v="11"/>
    <x v="0"/>
    <x v="0"/>
    <n v="80"/>
    <n v="0"/>
    <n v="8"/>
    <n v="0"/>
    <x v="0"/>
    <x v="0"/>
    <n v="4"/>
    <x v="0"/>
    <x v="0"/>
    <x v="0"/>
    <x v="0"/>
    <x v="0"/>
    <n v="1"/>
  </r>
  <r>
    <x v="1"/>
    <x v="1"/>
    <x v="1"/>
    <n v="279"/>
    <x v="1"/>
    <n v="8"/>
    <x v="1"/>
    <x v="0"/>
    <x v="0"/>
    <n v="2"/>
    <x v="1"/>
    <x v="1"/>
    <n v="61"/>
    <x v="1"/>
    <x v="0"/>
    <x v="1"/>
    <x v="1"/>
    <x v="1"/>
    <x v="1"/>
    <n v="24907"/>
    <n v="1"/>
    <s v="Y"/>
    <x v="1"/>
    <n v="23"/>
    <x v="1"/>
    <x v="1"/>
    <n v="80"/>
    <n v="1"/>
    <n v="10"/>
    <n v="3"/>
    <x v="1"/>
    <x v="1"/>
    <n v="7"/>
    <x v="1"/>
    <x v="1"/>
    <x v="0"/>
    <x v="0"/>
    <x v="0"/>
    <n v="0"/>
  </r>
  <r>
    <x v="2"/>
    <x v="0"/>
    <x v="0"/>
    <n v="1373"/>
    <x v="1"/>
    <n v="2"/>
    <x v="0"/>
    <x v="1"/>
    <x v="0"/>
    <n v="4"/>
    <x v="2"/>
    <x v="1"/>
    <n v="92"/>
    <x v="1"/>
    <x v="1"/>
    <x v="2"/>
    <x v="2"/>
    <x v="0"/>
    <x v="2"/>
    <n v="2396"/>
    <n v="6"/>
    <s v="Y"/>
    <x v="0"/>
    <n v="15"/>
    <x v="0"/>
    <x v="2"/>
    <n v="80"/>
    <n v="0"/>
    <n v="7"/>
    <n v="3"/>
    <x v="1"/>
    <x v="2"/>
    <n v="0"/>
    <x v="0"/>
    <x v="2"/>
    <x v="1"/>
    <x v="1"/>
    <x v="1"/>
    <n v="1"/>
  </r>
  <r>
    <x v="3"/>
    <x v="1"/>
    <x v="1"/>
    <n v="1392"/>
    <x v="1"/>
    <n v="3"/>
    <x v="2"/>
    <x v="0"/>
    <x v="0"/>
    <n v="5"/>
    <x v="2"/>
    <x v="0"/>
    <n v="56"/>
    <x v="0"/>
    <x v="1"/>
    <x v="1"/>
    <x v="2"/>
    <x v="1"/>
    <x v="3"/>
    <n v="23159"/>
    <n v="1"/>
    <s v="Y"/>
    <x v="0"/>
    <n v="11"/>
    <x v="0"/>
    <x v="3"/>
    <n v="80"/>
    <n v="0"/>
    <n v="8"/>
    <n v="3"/>
    <x v="1"/>
    <x v="3"/>
    <n v="7"/>
    <x v="2"/>
    <x v="2"/>
    <x v="1"/>
    <x v="0"/>
    <x v="1"/>
    <n v="0"/>
  </r>
  <r>
    <x v="4"/>
    <x v="1"/>
    <x v="0"/>
    <n v="591"/>
    <x v="1"/>
    <n v="2"/>
    <x v="1"/>
    <x v="2"/>
    <x v="0"/>
    <n v="7"/>
    <x v="3"/>
    <x v="1"/>
    <n v="40"/>
    <x v="0"/>
    <x v="1"/>
    <x v="2"/>
    <x v="1"/>
    <x v="1"/>
    <x v="4"/>
    <n v="16632"/>
    <n v="9"/>
    <s v="Y"/>
    <x v="1"/>
    <n v="12"/>
    <x v="0"/>
    <x v="1"/>
    <n v="80"/>
    <n v="1"/>
    <n v="6"/>
    <n v="3"/>
    <x v="1"/>
    <x v="4"/>
    <n v="2"/>
    <x v="3"/>
    <x v="3"/>
    <x v="2"/>
    <x v="1"/>
    <x v="1"/>
    <n v="0"/>
  </r>
  <r>
    <x v="5"/>
    <x v="1"/>
    <x v="1"/>
    <n v="1005"/>
    <x v="1"/>
    <n v="2"/>
    <x v="0"/>
    <x v="0"/>
    <x v="0"/>
    <n v="8"/>
    <x v="2"/>
    <x v="1"/>
    <n v="79"/>
    <x v="0"/>
    <x v="1"/>
    <x v="2"/>
    <x v="0"/>
    <x v="0"/>
    <x v="5"/>
    <n v="11864"/>
    <n v="0"/>
    <s v="Y"/>
    <x v="1"/>
    <n v="13"/>
    <x v="0"/>
    <x v="3"/>
    <n v="80"/>
    <n v="0"/>
    <n v="8"/>
    <n v="2"/>
    <x v="2"/>
    <x v="5"/>
    <n v="7"/>
    <x v="2"/>
    <x v="4"/>
    <x v="1"/>
    <x v="0"/>
    <x v="1"/>
    <n v="0"/>
  </r>
  <r>
    <x v="6"/>
    <x v="1"/>
    <x v="0"/>
    <n v="1324"/>
    <x v="1"/>
    <n v="3"/>
    <x v="3"/>
    <x v="2"/>
    <x v="0"/>
    <n v="10"/>
    <x v="1"/>
    <x v="0"/>
    <n v="81"/>
    <x v="2"/>
    <x v="1"/>
    <x v="2"/>
    <x v="3"/>
    <x v="1"/>
    <x v="6"/>
    <n v="9964"/>
    <n v="4"/>
    <s v="Y"/>
    <x v="0"/>
    <n v="20"/>
    <x v="1"/>
    <x v="0"/>
    <n v="80"/>
    <n v="3"/>
    <n v="12"/>
    <n v="3"/>
    <x v="2"/>
    <x v="6"/>
    <n v="0"/>
    <x v="0"/>
    <x v="2"/>
    <x v="3"/>
    <x v="1"/>
    <x v="1"/>
    <n v="0"/>
  </r>
  <r>
    <x v="7"/>
    <x v="1"/>
    <x v="0"/>
    <n v="1358"/>
    <x v="1"/>
    <n v="24"/>
    <x v="1"/>
    <x v="0"/>
    <x v="0"/>
    <n v="11"/>
    <x v="2"/>
    <x v="1"/>
    <n v="67"/>
    <x v="0"/>
    <x v="1"/>
    <x v="2"/>
    <x v="2"/>
    <x v="2"/>
    <x v="7"/>
    <n v="13335"/>
    <n v="1"/>
    <s v="Y"/>
    <x v="1"/>
    <n v="22"/>
    <x v="1"/>
    <x v="2"/>
    <n v="80"/>
    <n v="1"/>
    <n v="1"/>
    <n v="2"/>
    <x v="1"/>
    <x v="6"/>
    <n v="0"/>
    <x v="0"/>
    <x v="2"/>
    <x v="1"/>
    <x v="1"/>
    <x v="1"/>
    <n v="0"/>
  </r>
  <r>
    <x v="8"/>
    <x v="1"/>
    <x v="1"/>
    <n v="216"/>
    <x v="1"/>
    <n v="23"/>
    <x v="3"/>
    <x v="0"/>
    <x v="0"/>
    <n v="12"/>
    <x v="2"/>
    <x v="1"/>
    <n v="44"/>
    <x v="1"/>
    <x v="2"/>
    <x v="3"/>
    <x v="2"/>
    <x v="0"/>
    <x v="8"/>
    <n v="8787"/>
    <n v="0"/>
    <s v="Y"/>
    <x v="1"/>
    <n v="21"/>
    <x v="1"/>
    <x v="2"/>
    <n v="80"/>
    <n v="0"/>
    <n v="10"/>
    <n v="2"/>
    <x v="1"/>
    <x v="7"/>
    <n v="7"/>
    <x v="1"/>
    <x v="5"/>
    <x v="1"/>
    <x v="0"/>
    <x v="0"/>
    <n v="0"/>
  </r>
  <r>
    <x v="9"/>
    <x v="1"/>
    <x v="0"/>
    <n v="1299"/>
    <x v="1"/>
    <n v="27"/>
    <x v="3"/>
    <x v="2"/>
    <x v="0"/>
    <n v="13"/>
    <x v="1"/>
    <x v="1"/>
    <n v="94"/>
    <x v="0"/>
    <x v="0"/>
    <x v="4"/>
    <x v="2"/>
    <x v="1"/>
    <x v="9"/>
    <n v="16577"/>
    <n v="6"/>
    <s v="Y"/>
    <x v="1"/>
    <n v="13"/>
    <x v="0"/>
    <x v="2"/>
    <n v="80"/>
    <n v="2"/>
    <n v="17"/>
    <n v="3"/>
    <x v="2"/>
    <x v="5"/>
    <n v="7"/>
    <x v="4"/>
    <x v="1"/>
    <x v="1"/>
    <x v="0"/>
    <x v="0"/>
    <n v="0"/>
  </r>
  <r>
    <x v="10"/>
    <x v="1"/>
    <x v="0"/>
    <n v="809"/>
    <x v="1"/>
    <n v="16"/>
    <x v="3"/>
    <x v="2"/>
    <x v="0"/>
    <n v="14"/>
    <x v="3"/>
    <x v="1"/>
    <n v="84"/>
    <x v="2"/>
    <x v="1"/>
    <x v="2"/>
    <x v="1"/>
    <x v="1"/>
    <x v="10"/>
    <n v="16479"/>
    <n v="0"/>
    <s v="Y"/>
    <x v="1"/>
    <n v="13"/>
    <x v="0"/>
    <x v="3"/>
    <n v="80"/>
    <n v="1"/>
    <n v="6"/>
    <n v="5"/>
    <x v="1"/>
    <x v="8"/>
    <n v="4"/>
    <x v="0"/>
    <x v="6"/>
    <x v="1"/>
    <x v="2"/>
    <x v="1"/>
    <n v="0"/>
  </r>
  <r>
    <x v="11"/>
    <x v="1"/>
    <x v="0"/>
    <n v="153"/>
    <x v="1"/>
    <n v="15"/>
    <x v="0"/>
    <x v="0"/>
    <x v="0"/>
    <n v="15"/>
    <x v="2"/>
    <x v="0"/>
    <n v="49"/>
    <x v="1"/>
    <x v="0"/>
    <x v="2"/>
    <x v="2"/>
    <x v="0"/>
    <x v="11"/>
    <n v="12682"/>
    <n v="0"/>
    <s v="Y"/>
    <x v="0"/>
    <n v="12"/>
    <x v="0"/>
    <x v="1"/>
    <n v="80"/>
    <n v="0"/>
    <n v="10"/>
    <n v="3"/>
    <x v="1"/>
    <x v="7"/>
    <n v="5"/>
    <x v="0"/>
    <x v="5"/>
    <x v="2"/>
    <x v="0"/>
    <x v="1"/>
    <n v="0"/>
  </r>
  <r>
    <x v="12"/>
    <x v="1"/>
    <x v="0"/>
    <n v="670"/>
    <x v="1"/>
    <n v="26"/>
    <x v="1"/>
    <x v="0"/>
    <x v="0"/>
    <n v="16"/>
    <x v="3"/>
    <x v="1"/>
    <n v="31"/>
    <x v="0"/>
    <x v="1"/>
    <x v="1"/>
    <x v="2"/>
    <x v="2"/>
    <x v="12"/>
    <n v="15170"/>
    <n v="1"/>
    <s v="Y"/>
    <x v="1"/>
    <n v="17"/>
    <x v="0"/>
    <x v="1"/>
    <n v="80"/>
    <n v="1"/>
    <n v="5"/>
    <n v="1"/>
    <x v="2"/>
    <x v="8"/>
    <n v="2"/>
    <x v="5"/>
    <x v="6"/>
    <x v="1"/>
    <x v="2"/>
    <x v="1"/>
    <n v="0"/>
  </r>
  <r>
    <x v="13"/>
    <x v="1"/>
    <x v="0"/>
    <n v="1346"/>
    <x v="1"/>
    <n v="19"/>
    <x v="0"/>
    <x v="2"/>
    <x v="0"/>
    <n v="18"/>
    <x v="0"/>
    <x v="1"/>
    <n v="93"/>
    <x v="0"/>
    <x v="1"/>
    <x v="2"/>
    <x v="0"/>
    <x v="2"/>
    <x v="13"/>
    <n v="8758"/>
    <n v="0"/>
    <s v="Y"/>
    <x v="1"/>
    <n v="11"/>
    <x v="0"/>
    <x v="3"/>
    <n v="80"/>
    <n v="1"/>
    <n v="3"/>
    <n v="2"/>
    <x v="1"/>
    <x v="4"/>
    <n v="2"/>
    <x v="1"/>
    <x v="3"/>
    <x v="1"/>
    <x v="1"/>
    <x v="1"/>
    <n v="0"/>
  </r>
  <r>
    <x v="14"/>
    <x v="0"/>
    <x v="0"/>
    <n v="103"/>
    <x v="1"/>
    <n v="24"/>
    <x v="3"/>
    <x v="0"/>
    <x v="0"/>
    <n v="19"/>
    <x v="1"/>
    <x v="1"/>
    <n v="50"/>
    <x v="1"/>
    <x v="1"/>
    <x v="2"/>
    <x v="2"/>
    <x v="0"/>
    <x v="14"/>
    <n v="12947"/>
    <n v="5"/>
    <s v="Y"/>
    <x v="0"/>
    <n v="14"/>
    <x v="0"/>
    <x v="2"/>
    <n v="80"/>
    <n v="0"/>
    <n v="6"/>
    <n v="4"/>
    <x v="1"/>
    <x v="9"/>
    <n v="2"/>
    <x v="0"/>
    <x v="6"/>
    <x v="2"/>
    <x v="2"/>
    <x v="1"/>
    <n v="1"/>
  </r>
  <r>
    <x v="11"/>
    <x v="1"/>
    <x v="0"/>
    <n v="1389"/>
    <x v="1"/>
    <n v="21"/>
    <x v="2"/>
    <x v="0"/>
    <x v="0"/>
    <n v="20"/>
    <x v="0"/>
    <x v="0"/>
    <n v="51"/>
    <x v="2"/>
    <x v="2"/>
    <x v="3"/>
    <x v="3"/>
    <x v="2"/>
    <x v="15"/>
    <n v="10195"/>
    <n v="1"/>
    <s v="Y"/>
    <x v="1"/>
    <n v="11"/>
    <x v="0"/>
    <x v="3"/>
    <n v="80"/>
    <n v="1"/>
    <n v="10"/>
    <n v="1"/>
    <x v="1"/>
    <x v="1"/>
    <n v="9"/>
    <x v="6"/>
    <x v="5"/>
    <x v="2"/>
    <x v="0"/>
    <x v="0"/>
    <n v="0"/>
  </r>
  <r>
    <x v="5"/>
    <x v="1"/>
    <x v="0"/>
    <n v="334"/>
    <x v="1"/>
    <n v="5"/>
    <x v="0"/>
    <x v="0"/>
    <x v="0"/>
    <n v="21"/>
    <x v="3"/>
    <x v="1"/>
    <n v="80"/>
    <x v="2"/>
    <x v="1"/>
    <x v="1"/>
    <x v="1"/>
    <x v="2"/>
    <x v="16"/>
    <n v="15053"/>
    <n v="0"/>
    <s v="Y"/>
    <x v="0"/>
    <n v="12"/>
    <x v="0"/>
    <x v="1"/>
    <n v="80"/>
    <n v="2"/>
    <n v="7"/>
    <n v="5"/>
    <x v="2"/>
    <x v="0"/>
    <n v="2"/>
    <x v="0"/>
    <x v="0"/>
    <x v="1"/>
    <x v="0"/>
    <x v="1"/>
    <n v="0"/>
  </r>
  <r>
    <x v="15"/>
    <x v="1"/>
    <x v="2"/>
    <n v="1123"/>
    <x v="1"/>
    <n v="16"/>
    <x v="0"/>
    <x v="2"/>
    <x v="0"/>
    <n v="22"/>
    <x v="2"/>
    <x v="1"/>
    <n v="96"/>
    <x v="2"/>
    <x v="1"/>
    <x v="2"/>
    <x v="0"/>
    <x v="2"/>
    <x v="17"/>
    <n v="7324"/>
    <n v="1"/>
    <s v="Y"/>
    <x v="0"/>
    <n v="13"/>
    <x v="0"/>
    <x v="2"/>
    <n v="80"/>
    <n v="2"/>
    <n v="1"/>
    <n v="2"/>
    <x v="2"/>
    <x v="6"/>
    <n v="0"/>
    <x v="0"/>
    <x v="2"/>
    <x v="2"/>
    <x v="1"/>
    <x v="1"/>
    <n v="0"/>
  </r>
  <r>
    <x v="16"/>
    <x v="1"/>
    <x v="0"/>
    <n v="1219"/>
    <x v="0"/>
    <n v="2"/>
    <x v="2"/>
    <x v="0"/>
    <x v="0"/>
    <n v="23"/>
    <x v="3"/>
    <x v="0"/>
    <n v="78"/>
    <x v="1"/>
    <x v="3"/>
    <x v="5"/>
    <x v="0"/>
    <x v="1"/>
    <x v="18"/>
    <n v="22021"/>
    <n v="2"/>
    <s v="Y"/>
    <x v="1"/>
    <n v="16"/>
    <x v="0"/>
    <x v="3"/>
    <n v="80"/>
    <n v="0"/>
    <n v="31"/>
    <n v="3"/>
    <x v="1"/>
    <x v="10"/>
    <n v="8"/>
    <x v="2"/>
    <x v="1"/>
    <x v="3"/>
    <x v="3"/>
    <x v="2"/>
    <n v="0"/>
  </r>
  <r>
    <x v="8"/>
    <x v="1"/>
    <x v="0"/>
    <n v="371"/>
    <x v="1"/>
    <n v="2"/>
    <x v="3"/>
    <x v="0"/>
    <x v="0"/>
    <n v="24"/>
    <x v="2"/>
    <x v="1"/>
    <n v="45"/>
    <x v="0"/>
    <x v="1"/>
    <x v="1"/>
    <x v="0"/>
    <x v="0"/>
    <x v="19"/>
    <n v="4306"/>
    <n v="5"/>
    <s v="Y"/>
    <x v="0"/>
    <n v="11"/>
    <x v="0"/>
    <x v="3"/>
    <n v="80"/>
    <n v="0"/>
    <n v="6"/>
    <n v="3"/>
    <x v="1"/>
    <x v="11"/>
    <n v="2"/>
    <x v="1"/>
    <x v="3"/>
    <x v="1"/>
    <x v="2"/>
    <x v="1"/>
    <n v="0"/>
  </r>
  <r>
    <x v="17"/>
    <x v="1"/>
    <x v="2"/>
    <n v="673"/>
    <x v="1"/>
    <n v="11"/>
    <x v="0"/>
    <x v="1"/>
    <x v="0"/>
    <n v="26"/>
    <x v="3"/>
    <x v="0"/>
    <n v="96"/>
    <x v="2"/>
    <x v="0"/>
    <x v="3"/>
    <x v="2"/>
    <x v="2"/>
    <x v="20"/>
    <n v="8232"/>
    <n v="0"/>
    <s v="Y"/>
    <x v="1"/>
    <n v="18"/>
    <x v="0"/>
    <x v="1"/>
    <n v="80"/>
    <n v="1"/>
    <n v="5"/>
    <n v="5"/>
    <x v="2"/>
    <x v="9"/>
    <n v="2"/>
    <x v="1"/>
    <x v="6"/>
    <x v="2"/>
    <x v="2"/>
    <x v="1"/>
    <n v="0"/>
  </r>
  <r>
    <x v="9"/>
    <x v="0"/>
    <x v="0"/>
    <n v="1218"/>
    <x v="0"/>
    <n v="9"/>
    <x v="2"/>
    <x v="0"/>
    <x v="0"/>
    <n v="27"/>
    <x v="1"/>
    <x v="1"/>
    <n v="82"/>
    <x v="1"/>
    <x v="1"/>
    <x v="6"/>
    <x v="3"/>
    <x v="0"/>
    <x v="21"/>
    <n v="6986"/>
    <n v="7"/>
    <s v="Y"/>
    <x v="1"/>
    <n v="23"/>
    <x v="1"/>
    <x v="2"/>
    <n v="80"/>
    <n v="0"/>
    <n v="10"/>
    <n v="4"/>
    <x v="1"/>
    <x v="8"/>
    <n v="3"/>
    <x v="0"/>
    <x v="6"/>
    <x v="1"/>
    <x v="2"/>
    <x v="1"/>
    <n v="1"/>
  </r>
  <r>
    <x v="13"/>
    <x v="1"/>
    <x v="0"/>
    <n v="419"/>
    <x v="1"/>
    <n v="7"/>
    <x v="2"/>
    <x v="0"/>
    <x v="0"/>
    <n v="28"/>
    <x v="3"/>
    <x v="0"/>
    <n v="53"/>
    <x v="0"/>
    <x v="2"/>
    <x v="7"/>
    <x v="1"/>
    <x v="0"/>
    <x v="22"/>
    <n v="21293"/>
    <n v="0"/>
    <s v="Y"/>
    <x v="1"/>
    <n v="11"/>
    <x v="0"/>
    <x v="3"/>
    <n v="80"/>
    <n v="0"/>
    <n v="13"/>
    <n v="4"/>
    <x v="1"/>
    <x v="12"/>
    <n v="6"/>
    <x v="3"/>
    <x v="7"/>
    <x v="1"/>
    <x v="3"/>
    <x v="3"/>
    <n v="0"/>
  </r>
  <r>
    <x v="18"/>
    <x v="1"/>
    <x v="0"/>
    <n v="391"/>
    <x v="1"/>
    <n v="15"/>
    <x v="0"/>
    <x v="0"/>
    <x v="0"/>
    <n v="30"/>
    <x v="1"/>
    <x v="1"/>
    <n v="96"/>
    <x v="0"/>
    <x v="1"/>
    <x v="1"/>
    <x v="0"/>
    <x v="0"/>
    <x v="23"/>
    <n v="19281"/>
    <n v="1"/>
    <s v="Y"/>
    <x v="1"/>
    <n v="14"/>
    <x v="0"/>
    <x v="1"/>
    <n v="80"/>
    <n v="0"/>
    <n v="0"/>
    <n v="6"/>
    <x v="1"/>
    <x v="2"/>
    <n v="0"/>
    <x v="0"/>
    <x v="2"/>
    <x v="2"/>
    <x v="1"/>
    <x v="1"/>
    <n v="0"/>
  </r>
  <r>
    <x v="13"/>
    <x v="0"/>
    <x v="0"/>
    <n v="699"/>
    <x v="1"/>
    <n v="6"/>
    <x v="1"/>
    <x v="2"/>
    <x v="0"/>
    <n v="31"/>
    <x v="0"/>
    <x v="1"/>
    <n v="83"/>
    <x v="0"/>
    <x v="1"/>
    <x v="1"/>
    <x v="3"/>
    <x v="0"/>
    <x v="24"/>
    <n v="17102"/>
    <n v="2"/>
    <s v="Y"/>
    <x v="1"/>
    <n v="11"/>
    <x v="0"/>
    <x v="3"/>
    <n v="80"/>
    <n v="0"/>
    <n v="8"/>
    <n v="2"/>
    <x v="1"/>
    <x v="9"/>
    <n v="2"/>
    <x v="1"/>
    <x v="6"/>
    <x v="1"/>
    <x v="2"/>
    <x v="1"/>
    <n v="1"/>
  </r>
  <r>
    <x v="16"/>
    <x v="1"/>
    <x v="0"/>
    <n v="1282"/>
    <x v="1"/>
    <n v="5"/>
    <x v="3"/>
    <x v="1"/>
    <x v="0"/>
    <n v="32"/>
    <x v="1"/>
    <x v="0"/>
    <n v="58"/>
    <x v="0"/>
    <x v="4"/>
    <x v="5"/>
    <x v="2"/>
    <x v="2"/>
    <x v="25"/>
    <n v="10735"/>
    <n v="4"/>
    <s v="Y"/>
    <x v="1"/>
    <n v="11"/>
    <x v="0"/>
    <x v="1"/>
    <n v="80"/>
    <n v="1"/>
    <n v="26"/>
    <n v="3"/>
    <x v="2"/>
    <x v="13"/>
    <n v="13"/>
    <x v="5"/>
    <x v="5"/>
    <x v="3"/>
    <x v="3"/>
    <x v="2"/>
    <n v="0"/>
  </r>
  <r>
    <x v="5"/>
    <x v="0"/>
    <x v="1"/>
    <n v="1125"/>
    <x v="1"/>
    <n v="16"/>
    <x v="1"/>
    <x v="0"/>
    <x v="0"/>
    <n v="33"/>
    <x v="0"/>
    <x v="0"/>
    <n v="72"/>
    <x v="3"/>
    <x v="1"/>
    <x v="1"/>
    <x v="3"/>
    <x v="0"/>
    <x v="26"/>
    <n v="4681"/>
    <n v="1"/>
    <s v="Y"/>
    <x v="0"/>
    <n v="22"/>
    <x v="1"/>
    <x v="2"/>
    <n v="80"/>
    <n v="0"/>
    <n v="10"/>
    <n v="5"/>
    <x v="1"/>
    <x v="1"/>
    <n v="2"/>
    <x v="7"/>
    <x v="1"/>
    <x v="1"/>
    <x v="0"/>
    <x v="1"/>
    <n v="1"/>
  </r>
  <r>
    <x v="19"/>
    <x v="1"/>
    <x v="0"/>
    <n v="691"/>
    <x v="0"/>
    <n v="8"/>
    <x v="2"/>
    <x v="3"/>
    <x v="0"/>
    <n v="35"/>
    <x v="1"/>
    <x v="1"/>
    <n v="48"/>
    <x v="0"/>
    <x v="0"/>
    <x v="0"/>
    <x v="1"/>
    <x v="1"/>
    <x v="27"/>
    <n v="21173"/>
    <n v="0"/>
    <s v="Y"/>
    <x v="1"/>
    <n v="11"/>
    <x v="0"/>
    <x v="1"/>
    <n v="80"/>
    <n v="1"/>
    <n v="10"/>
    <n v="2"/>
    <x v="1"/>
    <x v="7"/>
    <n v="7"/>
    <x v="5"/>
    <x v="3"/>
    <x v="0"/>
    <x v="0"/>
    <x v="0"/>
    <n v="0"/>
  </r>
  <r>
    <x v="20"/>
    <x v="1"/>
    <x v="0"/>
    <n v="477"/>
    <x v="1"/>
    <n v="7"/>
    <x v="2"/>
    <x v="2"/>
    <x v="0"/>
    <n v="36"/>
    <x v="3"/>
    <x v="0"/>
    <n v="42"/>
    <x v="1"/>
    <x v="2"/>
    <x v="4"/>
    <x v="0"/>
    <x v="1"/>
    <x v="28"/>
    <n v="2094"/>
    <n v="3"/>
    <s v="Y"/>
    <x v="1"/>
    <n v="14"/>
    <x v="0"/>
    <x v="1"/>
    <n v="80"/>
    <n v="1"/>
    <n v="24"/>
    <n v="4"/>
    <x v="1"/>
    <x v="14"/>
    <n v="6"/>
    <x v="8"/>
    <x v="8"/>
    <x v="0"/>
    <x v="3"/>
    <x v="3"/>
    <n v="0"/>
  </r>
  <r>
    <x v="21"/>
    <x v="1"/>
    <x v="0"/>
    <n v="705"/>
    <x v="0"/>
    <n v="2"/>
    <x v="2"/>
    <x v="3"/>
    <x v="0"/>
    <n v="38"/>
    <x v="0"/>
    <x v="0"/>
    <n v="83"/>
    <x v="0"/>
    <x v="4"/>
    <x v="5"/>
    <x v="3"/>
    <x v="0"/>
    <x v="29"/>
    <n v="22822"/>
    <n v="3"/>
    <s v="Y"/>
    <x v="1"/>
    <n v="12"/>
    <x v="0"/>
    <x v="1"/>
    <n v="80"/>
    <n v="0"/>
    <n v="22"/>
    <n v="2"/>
    <x v="2"/>
    <x v="4"/>
    <n v="2"/>
    <x v="3"/>
    <x v="9"/>
    <x v="0"/>
    <x v="1"/>
    <x v="2"/>
    <n v="0"/>
  </r>
  <r>
    <x v="3"/>
    <x v="1"/>
    <x v="0"/>
    <n v="924"/>
    <x v="1"/>
    <n v="2"/>
    <x v="3"/>
    <x v="2"/>
    <x v="0"/>
    <n v="39"/>
    <x v="1"/>
    <x v="1"/>
    <n v="78"/>
    <x v="0"/>
    <x v="1"/>
    <x v="2"/>
    <x v="0"/>
    <x v="0"/>
    <x v="30"/>
    <n v="6670"/>
    <n v="4"/>
    <s v="Y"/>
    <x v="1"/>
    <n v="11"/>
    <x v="0"/>
    <x v="1"/>
    <n v="80"/>
    <n v="0"/>
    <n v="7"/>
    <n v="3"/>
    <x v="1"/>
    <x v="6"/>
    <n v="1"/>
    <x v="0"/>
    <x v="2"/>
    <x v="1"/>
    <x v="1"/>
    <x v="1"/>
    <n v="0"/>
  </r>
  <r>
    <x v="20"/>
    <x v="1"/>
    <x v="0"/>
    <n v="1459"/>
    <x v="1"/>
    <n v="10"/>
    <x v="2"/>
    <x v="1"/>
    <x v="0"/>
    <n v="40"/>
    <x v="2"/>
    <x v="1"/>
    <n v="41"/>
    <x v="0"/>
    <x v="0"/>
    <x v="4"/>
    <x v="0"/>
    <x v="1"/>
    <x v="31"/>
    <n v="19121"/>
    <n v="2"/>
    <s v="Y"/>
    <x v="0"/>
    <n v="13"/>
    <x v="0"/>
    <x v="1"/>
    <n v="80"/>
    <n v="0"/>
    <n v="9"/>
    <n v="5"/>
    <x v="3"/>
    <x v="9"/>
    <n v="2"/>
    <x v="1"/>
    <x v="6"/>
    <x v="0"/>
    <x v="2"/>
    <x v="0"/>
    <n v="0"/>
  </r>
  <r>
    <x v="7"/>
    <x v="1"/>
    <x v="0"/>
    <n v="125"/>
    <x v="1"/>
    <n v="9"/>
    <x v="0"/>
    <x v="2"/>
    <x v="0"/>
    <n v="41"/>
    <x v="2"/>
    <x v="1"/>
    <n v="83"/>
    <x v="1"/>
    <x v="1"/>
    <x v="2"/>
    <x v="2"/>
    <x v="0"/>
    <x v="32"/>
    <n v="16117"/>
    <n v="1"/>
    <s v="Y"/>
    <x v="1"/>
    <n v="13"/>
    <x v="0"/>
    <x v="0"/>
    <n v="80"/>
    <n v="0"/>
    <n v="10"/>
    <n v="5"/>
    <x v="1"/>
    <x v="1"/>
    <n v="0"/>
    <x v="1"/>
    <x v="5"/>
    <x v="1"/>
    <x v="0"/>
    <x v="1"/>
    <n v="0"/>
  </r>
  <r>
    <x v="22"/>
    <x v="0"/>
    <x v="0"/>
    <n v="895"/>
    <x v="0"/>
    <n v="5"/>
    <x v="3"/>
    <x v="4"/>
    <x v="0"/>
    <n v="42"/>
    <x v="2"/>
    <x v="1"/>
    <n v="56"/>
    <x v="0"/>
    <x v="0"/>
    <x v="6"/>
    <x v="0"/>
    <x v="1"/>
    <x v="33"/>
    <n v="3335"/>
    <n v="3"/>
    <s v="Y"/>
    <x v="1"/>
    <n v="14"/>
    <x v="0"/>
    <x v="3"/>
    <n v="80"/>
    <n v="1"/>
    <n v="19"/>
    <n v="6"/>
    <x v="3"/>
    <x v="6"/>
    <n v="0"/>
    <x v="0"/>
    <x v="2"/>
    <x v="1"/>
    <x v="1"/>
    <x v="1"/>
    <n v="1"/>
  </r>
  <r>
    <x v="17"/>
    <x v="0"/>
    <x v="0"/>
    <n v="813"/>
    <x v="1"/>
    <n v="1"/>
    <x v="3"/>
    <x v="2"/>
    <x v="0"/>
    <n v="45"/>
    <x v="0"/>
    <x v="1"/>
    <n v="61"/>
    <x v="0"/>
    <x v="1"/>
    <x v="1"/>
    <x v="0"/>
    <x v="1"/>
    <x v="34"/>
    <n v="3020"/>
    <n v="2"/>
    <s v="Y"/>
    <x v="0"/>
    <n v="16"/>
    <x v="0"/>
    <x v="0"/>
    <n v="80"/>
    <n v="1"/>
    <n v="6"/>
    <n v="2"/>
    <x v="2"/>
    <x v="4"/>
    <n v="0"/>
    <x v="3"/>
    <x v="2"/>
    <x v="2"/>
    <x v="1"/>
    <x v="1"/>
    <n v="1"/>
  </r>
  <r>
    <x v="23"/>
    <x v="1"/>
    <x v="0"/>
    <n v="1273"/>
    <x v="1"/>
    <n v="2"/>
    <x v="0"/>
    <x v="2"/>
    <x v="0"/>
    <n v="46"/>
    <x v="2"/>
    <x v="0"/>
    <n v="72"/>
    <x v="2"/>
    <x v="1"/>
    <x v="1"/>
    <x v="2"/>
    <x v="2"/>
    <x v="35"/>
    <n v="21923"/>
    <n v="1"/>
    <s v="Y"/>
    <x v="1"/>
    <n v="12"/>
    <x v="0"/>
    <x v="1"/>
    <n v="80"/>
    <n v="2"/>
    <n v="6"/>
    <n v="3"/>
    <x v="2"/>
    <x v="8"/>
    <n v="3"/>
    <x v="1"/>
    <x v="10"/>
    <x v="0"/>
    <x v="2"/>
    <x v="1"/>
    <n v="0"/>
  </r>
  <r>
    <x v="24"/>
    <x v="0"/>
    <x v="0"/>
    <n v="869"/>
    <x v="0"/>
    <n v="3"/>
    <x v="0"/>
    <x v="3"/>
    <x v="0"/>
    <n v="47"/>
    <x v="3"/>
    <x v="1"/>
    <n v="86"/>
    <x v="1"/>
    <x v="1"/>
    <x v="6"/>
    <x v="2"/>
    <x v="1"/>
    <x v="36"/>
    <n v="3810"/>
    <n v="1"/>
    <s v="Y"/>
    <x v="0"/>
    <n v="14"/>
    <x v="0"/>
    <x v="3"/>
    <n v="80"/>
    <n v="0"/>
    <n v="3"/>
    <n v="2"/>
    <x v="1"/>
    <x v="11"/>
    <n v="2"/>
    <x v="0"/>
    <x v="3"/>
    <x v="3"/>
    <x v="2"/>
    <x v="1"/>
    <n v="1"/>
  </r>
  <r>
    <x v="10"/>
    <x v="1"/>
    <x v="0"/>
    <n v="890"/>
    <x v="0"/>
    <n v="2"/>
    <x v="3"/>
    <x v="3"/>
    <x v="0"/>
    <n v="49"/>
    <x v="2"/>
    <x v="0"/>
    <n v="97"/>
    <x v="0"/>
    <x v="1"/>
    <x v="6"/>
    <x v="0"/>
    <x v="1"/>
    <x v="37"/>
    <n v="9687"/>
    <n v="1"/>
    <s v="Y"/>
    <x v="1"/>
    <n v="13"/>
    <x v="0"/>
    <x v="0"/>
    <n v="80"/>
    <n v="0"/>
    <n v="2"/>
    <n v="3"/>
    <x v="1"/>
    <x v="4"/>
    <n v="2"/>
    <x v="3"/>
    <x v="3"/>
    <x v="1"/>
    <x v="1"/>
    <x v="1"/>
    <n v="0"/>
  </r>
  <r>
    <x v="9"/>
    <x v="1"/>
    <x v="0"/>
    <n v="852"/>
    <x v="1"/>
    <n v="5"/>
    <x v="2"/>
    <x v="0"/>
    <x v="0"/>
    <n v="51"/>
    <x v="0"/>
    <x v="0"/>
    <n v="82"/>
    <x v="1"/>
    <x v="1"/>
    <x v="1"/>
    <x v="3"/>
    <x v="1"/>
    <x v="38"/>
    <n v="13072"/>
    <n v="9"/>
    <s v="Y"/>
    <x v="0"/>
    <n v="14"/>
    <x v="0"/>
    <x v="1"/>
    <n v="80"/>
    <n v="1"/>
    <n v="6"/>
    <n v="3"/>
    <x v="3"/>
    <x v="6"/>
    <n v="1"/>
    <x v="0"/>
    <x v="2"/>
    <x v="1"/>
    <x v="1"/>
    <x v="1"/>
    <n v="0"/>
  </r>
  <r>
    <x v="3"/>
    <x v="1"/>
    <x v="1"/>
    <n v="1141"/>
    <x v="0"/>
    <n v="1"/>
    <x v="3"/>
    <x v="0"/>
    <x v="0"/>
    <n v="52"/>
    <x v="1"/>
    <x v="0"/>
    <n v="42"/>
    <x v="2"/>
    <x v="0"/>
    <x v="0"/>
    <x v="3"/>
    <x v="1"/>
    <x v="39"/>
    <n v="3193"/>
    <n v="2"/>
    <s v="Y"/>
    <x v="1"/>
    <n v="19"/>
    <x v="0"/>
    <x v="0"/>
    <n v="80"/>
    <n v="2"/>
    <n v="10"/>
    <n v="3"/>
    <x v="1"/>
    <x v="8"/>
    <n v="3"/>
    <x v="1"/>
    <x v="6"/>
    <x v="1"/>
    <x v="2"/>
    <x v="0"/>
    <n v="0"/>
  </r>
  <r>
    <x v="10"/>
    <x v="1"/>
    <x v="0"/>
    <n v="464"/>
    <x v="1"/>
    <n v="4"/>
    <x v="0"/>
    <x v="1"/>
    <x v="0"/>
    <n v="53"/>
    <x v="1"/>
    <x v="1"/>
    <n v="75"/>
    <x v="0"/>
    <x v="1"/>
    <x v="2"/>
    <x v="0"/>
    <x v="2"/>
    <x v="40"/>
    <n v="10910"/>
    <n v="1"/>
    <s v="Y"/>
    <x v="1"/>
    <n v="12"/>
    <x v="0"/>
    <x v="3"/>
    <n v="80"/>
    <n v="1"/>
    <n v="1"/>
    <n v="3"/>
    <x v="1"/>
    <x v="6"/>
    <n v="0"/>
    <x v="0"/>
    <x v="2"/>
    <x v="1"/>
    <x v="1"/>
    <x v="1"/>
    <n v="0"/>
  </r>
  <r>
    <x v="4"/>
    <x v="1"/>
    <x v="0"/>
    <n v="1240"/>
    <x v="1"/>
    <n v="2"/>
    <x v="2"/>
    <x v="0"/>
    <x v="0"/>
    <n v="54"/>
    <x v="2"/>
    <x v="0"/>
    <n v="33"/>
    <x v="0"/>
    <x v="1"/>
    <x v="2"/>
    <x v="3"/>
    <x v="2"/>
    <x v="41"/>
    <n v="19715"/>
    <n v="1"/>
    <s v="Y"/>
    <x v="1"/>
    <n v="13"/>
    <x v="0"/>
    <x v="1"/>
    <n v="80"/>
    <n v="1"/>
    <n v="1"/>
    <n v="6"/>
    <x v="1"/>
    <x v="6"/>
    <n v="0"/>
    <x v="0"/>
    <x v="2"/>
    <x v="2"/>
    <x v="1"/>
    <x v="1"/>
    <n v="0"/>
  </r>
  <r>
    <x v="25"/>
    <x v="0"/>
    <x v="0"/>
    <n v="1357"/>
    <x v="1"/>
    <n v="25"/>
    <x v="3"/>
    <x v="0"/>
    <x v="0"/>
    <n v="55"/>
    <x v="3"/>
    <x v="1"/>
    <n v="48"/>
    <x v="3"/>
    <x v="1"/>
    <x v="2"/>
    <x v="2"/>
    <x v="0"/>
    <x v="34"/>
    <n v="10558"/>
    <n v="1"/>
    <s v="Y"/>
    <x v="1"/>
    <n v="12"/>
    <x v="0"/>
    <x v="3"/>
    <n v="80"/>
    <n v="0"/>
    <n v="1"/>
    <n v="2"/>
    <x v="2"/>
    <x v="6"/>
    <n v="0"/>
    <x v="0"/>
    <x v="9"/>
    <x v="2"/>
    <x v="1"/>
    <x v="1"/>
    <n v="1"/>
  </r>
  <r>
    <x v="4"/>
    <x v="1"/>
    <x v="1"/>
    <n v="994"/>
    <x v="0"/>
    <n v="8"/>
    <x v="3"/>
    <x v="0"/>
    <x v="0"/>
    <n v="56"/>
    <x v="2"/>
    <x v="1"/>
    <n v="37"/>
    <x v="0"/>
    <x v="2"/>
    <x v="0"/>
    <x v="2"/>
    <x v="0"/>
    <x v="42"/>
    <n v="2975"/>
    <n v="1"/>
    <s v="Y"/>
    <x v="1"/>
    <n v="15"/>
    <x v="0"/>
    <x v="1"/>
    <n v="80"/>
    <n v="0"/>
    <n v="9"/>
    <n v="0"/>
    <x v="1"/>
    <x v="7"/>
    <n v="8"/>
    <x v="1"/>
    <x v="1"/>
    <x v="2"/>
    <x v="0"/>
    <x v="0"/>
    <n v="0"/>
  </r>
  <r>
    <x v="7"/>
    <x v="1"/>
    <x v="1"/>
    <n v="721"/>
    <x v="1"/>
    <n v="1"/>
    <x v="0"/>
    <x v="2"/>
    <x v="0"/>
    <n v="57"/>
    <x v="1"/>
    <x v="0"/>
    <n v="58"/>
    <x v="0"/>
    <x v="0"/>
    <x v="2"/>
    <x v="0"/>
    <x v="0"/>
    <x v="20"/>
    <n v="10781"/>
    <n v="1"/>
    <s v="Y"/>
    <x v="1"/>
    <n v="23"/>
    <x v="1"/>
    <x v="1"/>
    <n v="80"/>
    <n v="0"/>
    <n v="12"/>
    <n v="2"/>
    <x v="1"/>
    <x v="12"/>
    <n v="8"/>
    <x v="2"/>
    <x v="1"/>
    <x v="1"/>
    <x v="3"/>
    <x v="1"/>
    <n v="0"/>
  </r>
  <r>
    <x v="0"/>
    <x v="0"/>
    <x v="0"/>
    <n v="1360"/>
    <x v="1"/>
    <n v="12"/>
    <x v="3"/>
    <x v="4"/>
    <x v="0"/>
    <n v="58"/>
    <x v="0"/>
    <x v="0"/>
    <n v="49"/>
    <x v="0"/>
    <x v="4"/>
    <x v="7"/>
    <x v="2"/>
    <x v="1"/>
    <x v="43"/>
    <n v="16280"/>
    <n v="1"/>
    <s v="Y"/>
    <x v="1"/>
    <n v="12"/>
    <x v="0"/>
    <x v="1"/>
    <n v="80"/>
    <n v="0"/>
    <n v="23"/>
    <n v="0"/>
    <x v="1"/>
    <x v="14"/>
    <n v="15"/>
    <x v="9"/>
    <x v="5"/>
    <x v="0"/>
    <x v="3"/>
    <x v="2"/>
    <n v="1"/>
  </r>
  <r>
    <x v="13"/>
    <x v="1"/>
    <x v="2"/>
    <n v="1065"/>
    <x v="0"/>
    <n v="23"/>
    <x v="2"/>
    <x v="3"/>
    <x v="0"/>
    <n v="60"/>
    <x v="0"/>
    <x v="1"/>
    <n v="72"/>
    <x v="0"/>
    <x v="0"/>
    <x v="0"/>
    <x v="2"/>
    <x v="0"/>
    <x v="44"/>
    <n v="10034"/>
    <n v="0"/>
    <s v="Y"/>
    <x v="1"/>
    <n v="20"/>
    <x v="1"/>
    <x v="3"/>
    <n v="80"/>
    <n v="0"/>
    <n v="10"/>
    <n v="2"/>
    <x v="1"/>
    <x v="7"/>
    <n v="5"/>
    <x v="6"/>
    <x v="1"/>
    <x v="1"/>
    <x v="0"/>
    <x v="1"/>
    <n v="0"/>
  </r>
  <r>
    <x v="2"/>
    <x v="1"/>
    <x v="0"/>
    <n v="408"/>
    <x v="1"/>
    <n v="19"/>
    <x v="0"/>
    <x v="0"/>
    <x v="0"/>
    <n v="61"/>
    <x v="0"/>
    <x v="1"/>
    <n v="73"/>
    <x v="0"/>
    <x v="1"/>
    <x v="1"/>
    <x v="1"/>
    <x v="1"/>
    <x v="45"/>
    <n v="10227"/>
    <n v="4"/>
    <s v="Y"/>
    <x v="1"/>
    <n v="21"/>
    <x v="1"/>
    <x v="0"/>
    <n v="80"/>
    <n v="0"/>
    <n v="8"/>
    <n v="1"/>
    <x v="1"/>
    <x v="6"/>
    <n v="0"/>
    <x v="0"/>
    <x v="2"/>
    <x v="1"/>
    <x v="1"/>
    <x v="1"/>
    <n v="0"/>
  </r>
  <r>
    <x v="21"/>
    <x v="1"/>
    <x v="1"/>
    <n v="1211"/>
    <x v="0"/>
    <n v="5"/>
    <x v="2"/>
    <x v="3"/>
    <x v="0"/>
    <n v="62"/>
    <x v="3"/>
    <x v="1"/>
    <n v="98"/>
    <x v="0"/>
    <x v="0"/>
    <x v="0"/>
    <x v="0"/>
    <x v="0"/>
    <x v="46"/>
    <n v="20445"/>
    <n v="4"/>
    <s v="Y"/>
    <x v="0"/>
    <n v="21"/>
    <x v="1"/>
    <x v="3"/>
    <n v="80"/>
    <n v="0"/>
    <n v="14"/>
    <n v="4"/>
    <x v="1"/>
    <x v="7"/>
    <n v="6"/>
    <x v="0"/>
    <x v="5"/>
    <x v="0"/>
    <x v="0"/>
    <x v="0"/>
    <n v="0"/>
  </r>
  <r>
    <x v="10"/>
    <x v="1"/>
    <x v="0"/>
    <n v="1229"/>
    <x v="1"/>
    <n v="8"/>
    <x v="1"/>
    <x v="0"/>
    <x v="0"/>
    <n v="63"/>
    <x v="2"/>
    <x v="1"/>
    <n v="36"/>
    <x v="2"/>
    <x v="1"/>
    <x v="2"/>
    <x v="0"/>
    <x v="1"/>
    <x v="47"/>
    <n v="4892"/>
    <n v="1"/>
    <s v="Y"/>
    <x v="1"/>
    <n v="19"/>
    <x v="0"/>
    <x v="1"/>
    <n v="80"/>
    <n v="0"/>
    <n v="1"/>
    <n v="2"/>
    <x v="1"/>
    <x v="6"/>
    <n v="0"/>
    <x v="0"/>
    <x v="9"/>
    <x v="1"/>
    <x v="1"/>
    <x v="1"/>
    <n v="0"/>
  </r>
  <r>
    <x v="26"/>
    <x v="0"/>
    <x v="0"/>
    <n v="626"/>
    <x v="1"/>
    <n v="1"/>
    <x v="0"/>
    <x v="0"/>
    <x v="0"/>
    <n v="64"/>
    <x v="3"/>
    <x v="1"/>
    <n v="98"/>
    <x v="1"/>
    <x v="2"/>
    <x v="2"/>
    <x v="2"/>
    <x v="0"/>
    <x v="48"/>
    <n v="19294"/>
    <n v="9"/>
    <s v="Y"/>
    <x v="0"/>
    <n v="13"/>
    <x v="0"/>
    <x v="1"/>
    <n v="80"/>
    <n v="0"/>
    <n v="23"/>
    <n v="2"/>
    <x v="1"/>
    <x v="6"/>
    <n v="0"/>
    <x v="0"/>
    <x v="2"/>
    <x v="0"/>
    <x v="1"/>
    <x v="0"/>
    <n v="1"/>
  </r>
  <r>
    <x v="14"/>
    <x v="0"/>
    <x v="0"/>
    <n v="1434"/>
    <x v="1"/>
    <n v="5"/>
    <x v="2"/>
    <x v="4"/>
    <x v="0"/>
    <n v="65"/>
    <x v="1"/>
    <x v="1"/>
    <n v="50"/>
    <x v="0"/>
    <x v="1"/>
    <x v="2"/>
    <x v="2"/>
    <x v="0"/>
    <x v="49"/>
    <n v="11179"/>
    <n v="1"/>
    <s v="Y"/>
    <x v="0"/>
    <n v="13"/>
    <x v="0"/>
    <x v="3"/>
    <n v="80"/>
    <n v="0"/>
    <n v="2"/>
    <n v="3"/>
    <x v="2"/>
    <x v="4"/>
    <n v="2"/>
    <x v="3"/>
    <x v="3"/>
    <x v="2"/>
    <x v="1"/>
    <x v="1"/>
    <n v="1"/>
  </r>
  <r>
    <x v="20"/>
    <x v="1"/>
    <x v="0"/>
    <n v="1488"/>
    <x v="0"/>
    <n v="1"/>
    <x v="4"/>
    <x v="3"/>
    <x v="0"/>
    <n v="68"/>
    <x v="0"/>
    <x v="0"/>
    <n v="75"/>
    <x v="0"/>
    <x v="0"/>
    <x v="0"/>
    <x v="3"/>
    <x v="2"/>
    <x v="50"/>
    <n v="4009"/>
    <n v="5"/>
    <s v="Y"/>
    <x v="0"/>
    <n v="21"/>
    <x v="1"/>
    <x v="3"/>
    <n v="80"/>
    <n v="1"/>
    <n v="9"/>
    <n v="2"/>
    <x v="2"/>
    <x v="9"/>
    <n v="3"/>
    <x v="1"/>
    <x v="6"/>
    <x v="0"/>
    <x v="2"/>
    <x v="0"/>
    <n v="0"/>
  </r>
  <r>
    <x v="10"/>
    <x v="1"/>
    <x v="2"/>
    <n v="1097"/>
    <x v="1"/>
    <n v="11"/>
    <x v="0"/>
    <x v="2"/>
    <x v="0"/>
    <n v="70"/>
    <x v="1"/>
    <x v="1"/>
    <n v="79"/>
    <x v="1"/>
    <x v="2"/>
    <x v="4"/>
    <x v="3"/>
    <x v="1"/>
    <x v="51"/>
    <n v="8302"/>
    <n v="2"/>
    <s v="Y"/>
    <x v="0"/>
    <n v="13"/>
    <x v="0"/>
    <x v="3"/>
    <n v="80"/>
    <n v="1"/>
    <n v="10"/>
    <n v="3"/>
    <x v="1"/>
    <x v="9"/>
    <n v="0"/>
    <x v="3"/>
    <x v="6"/>
    <x v="1"/>
    <x v="2"/>
    <x v="0"/>
    <n v="0"/>
  </r>
  <r>
    <x v="25"/>
    <x v="1"/>
    <x v="0"/>
    <n v="1443"/>
    <x v="0"/>
    <n v="23"/>
    <x v="3"/>
    <x v="3"/>
    <x v="0"/>
    <n v="72"/>
    <x v="1"/>
    <x v="0"/>
    <n v="47"/>
    <x v="1"/>
    <x v="0"/>
    <x v="0"/>
    <x v="0"/>
    <x v="1"/>
    <x v="52"/>
    <n v="21436"/>
    <n v="7"/>
    <s v="Y"/>
    <x v="0"/>
    <n v="19"/>
    <x v="0"/>
    <x v="3"/>
    <n v="80"/>
    <n v="1"/>
    <n v="5"/>
    <n v="2"/>
    <x v="2"/>
    <x v="4"/>
    <n v="2"/>
    <x v="0"/>
    <x v="2"/>
    <x v="2"/>
    <x v="1"/>
    <x v="1"/>
    <n v="0"/>
  </r>
  <r>
    <x v="3"/>
    <x v="1"/>
    <x v="1"/>
    <n v="515"/>
    <x v="1"/>
    <n v="1"/>
    <x v="0"/>
    <x v="0"/>
    <x v="0"/>
    <n v="73"/>
    <x v="3"/>
    <x v="0"/>
    <n v="98"/>
    <x v="0"/>
    <x v="2"/>
    <x v="7"/>
    <x v="0"/>
    <x v="0"/>
    <x v="53"/>
    <n v="15146"/>
    <n v="1"/>
    <s v="Y"/>
    <x v="0"/>
    <n v="12"/>
    <x v="0"/>
    <x v="3"/>
    <n v="80"/>
    <n v="0"/>
    <n v="15"/>
    <n v="1"/>
    <x v="1"/>
    <x v="15"/>
    <n v="14"/>
    <x v="6"/>
    <x v="11"/>
    <x v="1"/>
    <x v="3"/>
    <x v="3"/>
    <n v="0"/>
  </r>
  <r>
    <x v="10"/>
    <x v="1"/>
    <x v="1"/>
    <n v="853"/>
    <x v="0"/>
    <n v="18"/>
    <x v="4"/>
    <x v="0"/>
    <x v="0"/>
    <n v="74"/>
    <x v="0"/>
    <x v="1"/>
    <n v="71"/>
    <x v="0"/>
    <x v="2"/>
    <x v="0"/>
    <x v="3"/>
    <x v="1"/>
    <x v="54"/>
    <n v="11031"/>
    <n v="1"/>
    <s v="Y"/>
    <x v="1"/>
    <n v="22"/>
    <x v="1"/>
    <x v="1"/>
    <n v="80"/>
    <n v="1"/>
    <n v="9"/>
    <n v="3"/>
    <x v="2"/>
    <x v="7"/>
    <n v="8"/>
    <x v="1"/>
    <x v="5"/>
    <x v="1"/>
    <x v="0"/>
    <x v="0"/>
    <n v="0"/>
  </r>
  <r>
    <x v="10"/>
    <x v="1"/>
    <x v="0"/>
    <n v="1142"/>
    <x v="1"/>
    <n v="23"/>
    <x v="2"/>
    <x v="2"/>
    <x v="0"/>
    <n v="75"/>
    <x v="1"/>
    <x v="0"/>
    <n v="30"/>
    <x v="0"/>
    <x v="1"/>
    <x v="2"/>
    <x v="3"/>
    <x v="1"/>
    <x v="55"/>
    <n v="16002"/>
    <n v="3"/>
    <s v="Y"/>
    <x v="0"/>
    <n v="15"/>
    <x v="0"/>
    <x v="3"/>
    <n v="80"/>
    <n v="1"/>
    <n v="4"/>
    <n v="3"/>
    <x v="1"/>
    <x v="4"/>
    <n v="2"/>
    <x v="3"/>
    <x v="3"/>
    <x v="1"/>
    <x v="1"/>
    <x v="1"/>
    <n v="0"/>
  </r>
  <r>
    <x v="12"/>
    <x v="1"/>
    <x v="0"/>
    <n v="655"/>
    <x v="1"/>
    <n v="7"/>
    <x v="2"/>
    <x v="0"/>
    <x v="0"/>
    <n v="76"/>
    <x v="2"/>
    <x v="1"/>
    <n v="48"/>
    <x v="0"/>
    <x v="0"/>
    <x v="2"/>
    <x v="0"/>
    <x v="2"/>
    <x v="56"/>
    <n v="9528"/>
    <n v="3"/>
    <s v="Y"/>
    <x v="1"/>
    <n v="22"/>
    <x v="1"/>
    <x v="1"/>
    <n v="80"/>
    <n v="1"/>
    <n v="10"/>
    <n v="3"/>
    <x v="2"/>
    <x v="5"/>
    <n v="7"/>
    <x v="1"/>
    <x v="1"/>
    <x v="1"/>
    <x v="0"/>
    <x v="0"/>
    <n v="0"/>
  </r>
  <r>
    <x v="2"/>
    <x v="1"/>
    <x v="0"/>
    <n v="1115"/>
    <x v="1"/>
    <n v="1"/>
    <x v="2"/>
    <x v="0"/>
    <x v="0"/>
    <n v="77"/>
    <x v="3"/>
    <x v="1"/>
    <n v="51"/>
    <x v="1"/>
    <x v="0"/>
    <x v="3"/>
    <x v="2"/>
    <x v="2"/>
    <x v="0"/>
    <n v="2689"/>
    <n v="1"/>
    <s v="Y"/>
    <x v="1"/>
    <n v="18"/>
    <x v="0"/>
    <x v="3"/>
    <n v="80"/>
    <n v="1"/>
    <n v="7"/>
    <n v="2"/>
    <x v="3"/>
    <x v="5"/>
    <n v="5"/>
    <x v="0"/>
    <x v="1"/>
    <x v="1"/>
    <x v="0"/>
    <x v="0"/>
    <n v="0"/>
  </r>
  <r>
    <x v="5"/>
    <x v="1"/>
    <x v="0"/>
    <n v="427"/>
    <x v="1"/>
    <n v="1"/>
    <x v="3"/>
    <x v="2"/>
    <x v="0"/>
    <n v="78"/>
    <x v="3"/>
    <x v="1"/>
    <n v="33"/>
    <x v="0"/>
    <x v="0"/>
    <x v="3"/>
    <x v="0"/>
    <x v="1"/>
    <x v="57"/>
    <n v="10877"/>
    <n v="1"/>
    <s v="Y"/>
    <x v="0"/>
    <n v="22"/>
    <x v="1"/>
    <x v="2"/>
    <n v="80"/>
    <n v="1"/>
    <n v="9"/>
    <n v="3"/>
    <x v="1"/>
    <x v="7"/>
    <n v="8"/>
    <x v="4"/>
    <x v="5"/>
    <x v="1"/>
    <x v="0"/>
    <x v="0"/>
    <n v="0"/>
  </r>
  <r>
    <x v="8"/>
    <x v="1"/>
    <x v="1"/>
    <n v="653"/>
    <x v="1"/>
    <n v="29"/>
    <x v="4"/>
    <x v="0"/>
    <x v="0"/>
    <n v="79"/>
    <x v="2"/>
    <x v="0"/>
    <n v="50"/>
    <x v="0"/>
    <x v="0"/>
    <x v="2"/>
    <x v="0"/>
    <x v="0"/>
    <x v="58"/>
    <n v="5456"/>
    <n v="1"/>
    <s v="Y"/>
    <x v="1"/>
    <n v="11"/>
    <x v="0"/>
    <x v="1"/>
    <n v="80"/>
    <n v="0"/>
    <n v="10"/>
    <n v="2"/>
    <x v="1"/>
    <x v="1"/>
    <n v="3"/>
    <x v="10"/>
    <x v="12"/>
    <x v="1"/>
    <x v="0"/>
    <x v="1"/>
    <n v="0"/>
  </r>
  <r>
    <x v="24"/>
    <x v="1"/>
    <x v="0"/>
    <n v="989"/>
    <x v="1"/>
    <n v="7"/>
    <x v="0"/>
    <x v="2"/>
    <x v="0"/>
    <n v="80"/>
    <x v="0"/>
    <x v="0"/>
    <n v="43"/>
    <x v="1"/>
    <x v="4"/>
    <x v="7"/>
    <x v="2"/>
    <x v="2"/>
    <x v="59"/>
    <n v="16701"/>
    <n v="5"/>
    <s v="Y"/>
    <x v="0"/>
    <n v="12"/>
    <x v="0"/>
    <x v="1"/>
    <n v="80"/>
    <n v="1"/>
    <n v="29"/>
    <n v="2"/>
    <x v="2"/>
    <x v="16"/>
    <n v="3"/>
    <x v="11"/>
    <x v="5"/>
    <x v="3"/>
    <x v="3"/>
    <x v="2"/>
    <n v="0"/>
  </r>
  <r>
    <x v="6"/>
    <x v="1"/>
    <x v="0"/>
    <n v="1435"/>
    <x v="0"/>
    <n v="25"/>
    <x v="3"/>
    <x v="0"/>
    <x v="0"/>
    <n v="81"/>
    <x v="3"/>
    <x v="0"/>
    <n v="99"/>
    <x v="0"/>
    <x v="2"/>
    <x v="0"/>
    <x v="3"/>
    <x v="0"/>
    <x v="60"/>
    <n v="2354"/>
    <n v="7"/>
    <s v="Y"/>
    <x v="1"/>
    <n v="11"/>
    <x v="0"/>
    <x v="1"/>
    <n v="80"/>
    <n v="0"/>
    <n v="28"/>
    <n v="3"/>
    <x v="2"/>
    <x v="17"/>
    <n v="16"/>
    <x v="4"/>
    <x v="12"/>
    <x v="3"/>
    <x v="3"/>
    <x v="0"/>
    <n v="0"/>
  </r>
  <r>
    <x v="9"/>
    <x v="1"/>
    <x v="0"/>
    <n v="1223"/>
    <x v="1"/>
    <n v="8"/>
    <x v="3"/>
    <x v="4"/>
    <x v="0"/>
    <n v="83"/>
    <x v="1"/>
    <x v="0"/>
    <n v="59"/>
    <x v="0"/>
    <x v="2"/>
    <x v="4"/>
    <x v="2"/>
    <x v="2"/>
    <x v="61"/>
    <n v="8202"/>
    <n v="1"/>
    <s v="Y"/>
    <x v="1"/>
    <n v="13"/>
    <x v="0"/>
    <x v="2"/>
    <n v="80"/>
    <n v="3"/>
    <n v="17"/>
    <n v="2"/>
    <x v="1"/>
    <x v="18"/>
    <n v="14"/>
    <x v="12"/>
    <x v="5"/>
    <x v="1"/>
    <x v="3"/>
    <x v="3"/>
    <n v="0"/>
  </r>
  <r>
    <x v="27"/>
    <x v="1"/>
    <x v="0"/>
    <n v="836"/>
    <x v="1"/>
    <n v="8"/>
    <x v="3"/>
    <x v="2"/>
    <x v="0"/>
    <n v="84"/>
    <x v="2"/>
    <x v="0"/>
    <n v="33"/>
    <x v="0"/>
    <x v="3"/>
    <x v="5"/>
    <x v="2"/>
    <x v="2"/>
    <x v="62"/>
    <n v="19730"/>
    <n v="2"/>
    <s v="Y"/>
    <x v="0"/>
    <n v="14"/>
    <x v="0"/>
    <x v="3"/>
    <n v="80"/>
    <n v="3"/>
    <n v="21"/>
    <n v="2"/>
    <x v="1"/>
    <x v="8"/>
    <n v="0"/>
    <x v="0"/>
    <x v="3"/>
    <x v="3"/>
    <x v="2"/>
    <x v="3"/>
    <n v="0"/>
  </r>
  <r>
    <x v="9"/>
    <x v="1"/>
    <x v="1"/>
    <n v="1195"/>
    <x v="1"/>
    <n v="11"/>
    <x v="3"/>
    <x v="0"/>
    <x v="0"/>
    <n v="85"/>
    <x v="0"/>
    <x v="1"/>
    <n v="95"/>
    <x v="1"/>
    <x v="0"/>
    <x v="3"/>
    <x v="1"/>
    <x v="0"/>
    <x v="63"/>
    <n v="22656"/>
    <n v="1"/>
    <s v="Y"/>
    <x v="1"/>
    <n v="13"/>
    <x v="0"/>
    <x v="3"/>
    <n v="80"/>
    <n v="0"/>
    <n v="6"/>
    <n v="3"/>
    <x v="1"/>
    <x v="0"/>
    <n v="5"/>
    <x v="0"/>
    <x v="6"/>
    <x v="1"/>
    <x v="0"/>
    <x v="0"/>
    <n v="0"/>
  </r>
  <r>
    <x v="28"/>
    <x v="1"/>
    <x v="0"/>
    <n v="1339"/>
    <x v="1"/>
    <n v="7"/>
    <x v="3"/>
    <x v="0"/>
    <x v="0"/>
    <n v="86"/>
    <x v="0"/>
    <x v="1"/>
    <n v="59"/>
    <x v="0"/>
    <x v="2"/>
    <x v="1"/>
    <x v="3"/>
    <x v="2"/>
    <x v="64"/>
    <n v="18787"/>
    <n v="2"/>
    <s v="Y"/>
    <x v="1"/>
    <n v="17"/>
    <x v="0"/>
    <x v="3"/>
    <n v="80"/>
    <n v="1"/>
    <n v="25"/>
    <n v="2"/>
    <x v="1"/>
    <x v="6"/>
    <n v="0"/>
    <x v="0"/>
    <x v="2"/>
    <x v="0"/>
    <x v="1"/>
    <x v="0"/>
    <n v="0"/>
  </r>
  <r>
    <x v="10"/>
    <x v="1"/>
    <x v="1"/>
    <n v="664"/>
    <x v="1"/>
    <n v="1"/>
    <x v="3"/>
    <x v="2"/>
    <x v="0"/>
    <n v="88"/>
    <x v="0"/>
    <x v="1"/>
    <n v="79"/>
    <x v="0"/>
    <x v="1"/>
    <x v="1"/>
    <x v="3"/>
    <x v="1"/>
    <x v="65"/>
    <n v="5868"/>
    <n v="4"/>
    <s v="Y"/>
    <x v="1"/>
    <n v="13"/>
    <x v="0"/>
    <x v="1"/>
    <n v="80"/>
    <n v="1"/>
    <n v="5"/>
    <n v="2"/>
    <x v="2"/>
    <x v="11"/>
    <n v="2"/>
    <x v="1"/>
    <x v="3"/>
    <x v="1"/>
    <x v="2"/>
    <x v="1"/>
    <n v="0"/>
  </r>
  <r>
    <x v="9"/>
    <x v="0"/>
    <x v="0"/>
    <n v="318"/>
    <x v="1"/>
    <n v="9"/>
    <x v="3"/>
    <x v="2"/>
    <x v="0"/>
    <n v="90"/>
    <x v="2"/>
    <x v="1"/>
    <n v="79"/>
    <x v="1"/>
    <x v="1"/>
    <x v="1"/>
    <x v="2"/>
    <x v="1"/>
    <x v="66"/>
    <n v="21777"/>
    <n v="0"/>
    <s v="Y"/>
    <x v="0"/>
    <n v="17"/>
    <x v="0"/>
    <x v="0"/>
    <n v="80"/>
    <n v="1"/>
    <n v="2"/>
    <n v="0"/>
    <x v="2"/>
    <x v="6"/>
    <n v="0"/>
    <x v="0"/>
    <x v="2"/>
    <x v="1"/>
    <x v="1"/>
    <x v="1"/>
    <n v="1"/>
  </r>
  <r>
    <x v="6"/>
    <x v="1"/>
    <x v="1"/>
    <n v="1225"/>
    <x v="0"/>
    <n v="1"/>
    <x v="1"/>
    <x v="0"/>
    <x v="0"/>
    <n v="91"/>
    <x v="3"/>
    <x v="0"/>
    <n v="57"/>
    <x v="1"/>
    <x v="0"/>
    <x v="0"/>
    <x v="2"/>
    <x v="0"/>
    <x v="67"/>
    <n v="24668"/>
    <n v="7"/>
    <s v="Y"/>
    <x v="1"/>
    <n v="11"/>
    <x v="0"/>
    <x v="1"/>
    <n v="80"/>
    <n v="0"/>
    <n v="20"/>
    <n v="2"/>
    <x v="2"/>
    <x v="9"/>
    <n v="3"/>
    <x v="1"/>
    <x v="6"/>
    <x v="3"/>
    <x v="2"/>
    <x v="0"/>
    <n v="0"/>
  </r>
  <r>
    <x v="11"/>
    <x v="1"/>
    <x v="0"/>
    <n v="1328"/>
    <x v="1"/>
    <n v="2"/>
    <x v="3"/>
    <x v="0"/>
    <x v="0"/>
    <n v="94"/>
    <x v="1"/>
    <x v="1"/>
    <n v="76"/>
    <x v="0"/>
    <x v="1"/>
    <x v="1"/>
    <x v="1"/>
    <x v="1"/>
    <x v="68"/>
    <n v="4956"/>
    <n v="0"/>
    <s v="Y"/>
    <x v="1"/>
    <n v="23"/>
    <x v="1"/>
    <x v="1"/>
    <n v="80"/>
    <n v="1"/>
    <n v="6"/>
    <n v="3"/>
    <x v="1"/>
    <x v="8"/>
    <n v="4"/>
    <x v="0"/>
    <x v="10"/>
    <x v="2"/>
    <x v="2"/>
    <x v="1"/>
    <n v="0"/>
  </r>
  <r>
    <x v="12"/>
    <x v="1"/>
    <x v="0"/>
    <n v="1082"/>
    <x v="1"/>
    <n v="1"/>
    <x v="2"/>
    <x v="2"/>
    <x v="0"/>
    <n v="95"/>
    <x v="1"/>
    <x v="1"/>
    <n v="87"/>
    <x v="0"/>
    <x v="1"/>
    <x v="1"/>
    <x v="1"/>
    <x v="0"/>
    <x v="69"/>
    <n v="18775"/>
    <n v="1"/>
    <s v="Y"/>
    <x v="1"/>
    <n v="17"/>
    <x v="0"/>
    <x v="2"/>
    <n v="80"/>
    <n v="0"/>
    <n v="1"/>
    <n v="4"/>
    <x v="1"/>
    <x v="6"/>
    <n v="1"/>
    <x v="1"/>
    <x v="2"/>
    <x v="1"/>
    <x v="1"/>
    <x v="1"/>
    <n v="0"/>
  </r>
  <r>
    <x v="5"/>
    <x v="1"/>
    <x v="0"/>
    <n v="548"/>
    <x v="1"/>
    <n v="1"/>
    <x v="3"/>
    <x v="0"/>
    <x v="0"/>
    <n v="96"/>
    <x v="0"/>
    <x v="1"/>
    <n v="66"/>
    <x v="0"/>
    <x v="0"/>
    <x v="1"/>
    <x v="1"/>
    <x v="1"/>
    <x v="70"/>
    <n v="7346"/>
    <n v="1"/>
    <s v="Y"/>
    <x v="1"/>
    <n v="17"/>
    <x v="0"/>
    <x v="2"/>
    <n v="80"/>
    <n v="2"/>
    <n v="10"/>
    <n v="3"/>
    <x v="1"/>
    <x v="1"/>
    <n v="4"/>
    <x v="0"/>
    <x v="12"/>
    <x v="1"/>
    <x v="0"/>
    <x v="0"/>
    <n v="0"/>
  </r>
  <r>
    <x v="9"/>
    <x v="1"/>
    <x v="0"/>
    <n v="132"/>
    <x v="1"/>
    <n v="6"/>
    <x v="3"/>
    <x v="0"/>
    <x v="0"/>
    <n v="97"/>
    <x v="0"/>
    <x v="0"/>
    <n v="55"/>
    <x v="2"/>
    <x v="1"/>
    <x v="2"/>
    <x v="0"/>
    <x v="1"/>
    <x v="71"/>
    <n v="22002"/>
    <n v="3"/>
    <s v="Y"/>
    <x v="1"/>
    <n v="12"/>
    <x v="0"/>
    <x v="2"/>
    <n v="80"/>
    <n v="0"/>
    <n v="5"/>
    <n v="3"/>
    <x v="1"/>
    <x v="6"/>
    <n v="0"/>
    <x v="0"/>
    <x v="2"/>
    <x v="1"/>
    <x v="1"/>
    <x v="1"/>
    <n v="0"/>
  </r>
  <r>
    <x v="12"/>
    <x v="1"/>
    <x v="0"/>
    <n v="746"/>
    <x v="1"/>
    <n v="8"/>
    <x v="2"/>
    <x v="0"/>
    <x v="0"/>
    <n v="98"/>
    <x v="1"/>
    <x v="0"/>
    <n v="61"/>
    <x v="0"/>
    <x v="0"/>
    <x v="3"/>
    <x v="0"/>
    <x v="0"/>
    <x v="72"/>
    <n v="20682"/>
    <n v="1"/>
    <s v="Y"/>
    <x v="1"/>
    <n v="23"/>
    <x v="1"/>
    <x v="1"/>
    <n v="80"/>
    <n v="0"/>
    <n v="11"/>
    <n v="2"/>
    <x v="1"/>
    <x v="19"/>
    <n v="7"/>
    <x v="1"/>
    <x v="5"/>
    <x v="1"/>
    <x v="3"/>
    <x v="1"/>
    <n v="0"/>
  </r>
  <r>
    <x v="10"/>
    <x v="1"/>
    <x v="0"/>
    <n v="776"/>
    <x v="0"/>
    <n v="1"/>
    <x v="2"/>
    <x v="3"/>
    <x v="0"/>
    <n v="100"/>
    <x v="1"/>
    <x v="1"/>
    <n v="32"/>
    <x v="1"/>
    <x v="0"/>
    <x v="0"/>
    <x v="3"/>
    <x v="0"/>
    <x v="73"/>
    <n v="23016"/>
    <n v="0"/>
    <s v="Y"/>
    <x v="1"/>
    <n v="14"/>
    <x v="0"/>
    <x v="2"/>
    <n v="80"/>
    <n v="0"/>
    <n v="16"/>
    <n v="2"/>
    <x v="1"/>
    <x v="15"/>
    <n v="13"/>
    <x v="3"/>
    <x v="5"/>
    <x v="1"/>
    <x v="3"/>
    <x v="1"/>
    <n v="0"/>
  </r>
  <r>
    <x v="28"/>
    <x v="1"/>
    <x v="0"/>
    <n v="193"/>
    <x v="1"/>
    <n v="6"/>
    <x v="2"/>
    <x v="1"/>
    <x v="0"/>
    <n v="101"/>
    <x v="2"/>
    <x v="1"/>
    <n v="52"/>
    <x v="0"/>
    <x v="2"/>
    <x v="7"/>
    <x v="3"/>
    <x v="1"/>
    <x v="74"/>
    <n v="15067"/>
    <n v="4"/>
    <s v="Y"/>
    <x v="0"/>
    <n v="14"/>
    <x v="0"/>
    <x v="2"/>
    <n v="80"/>
    <n v="0"/>
    <n v="17"/>
    <n v="3"/>
    <x v="3"/>
    <x v="2"/>
    <n v="0"/>
    <x v="0"/>
    <x v="2"/>
    <x v="0"/>
    <x v="1"/>
    <x v="3"/>
    <n v="0"/>
  </r>
  <r>
    <x v="2"/>
    <x v="1"/>
    <x v="0"/>
    <n v="397"/>
    <x v="1"/>
    <n v="7"/>
    <x v="2"/>
    <x v="2"/>
    <x v="0"/>
    <n v="102"/>
    <x v="3"/>
    <x v="1"/>
    <n v="30"/>
    <x v="0"/>
    <x v="2"/>
    <x v="7"/>
    <x v="2"/>
    <x v="0"/>
    <x v="75"/>
    <n v="25258"/>
    <n v="4"/>
    <s v="Y"/>
    <x v="1"/>
    <n v="13"/>
    <x v="0"/>
    <x v="0"/>
    <n v="80"/>
    <n v="0"/>
    <n v="16"/>
    <n v="3"/>
    <x v="3"/>
    <x v="8"/>
    <n v="2"/>
    <x v="0"/>
    <x v="3"/>
    <x v="1"/>
    <x v="2"/>
    <x v="3"/>
    <n v="0"/>
  </r>
  <r>
    <x v="21"/>
    <x v="1"/>
    <x v="0"/>
    <n v="945"/>
    <x v="2"/>
    <n v="5"/>
    <x v="0"/>
    <x v="2"/>
    <x v="0"/>
    <n v="103"/>
    <x v="0"/>
    <x v="1"/>
    <n v="80"/>
    <x v="0"/>
    <x v="0"/>
    <x v="8"/>
    <x v="1"/>
    <x v="2"/>
    <x v="76"/>
    <n v="10425"/>
    <n v="8"/>
    <s v="Y"/>
    <x v="0"/>
    <n v="22"/>
    <x v="1"/>
    <x v="1"/>
    <n v="80"/>
    <n v="1"/>
    <n v="16"/>
    <n v="2"/>
    <x v="1"/>
    <x v="9"/>
    <n v="2"/>
    <x v="0"/>
    <x v="3"/>
    <x v="0"/>
    <x v="2"/>
    <x v="0"/>
    <n v="0"/>
  </r>
  <r>
    <x v="7"/>
    <x v="1"/>
    <x v="0"/>
    <n v="852"/>
    <x v="1"/>
    <n v="1"/>
    <x v="1"/>
    <x v="0"/>
    <x v="0"/>
    <n v="104"/>
    <x v="2"/>
    <x v="1"/>
    <n v="55"/>
    <x v="1"/>
    <x v="0"/>
    <x v="2"/>
    <x v="0"/>
    <x v="1"/>
    <x v="77"/>
    <n v="15998"/>
    <n v="1"/>
    <s v="Y"/>
    <x v="0"/>
    <n v="12"/>
    <x v="0"/>
    <x v="3"/>
    <n v="80"/>
    <n v="2"/>
    <n v="10"/>
    <n v="1"/>
    <x v="2"/>
    <x v="1"/>
    <n v="8"/>
    <x v="2"/>
    <x v="2"/>
    <x v="1"/>
    <x v="0"/>
    <x v="0"/>
    <n v="0"/>
  </r>
  <r>
    <x v="10"/>
    <x v="1"/>
    <x v="0"/>
    <n v="1214"/>
    <x v="1"/>
    <n v="1"/>
    <x v="3"/>
    <x v="2"/>
    <x v="0"/>
    <n v="105"/>
    <x v="0"/>
    <x v="1"/>
    <n v="30"/>
    <x v="1"/>
    <x v="1"/>
    <x v="1"/>
    <x v="2"/>
    <x v="0"/>
    <x v="78"/>
    <n v="26278"/>
    <n v="1"/>
    <s v="Y"/>
    <x v="1"/>
    <n v="18"/>
    <x v="0"/>
    <x v="0"/>
    <n v="80"/>
    <n v="0"/>
    <n v="6"/>
    <n v="3"/>
    <x v="1"/>
    <x v="0"/>
    <n v="4"/>
    <x v="0"/>
    <x v="10"/>
    <x v="1"/>
    <x v="0"/>
    <x v="1"/>
    <n v="0"/>
  </r>
  <r>
    <x v="27"/>
    <x v="1"/>
    <x v="0"/>
    <n v="111"/>
    <x v="0"/>
    <n v="1"/>
    <x v="0"/>
    <x v="0"/>
    <x v="0"/>
    <n v="106"/>
    <x v="3"/>
    <x v="1"/>
    <n v="70"/>
    <x v="0"/>
    <x v="2"/>
    <x v="0"/>
    <x v="0"/>
    <x v="1"/>
    <x v="79"/>
    <n v="18092"/>
    <n v="3"/>
    <s v="Y"/>
    <x v="1"/>
    <n v="14"/>
    <x v="0"/>
    <x v="1"/>
    <n v="80"/>
    <n v="1"/>
    <n v="24"/>
    <n v="4"/>
    <x v="1"/>
    <x v="6"/>
    <n v="0"/>
    <x v="1"/>
    <x v="2"/>
    <x v="3"/>
    <x v="1"/>
    <x v="3"/>
    <n v="0"/>
  </r>
  <r>
    <x v="8"/>
    <x v="1"/>
    <x v="2"/>
    <n v="573"/>
    <x v="1"/>
    <n v="6"/>
    <x v="3"/>
    <x v="2"/>
    <x v="0"/>
    <n v="107"/>
    <x v="0"/>
    <x v="0"/>
    <n v="79"/>
    <x v="3"/>
    <x v="0"/>
    <x v="1"/>
    <x v="0"/>
    <x v="2"/>
    <x v="80"/>
    <n v="15717"/>
    <n v="7"/>
    <s v="Y"/>
    <x v="0"/>
    <n v="12"/>
    <x v="0"/>
    <x v="1"/>
    <n v="80"/>
    <n v="3"/>
    <n v="17"/>
    <n v="3"/>
    <x v="1"/>
    <x v="20"/>
    <n v="11"/>
    <x v="1"/>
    <x v="12"/>
    <x v="1"/>
    <x v="3"/>
    <x v="0"/>
    <n v="0"/>
  </r>
  <r>
    <x v="13"/>
    <x v="1"/>
    <x v="0"/>
    <n v="1153"/>
    <x v="1"/>
    <n v="1"/>
    <x v="0"/>
    <x v="2"/>
    <x v="0"/>
    <n v="110"/>
    <x v="3"/>
    <x v="1"/>
    <n v="94"/>
    <x v="0"/>
    <x v="0"/>
    <x v="3"/>
    <x v="1"/>
    <x v="1"/>
    <x v="81"/>
    <n v="17736"/>
    <n v="1"/>
    <s v="Y"/>
    <x v="1"/>
    <n v="15"/>
    <x v="0"/>
    <x v="3"/>
    <n v="80"/>
    <n v="0"/>
    <n v="5"/>
    <n v="2"/>
    <x v="1"/>
    <x v="8"/>
    <n v="2"/>
    <x v="1"/>
    <x v="6"/>
    <x v="1"/>
    <x v="2"/>
    <x v="1"/>
    <n v="0"/>
  </r>
  <r>
    <x v="29"/>
    <x v="1"/>
    <x v="0"/>
    <n v="1400"/>
    <x v="1"/>
    <n v="7"/>
    <x v="3"/>
    <x v="0"/>
    <x v="0"/>
    <n v="112"/>
    <x v="2"/>
    <x v="1"/>
    <n v="49"/>
    <x v="3"/>
    <x v="2"/>
    <x v="3"/>
    <x v="0"/>
    <x v="0"/>
    <x v="82"/>
    <n v="21698"/>
    <n v="4"/>
    <s v="Y"/>
    <x v="1"/>
    <n v="11"/>
    <x v="0"/>
    <x v="0"/>
    <n v="80"/>
    <n v="0"/>
    <n v="37"/>
    <n v="3"/>
    <x v="2"/>
    <x v="0"/>
    <n v="4"/>
    <x v="0"/>
    <x v="3"/>
    <x v="3"/>
    <x v="0"/>
    <x v="0"/>
    <n v="0"/>
  </r>
  <r>
    <x v="30"/>
    <x v="1"/>
    <x v="0"/>
    <n v="541"/>
    <x v="0"/>
    <n v="2"/>
    <x v="1"/>
    <x v="4"/>
    <x v="0"/>
    <n v="113"/>
    <x v="1"/>
    <x v="1"/>
    <n v="62"/>
    <x v="0"/>
    <x v="1"/>
    <x v="6"/>
    <x v="3"/>
    <x v="2"/>
    <x v="83"/>
    <n v="9518"/>
    <n v="3"/>
    <s v="Y"/>
    <x v="1"/>
    <n v="13"/>
    <x v="0"/>
    <x v="3"/>
    <n v="80"/>
    <n v="1"/>
    <n v="3"/>
    <n v="3"/>
    <x v="1"/>
    <x v="2"/>
    <n v="0"/>
    <x v="0"/>
    <x v="2"/>
    <x v="2"/>
    <x v="1"/>
    <x v="1"/>
    <n v="0"/>
  </r>
  <r>
    <x v="31"/>
    <x v="1"/>
    <x v="0"/>
    <n v="432"/>
    <x v="1"/>
    <n v="9"/>
    <x v="2"/>
    <x v="0"/>
    <x v="0"/>
    <n v="116"/>
    <x v="2"/>
    <x v="1"/>
    <n v="96"/>
    <x v="0"/>
    <x v="1"/>
    <x v="2"/>
    <x v="0"/>
    <x v="1"/>
    <x v="84"/>
    <n v="18725"/>
    <n v="3"/>
    <s v="Y"/>
    <x v="1"/>
    <n v="23"/>
    <x v="1"/>
    <x v="2"/>
    <n v="80"/>
    <n v="2"/>
    <n v="10"/>
    <n v="4"/>
    <x v="1"/>
    <x v="9"/>
    <n v="2"/>
    <x v="0"/>
    <x v="6"/>
    <x v="3"/>
    <x v="2"/>
    <x v="1"/>
    <n v="0"/>
  </r>
  <r>
    <x v="7"/>
    <x v="1"/>
    <x v="0"/>
    <n v="288"/>
    <x v="1"/>
    <n v="2"/>
    <x v="3"/>
    <x v="0"/>
    <x v="0"/>
    <n v="117"/>
    <x v="1"/>
    <x v="1"/>
    <n v="99"/>
    <x v="1"/>
    <x v="0"/>
    <x v="4"/>
    <x v="0"/>
    <x v="1"/>
    <x v="85"/>
    <n v="15830"/>
    <n v="1"/>
    <s v="Y"/>
    <x v="1"/>
    <n v="19"/>
    <x v="0"/>
    <x v="0"/>
    <n v="80"/>
    <n v="3"/>
    <n v="11"/>
    <n v="3"/>
    <x v="1"/>
    <x v="19"/>
    <n v="10"/>
    <x v="13"/>
    <x v="5"/>
    <x v="1"/>
    <x v="3"/>
    <x v="1"/>
    <n v="0"/>
  </r>
  <r>
    <x v="21"/>
    <x v="0"/>
    <x v="0"/>
    <n v="669"/>
    <x v="0"/>
    <n v="9"/>
    <x v="0"/>
    <x v="2"/>
    <x v="0"/>
    <n v="118"/>
    <x v="1"/>
    <x v="1"/>
    <n v="64"/>
    <x v="1"/>
    <x v="2"/>
    <x v="0"/>
    <x v="0"/>
    <x v="0"/>
    <x v="86"/>
    <n v="13596"/>
    <n v="1"/>
    <s v="Y"/>
    <x v="1"/>
    <n v="16"/>
    <x v="0"/>
    <x v="1"/>
    <n v="80"/>
    <n v="0"/>
    <n v="9"/>
    <n v="3"/>
    <x v="1"/>
    <x v="7"/>
    <n v="8"/>
    <x v="5"/>
    <x v="1"/>
    <x v="0"/>
    <x v="0"/>
    <x v="0"/>
    <n v="1"/>
  </r>
  <r>
    <x v="32"/>
    <x v="1"/>
    <x v="1"/>
    <n v="530"/>
    <x v="1"/>
    <n v="1"/>
    <x v="2"/>
    <x v="0"/>
    <x v="0"/>
    <n v="119"/>
    <x v="1"/>
    <x v="1"/>
    <n v="78"/>
    <x v="1"/>
    <x v="3"/>
    <x v="4"/>
    <x v="1"/>
    <x v="1"/>
    <x v="87"/>
    <n v="14115"/>
    <n v="1"/>
    <s v="Y"/>
    <x v="1"/>
    <n v="22"/>
    <x v="1"/>
    <x v="1"/>
    <n v="80"/>
    <n v="1"/>
    <n v="22"/>
    <n v="3"/>
    <x v="2"/>
    <x v="14"/>
    <n v="3"/>
    <x v="14"/>
    <x v="7"/>
    <x v="0"/>
    <x v="3"/>
    <x v="3"/>
    <n v="0"/>
  </r>
  <r>
    <x v="31"/>
    <x v="1"/>
    <x v="0"/>
    <n v="632"/>
    <x v="0"/>
    <n v="21"/>
    <x v="2"/>
    <x v="3"/>
    <x v="0"/>
    <n v="120"/>
    <x v="1"/>
    <x v="1"/>
    <n v="71"/>
    <x v="0"/>
    <x v="0"/>
    <x v="0"/>
    <x v="0"/>
    <x v="0"/>
    <x v="88"/>
    <n v="8423"/>
    <n v="0"/>
    <s v="Y"/>
    <x v="0"/>
    <n v="22"/>
    <x v="1"/>
    <x v="1"/>
    <n v="80"/>
    <n v="0"/>
    <n v="11"/>
    <n v="2"/>
    <x v="0"/>
    <x v="1"/>
    <n v="7"/>
    <x v="1"/>
    <x v="2"/>
    <x v="3"/>
    <x v="0"/>
    <x v="0"/>
    <n v="0"/>
  </r>
  <r>
    <x v="7"/>
    <x v="1"/>
    <x v="0"/>
    <n v="1334"/>
    <x v="0"/>
    <n v="4"/>
    <x v="0"/>
    <x v="2"/>
    <x v="0"/>
    <n v="121"/>
    <x v="1"/>
    <x v="0"/>
    <n v="63"/>
    <x v="1"/>
    <x v="0"/>
    <x v="0"/>
    <x v="1"/>
    <x v="2"/>
    <x v="89"/>
    <n v="19760"/>
    <n v="1"/>
    <s v="Y"/>
    <x v="0"/>
    <n v="12"/>
    <x v="0"/>
    <x v="2"/>
    <n v="80"/>
    <n v="3"/>
    <n v="11"/>
    <n v="4"/>
    <x v="2"/>
    <x v="19"/>
    <n v="8"/>
    <x v="3"/>
    <x v="1"/>
    <x v="1"/>
    <x v="3"/>
    <x v="0"/>
    <n v="0"/>
  </r>
  <r>
    <x v="21"/>
    <x v="1"/>
    <x v="1"/>
    <n v="638"/>
    <x v="1"/>
    <n v="1"/>
    <x v="3"/>
    <x v="2"/>
    <x v="0"/>
    <n v="124"/>
    <x v="1"/>
    <x v="1"/>
    <n v="40"/>
    <x v="1"/>
    <x v="2"/>
    <x v="4"/>
    <x v="3"/>
    <x v="1"/>
    <x v="90"/>
    <n v="3142"/>
    <n v="2"/>
    <s v="Y"/>
    <x v="0"/>
    <n v="13"/>
    <x v="0"/>
    <x v="3"/>
    <n v="80"/>
    <n v="1"/>
    <n v="21"/>
    <n v="5"/>
    <x v="2"/>
    <x v="1"/>
    <n v="9"/>
    <x v="10"/>
    <x v="0"/>
    <x v="0"/>
    <x v="0"/>
    <x v="3"/>
    <n v="0"/>
  </r>
  <r>
    <x v="5"/>
    <x v="1"/>
    <x v="0"/>
    <n v="1093"/>
    <x v="0"/>
    <n v="6"/>
    <x v="2"/>
    <x v="2"/>
    <x v="0"/>
    <n v="125"/>
    <x v="0"/>
    <x v="1"/>
    <n v="87"/>
    <x v="0"/>
    <x v="0"/>
    <x v="0"/>
    <x v="2"/>
    <x v="0"/>
    <x v="91"/>
    <n v="24301"/>
    <n v="1"/>
    <s v="Y"/>
    <x v="1"/>
    <n v="16"/>
    <x v="0"/>
    <x v="0"/>
    <n v="80"/>
    <n v="0"/>
    <n v="12"/>
    <n v="0"/>
    <x v="1"/>
    <x v="19"/>
    <n v="8"/>
    <x v="8"/>
    <x v="1"/>
    <x v="1"/>
    <x v="3"/>
    <x v="0"/>
    <n v="0"/>
  </r>
  <r>
    <x v="33"/>
    <x v="1"/>
    <x v="0"/>
    <n v="1217"/>
    <x v="1"/>
    <n v="2"/>
    <x v="2"/>
    <x v="4"/>
    <x v="0"/>
    <n v="126"/>
    <x v="3"/>
    <x v="0"/>
    <n v="60"/>
    <x v="0"/>
    <x v="2"/>
    <x v="7"/>
    <x v="2"/>
    <x v="1"/>
    <x v="92"/>
    <n v="24001"/>
    <n v="9"/>
    <s v="Y"/>
    <x v="1"/>
    <n v="12"/>
    <x v="0"/>
    <x v="0"/>
    <n v="80"/>
    <n v="1"/>
    <n v="16"/>
    <n v="5"/>
    <x v="0"/>
    <x v="9"/>
    <n v="3"/>
    <x v="0"/>
    <x v="6"/>
    <x v="3"/>
    <x v="2"/>
    <x v="3"/>
    <n v="0"/>
  </r>
  <r>
    <x v="17"/>
    <x v="1"/>
    <x v="0"/>
    <n v="1353"/>
    <x v="0"/>
    <n v="3"/>
    <x v="0"/>
    <x v="1"/>
    <x v="0"/>
    <n v="128"/>
    <x v="3"/>
    <x v="0"/>
    <n v="33"/>
    <x v="0"/>
    <x v="0"/>
    <x v="0"/>
    <x v="2"/>
    <x v="1"/>
    <x v="93"/>
    <n v="17519"/>
    <n v="0"/>
    <s v="Y"/>
    <x v="1"/>
    <n v="21"/>
    <x v="1"/>
    <x v="0"/>
    <n v="80"/>
    <n v="1"/>
    <n v="4"/>
    <n v="2"/>
    <x v="2"/>
    <x v="11"/>
    <n v="2"/>
    <x v="0"/>
    <x v="3"/>
    <x v="2"/>
    <x v="2"/>
    <x v="1"/>
    <n v="0"/>
  </r>
  <r>
    <x v="14"/>
    <x v="1"/>
    <x v="2"/>
    <n v="120"/>
    <x v="0"/>
    <n v="4"/>
    <x v="3"/>
    <x v="2"/>
    <x v="0"/>
    <n v="129"/>
    <x v="0"/>
    <x v="1"/>
    <n v="43"/>
    <x v="0"/>
    <x v="0"/>
    <x v="0"/>
    <x v="2"/>
    <x v="1"/>
    <x v="94"/>
    <n v="8863"/>
    <n v="1"/>
    <s v="Y"/>
    <x v="1"/>
    <n v="15"/>
    <x v="0"/>
    <x v="2"/>
    <n v="80"/>
    <n v="0"/>
    <n v="5"/>
    <n v="3"/>
    <x v="3"/>
    <x v="8"/>
    <n v="4"/>
    <x v="0"/>
    <x v="10"/>
    <x v="2"/>
    <x v="2"/>
    <x v="1"/>
    <n v="0"/>
  </r>
  <r>
    <x v="34"/>
    <x v="1"/>
    <x v="0"/>
    <n v="682"/>
    <x v="0"/>
    <n v="10"/>
    <x v="2"/>
    <x v="2"/>
    <x v="0"/>
    <n v="131"/>
    <x v="2"/>
    <x v="1"/>
    <n v="37"/>
    <x v="0"/>
    <x v="3"/>
    <x v="0"/>
    <x v="2"/>
    <x v="0"/>
    <x v="95"/>
    <n v="24409"/>
    <n v="0"/>
    <s v="Y"/>
    <x v="1"/>
    <n v="13"/>
    <x v="0"/>
    <x v="3"/>
    <n v="80"/>
    <n v="0"/>
    <n v="38"/>
    <n v="1"/>
    <x v="2"/>
    <x v="21"/>
    <n v="10"/>
    <x v="1"/>
    <x v="5"/>
    <x v="3"/>
    <x v="3"/>
    <x v="3"/>
    <n v="0"/>
  </r>
  <r>
    <x v="20"/>
    <x v="1"/>
    <x v="2"/>
    <n v="489"/>
    <x v="1"/>
    <n v="23"/>
    <x v="3"/>
    <x v="2"/>
    <x v="0"/>
    <n v="132"/>
    <x v="0"/>
    <x v="1"/>
    <n v="67"/>
    <x v="0"/>
    <x v="0"/>
    <x v="2"/>
    <x v="1"/>
    <x v="1"/>
    <x v="96"/>
    <n v="25043"/>
    <n v="4"/>
    <s v="Y"/>
    <x v="1"/>
    <n v="12"/>
    <x v="0"/>
    <x v="3"/>
    <n v="80"/>
    <n v="1"/>
    <n v="17"/>
    <n v="3"/>
    <x v="3"/>
    <x v="11"/>
    <n v="2"/>
    <x v="1"/>
    <x v="3"/>
    <x v="0"/>
    <x v="2"/>
    <x v="1"/>
    <n v="0"/>
  </r>
  <r>
    <x v="2"/>
    <x v="0"/>
    <x v="0"/>
    <n v="807"/>
    <x v="2"/>
    <n v="6"/>
    <x v="2"/>
    <x v="5"/>
    <x v="0"/>
    <n v="133"/>
    <x v="1"/>
    <x v="1"/>
    <n v="63"/>
    <x v="0"/>
    <x v="1"/>
    <x v="8"/>
    <x v="3"/>
    <x v="2"/>
    <x v="97"/>
    <n v="23648"/>
    <n v="4"/>
    <s v="Y"/>
    <x v="0"/>
    <n v="22"/>
    <x v="1"/>
    <x v="1"/>
    <n v="80"/>
    <n v="0"/>
    <n v="7"/>
    <n v="3"/>
    <x v="1"/>
    <x v="11"/>
    <n v="2"/>
    <x v="0"/>
    <x v="3"/>
    <x v="1"/>
    <x v="2"/>
    <x v="1"/>
    <n v="1"/>
  </r>
  <r>
    <x v="5"/>
    <x v="1"/>
    <x v="0"/>
    <n v="827"/>
    <x v="1"/>
    <n v="1"/>
    <x v="1"/>
    <x v="0"/>
    <x v="0"/>
    <n v="134"/>
    <x v="2"/>
    <x v="1"/>
    <n v="71"/>
    <x v="0"/>
    <x v="1"/>
    <x v="1"/>
    <x v="3"/>
    <x v="0"/>
    <x v="98"/>
    <n v="15178"/>
    <n v="1"/>
    <s v="Y"/>
    <x v="1"/>
    <n v="13"/>
    <x v="0"/>
    <x v="1"/>
    <n v="80"/>
    <n v="0"/>
    <n v="1"/>
    <n v="2"/>
    <x v="1"/>
    <x v="6"/>
    <n v="0"/>
    <x v="0"/>
    <x v="2"/>
    <x v="1"/>
    <x v="1"/>
    <x v="1"/>
    <n v="0"/>
  </r>
  <r>
    <x v="35"/>
    <x v="0"/>
    <x v="1"/>
    <n v="871"/>
    <x v="1"/>
    <n v="6"/>
    <x v="3"/>
    <x v="0"/>
    <x v="0"/>
    <n v="137"/>
    <x v="2"/>
    <x v="0"/>
    <n v="66"/>
    <x v="1"/>
    <x v="1"/>
    <x v="2"/>
    <x v="0"/>
    <x v="0"/>
    <x v="99"/>
    <n v="19783"/>
    <n v="1"/>
    <s v="Y"/>
    <x v="0"/>
    <n v="18"/>
    <x v="0"/>
    <x v="2"/>
    <n v="80"/>
    <n v="0"/>
    <n v="1"/>
    <n v="5"/>
    <x v="1"/>
    <x v="6"/>
    <n v="0"/>
    <x v="1"/>
    <x v="2"/>
    <x v="2"/>
    <x v="1"/>
    <x v="1"/>
    <n v="1"/>
  </r>
  <r>
    <x v="13"/>
    <x v="1"/>
    <x v="0"/>
    <n v="665"/>
    <x v="1"/>
    <n v="6"/>
    <x v="2"/>
    <x v="1"/>
    <x v="0"/>
    <n v="138"/>
    <x v="3"/>
    <x v="0"/>
    <n v="41"/>
    <x v="0"/>
    <x v="0"/>
    <x v="1"/>
    <x v="2"/>
    <x v="0"/>
    <x v="100"/>
    <n v="12482"/>
    <n v="1"/>
    <s v="Y"/>
    <x v="1"/>
    <n v="14"/>
    <x v="0"/>
    <x v="3"/>
    <n v="80"/>
    <n v="0"/>
    <n v="16"/>
    <n v="3"/>
    <x v="1"/>
    <x v="22"/>
    <n v="13"/>
    <x v="3"/>
    <x v="13"/>
    <x v="1"/>
    <x v="3"/>
    <x v="1"/>
    <n v="0"/>
  </r>
  <r>
    <x v="2"/>
    <x v="1"/>
    <x v="2"/>
    <n v="1040"/>
    <x v="1"/>
    <n v="2"/>
    <x v="0"/>
    <x v="0"/>
    <x v="0"/>
    <n v="139"/>
    <x v="1"/>
    <x v="1"/>
    <n v="100"/>
    <x v="1"/>
    <x v="0"/>
    <x v="4"/>
    <x v="0"/>
    <x v="2"/>
    <x v="101"/>
    <n v="15850"/>
    <n v="5"/>
    <s v="Y"/>
    <x v="1"/>
    <n v="14"/>
    <x v="0"/>
    <x v="1"/>
    <n v="80"/>
    <n v="1"/>
    <n v="17"/>
    <n v="2"/>
    <x v="3"/>
    <x v="6"/>
    <n v="0"/>
    <x v="0"/>
    <x v="2"/>
    <x v="1"/>
    <x v="1"/>
    <x v="0"/>
    <n v="0"/>
  </r>
  <r>
    <x v="6"/>
    <x v="1"/>
    <x v="2"/>
    <n v="1420"/>
    <x v="2"/>
    <n v="2"/>
    <x v="2"/>
    <x v="5"/>
    <x v="0"/>
    <n v="140"/>
    <x v="1"/>
    <x v="0"/>
    <n v="32"/>
    <x v="1"/>
    <x v="4"/>
    <x v="5"/>
    <x v="0"/>
    <x v="1"/>
    <x v="102"/>
    <n v="21922"/>
    <n v="9"/>
    <s v="Y"/>
    <x v="1"/>
    <n v="21"/>
    <x v="1"/>
    <x v="1"/>
    <n v="80"/>
    <n v="1"/>
    <n v="30"/>
    <n v="3"/>
    <x v="1"/>
    <x v="11"/>
    <n v="2"/>
    <x v="3"/>
    <x v="3"/>
    <x v="3"/>
    <x v="2"/>
    <x v="2"/>
    <n v="0"/>
  </r>
  <r>
    <x v="24"/>
    <x v="1"/>
    <x v="1"/>
    <n v="1115"/>
    <x v="1"/>
    <n v="1"/>
    <x v="3"/>
    <x v="0"/>
    <x v="0"/>
    <n v="141"/>
    <x v="3"/>
    <x v="0"/>
    <n v="73"/>
    <x v="0"/>
    <x v="4"/>
    <x v="7"/>
    <x v="1"/>
    <x v="1"/>
    <x v="103"/>
    <n v="9755"/>
    <n v="3"/>
    <s v="Y"/>
    <x v="0"/>
    <n v="19"/>
    <x v="0"/>
    <x v="0"/>
    <n v="80"/>
    <n v="0"/>
    <n v="28"/>
    <n v="1"/>
    <x v="2"/>
    <x v="3"/>
    <n v="3"/>
    <x v="0"/>
    <x v="1"/>
    <x v="3"/>
    <x v="0"/>
    <x v="2"/>
    <n v="0"/>
  </r>
  <r>
    <x v="36"/>
    <x v="0"/>
    <x v="0"/>
    <n v="240"/>
    <x v="0"/>
    <n v="5"/>
    <x v="3"/>
    <x v="3"/>
    <x v="0"/>
    <n v="142"/>
    <x v="1"/>
    <x v="1"/>
    <n v="46"/>
    <x v="1"/>
    <x v="0"/>
    <x v="0"/>
    <x v="2"/>
    <x v="0"/>
    <x v="104"/>
    <n v="26959"/>
    <n v="1"/>
    <s v="Y"/>
    <x v="0"/>
    <n v="11"/>
    <x v="0"/>
    <x v="1"/>
    <n v="80"/>
    <n v="0"/>
    <n v="6"/>
    <n v="1"/>
    <x v="1"/>
    <x v="0"/>
    <n v="4"/>
    <x v="0"/>
    <x v="6"/>
    <x v="2"/>
    <x v="0"/>
    <x v="0"/>
    <n v="1"/>
  </r>
  <r>
    <x v="36"/>
    <x v="1"/>
    <x v="0"/>
    <n v="1280"/>
    <x v="1"/>
    <n v="7"/>
    <x v="1"/>
    <x v="2"/>
    <x v="0"/>
    <n v="143"/>
    <x v="2"/>
    <x v="1"/>
    <n v="64"/>
    <x v="1"/>
    <x v="1"/>
    <x v="1"/>
    <x v="0"/>
    <x v="1"/>
    <x v="105"/>
    <n v="26897"/>
    <n v="1"/>
    <s v="Y"/>
    <x v="1"/>
    <n v="11"/>
    <x v="0"/>
    <x v="3"/>
    <n v="80"/>
    <n v="2"/>
    <n v="2"/>
    <n v="2"/>
    <x v="1"/>
    <x v="4"/>
    <n v="2"/>
    <x v="3"/>
    <x v="9"/>
    <x v="2"/>
    <x v="1"/>
    <x v="1"/>
    <n v="0"/>
  </r>
  <r>
    <x v="15"/>
    <x v="1"/>
    <x v="0"/>
    <n v="534"/>
    <x v="1"/>
    <n v="15"/>
    <x v="3"/>
    <x v="2"/>
    <x v="0"/>
    <n v="144"/>
    <x v="0"/>
    <x v="0"/>
    <n v="59"/>
    <x v="0"/>
    <x v="1"/>
    <x v="2"/>
    <x v="0"/>
    <x v="0"/>
    <x v="106"/>
    <n v="23785"/>
    <n v="1"/>
    <s v="Y"/>
    <x v="1"/>
    <n v="15"/>
    <x v="0"/>
    <x v="3"/>
    <n v="80"/>
    <n v="0"/>
    <n v="1"/>
    <n v="5"/>
    <x v="1"/>
    <x v="2"/>
    <n v="0"/>
    <x v="0"/>
    <x v="2"/>
    <x v="2"/>
    <x v="1"/>
    <x v="1"/>
    <n v="0"/>
  </r>
  <r>
    <x v="31"/>
    <x v="1"/>
    <x v="1"/>
    <n v="1456"/>
    <x v="1"/>
    <n v="1"/>
    <x v="2"/>
    <x v="2"/>
    <x v="0"/>
    <n v="145"/>
    <x v="3"/>
    <x v="0"/>
    <n v="30"/>
    <x v="1"/>
    <x v="2"/>
    <x v="4"/>
    <x v="3"/>
    <x v="0"/>
    <x v="107"/>
    <n v="25796"/>
    <n v="3"/>
    <s v="Y"/>
    <x v="1"/>
    <n v="20"/>
    <x v="1"/>
    <x v="3"/>
    <n v="80"/>
    <n v="0"/>
    <n v="23"/>
    <n v="1"/>
    <x v="2"/>
    <x v="20"/>
    <n v="12"/>
    <x v="12"/>
    <x v="5"/>
    <x v="3"/>
    <x v="3"/>
    <x v="0"/>
    <n v="0"/>
  </r>
  <r>
    <x v="13"/>
    <x v="0"/>
    <x v="1"/>
    <n v="658"/>
    <x v="1"/>
    <n v="7"/>
    <x v="3"/>
    <x v="0"/>
    <x v="0"/>
    <n v="147"/>
    <x v="3"/>
    <x v="1"/>
    <n v="66"/>
    <x v="3"/>
    <x v="0"/>
    <x v="2"/>
    <x v="2"/>
    <x v="0"/>
    <x v="108"/>
    <n v="22887"/>
    <n v="1"/>
    <s v="Y"/>
    <x v="0"/>
    <n v="24"/>
    <x v="1"/>
    <x v="1"/>
    <n v="80"/>
    <n v="0"/>
    <n v="9"/>
    <n v="3"/>
    <x v="1"/>
    <x v="7"/>
    <n v="7"/>
    <x v="0"/>
    <x v="4"/>
    <x v="1"/>
    <x v="0"/>
    <x v="0"/>
    <n v="1"/>
  </r>
  <r>
    <x v="33"/>
    <x v="1"/>
    <x v="2"/>
    <n v="142"/>
    <x v="2"/>
    <n v="26"/>
    <x v="3"/>
    <x v="5"/>
    <x v="0"/>
    <n v="148"/>
    <x v="2"/>
    <x v="0"/>
    <n v="30"/>
    <x v="2"/>
    <x v="3"/>
    <x v="5"/>
    <x v="0"/>
    <x v="0"/>
    <x v="109"/>
    <n v="13871"/>
    <n v="2"/>
    <s v="Y"/>
    <x v="0"/>
    <n v="12"/>
    <x v="0"/>
    <x v="3"/>
    <n v="80"/>
    <n v="0"/>
    <n v="23"/>
    <n v="3"/>
    <x v="1"/>
    <x v="8"/>
    <n v="3"/>
    <x v="5"/>
    <x v="10"/>
    <x v="3"/>
    <x v="2"/>
    <x v="2"/>
    <n v="0"/>
  </r>
  <r>
    <x v="17"/>
    <x v="1"/>
    <x v="0"/>
    <n v="1127"/>
    <x v="1"/>
    <n v="18"/>
    <x v="1"/>
    <x v="0"/>
    <x v="0"/>
    <n v="150"/>
    <x v="0"/>
    <x v="1"/>
    <n v="52"/>
    <x v="0"/>
    <x v="1"/>
    <x v="2"/>
    <x v="2"/>
    <x v="1"/>
    <x v="110"/>
    <n v="13257"/>
    <n v="0"/>
    <s v="Y"/>
    <x v="1"/>
    <n v="12"/>
    <x v="0"/>
    <x v="3"/>
    <n v="80"/>
    <n v="1"/>
    <n v="6"/>
    <n v="2"/>
    <x v="1"/>
    <x v="8"/>
    <n v="3"/>
    <x v="1"/>
    <x v="3"/>
    <x v="2"/>
    <x v="2"/>
    <x v="1"/>
    <n v="0"/>
  </r>
  <r>
    <x v="13"/>
    <x v="1"/>
    <x v="0"/>
    <n v="1031"/>
    <x v="1"/>
    <n v="6"/>
    <x v="2"/>
    <x v="0"/>
    <x v="0"/>
    <n v="151"/>
    <x v="1"/>
    <x v="0"/>
    <n v="45"/>
    <x v="1"/>
    <x v="0"/>
    <x v="1"/>
    <x v="1"/>
    <x v="2"/>
    <x v="111"/>
    <n v="15000"/>
    <n v="6"/>
    <s v="Y"/>
    <x v="1"/>
    <n v="15"/>
    <x v="0"/>
    <x v="3"/>
    <n v="80"/>
    <n v="1"/>
    <n v="12"/>
    <n v="3"/>
    <x v="1"/>
    <x v="6"/>
    <n v="0"/>
    <x v="0"/>
    <x v="2"/>
    <x v="1"/>
    <x v="1"/>
    <x v="1"/>
    <n v="0"/>
  </r>
  <r>
    <x v="2"/>
    <x v="1"/>
    <x v="0"/>
    <n v="1189"/>
    <x v="0"/>
    <n v="3"/>
    <x v="3"/>
    <x v="0"/>
    <x v="0"/>
    <n v="152"/>
    <x v="1"/>
    <x v="1"/>
    <n v="87"/>
    <x v="0"/>
    <x v="2"/>
    <x v="0"/>
    <x v="0"/>
    <x v="0"/>
    <x v="112"/>
    <n v="14506"/>
    <n v="2"/>
    <s v="Y"/>
    <x v="1"/>
    <n v="12"/>
    <x v="0"/>
    <x v="0"/>
    <n v="80"/>
    <n v="0"/>
    <n v="12"/>
    <n v="3"/>
    <x v="1"/>
    <x v="8"/>
    <n v="3"/>
    <x v="1"/>
    <x v="6"/>
    <x v="1"/>
    <x v="2"/>
    <x v="0"/>
    <n v="0"/>
  </r>
  <r>
    <x v="13"/>
    <x v="1"/>
    <x v="0"/>
    <n v="1354"/>
    <x v="1"/>
    <n v="5"/>
    <x v="3"/>
    <x v="2"/>
    <x v="0"/>
    <n v="153"/>
    <x v="1"/>
    <x v="0"/>
    <n v="45"/>
    <x v="1"/>
    <x v="2"/>
    <x v="5"/>
    <x v="3"/>
    <x v="0"/>
    <x v="113"/>
    <n v="5615"/>
    <n v="2"/>
    <s v="Y"/>
    <x v="1"/>
    <n v="12"/>
    <x v="0"/>
    <x v="1"/>
    <n v="80"/>
    <n v="0"/>
    <n v="14"/>
    <n v="6"/>
    <x v="1"/>
    <x v="19"/>
    <n v="10"/>
    <x v="8"/>
    <x v="5"/>
    <x v="1"/>
    <x v="3"/>
    <x v="3"/>
    <n v="0"/>
  </r>
  <r>
    <x v="9"/>
    <x v="1"/>
    <x v="1"/>
    <n v="1467"/>
    <x v="0"/>
    <n v="11"/>
    <x v="0"/>
    <x v="4"/>
    <x v="0"/>
    <n v="154"/>
    <x v="0"/>
    <x v="0"/>
    <n v="92"/>
    <x v="0"/>
    <x v="2"/>
    <x v="0"/>
    <x v="0"/>
    <x v="1"/>
    <x v="114"/>
    <n v="22952"/>
    <n v="0"/>
    <s v="Y"/>
    <x v="1"/>
    <n v="14"/>
    <x v="0"/>
    <x v="3"/>
    <n v="80"/>
    <n v="1"/>
    <n v="10"/>
    <n v="6"/>
    <x v="1"/>
    <x v="7"/>
    <n v="7"/>
    <x v="3"/>
    <x v="5"/>
    <x v="1"/>
    <x v="0"/>
    <x v="0"/>
    <n v="0"/>
  </r>
  <r>
    <x v="9"/>
    <x v="1"/>
    <x v="0"/>
    <n v="922"/>
    <x v="1"/>
    <n v="3"/>
    <x v="0"/>
    <x v="0"/>
    <x v="0"/>
    <n v="155"/>
    <x v="3"/>
    <x v="0"/>
    <n v="39"/>
    <x v="0"/>
    <x v="1"/>
    <x v="2"/>
    <x v="0"/>
    <x v="2"/>
    <x v="115"/>
    <n v="2561"/>
    <n v="5"/>
    <s v="Y"/>
    <x v="1"/>
    <n v="22"/>
    <x v="1"/>
    <x v="0"/>
    <n v="80"/>
    <n v="1"/>
    <n v="7"/>
    <n v="2"/>
    <x v="1"/>
    <x v="6"/>
    <n v="0"/>
    <x v="0"/>
    <x v="2"/>
    <x v="1"/>
    <x v="1"/>
    <x v="1"/>
    <n v="0"/>
  </r>
  <r>
    <x v="23"/>
    <x v="1"/>
    <x v="1"/>
    <n v="394"/>
    <x v="0"/>
    <n v="26"/>
    <x v="0"/>
    <x v="0"/>
    <x v="0"/>
    <n v="158"/>
    <x v="1"/>
    <x v="1"/>
    <n v="92"/>
    <x v="0"/>
    <x v="3"/>
    <x v="5"/>
    <x v="0"/>
    <x v="1"/>
    <x v="116"/>
    <n v="19494"/>
    <n v="1"/>
    <s v="Y"/>
    <x v="0"/>
    <n v="12"/>
    <x v="0"/>
    <x v="1"/>
    <n v="80"/>
    <n v="2"/>
    <n v="25"/>
    <n v="3"/>
    <x v="3"/>
    <x v="10"/>
    <n v="12"/>
    <x v="5"/>
    <x v="11"/>
    <x v="0"/>
    <x v="3"/>
    <x v="2"/>
    <n v="0"/>
  </r>
  <r>
    <x v="7"/>
    <x v="1"/>
    <x v="1"/>
    <n v="1312"/>
    <x v="1"/>
    <n v="23"/>
    <x v="3"/>
    <x v="0"/>
    <x v="0"/>
    <n v="159"/>
    <x v="3"/>
    <x v="1"/>
    <n v="96"/>
    <x v="3"/>
    <x v="1"/>
    <x v="1"/>
    <x v="2"/>
    <x v="2"/>
    <x v="117"/>
    <n v="22310"/>
    <n v="1"/>
    <s v="Y"/>
    <x v="1"/>
    <n v="25"/>
    <x v="1"/>
    <x v="3"/>
    <n v="80"/>
    <n v="3"/>
    <n v="10"/>
    <n v="2"/>
    <x v="2"/>
    <x v="1"/>
    <n v="7"/>
    <x v="0"/>
    <x v="12"/>
    <x v="1"/>
    <x v="0"/>
    <x v="1"/>
    <n v="0"/>
  </r>
  <r>
    <x v="3"/>
    <x v="1"/>
    <x v="2"/>
    <n v="750"/>
    <x v="0"/>
    <n v="22"/>
    <x v="0"/>
    <x v="3"/>
    <x v="0"/>
    <n v="160"/>
    <x v="1"/>
    <x v="1"/>
    <n v="95"/>
    <x v="0"/>
    <x v="0"/>
    <x v="0"/>
    <x v="1"/>
    <x v="1"/>
    <x v="118"/>
    <n v="15480"/>
    <n v="0"/>
    <s v="Y"/>
    <x v="1"/>
    <n v="13"/>
    <x v="0"/>
    <x v="0"/>
    <n v="80"/>
    <n v="1"/>
    <n v="8"/>
    <n v="2"/>
    <x v="3"/>
    <x v="5"/>
    <n v="7"/>
    <x v="0"/>
    <x v="1"/>
    <x v="1"/>
    <x v="0"/>
    <x v="0"/>
    <n v="0"/>
  </r>
  <r>
    <x v="29"/>
    <x v="0"/>
    <x v="0"/>
    <n v="441"/>
    <x v="1"/>
    <n v="14"/>
    <x v="2"/>
    <x v="0"/>
    <x v="0"/>
    <n v="161"/>
    <x v="0"/>
    <x v="0"/>
    <n v="72"/>
    <x v="0"/>
    <x v="1"/>
    <x v="1"/>
    <x v="1"/>
    <x v="1"/>
    <x v="119"/>
    <n v="4510"/>
    <n v="9"/>
    <s v="Y"/>
    <x v="0"/>
    <n v="18"/>
    <x v="0"/>
    <x v="0"/>
    <n v="80"/>
    <n v="3"/>
    <n v="7"/>
    <n v="2"/>
    <x v="1"/>
    <x v="8"/>
    <n v="4"/>
    <x v="5"/>
    <x v="6"/>
    <x v="3"/>
    <x v="2"/>
    <x v="1"/>
    <n v="1"/>
  </r>
  <r>
    <x v="31"/>
    <x v="1"/>
    <x v="0"/>
    <n v="684"/>
    <x v="1"/>
    <n v="6"/>
    <x v="3"/>
    <x v="0"/>
    <x v="0"/>
    <n v="162"/>
    <x v="3"/>
    <x v="1"/>
    <n v="51"/>
    <x v="0"/>
    <x v="4"/>
    <x v="7"/>
    <x v="2"/>
    <x v="0"/>
    <x v="120"/>
    <n v="6462"/>
    <n v="7"/>
    <s v="Y"/>
    <x v="1"/>
    <n v="13"/>
    <x v="0"/>
    <x v="3"/>
    <n v="80"/>
    <n v="0"/>
    <n v="23"/>
    <n v="5"/>
    <x v="1"/>
    <x v="23"/>
    <n v="18"/>
    <x v="9"/>
    <x v="14"/>
    <x v="3"/>
    <x v="3"/>
    <x v="2"/>
    <n v="0"/>
  </r>
  <r>
    <x v="12"/>
    <x v="0"/>
    <x v="0"/>
    <n v="249"/>
    <x v="0"/>
    <n v="6"/>
    <x v="2"/>
    <x v="0"/>
    <x v="0"/>
    <n v="163"/>
    <x v="0"/>
    <x v="1"/>
    <n v="76"/>
    <x v="3"/>
    <x v="0"/>
    <x v="0"/>
    <x v="2"/>
    <x v="1"/>
    <x v="121"/>
    <n v="20739"/>
    <n v="4"/>
    <s v="Y"/>
    <x v="0"/>
    <n v="18"/>
    <x v="0"/>
    <x v="2"/>
    <n v="80"/>
    <n v="0"/>
    <n v="12"/>
    <n v="3"/>
    <x v="2"/>
    <x v="5"/>
    <n v="7"/>
    <x v="4"/>
    <x v="1"/>
    <x v="1"/>
    <x v="0"/>
    <x v="0"/>
    <n v="1"/>
  </r>
  <r>
    <x v="25"/>
    <x v="1"/>
    <x v="0"/>
    <n v="841"/>
    <x v="1"/>
    <n v="6"/>
    <x v="3"/>
    <x v="1"/>
    <x v="0"/>
    <n v="164"/>
    <x v="1"/>
    <x v="0"/>
    <n v="46"/>
    <x v="1"/>
    <x v="1"/>
    <x v="1"/>
    <x v="1"/>
    <x v="1"/>
    <x v="122"/>
    <n v="23300"/>
    <n v="1"/>
    <s v="Y"/>
    <x v="1"/>
    <n v="19"/>
    <x v="0"/>
    <x v="3"/>
    <n v="80"/>
    <n v="0"/>
    <n v="5"/>
    <n v="3"/>
    <x v="2"/>
    <x v="8"/>
    <n v="4"/>
    <x v="5"/>
    <x v="6"/>
    <x v="2"/>
    <x v="2"/>
    <x v="1"/>
    <n v="0"/>
  </r>
  <r>
    <x v="34"/>
    <x v="0"/>
    <x v="0"/>
    <n v="147"/>
    <x v="1"/>
    <n v="23"/>
    <x v="2"/>
    <x v="2"/>
    <x v="0"/>
    <n v="165"/>
    <x v="2"/>
    <x v="0"/>
    <n v="94"/>
    <x v="0"/>
    <x v="2"/>
    <x v="4"/>
    <x v="0"/>
    <x v="1"/>
    <x v="123"/>
    <n v="3465"/>
    <n v="1"/>
    <s v="Y"/>
    <x v="1"/>
    <n v="12"/>
    <x v="0"/>
    <x v="1"/>
    <n v="80"/>
    <n v="1"/>
    <n v="40"/>
    <n v="3"/>
    <x v="2"/>
    <x v="24"/>
    <n v="10"/>
    <x v="9"/>
    <x v="4"/>
    <x v="3"/>
    <x v="3"/>
    <x v="3"/>
    <n v="1"/>
  </r>
  <r>
    <x v="37"/>
    <x v="0"/>
    <x v="0"/>
    <n v="528"/>
    <x v="0"/>
    <n v="22"/>
    <x v="1"/>
    <x v="3"/>
    <x v="0"/>
    <n v="167"/>
    <x v="2"/>
    <x v="1"/>
    <n v="50"/>
    <x v="0"/>
    <x v="1"/>
    <x v="6"/>
    <x v="2"/>
    <x v="0"/>
    <x v="124"/>
    <n v="26820"/>
    <n v="1"/>
    <s v="Y"/>
    <x v="0"/>
    <n v="19"/>
    <x v="0"/>
    <x v="1"/>
    <n v="80"/>
    <n v="0"/>
    <n v="0"/>
    <n v="2"/>
    <x v="2"/>
    <x v="2"/>
    <n v="0"/>
    <x v="0"/>
    <x v="2"/>
    <x v="4"/>
    <x v="1"/>
    <x v="1"/>
    <n v="1"/>
  </r>
  <r>
    <x v="15"/>
    <x v="1"/>
    <x v="0"/>
    <n v="594"/>
    <x v="1"/>
    <n v="2"/>
    <x v="1"/>
    <x v="4"/>
    <x v="0"/>
    <n v="169"/>
    <x v="1"/>
    <x v="1"/>
    <n v="100"/>
    <x v="0"/>
    <x v="1"/>
    <x v="2"/>
    <x v="0"/>
    <x v="1"/>
    <x v="125"/>
    <n v="19299"/>
    <n v="0"/>
    <s v="Y"/>
    <x v="1"/>
    <n v="14"/>
    <x v="0"/>
    <x v="3"/>
    <n v="80"/>
    <n v="1"/>
    <n v="3"/>
    <n v="2"/>
    <x v="1"/>
    <x v="4"/>
    <n v="1"/>
    <x v="3"/>
    <x v="9"/>
    <x v="2"/>
    <x v="1"/>
    <x v="1"/>
    <n v="0"/>
  </r>
  <r>
    <x v="1"/>
    <x v="1"/>
    <x v="0"/>
    <n v="470"/>
    <x v="1"/>
    <n v="20"/>
    <x v="2"/>
    <x v="2"/>
    <x v="0"/>
    <n v="170"/>
    <x v="1"/>
    <x v="0"/>
    <n v="96"/>
    <x v="0"/>
    <x v="0"/>
    <x v="3"/>
    <x v="3"/>
    <x v="1"/>
    <x v="126"/>
    <n v="5549"/>
    <n v="1"/>
    <s v="Y"/>
    <x v="1"/>
    <n v="14"/>
    <x v="0"/>
    <x v="3"/>
    <n v="80"/>
    <n v="0"/>
    <n v="16"/>
    <n v="2"/>
    <x v="2"/>
    <x v="15"/>
    <n v="11"/>
    <x v="8"/>
    <x v="7"/>
    <x v="0"/>
    <x v="3"/>
    <x v="0"/>
    <n v="0"/>
  </r>
  <r>
    <x v="23"/>
    <x v="1"/>
    <x v="1"/>
    <n v="957"/>
    <x v="1"/>
    <n v="28"/>
    <x v="3"/>
    <x v="2"/>
    <x v="0"/>
    <n v="171"/>
    <x v="0"/>
    <x v="0"/>
    <n v="72"/>
    <x v="2"/>
    <x v="1"/>
    <x v="1"/>
    <x v="2"/>
    <x v="0"/>
    <x v="127"/>
    <n v="16090"/>
    <n v="4"/>
    <s v="Y"/>
    <x v="1"/>
    <n v="12"/>
    <x v="0"/>
    <x v="1"/>
    <n v="80"/>
    <n v="0"/>
    <n v="18"/>
    <n v="2"/>
    <x v="1"/>
    <x v="11"/>
    <n v="2"/>
    <x v="1"/>
    <x v="3"/>
    <x v="0"/>
    <x v="2"/>
    <x v="1"/>
    <n v="0"/>
  </r>
  <r>
    <x v="24"/>
    <x v="1"/>
    <x v="1"/>
    <n v="809"/>
    <x v="0"/>
    <n v="12"/>
    <x v="3"/>
    <x v="3"/>
    <x v="0"/>
    <n v="174"/>
    <x v="1"/>
    <x v="0"/>
    <n v="77"/>
    <x v="0"/>
    <x v="2"/>
    <x v="0"/>
    <x v="0"/>
    <x v="0"/>
    <x v="128"/>
    <n v="6645"/>
    <n v="4"/>
    <s v="Y"/>
    <x v="1"/>
    <n v="11"/>
    <x v="0"/>
    <x v="1"/>
    <n v="80"/>
    <n v="0"/>
    <n v="16"/>
    <n v="3"/>
    <x v="1"/>
    <x v="4"/>
    <n v="2"/>
    <x v="3"/>
    <x v="9"/>
    <x v="3"/>
    <x v="1"/>
    <x v="0"/>
    <n v="0"/>
  </r>
  <r>
    <x v="12"/>
    <x v="0"/>
    <x v="0"/>
    <n v="542"/>
    <x v="0"/>
    <n v="20"/>
    <x v="3"/>
    <x v="0"/>
    <x v="0"/>
    <n v="175"/>
    <x v="0"/>
    <x v="0"/>
    <n v="71"/>
    <x v="3"/>
    <x v="0"/>
    <x v="0"/>
    <x v="2"/>
    <x v="1"/>
    <x v="129"/>
    <n v="24788"/>
    <n v="3"/>
    <s v="Y"/>
    <x v="0"/>
    <n v="11"/>
    <x v="0"/>
    <x v="3"/>
    <n v="80"/>
    <n v="1"/>
    <n v="4"/>
    <n v="2"/>
    <x v="1"/>
    <x v="4"/>
    <n v="2"/>
    <x v="3"/>
    <x v="3"/>
    <x v="1"/>
    <x v="1"/>
    <x v="1"/>
    <n v="1"/>
  </r>
  <r>
    <x v="0"/>
    <x v="1"/>
    <x v="0"/>
    <n v="802"/>
    <x v="0"/>
    <n v="9"/>
    <x v="1"/>
    <x v="0"/>
    <x v="0"/>
    <n v="176"/>
    <x v="1"/>
    <x v="1"/>
    <n v="96"/>
    <x v="0"/>
    <x v="2"/>
    <x v="0"/>
    <x v="2"/>
    <x v="2"/>
    <x v="130"/>
    <n v="21196"/>
    <n v="3"/>
    <s v="Y"/>
    <x v="0"/>
    <n v="13"/>
    <x v="0"/>
    <x v="3"/>
    <n v="80"/>
    <n v="1"/>
    <n v="12"/>
    <n v="2"/>
    <x v="1"/>
    <x v="7"/>
    <n v="7"/>
    <x v="0"/>
    <x v="1"/>
    <x v="0"/>
    <x v="0"/>
    <x v="0"/>
    <n v="0"/>
  </r>
  <r>
    <x v="25"/>
    <x v="1"/>
    <x v="0"/>
    <n v="1355"/>
    <x v="2"/>
    <n v="25"/>
    <x v="1"/>
    <x v="0"/>
    <x v="0"/>
    <n v="177"/>
    <x v="1"/>
    <x v="0"/>
    <n v="61"/>
    <x v="0"/>
    <x v="1"/>
    <x v="8"/>
    <x v="2"/>
    <x v="1"/>
    <x v="131"/>
    <n v="8916"/>
    <n v="1"/>
    <s v="Y"/>
    <x v="1"/>
    <n v="23"/>
    <x v="1"/>
    <x v="1"/>
    <n v="80"/>
    <n v="1"/>
    <n v="8"/>
    <n v="3"/>
    <x v="1"/>
    <x v="3"/>
    <n v="7"/>
    <x v="8"/>
    <x v="1"/>
    <x v="2"/>
    <x v="0"/>
    <x v="1"/>
    <n v="0"/>
  </r>
  <r>
    <x v="9"/>
    <x v="1"/>
    <x v="0"/>
    <n v="216"/>
    <x v="1"/>
    <n v="6"/>
    <x v="0"/>
    <x v="2"/>
    <x v="0"/>
    <n v="178"/>
    <x v="0"/>
    <x v="1"/>
    <n v="84"/>
    <x v="0"/>
    <x v="0"/>
    <x v="3"/>
    <x v="1"/>
    <x v="2"/>
    <x v="132"/>
    <n v="2819"/>
    <n v="6"/>
    <s v="Y"/>
    <x v="1"/>
    <n v="20"/>
    <x v="1"/>
    <x v="1"/>
    <n v="80"/>
    <n v="2"/>
    <n v="7"/>
    <n v="0"/>
    <x v="1"/>
    <x v="11"/>
    <n v="2"/>
    <x v="0"/>
    <x v="9"/>
    <x v="1"/>
    <x v="2"/>
    <x v="1"/>
    <n v="0"/>
  </r>
  <r>
    <x v="31"/>
    <x v="0"/>
    <x v="1"/>
    <n v="1150"/>
    <x v="1"/>
    <n v="8"/>
    <x v="2"/>
    <x v="0"/>
    <x v="0"/>
    <n v="179"/>
    <x v="3"/>
    <x v="1"/>
    <n v="53"/>
    <x v="3"/>
    <x v="2"/>
    <x v="3"/>
    <x v="0"/>
    <x v="0"/>
    <x v="133"/>
    <n v="25150"/>
    <n v="2"/>
    <s v="Y"/>
    <x v="1"/>
    <n v="15"/>
    <x v="0"/>
    <x v="1"/>
    <n v="80"/>
    <n v="0"/>
    <n v="18"/>
    <n v="2"/>
    <x v="1"/>
    <x v="9"/>
    <n v="2"/>
    <x v="0"/>
    <x v="6"/>
    <x v="3"/>
    <x v="2"/>
    <x v="3"/>
    <n v="1"/>
  </r>
  <r>
    <x v="22"/>
    <x v="1"/>
    <x v="0"/>
    <n v="1329"/>
    <x v="0"/>
    <n v="4"/>
    <x v="2"/>
    <x v="0"/>
    <x v="0"/>
    <n v="182"/>
    <x v="2"/>
    <x v="0"/>
    <n v="47"/>
    <x v="1"/>
    <x v="0"/>
    <x v="0"/>
    <x v="2"/>
    <x v="1"/>
    <x v="134"/>
    <n v="14590"/>
    <n v="4"/>
    <s v="Y"/>
    <x v="1"/>
    <n v="14"/>
    <x v="0"/>
    <x v="3"/>
    <n v="80"/>
    <n v="1"/>
    <n v="17"/>
    <n v="1"/>
    <x v="3"/>
    <x v="15"/>
    <n v="11"/>
    <x v="8"/>
    <x v="12"/>
    <x v="1"/>
    <x v="3"/>
    <x v="0"/>
    <n v="0"/>
  </r>
  <r>
    <x v="36"/>
    <x v="1"/>
    <x v="0"/>
    <n v="959"/>
    <x v="0"/>
    <n v="28"/>
    <x v="3"/>
    <x v="0"/>
    <x v="0"/>
    <n v="183"/>
    <x v="3"/>
    <x v="1"/>
    <n v="41"/>
    <x v="1"/>
    <x v="0"/>
    <x v="0"/>
    <x v="2"/>
    <x v="1"/>
    <x v="135"/>
    <n v="24835"/>
    <n v="2"/>
    <s v="Y"/>
    <x v="1"/>
    <n v="18"/>
    <x v="0"/>
    <x v="1"/>
    <n v="80"/>
    <n v="0"/>
    <n v="6"/>
    <n v="3"/>
    <x v="1"/>
    <x v="4"/>
    <n v="2"/>
    <x v="3"/>
    <x v="3"/>
    <x v="2"/>
    <x v="1"/>
    <x v="0"/>
    <n v="0"/>
  </r>
  <r>
    <x v="7"/>
    <x v="1"/>
    <x v="0"/>
    <n v="1240"/>
    <x v="2"/>
    <n v="9"/>
    <x v="3"/>
    <x v="5"/>
    <x v="0"/>
    <n v="184"/>
    <x v="1"/>
    <x v="1"/>
    <n v="48"/>
    <x v="0"/>
    <x v="0"/>
    <x v="8"/>
    <x v="0"/>
    <x v="1"/>
    <x v="136"/>
    <n v="13982"/>
    <n v="0"/>
    <s v="Y"/>
    <x v="0"/>
    <n v="19"/>
    <x v="0"/>
    <x v="1"/>
    <n v="80"/>
    <n v="0"/>
    <n v="12"/>
    <n v="2"/>
    <x v="0"/>
    <x v="19"/>
    <n v="9"/>
    <x v="5"/>
    <x v="1"/>
    <x v="1"/>
    <x v="3"/>
    <x v="0"/>
    <n v="0"/>
  </r>
  <r>
    <x v="5"/>
    <x v="0"/>
    <x v="0"/>
    <n v="1033"/>
    <x v="1"/>
    <n v="9"/>
    <x v="3"/>
    <x v="2"/>
    <x v="0"/>
    <n v="190"/>
    <x v="3"/>
    <x v="0"/>
    <n v="41"/>
    <x v="0"/>
    <x v="1"/>
    <x v="2"/>
    <x v="3"/>
    <x v="0"/>
    <x v="137"/>
    <n v="10224"/>
    <n v="7"/>
    <s v="Y"/>
    <x v="1"/>
    <n v="22"/>
    <x v="1"/>
    <x v="0"/>
    <n v="80"/>
    <n v="0"/>
    <n v="10"/>
    <n v="2"/>
    <x v="3"/>
    <x v="8"/>
    <n v="4"/>
    <x v="0"/>
    <x v="10"/>
    <x v="1"/>
    <x v="2"/>
    <x v="1"/>
    <n v="1"/>
  </r>
  <r>
    <x v="28"/>
    <x v="1"/>
    <x v="0"/>
    <n v="1316"/>
    <x v="1"/>
    <n v="29"/>
    <x v="3"/>
    <x v="2"/>
    <x v="0"/>
    <n v="192"/>
    <x v="1"/>
    <x v="1"/>
    <n v="83"/>
    <x v="0"/>
    <x v="1"/>
    <x v="1"/>
    <x v="0"/>
    <x v="0"/>
    <x v="138"/>
    <n v="9752"/>
    <n v="5"/>
    <s v="Y"/>
    <x v="1"/>
    <n v="13"/>
    <x v="0"/>
    <x v="2"/>
    <n v="80"/>
    <n v="0"/>
    <n v="9"/>
    <n v="2"/>
    <x v="2"/>
    <x v="0"/>
    <n v="5"/>
    <x v="0"/>
    <x v="6"/>
    <x v="0"/>
    <x v="0"/>
    <x v="1"/>
    <n v="0"/>
  </r>
  <r>
    <x v="8"/>
    <x v="1"/>
    <x v="0"/>
    <n v="364"/>
    <x v="1"/>
    <n v="3"/>
    <x v="4"/>
    <x v="4"/>
    <x v="0"/>
    <n v="193"/>
    <x v="2"/>
    <x v="0"/>
    <n v="32"/>
    <x v="0"/>
    <x v="0"/>
    <x v="1"/>
    <x v="2"/>
    <x v="0"/>
    <x v="139"/>
    <n v="2302"/>
    <n v="3"/>
    <s v="Y"/>
    <x v="0"/>
    <n v="20"/>
    <x v="1"/>
    <x v="2"/>
    <n v="80"/>
    <n v="0"/>
    <n v="19"/>
    <n v="2"/>
    <x v="1"/>
    <x v="11"/>
    <n v="2"/>
    <x v="3"/>
    <x v="3"/>
    <x v="1"/>
    <x v="2"/>
    <x v="1"/>
    <n v="0"/>
  </r>
  <r>
    <x v="7"/>
    <x v="1"/>
    <x v="0"/>
    <n v="438"/>
    <x v="1"/>
    <n v="18"/>
    <x v="3"/>
    <x v="0"/>
    <x v="0"/>
    <n v="194"/>
    <x v="3"/>
    <x v="0"/>
    <n v="75"/>
    <x v="0"/>
    <x v="1"/>
    <x v="1"/>
    <x v="2"/>
    <x v="0"/>
    <x v="140"/>
    <n v="23910"/>
    <n v="1"/>
    <s v="Y"/>
    <x v="1"/>
    <n v="14"/>
    <x v="0"/>
    <x v="3"/>
    <n v="80"/>
    <n v="0"/>
    <n v="5"/>
    <n v="4"/>
    <x v="2"/>
    <x v="8"/>
    <n v="4"/>
    <x v="0"/>
    <x v="10"/>
    <x v="1"/>
    <x v="2"/>
    <x v="1"/>
    <n v="0"/>
  </r>
  <r>
    <x v="5"/>
    <x v="1"/>
    <x v="1"/>
    <n v="689"/>
    <x v="0"/>
    <n v="9"/>
    <x v="0"/>
    <x v="2"/>
    <x v="0"/>
    <n v="195"/>
    <x v="2"/>
    <x v="1"/>
    <n v="35"/>
    <x v="3"/>
    <x v="0"/>
    <x v="0"/>
    <x v="0"/>
    <x v="2"/>
    <x v="141"/>
    <n v="22812"/>
    <n v="0"/>
    <s v="Y"/>
    <x v="1"/>
    <n v="17"/>
    <x v="0"/>
    <x v="1"/>
    <n v="80"/>
    <n v="3"/>
    <n v="9"/>
    <n v="2"/>
    <x v="3"/>
    <x v="3"/>
    <n v="7"/>
    <x v="0"/>
    <x v="1"/>
    <x v="1"/>
    <x v="0"/>
    <x v="1"/>
    <n v="0"/>
  </r>
  <r>
    <x v="7"/>
    <x v="1"/>
    <x v="0"/>
    <n v="201"/>
    <x v="1"/>
    <n v="5"/>
    <x v="3"/>
    <x v="4"/>
    <x v="0"/>
    <n v="197"/>
    <x v="2"/>
    <x v="0"/>
    <n v="84"/>
    <x v="0"/>
    <x v="1"/>
    <x v="1"/>
    <x v="3"/>
    <x v="2"/>
    <x v="142"/>
    <n v="10415"/>
    <n v="5"/>
    <s v="Y"/>
    <x v="1"/>
    <n v="14"/>
    <x v="0"/>
    <x v="1"/>
    <n v="80"/>
    <n v="1"/>
    <n v="8"/>
    <n v="3"/>
    <x v="1"/>
    <x v="11"/>
    <n v="2"/>
    <x v="3"/>
    <x v="3"/>
    <x v="1"/>
    <x v="2"/>
    <x v="1"/>
    <n v="0"/>
  </r>
  <r>
    <x v="7"/>
    <x v="1"/>
    <x v="0"/>
    <n v="1427"/>
    <x v="1"/>
    <n v="2"/>
    <x v="1"/>
    <x v="2"/>
    <x v="0"/>
    <n v="198"/>
    <x v="0"/>
    <x v="1"/>
    <n v="35"/>
    <x v="1"/>
    <x v="1"/>
    <x v="2"/>
    <x v="0"/>
    <x v="0"/>
    <x v="143"/>
    <n v="11162"/>
    <n v="0"/>
    <s v="Y"/>
    <x v="1"/>
    <n v="13"/>
    <x v="0"/>
    <x v="1"/>
    <n v="80"/>
    <n v="0"/>
    <n v="6"/>
    <n v="3"/>
    <x v="1"/>
    <x v="8"/>
    <n v="3"/>
    <x v="1"/>
    <x v="3"/>
    <x v="1"/>
    <x v="2"/>
    <x v="1"/>
    <n v="0"/>
  </r>
  <r>
    <x v="0"/>
    <x v="1"/>
    <x v="1"/>
    <n v="857"/>
    <x v="1"/>
    <n v="10"/>
    <x v="3"/>
    <x v="0"/>
    <x v="0"/>
    <n v="199"/>
    <x v="2"/>
    <x v="1"/>
    <n v="91"/>
    <x v="1"/>
    <x v="3"/>
    <x v="5"/>
    <x v="3"/>
    <x v="2"/>
    <x v="144"/>
    <n v="12888"/>
    <n v="4"/>
    <s v="Y"/>
    <x v="1"/>
    <n v="13"/>
    <x v="0"/>
    <x v="2"/>
    <n v="80"/>
    <n v="1"/>
    <n v="21"/>
    <n v="2"/>
    <x v="2"/>
    <x v="5"/>
    <n v="6"/>
    <x v="4"/>
    <x v="1"/>
    <x v="0"/>
    <x v="0"/>
    <x v="2"/>
    <n v="0"/>
  </r>
  <r>
    <x v="0"/>
    <x v="1"/>
    <x v="0"/>
    <n v="933"/>
    <x v="1"/>
    <n v="9"/>
    <x v="2"/>
    <x v="0"/>
    <x v="0"/>
    <n v="200"/>
    <x v="1"/>
    <x v="1"/>
    <n v="94"/>
    <x v="0"/>
    <x v="1"/>
    <x v="2"/>
    <x v="3"/>
    <x v="1"/>
    <x v="145"/>
    <n v="6961"/>
    <n v="2"/>
    <s v="Y"/>
    <x v="1"/>
    <n v="21"/>
    <x v="1"/>
    <x v="1"/>
    <n v="80"/>
    <n v="1"/>
    <n v="7"/>
    <n v="2"/>
    <x v="1"/>
    <x v="8"/>
    <n v="0"/>
    <x v="1"/>
    <x v="10"/>
    <x v="0"/>
    <x v="2"/>
    <x v="1"/>
    <n v="0"/>
  </r>
  <r>
    <x v="37"/>
    <x v="1"/>
    <x v="0"/>
    <n v="1181"/>
    <x v="1"/>
    <n v="3"/>
    <x v="1"/>
    <x v="2"/>
    <x v="0"/>
    <n v="201"/>
    <x v="0"/>
    <x v="0"/>
    <n v="79"/>
    <x v="0"/>
    <x v="1"/>
    <x v="2"/>
    <x v="1"/>
    <x v="0"/>
    <x v="146"/>
    <n v="16102"/>
    <n v="1"/>
    <s v="Y"/>
    <x v="1"/>
    <n v="14"/>
    <x v="0"/>
    <x v="1"/>
    <n v="80"/>
    <n v="0"/>
    <n v="1"/>
    <n v="3"/>
    <x v="1"/>
    <x v="6"/>
    <n v="0"/>
    <x v="0"/>
    <x v="2"/>
    <x v="4"/>
    <x v="1"/>
    <x v="1"/>
    <n v="0"/>
  </r>
  <r>
    <x v="32"/>
    <x v="1"/>
    <x v="1"/>
    <n v="1395"/>
    <x v="1"/>
    <n v="26"/>
    <x v="3"/>
    <x v="2"/>
    <x v="0"/>
    <n v="202"/>
    <x v="0"/>
    <x v="0"/>
    <n v="54"/>
    <x v="0"/>
    <x v="0"/>
    <x v="1"/>
    <x v="1"/>
    <x v="2"/>
    <x v="147"/>
    <n v="8504"/>
    <n v="1"/>
    <s v="Y"/>
    <x v="1"/>
    <n v="11"/>
    <x v="0"/>
    <x v="0"/>
    <n v="80"/>
    <n v="1"/>
    <n v="20"/>
    <n v="2"/>
    <x v="1"/>
    <x v="23"/>
    <n v="7"/>
    <x v="3"/>
    <x v="15"/>
    <x v="0"/>
    <x v="3"/>
    <x v="0"/>
    <n v="0"/>
  </r>
  <r>
    <x v="10"/>
    <x v="1"/>
    <x v="0"/>
    <n v="662"/>
    <x v="0"/>
    <n v="1"/>
    <x v="4"/>
    <x v="3"/>
    <x v="0"/>
    <n v="204"/>
    <x v="1"/>
    <x v="1"/>
    <n v="94"/>
    <x v="0"/>
    <x v="2"/>
    <x v="0"/>
    <x v="1"/>
    <x v="1"/>
    <x v="148"/>
    <n v="11439"/>
    <n v="1"/>
    <s v="Y"/>
    <x v="1"/>
    <n v="13"/>
    <x v="0"/>
    <x v="0"/>
    <n v="80"/>
    <n v="2"/>
    <n v="10"/>
    <n v="3"/>
    <x v="1"/>
    <x v="1"/>
    <n v="8"/>
    <x v="0"/>
    <x v="4"/>
    <x v="1"/>
    <x v="0"/>
    <x v="0"/>
    <n v="0"/>
  </r>
  <r>
    <x v="16"/>
    <x v="1"/>
    <x v="0"/>
    <n v="1436"/>
    <x v="0"/>
    <n v="6"/>
    <x v="0"/>
    <x v="3"/>
    <x v="0"/>
    <n v="205"/>
    <x v="0"/>
    <x v="1"/>
    <n v="34"/>
    <x v="0"/>
    <x v="0"/>
    <x v="6"/>
    <x v="2"/>
    <x v="1"/>
    <x v="149"/>
    <n v="16047"/>
    <n v="2"/>
    <s v="Y"/>
    <x v="0"/>
    <n v="20"/>
    <x v="1"/>
    <x v="1"/>
    <n v="80"/>
    <n v="1"/>
    <n v="13"/>
    <n v="3"/>
    <x v="0"/>
    <x v="5"/>
    <n v="7"/>
    <x v="5"/>
    <x v="0"/>
    <x v="3"/>
    <x v="0"/>
    <x v="1"/>
    <n v="0"/>
  </r>
  <r>
    <x v="28"/>
    <x v="1"/>
    <x v="0"/>
    <n v="194"/>
    <x v="1"/>
    <n v="9"/>
    <x v="3"/>
    <x v="0"/>
    <x v="0"/>
    <n v="206"/>
    <x v="0"/>
    <x v="1"/>
    <n v="60"/>
    <x v="0"/>
    <x v="0"/>
    <x v="2"/>
    <x v="1"/>
    <x v="2"/>
    <x v="150"/>
    <n v="10901"/>
    <n v="8"/>
    <s v="Y"/>
    <x v="1"/>
    <n v="18"/>
    <x v="0"/>
    <x v="3"/>
    <n v="80"/>
    <n v="1"/>
    <n v="20"/>
    <n v="2"/>
    <x v="0"/>
    <x v="18"/>
    <n v="9"/>
    <x v="0"/>
    <x v="14"/>
    <x v="0"/>
    <x v="3"/>
    <x v="1"/>
    <n v="0"/>
  </r>
  <r>
    <x v="5"/>
    <x v="1"/>
    <x v="1"/>
    <n v="967"/>
    <x v="0"/>
    <n v="8"/>
    <x v="3"/>
    <x v="3"/>
    <x v="0"/>
    <n v="207"/>
    <x v="0"/>
    <x v="0"/>
    <n v="43"/>
    <x v="0"/>
    <x v="2"/>
    <x v="0"/>
    <x v="0"/>
    <x v="0"/>
    <x v="151"/>
    <n v="15589"/>
    <n v="1"/>
    <s v="Y"/>
    <x v="1"/>
    <n v="14"/>
    <x v="0"/>
    <x v="1"/>
    <n v="80"/>
    <n v="0"/>
    <n v="9"/>
    <n v="2"/>
    <x v="1"/>
    <x v="7"/>
    <n v="8"/>
    <x v="2"/>
    <x v="1"/>
    <x v="1"/>
    <x v="0"/>
    <x v="0"/>
    <n v="0"/>
  </r>
  <r>
    <x v="11"/>
    <x v="1"/>
    <x v="2"/>
    <n v="1496"/>
    <x v="1"/>
    <n v="1"/>
    <x v="1"/>
    <x v="4"/>
    <x v="0"/>
    <n v="208"/>
    <x v="2"/>
    <x v="1"/>
    <n v="41"/>
    <x v="0"/>
    <x v="0"/>
    <x v="3"/>
    <x v="2"/>
    <x v="1"/>
    <x v="152"/>
    <n v="26283"/>
    <n v="1"/>
    <s v="Y"/>
    <x v="1"/>
    <n v="13"/>
    <x v="0"/>
    <x v="0"/>
    <n v="80"/>
    <n v="1"/>
    <n v="10"/>
    <n v="1"/>
    <x v="1"/>
    <x v="1"/>
    <n v="7"/>
    <x v="0"/>
    <x v="12"/>
    <x v="2"/>
    <x v="0"/>
    <x v="1"/>
    <n v="0"/>
  </r>
  <r>
    <x v="31"/>
    <x v="1"/>
    <x v="0"/>
    <n v="1169"/>
    <x v="1"/>
    <n v="7"/>
    <x v="2"/>
    <x v="2"/>
    <x v="0"/>
    <n v="211"/>
    <x v="0"/>
    <x v="1"/>
    <n v="34"/>
    <x v="1"/>
    <x v="0"/>
    <x v="3"/>
    <x v="2"/>
    <x v="1"/>
    <x v="153"/>
    <n v="13983"/>
    <n v="2"/>
    <s v="Y"/>
    <x v="1"/>
    <n v="17"/>
    <x v="0"/>
    <x v="3"/>
    <n v="80"/>
    <n v="0"/>
    <n v="10"/>
    <n v="2"/>
    <x v="1"/>
    <x v="6"/>
    <n v="0"/>
    <x v="0"/>
    <x v="2"/>
    <x v="3"/>
    <x v="1"/>
    <x v="0"/>
    <n v="0"/>
  </r>
  <r>
    <x v="34"/>
    <x v="1"/>
    <x v="0"/>
    <n v="1145"/>
    <x v="1"/>
    <n v="9"/>
    <x v="3"/>
    <x v="2"/>
    <x v="0"/>
    <n v="214"/>
    <x v="0"/>
    <x v="0"/>
    <n v="75"/>
    <x v="1"/>
    <x v="1"/>
    <x v="1"/>
    <x v="1"/>
    <x v="1"/>
    <x v="154"/>
    <n v="11873"/>
    <n v="4"/>
    <s v="Y"/>
    <x v="0"/>
    <n v="20"/>
    <x v="1"/>
    <x v="2"/>
    <n v="80"/>
    <n v="1"/>
    <n v="9"/>
    <n v="3"/>
    <x v="2"/>
    <x v="6"/>
    <n v="0"/>
    <x v="0"/>
    <x v="2"/>
    <x v="3"/>
    <x v="1"/>
    <x v="1"/>
    <n v="0"/>
  </r>
  <r>
    <x v="32"/>
    <x v="1"/>
    <x v="0"/>
    <n v="630"/>
    <x v="0"/>
    <n v="4"/>
    <x v="2"/>
    <x v="3"/>
    <x v="0"/>
    <n v="215"/>
    <x v="1"/>
    <x v="1"/>
    <n v="67"/>
    <x v="1"/>
    <x v="2"/>
    <x v="0"/>
    <x v="0"/>
    <x v="1"/>
    <x v="155"/>
    <n v="8552"/>
    <n v="7"/>
    <s v="Y"/>
    <x v="1"/>
    <n v="11"/>
    <x v="0"/>
    <x v="0"/>
    <n v="80"/>
    <n v="1"/>
    <n v="15"/>
    <n v="2"/>
    <x v="2"/>
    <x v="12"/>
    <n v="11"/>
    <x v="3"/>
    <x v="7"/>
    <x v="0"/>
    <x v="3"/>
    <x v="3"/>
    <n v="0"/>
  </r>
  <r>
    <x v="13"/>
    <x v="1"/>
    <x v="1"/>
    <n v="303"/>
    <x v="0"/>
    <n v="2"/>
    <x v="2"/>
    <x v="3"/>
    <x v="0"/>
    <n v="216"/>
    <x v="1"/>
    <x v="0"/>
    <n v="75"/>
    <x v="0"/>
    <x v="1"/>
    <x v="6"/>
    <x v="2"/>
    <x v="1"/>
    <x v="156"/>
    <n v="11314"/>
    <n v="6"/>
    <s v="Y"/>
    <x v="1"/>
    <n v="18"/>
    <x v="0"/>
    <x v="1"/>
    <n v="80"/>
    <n v="1"/>
    <n v="6"/>
    <n v="3"/>
    <x v="1"/>
    <x v="9"/>
    <n v="3"/>
    <x v="1"/>
    <x v="3"/>
    <x v="1"/>
    <x v="2"/>
    <x v="1"/>
    <n v="0"/>
  </r>
  <r>
    <x v="15"/>
    <x v="1"/>
    <x v="0"/>
    <n v="1256"/>
    <x v="1"/>
    <n v="19"/>
    <x v="1"/>
    <x v="2"/>
    <x v="0"/>
    <n v="217"/>
    <x v="1"/>
    <x v="1"/>
    <n v="80"/>
    <x v="0"/>
    <x v="1"/>
    <x v="1"/>
    <x v="0"/>
    <x v="1"/>
    <x v="157"/>
    <n v="11992"/>
    <n v="1"/>
    <s v="Y"/>
    <x v="1"/>
    <n v="24"/>
    <x v="1"/>
    <x v="0"/>
    <n v="80"/>
    <n v="2"/>
    <n v="2"/>
    <n v="6"/>
    <x v="1"/>
    <x v="4"/>
    <n v="2"/>
    <x v="3"/>
    <x v="3"/>
    <x v="2"/>
    <x v="1"/>
    <x v="1"/>
    <n v="0"/>
  </r>
  <r>
    <x v="4"/>
    <x v="1"/>
    <x v="2"/>
    <n v="691"/>
    <x v="1"/>
    <n v="9"/>
    <x v="3"/>
    <x v="2"/>
    <x v="0"/>
    <n v="218"/>
    <x v="2"/>
    <x v="1"/>
    <n v="57"/>
    <x v="0"/>
    <x v="1"/>
    <x v="1"/>
    <x v="1"/>
    <x v="2"/>
    <x v="158"/>
    <n v="5970"/>
    <n v="6"/>
    <s v="Y"/>
    <x v="1"/>
    <n v="18"/>
    <x v="0"/>
    <x v="1"/>
    <n v="80"/>
    <n v="1"/>
    <n v="6"/>
    <n v="1"/>
    <x v="0"/>
    <x v="4"/>
    <n v="2"/>
    <x v="3"/>
    <x v="3"/>
    <x v="2"/>
    <x v="1"/>
    <x v="1"/>
    <n v="0"/>
  </r>
  <r>
    <x v="14"/>
    <x v="1"/>
    <x v="0"/>
    <n v="440"/>
    <x v="1"/>
    <n v="21"/>
    <x v="3"/>
    <x v="2"/>
    <x v="0"/>
    <n v="221"/>
    <x v="1"/>
    <x v="1"/>
    <n v="42"/>
    <x v="0"/>
    <x v="1"/>
    <x v="1"/>
    <x v="0"/>
    <x v="1"/>
    <x v="159"/>
    <n v="6672"/>
    <n v="1"/>
    <s v="Y"/>
    <x v="1"/>
    <n v="11"/>
    <x v="0"/>
    <x v="3"/>
    <n v="80"/>
    <n v="1"/>
    <n v="5"/>
    <n v="2"/>
    <x v="0"/>
    <x v="8"/>
    <n v="2"/>
    <x v="0"/>
    <x v="3"/>
    <x v="2"/>
    <x v="2"/>
    <x v="1"/>
    <n v="0"/>
  </r>
  <r>
    <x v="38"/>
    <x v="1"/>
    <x v="0"/>
    <n v="334"/>
    <x v="1"/>
    <n v="24"/>
    <x v="0"/>
    <x v="0"/>
    <x v="0"/>
    <n v="223"/>
    <x v="1"/>
    <x v="1"/>
    <n v="83"/>
    <x v="2"/>
    <x v="2"/>
    <x v="4"/>
    <x v="0"/>
    <x v="2"/>
    <x v="160"/>
    <n v="23402"/>
    <n v="3"/>
    <s v="Y"/>
    <x v="0"/>
    <n v="16"/>
    <x v="0"/>
    <x v="2"/>
    <n v="80"/>
    <n v="1"/>
    <n v="12"/>
    <n v="2"/>
    <x v="0"/>
    <x v="8"/>
    <n v="3"/>
    <x v="1"/>
    <x v="10"/>
    <x v="3"/>
    <x v="2"/>
    <x v="0"/>
    <n v="0"/>
  </r>
  <r>
    <x v="4"/>
    <x v="1"/>
    <x v="2"/>
    <n v="1450"/>
    <x v="1"/>
    <n v="3"/>
    <x v="3"/>
    <x v="2"/>
    <x v="0"/>
    <n v="224"/>
    <x v="1"/>
    <x v="1"/>
    <n v="79"/>
    <x v="1"/>
    <x v="1"/>
    <x v="1"/>
    <x v="2"/>
    <x v="2"/>
    <x v="161"/>
    <n v="25326"/>
    <n v="1"/>
    <s v="Y"/>
    <x v="0"/>
    <n v="15"/>
    <x v="0"/>
    <x v="1"/>
    <n v="80"/>
    <n v="1"/>
    <n v="1"/>
    <n v="2"/>
    <x v="2"/>
    <x v="6"/>
    <n v="1"/>
    <x v="0"/>
    <x v="9"/>
    <x v="2"/>
    <x v="1"/>
    <x v="1"/>
    <n v="0"/>
  </r>
  <r>
    <x v="24"/>
    <x v="1"/>
    <x v="0"/>
    <n v="1452"/>
    <x v="1"/>
    <n v="11"/>
    <x v="3"/>
    <x v="0"/>
    <x v="0"/>
    <n v="226"/>
    <x v="1"/>
    <x v="0"/>
    <n v="53"/>
    <x v="0"/>
    <x v="4"/>
    <x v="5"/>
    <x v="1"/>
    <x v="0"/>
    <x v="162"/>
    <n v="17053"/>
    <n v="3"/>
    <s v="Y"/>
    <x v="1"/>
    <n v="15"/>
    <x v="0"/>
    <x v="2"/>
    <n v="80"/>
    <n v="0"/>
    <n v="21"/>
    <n v="5"/>
    <x v="1"/>
    <x v="8"/>
    <n v="4"/>
    <x v="5"/>
    <x v="10"/>
    <x v="3"/>
    <x v="2"/>
    <x v="2"/>
    <n v="0"/>
  </r>
  <r>
    <x v="0"/>
    <x v="1"/>
    <x v="0"/>
    <n v="465"/>
    <x v="1"/>
    <n v="14"/>
    <x v="3"/>
    <x v="0"/>
    <x v="0"/>
    <n v="227"/>
    <x v="3"/>
    <x v="1"/>
    <n v="56"/>
    <x v="0"/>
    <x v="1"/>
    <x v="1"/>
    <x v="2"/>
    <x v="2"/>
    <x v="163"/>
    <n v="4609"/>
    <n v="4"/>
    <s v="Y"/>
    <x v="1"/>
    <n v="12"/>
    <x v="0"/>
    <x v="0"/>
    <n v="80"/>
    <n v="1"/>
    <n v="13"/>
    <n v="2"/>
    <x v="1"/>
    <x v="7"/>
    <n v="8"/>
    <x v="1"/>
    <x v="5"/>
    <x v="0"/>
    <x v="0"/>
    <x v="1"/>
    <n v="0"/>
  </r>
  <r>
    <x v="7"/>
    <x v="1"/>
    <x v="0"/>
    <n v="1339"/>
    <x v="0"/>
    <n v="5"/>
    <x v="3"/>
    <x v="0"/>
    <x v="0"/>
    <n v="228"/>
    <x v="0"/>
    <x v="0"/>
    <n v="41"/>
    <x v="0"/>
    <x v="2"/>
    <x v="0"/>
    <x v="0"/>
    <x v="1"/>
    <x v="164"/>
    <n v="8053"/>
    <n v="2"/>
    <s v="Y"/>
    <x v="1"/>
    <n v="12"/>
    <x v="0"/>
    <x v="3"/>
    <n v="80"/>
    <n v="1"/>
    <n v="12"/>
    <n v="2"/>
    <x v="1"/>
    <x v="1"/>
    <n v="9"/>
    <x v="4"/>
    <x v="10"/>
    <x v="1"/>
    <x v="0"/>
    <x v="0"/>
    <n v="0"/>
  </r>
  <r>
    <x v="8"/>
    <x v="1"/>
    <x v="0"/>
    <n v="702"/>
    <x v="0"/>
    <n v="1"/>
    <x v="2"/>
    <x v="0"/>
    <x v="0"/>
    <n v="230"/>
    <x v="3"/>
    <x v="0"/>
    <n v="59"/>
    <x v="1"/>
    <x v="0"/>
    <x v="0"/>
    <x v="0"/>
    <x v="0"/>
    <x v="165"/>
    <n v="12930"/>
    <n v="4"/>
    <s v="Y"/>
    <x v="1"/>
    <n v="22"/>
    <x v="1"/>
    <x v="3"/>
    <n v="80"/>
    <n v="0"/>
    <n v="12"/>
    <n v="2"/>
    <x v="3"/>
    <x v="3"/>
    <n v="3"/>
    <x v="0"/>
    <x v="1"/>
    <x v="1"/>
    <x v="0"/>
    <x v="0"/>
    <n v="0"/>
  </r>
  <r>
    <x v="5"/>
    <x v="1"/>
    <x v="0"/>
    <n v="120"/>
    <x v="1"/>
    <n v="6"/>
    <x v="4"/>
    <x v="0"/>
    <x v="0"/>
    <n v="231"/>
    <x v="1"/>
    <x v="1"/>
    <n v="43"/>
    <x v="0"/>
    <x v="1"/>
    <x v="1"/>
    <x v="2"/>
    <x v="0"/>
    <x v="71"/>
    <n v="12430"/>
    <n v="3"/>
    <s v="Y"/>
    <x v="1"/>
    <n v="20"/>
    <x v="1"/>
    <x v="0"/>
    <n v="80"/>
    <n v="0"/>
    <n v="8"/>
    <n v="2"/>
    <x v="1"/>
    <x v="8"/>
    <n v="4"/>
    <x v="1"/>
    <x v="10"/>
    <x v="1"/>
    <x v="2"/>
    <x v="1"/>
    <n v="0"/>
  </r>
  <r>
    <x v="4"/>
    <x v="1"/>
    <x v="0"/>
    <n v="1157"/>
    <x v="1"/>
    <n v="17"/>
    <x v="3"/>
    <x v="4"/>
    <x v="0"/>
    <n v="233"/>
    <x v="1"/>
    <x v="1"/>
    <n v="51"/>
    <x v="0"/>
    <x v="1"/>
    <x v="1"/>
    <x v="1"/>
    <x v="1"/>
    <x v="166"/>
    <n v="13364"/>
    <n v="0"/>
    <s v="Y"/>
    <x v="0"/>
    <n v="16"/>
    <x v="0"/>
    <x v="1"/>
    <n v="80"/>
    <n v="1"/>
    <n v="6"/>
    <n v="3"/>
    <x v="2"/>
    <x v="8"/>
    <n v="2"/>
    <x v="1"/>
    <x v="9"/>
    <x v="2"/>
    <x v="2"/>
    <x v="1"/>
    <n v="0"/>
  </r>
  <r>
    <x v="37"/>
    <x v="0"/>
    <x v="1"/>
    <n v="602"/>
    <x v="0"/>
    <n v="1"/>
    <x v="1"/>
    <x v="4"/>
    <x v="0"/>
    <n v="235"/>
    <x v="1"/>
    <x v="0"/>
    <n v="100"/>
    <x v="3"/>
    <x v="1"/>
    <x v="6"/>
    <x v="3"/>
    <x v="0"/>
    <x v="167"/>
    <n v="20989"/>
    <n v="0"/>
    <s v="Y"/>
    <x v="1"/>
    <n v="21"/>
    <x v="1"/>
    <x v="0"/>
    <n v="80"/>
    <n v="0"/>
    <n v="1"/>
    <n v="5"/>
    <x v="3"/>
    <x v="2"/>
    <n v="0"/>
    <x v="0"/>
    <x v="2"/>
    <x v="4"/>
    <x v="1"/>
    <x v="1"/>
    <n v="1"/>
  </r>
  <r>
    <x v="9"/>
    <x v="1"/>
    <x v="1"/>
    <n v="1480"/>
    <x v="1"/>
    <n v="3"/>
    <x v="0"/>
    <x v="2"/>
    <x v="0"/>
    <n v="238"/>
    <x v="2"/>
    <x v="1"/>
    <n v="30"/>
    <x v="0"/>
    <x v="1"/>
    <x v="2"/>
    <x v="1"/>
    <x v="0"/>
    <x v="168"/>
    <n v="15062"/>
    <n v="4"/>
    <s v="Y"/>
    <x v="1"/>
    <n v="12"/>
    <x v="0"/>
    <x v="3"/>
    <n v="80"/>
    <n v="0"/>
    <n v="13"/>
    <n v="3"/>
    <x v="2"/>
    <x v="3"/>
    <n v="7"/>
    <x v="4"/>
    <x v="3"/>
    <x v="1"/>
    <x v="0"/>
    <x v="1"/>
    <n v="0"/>
  </r>
  <r>
    <x v="7"/>
    <x v="1"/>
    <x v="2"/>
    <n v="111"/>
    <x v="1"/>
    <n v="9"/>
    <x v="3"/>
    <x v="2"/>
    <x v="0"/>
    <n v="239"/>
    <x v="1"/>
    <x v="1"/>
    <n v="66"/>
    <x v="0"/>
    <x v="0"/>
    <x v="2"/>
    <x v="3"/>
    <x v="2"/>
    <x v="169"/>
    <n v="11012"/>
    <n v="1"/>
    <s v="Y"/>
    <x v="1"/>
    <n v="11"/>
    <x v="0"/>
    <x v="3"/>
    <n v="80"/>
    <n v="2"/>
    <n v="12"/>
    <n v="4"/>
    <x v="1"/>
    <x v="12"/>
    <n v="9"/>
    <x v="7"/>
    <x v="13"/>
    <x v="1"/>
    <x v="3"/>
    <x v="1"/>
    <n v="0"/>
  </r>
  <r>
    <x v="28"/>
    <x v="1"/>
    <x v="0"/>
    <n v="1268"/>
    <x v="0"/>
    <n v="4"/>
    <x v="0"/>
    <x v="0"/>
    <x v="0"/>
    <n v="240"/>
    <x v="1"/>
    <x v="0"/>
    <n v="30"/>
    <x v="0"/>
    <x v="0"/>
    <x v="0"/>
    <x v="3"/>
    <x v="2"/>
    <x v="170"/>
    <n v="6319"/>
    <n v="4"/>
    <s v="Y"/>
    <x v="0"/>
    <n v="11"/>
    <x v="0"/>
    <x v="0"/>
    <n v="80"/>
    <n v="1"/>
    <n v="9"/>
    <n v="3"/>
    <x v="3"/>
    <x v="8"/>
    <n v="4"/>
    <x v="0"/>
    <x v="6"/>
    <x v="0"/>
    <x v="2"/>
    <x v="0"/>
    <n v="0"/>
  </r>
  <r>
    <x v="29"/>
    <x v="1"/>
    <x v="0"/>
    <n v="713"/>
    <x v="1"/>
    <n v="8"/>
    <x v="3"/>
    <x v="0"/>
    <x v="0"/>
    <n v="241"/>
    <x v="1"/>
    <x v="0"/>
    <n v="67"/>
    <x v="0"/>
    <x v="1"/>
    <x v="1"/>
    <x v="3"/>
    <x v="2"/>
    <x v="171"/>
    <n v="13939"/>
    <n v="4"/>
    <s v="Y"/>
    <x v="0"/>
    <n v="18"/>
    <x v="0"/>
    <x v="3"/>
    <n v="80"/>
    <n v="1"/>
    <n v="19"/>
    <n v="3"/>
    <x v="1"/>
    <x v="4"/>
    <n v="2"/>
    <x v="3"/>
    <x v="3"/>
    <x v="3"/>
    <x v="1"/>
    <x v="1"/>
    <n v="0"/>
  </r>
  <r>
    <x v="3"/>
    <x v="1"/>
    <x v="0"/>
    <n v="134"/>
    <x v="1"/>
    <n v="2"/>
    <x v="3"/>
    <x v="0"/>
    <x v="0"/>
    <n v="242"/>
    <x v="1"/>
    <x v="1"/>
    <n v="90"/>
    <x v="0"/>
    <x v="1"/>
    <x v="1"/>
    <x v="0"/>
    <x v="0"/>
    <x v="172"/>
    <n v="10515"/>
    <n v="0"/>
    <s v="Y"/>
    <x v="1"/>
    <n v="14"/>
    <x v="0"/>
    <x v="0"/>
    <n v="80"/>
    <n v="0"/>
    <n v="4"/>
    <n v="2"/>
    <x v="3"/>
    <x v="11"/>
    <n v="1"/>
    <x v="0"/>
    <x v="3"/>
    <x v="1"/>
    <x v="2"/>
    <x v="1"/>
    <n v="0"/>
  </r>
  <r>
    <x v="37"/>
    <x v="0"/>
    <x v="0"/>
    <n v="303"/>
    <x v="1"/>
    <n v="2"/>
    <x v="3"/>
    <x v="0"/>
    <x v="0"/>
    <n v="243"/>
    <x v="0"/>
    <x v="1"/>
    <n v="47"/>
    <x v="1"/>
    <x v="1"/>
    <x v="2"/>
    <x v="0"/>
    <x v="0"/>
    <x v="173"/>
    <n v="9241"/>
    <n v="1"/>
    <s v="Y"/>
    <x v="1"/>
    <n v="22"/>
    <x v="1"/>
    <x v="3"/>
    <n v="80"/>
    <n v="0"/>
    <n v="1"/>
    <n v="3"/>
    <x v="2"/>
    <x v="6"/>
    <n v="0"/>
    <x v="1"/>
    <x v="2"/>
    <x v="4"/>
    <x v="1"/>
    <x v="1"/>
    <n v="1"/>
  </r>
  <r>
    <x v="21"/>
    <x v="1"/>
    <x v="0"/>
    <n v="526"/>
    <x v="0"/>
    <n v="1"/>
    <x v="0"/>
    <x v="3"/>
    <x v="0"/>
    <n v="244"/>
    <x v="0"/>
    <x v="0"/>
    <n v="92"/>
    <x v="0"/>
    <x v="2"/>
    <x v="0"/>
    <x v="3"/>
    <x v="2"/>
    <x v="174"/>
    <n v="2137"/>
    <n v="1"/>
    <s v="Y"/>
    <x v="1"/>
    <n v="25"/>
    <x v="1"/>
    <x v="3"/>
    <n v="80"/>
    <n v="3"/>
    <n v="24"/>
    <n v="2"/>
    <x v="1"/>
    <x v="25"/>
    <n v="13"/>
    <x v="9"/>
    <x v="1"/>
    <x v="0"/>
    <x v="3"/>
    <x v="3"/>
    <n v="0"/>
  </r>
  <r>
    <x v="8"/>
    <x v="1"/>
    <x v="0"/>
    <n v="1380"/>
    <x v="1"/>
    <n v="9"/>
    <x v="0"/>
    <x v="0"/>
    <x v="0"/>
    <n v="245"/>
    <x v="1"/>
    <x v="0"/>
    <n v="75"/>
    <x v="0"/>
    <x v="1"/>
    <x v="2"/>
    <x v="0"/>
    <x v="0"/>
    <x v="175"/>
    <n v="6319"/>
    <n v="1"/>
    <s v="Y"/>
    <x v="1"/>
    <n v="12"/>
    <x v="0"/>
    <x v="3"/>
    <n v="80"/>
    <n v="0"/>
    <n v="2"/>
    <n v="3"/>
    <x v="1"/>
    <x v="4"/>
    <n v="2"/>
    <x v="3"/>
    <x v="9"/>
    <x v="1"/>
    <x v="1"/>
    <x v="1"/>
    <n v="0"/>
  </r>
  <r>
    <x v="12"/>
    <x v="1"/>
    <x v="0"/>
    <n v="140"/>
    <x v="1"/>
    <n v="12"/>
    <x v="1"/>
    <x v="2"/>
    <x v="0"/>
    <n v="246"/>
    <x v="1"/>
    <x v="0"/>
    <n v="95"/>
    <x v="0"/>
    <x v="1"/>
    <x v="1"/>
    <x v="0"/>
    <x v="1"/>
    <x v="176"/>
    <n v="6984"/>
    <n v="8"/>
    <s v="Y"/>
    <x v="0"/>
    <n v="23"/>
    <x v="1"/>
    <x v="3"/>
    <n v="80"/>
    <n v="1"/>
    <n v="7"/>
    <n v="0"/>
    <x v="1"/>
    <x v="9"/>
    <n v="2"/>
    <x v="0"/>
    <x v="3"/>
    <x v="1"/>
    <x v="2"/>
    <x v="1"/>
    <n v="0"/>
  </r>
  <r>
    <x v="13"/>
    <x v="1"/>
    <x v="0"/>
    <n v="629"/>
    <x v="1"/>
    <n v="27"/>
    <x v="0"/>
    <x v="2"/>
    <x v="0"/>
    <n v="247"/>
    <x v="2"/>
    <x v="0"/>
    <n v="95"/>
    <x v="0"/>
    <x v="1"/>
    <x v="1"/>
    <x v="1"/>
    <x v="0"/>
    <x v="177"/>
    <n v="5711"/>
    <n v="2"/>
    <s v="Y"/>
    <x v="1"/>
    <n v="15"/>
    <x v="0"/>
    <x v="1"/>
    <n v="80"/>
    <n v="0"/>
    <n v="9"/>
    <n v="3"/>
    <x v="1"/>
    <x v="11"/>
    <n v="2"/>
    <x v="1"/>
    <x v="3"/>
    <x v="1"/>
    <x v="2"/>
    <x v="1"/>
    <n v="0"/>
  </r>
  <r>
    <x v="0"/>
    <x v="0"/>
    <x v="0"/>
    <n v="1356"/>
    <x v="0"/>
    <n v="20"/>
    <x v="0"/>
    <x v="3"/>
    <x v="0"/>
    <n v="248"/>
    <x v="0"/>
    <x v="0"/>
    <n v="70"/>
    <x v="0"/>
    <x v="1"/>
    <x v="6"/>
    <x v="1"/>
    <x v="0"/>
    <x v="178"/>
    <n v="21728"/>
    <n v="1"/>
    <s v="Y"/>
    <x v="0"/>
    <n v="22"/>
    <x v="1"/>
    <x v="1"/>
    <n v="80"/>
    <n v="0"/>
    <n v="4"/>
    <n v="5"/>
    <x v="2"/>
    <x v="9"/>
    <n v="3"/>
    <x v="0"/>
    <x v="3"/>
    <x v="0"/>
    <x v="2"/>
    <x v="1"/>
    <n v="1"/>
  </r>
  <r>
    <x v="24"/>
    <x v="1"/>
    <x v="0"/>
    <n v="328"/>
    <x v="1"/>
    <n v="1"/>
    <x v="3"/>
    <x v="2"/>
    <x v="0"/>
    <n v="249"/>
    <x v="1"/>
    <x v="1"/>
    <n v="86"/>
    <x v="1"/>
    <x v="1"/>
    <x v="2"/>
    <x v="2"/>
    <x v="1"/>
    <x v="179"/>
    <n v="3425"/>
    <n v="2"/>
    <s v="Y"/>
    <x v="1"/>
    <n v="15"/>
    <x v="0"/>
    <x v="1"/>
    <n v="80"/>
    <n v="1"/>
    <n v="5"/>
    <n v="2"/>
    <x v="2"/>
    <x v="11"/>
    <n v="2"/>
    <x v="0"/>
    <x v="3"/>
    <x v="3"/>
    <x v="2"/>
    <x v="1"/>
    <n v="0"/>
  </r>
  <r>
    <x v="16"/>
    <x v="1"/>
    <x v="0"/>
    <n v="1084"/>
    <x v="1"/>
    <n v="13"/>
    <x v="0"/>
    <x v="2"/>
    <x v="0"/>
    <n v="250"/>
    <x v="2"/>
    <x v="0"/>
    <n v="57"/>
    <x v="2"/>
    <x v="0"/>
    <x v="3"/>
    <x v="3"/>
    <x v="2"/>
    <x v="180"/>
    <n v="26250"/>
    <n v="1"/>
    <s v="Y"/>
    <x v="1"/>
    <n v="11"/>
    <x v="0"/>
    <x v="3"/>
    <n v="80"/>
    <n v="2"/>
    <n v="5"/>
    <n v="3"/>
    <x v="1"/>
    <x v="9"/>
    <n v="2"/>
    <x v="1"/>
    <x v="6"/>
    <x v="3"/>
    <x v="2"/>
    <x v="1"/>
    <n v="0"/>
  </r>
  <r>
    <x v="3"/>
    <x v="1"/>
    <x v="0"/>
    <n v="931"/>
    <x v="1"/>
    <n v="14"/>
    <x v="3"/>
    <x v="2"/>
    <x v="0"/>
    <n v="252"/>
    <x v="2"/>
    <x v="0"/>
    <n v="72"/>
    <x v="0"/>
    <x v="1"/>
    <x v="1"/>
    <x v="1"/>
    <x v="1"/>
    <x v="181"/>
    <n v="4673"/>
    <n v="1"/>
    <s v="Y"/>
    <x v="1"/>
    <n v="13"/>
    <x v="0"/>
    <x v="1"/>
    <n v="80"/>
    <n v="1"/>
    <n v="8"/>
    <n v="5"/>
    <x v="1"/>
    <x v="3"/>
    <n v="7"/>
    <x v="1"/>
    <x v="4"/>
    <x v="1"/>
    <x v="0"/>
    <x v="1"/>
    <n v="0"/>
  </r>
  <r>
    <x v="32"/>
    <x v="1"/>
    <x v="0"/>
    <n v="989"/>
    <x v="1"/>
    <n v="4"/>
    <x v="1"/>
    <x v="2"/>
    <x v="0"/>
    <n v="253"/>
    <x v="2"/>
    <x v="0"/>
    <n v="46"/>
    <x v="0"/>
    <x v="4"/>
    <x v="5"/>
    <x v="2"/>
    <x v="1"/>
    <x v="182"/>
    <n v="6499"/>
    <n v="1"/>
    <s v="Y"/>
    <x v="1"/>
    <n v="14"/>
    <x v="0"/>
    <x v="2"/>
    <n v="80"/>
    <n v="1"/>
    <n v="21"/>
    <n v="2"/>
    <x v="1"/>
    <x v="23"/>
    <n v="8"/>
    <x v="10"/>
    <x v="12"/>
    <x v="0"/>
    <x v="3"/>
    <x v="2"/>
    <n v="0"/>
  </r>
  <r>
    <x v="27"/>
    <x v="1"/>
    <x v="0"/>
    <n v="692"/>
    <x v="1"/>
    <n v="14"/>
    <x v="2"/>
    <x v="2"/>
    <x v="0"/>
    <n v="254"/>
    <x v="1"/>
    <x v="1"/>
    <n v="61"/>
    <x v="2"/>
    <x v="4"/>
    <x v="7"/>
    <x v="1"/>
    <x v="0"/>
    <x v="183"/>
    <n v="13339"/>
    <n v="8"/>
    <s v="Y"/>
    <x v="1"/>
    <n v="11"/>
    <x v="0"/>
    <x v="1"/>
    <n v="80"/>
    <n v="0"/>
    <n v="36"/>
    <n v="3"/>
    <x v="1"/>
    <x v="25"/>
    <n v="15"/>
    <x v="3"/>
    <x v="14"/>
    <x v="3"/>
    <x v="3"/>
    <x v="2"/>
    <n v="0"/>
  </r>
  <r>
    <x v="13"/>
    <x v="1"/>
    <x v="1"/>
    <n v="1069"/>
    <x v="1"/>
    <n v="2"/>
    <x v="1"/>
    <x v="0"/>
    <x v="0"/>
    <n v="256"/>
    <x v="2"/>
    <x v="1"/>
    <n v="45"/>
    <x v="1"/>
    <x v="0"/>
    <x v="3"/>
    <x v="2"/>
    <x v="1"/>
    <x v="184"/>
    <n v="14074"/>
    <n v="1"/>
    <s v="Y"/>
    <x v="1"/>
    <n v="17"/>
    <x v="0"/>
    <x v="3"/>
    <n v="80"/>
    <n v="0"/>
    <n v="10"/>
    <n v="2"/>
    <x v="2"/>
    <x v="1"/>
    <n v="9"/>
    <x v="1"/>
    <x v="12"/>
    <x v="1"/>
    <x v="0"/>
    <x v="0"/>
    <n v="0"/>
  </r>
  <r>
    <x v="31"/>
    <x v="1"/>
    <x v="0"/>
    <n v="313"/>
    <x v="1"/>
    <n v="3"/>
    <x v="3"/>
    <x v="2"/>
    <x v="0"/>
    <n v="258"/>
    <x v="2"/>
    <x v="0"/>
    <n v="98"/>
    <x v="0"/>
    <x v="3"/>
    <x v="4"/>
    <x v="1"/>
    <x v="0"/>
    <x v="185"/>
    <n v="7192"/>
    <n v="3"/>
    <s v="Y"/>
    <x v="1"/>
    <n v="18"/>
    <x v="0"/>
    <x v="3"/>
    <n v="80"/>
    <n v="0"/>
    <n v="21"/>
    <n v="6"/>
    <x v="1"/>
    <x v="5"/>
    <n v="7"/>
    <x v="1"/>
    <x v="2"/>
    <x v="3"/>
    <x v="0"/>
    <x v="3"/>
    <n v="0"/>
  </r>
  <r>
    <x v="39"/>
    <x v="1"/>
    <x v="0"/>
    <n v="699"/>
    <x v="1"/>
    <n v="1"/>
    <x v="2"/>
    <x v="0"/>
    <x v="0"/>
    <n v="259"/>
    <x v="1"/>
    <x v="1"/>
    <n v="65"/>
    <x v="1"/>
    <x v="4"/>
    <x v="5"/>
    <x v="2"/>
    <x v="1"/>
    <x v="186"/>
    <n v="5678"/>
    <n v="0"/>
    <s v="Y"/>
    <x v="1"/>
    <n v="14"/>
    <x v="0"/>
    <x v="0"/>
    <n v="80"/>
    <n v="1"/>
    <n v="34"/>
    <n v="5"/>
    <x v="1"/>
    <x v="26"/>
    <n v="18"/>
    <x v="14"/>
    <x v="12"/>
    <x v="3"/>
    <x v="3"/>
    <x v="2"/>
    <n v="0"/>
  </r>
  <r>
    <x v="4"/>
    <x v="1"/>
    <x v="0"/>
    <n v="894"/>
    <x v="1"/>
    <n v="9"/>
    <x v="3"/>
    <x v="2"/>
    <x v="0"/>
    <n v="260"/>
    <x v="2"/>
    <x v="0"/>
    <n v="99"/>
    <x v="0"/>
    <x v="1"/>
    <x v="1"/>
    <x v="1"/>
    <x v="0"/>
    <x v="187"/>
    <n v="11781"/>
    <n v="1"/>
    <s v="Y"/>
    <x v="1"/>
    <n v="16"/>
    <x v="0"/>
    <x v="1"/>
    <n v="80"/>
    <n v="0"/>
    <n v="7"/>
    <n v="2"/>
    <x v="2"/>
    <x v="5"/>
    <n v="7"/>
    <x v="0"/>
    <x v="6"/>
    <x v="2"/>
    <x v="0"/>
    <x v="1"/>
    <n v="0"/>
  </r>
  <r>
    <x v="10"/>
    <x v="0"/>
    <x v="0"/>
    <n v="556"/>
    <x v="1"/>
    <n v="23"/>
    <x v="0"/>
    <x v="0"/>
    <x v="0"/>
    <n v="261"/>
    <x v="0"/>
    <x v="1"/>
    <n v="50"/>
    <x v="1"/>
    <x v="0"/>
    <x v="3"/>
    <x v="2"/>
    <x v="1"/>
    <x v="188"/>
    <n v="15497"/>
    <n v="3"/>
    <s v="Y"/>
    <x v="0"/>
    <n v="13"/>
    <x v="0"/>
    <x v="0"/>
    <n v="80"/>
    <n v="0"/>
    <n v="8"/>
    <n v="1"/>
    <x v="1"/>
    <x v="6"/>
    <n v="0"/>
    <x v="0"/>
    <x v="9"/>
    <x v="1"/>
    <x v="1"/>
    <x v="0"/>
    <n v="1"/>
  </r>
  <r>
    <x v="23"/>
    <x v="1"/>
    <x v="2"/>
    <n v="1344"/>
    <x v="1"/>
    <n v="7"/>
    <x v="3"/>
    <x v="2"/>
    <x v="0"/>
    <n v="262"/>
    <x v="2"/>
    <x v="1"/>
    <n v="37"/>
    <x v="2"/>
    <x v="1"/>
    <x v="1"/>
    <x v="0"/>
    <x v="2"/>
    <x v="189"/>
    <n v="5228"/>
    <n v="4"/>
    <s v="Y"/>
    <x v="1"/>
    <n v="14"/>
    <x v="0"/>
    <x v="1"/>
    <n v="80"/>
    <n v="3"/>
    <n v="7"/>
    <n v="3"/>
    <x v="3"/>
    <x v="8"/>
    <n v="4"/>
    <x v="3"/>
    <x v="3"/>
    <x v="0"/>
    <x v="2"/>
    <x v="1"/>
    <n v="0"/>
  </r>
  <r>
    <x v="28"/>
    <x v="1"/>
    <x v="2"/>
    <n v="1195"/>
    <x v="1"/>
    <n v="2"/>
    <x v="0"/>
    <x v="2"/>
    <x v="0"/>
    <n v="264"/>
    <x v="3"/>
    <x v="1"/>
    <n v="65"/>
    <x v="1"/>
    <x v="3"/>
    <x v="5"/>
    <x v="0"/>
    <x v="1"/>
    <x v="190"/>
    <n v="20462"/>
    <n v="9"/>
    <s v="Y"/>
    <x v="1"/>
    <n v="23"/>
    <x v="1"/>
    <x v="1"/>
    <n v="80"/>
    <n v="1"/>
    <n v="22"/>
    <n v="1"/>
    <x v="1"/>
    <x v="23"/>
    <n v="8"/>
    <x v="14"/>
    <x v="5"/>
    <x v="0"/>
    <x v="3"/>
    <x v="2"/>
    <n v="0"/>
  </r>
  <r>
    <x v="2"/>
    <x v="1"/>
    <x v="0"/>
    <n v="290"/>
    <x v="1"/>
    <n v="21"/>
    <x v="3"/>
    <x v="0"/>
    <x v="0"/>
    <n v="267"/>
    <x v="0"/>
    <x v="1"/>
    <n v="65"/>
    <x v="2"/>
    <x v="1"/>
    <x v="1"/>
    <x v="3"/>
    <x v="1"/>
    <x v="191"/>
    <n v="22977"/>
    <n v="1"/>
    <s v="Y"/>
    <x v="0"/>
    <n v="12"/>
    <x v="0"/>
    <x v="0"/>
    <n v="80"/>
    <n v="1"/>
    <n v="8"/>
    <n v="3"/>
    <x v="2"/>
    <x v="3"/>
    <n v="7"/>
    <x v="1"/>
    <x v="1"/>
    <x v="1"/>
    <x v="0"/>
    <x v="1"/>
    <n v="0"/>
  </r>
  <r>
    <x v="10"/>
    <x v="1"/>
    <x v="1"/>
    <n v="138"/>
    <x v="1"/>
    <n v="2"/>
    <x v="3"/>
    <x v="2"/>
    <x v="0"/>
    <n v="269"/>
    <x v="0"/>
    <x v="0"/>
    <n v="37"/>
    <x v="0"/>
    <x v="0"/>
    <x v="2"/>
    <x v="1"/>
    <x v="0"/>
    <x v="192"/>
    <n v="15986"/>
    <n v="5"/>
    <s v="Y"/>
    <x v="1"/>
    <n v="11"/>
    <x v="0"/>
    <x v="1"/>
    <n v="80"/>
    <n v="0"/>
    <n v="10"/>
    <n v="5"/>
    <x v="1"/>
    <x v="0"/>
    <n v="2"/>
    <x v="1"/>
    <x v="3"/>
    <x v="1"/>
    <x v="0"/>
    <x v="1"/>
    <n v="0"/>
  </r>
  <r>
    <x v="19"/>
    <x v="1"/>
    <x v="2"/>
    <n v="926"/>
    <x v="1"/>
    <n v="21"/>
    <x v="0"/>
    <x v="2"/>
    <x v="0"/>
    <n v="270"/>
    <x v="1"/>
    <x v="0"/>
    <n v="36"/>
    <x v="0"/>
    <x v="0"/>
    <x v="3"/>
    <x v="2"/>
    <x v="2"/>
    <x v="193"/>
    <n v="16439"/>
    <n v="2"/>
    <s v="Y"/>
    <x v="1"/>
    <n v="16"/>
    <x v="0"/>
    <x v="2"/>
    <n v="80"/>
    <n v="1"/>
    <n v="11"/>
    <n v="5"/>
    <x v="1"/>
    <x v="8"/>
    <n v="3"/>
    <x v="0"/>
    <x v="3"/>
    <x v="0"/>
    <x v="2"/>
    <x v="0"/>
    <n v="0"/>
  </r>
  <r>
    <x v="8"/>
    <x v="1"/>
    <x v="0"/>
    <n v="1261"/>
    <x v="1"/>
    <n v="2"/>
    <x v="2"/>
    <x v="0"/>
    <x v="0"/>
    <n v="271"/>
    <x v="2"/>
    <x v="1"/>
    <n v="88"/>
    <x v="0"/>
    <x v="0"/>
    <x v="3"/>
    <x v="2"/>
    <x v="1"/>
    <x v="194"/>
    <n v="7259"/>
    <n v="9"/>
    <s v="Y"/>
    <x v="1"/>
    <n v="14"/>
    <x v="0"/>
    <x v="2"/>
    <n v="80"/>
    <n v="0"/>
    <n v="14"/>
    <n v="3"/>
    <x v="1"/>
    <x v="6"/>
    <n v="0"/>
    <x v="0"/>
    <x v="2"/>
    <x v="1"/>
    <x v="1"/>
    <x v="0"/>
    <n v="0"/>
  </r>
  <r>
    <x v="8"/>
    <x v="1"/>
    <x v="0"/>
    <n v="1084"/>
    <x v="1"/>
    <n v="29"/>
    <x v="3"/>
    <x v="4"/>
    <x v="0"/>
    <n v="273"/>
    <x v="2"/>
    <x v="1"/>
    <n v="54"/>
    <x v="0"/>
    <x v="0"/>
    <x v="3"/>
    <x v="0"/>
    <x v="1"/>
    <x v="195"/>
    <n v="4185"/>
    <n v="3"/>
    <s v="Y"/>
    <x v="1"/>
    <n v="18"/>
    <x v="0"/>
    <x v="0"/>
    <n v="80"/>
    <n v="1"/>
    <n v="9"/>
    <n v="3"/>
    <x v="0"/>
    <x v="5"/>
    <n v="7"/>
    <x v="1"/>
    <x v="1"/>
    <x v="1"/>
    <x v="0"/>
    <x v="0"/>
    <n v="0"/>
  </r>
  <r>
    <x v="4"/>
    <x v="1"/>
    <x v="1"/>
    <n v="472"/>
    <x v="1"/>
    <n v="1"/>
    <x v="1"/>
    <x v="4"/>
    <x v="0"/>
    <n v="274"/>
    <x v="1"/>
    <x v="1"/>
    <n v="60"/>
    <x v="1"/>
    <x v="0"/>
    <x v="3"/>
    <x v="3"/>
    <x v="1"/>
    <x v="196"/>
    <n v="9679"/>
    <n v="5"/>
    <s v="Y"/>
    <x v="1"/>
    <n v="19"/>
    <x v="0"/>
    <x v="3"/>
    <n v="80"/>
    <n v="1"/>
    <n v="6"/>
    <n v="1"/>
    <x v="1"/>
    <x v="4"/>
    <n v="2"/>
    <x v="3"/>
    <x v="2"/>
    <x v="2"/>
    <x v="1"/>
    <x v="1"/>
    <n v="0"/>
  </r>
  <r>
    <x v="1"/>
    <x v="1"/>
    <x v="2"/>
    <n v="1002"/>
    <x v="1"/>
    <n v="18"/>
    <x v="2"/>
    <x v="0"/>
    <x v="0"/>
    <n v="275"/>
    <x v="2"/>
    <x v="1"/>
    <n v="92"/>
    <x v="0"/>
    <x v="0"/>
    <x v="3"/>
    <x v="0"/>
    <x v="2"/>
    <x v="197"/>
    <n v="23793"/>
    <n v="1"/>
    <s v="Y"/>
    <x v="0"/>
    <n v="15"/>
    <x v="0"/>
    <x v="0"/>
    <n v="80"/>
    <n v="2"/>
    <n v="7"/>
    <n v="0"/>
    <x v="1"/>
    <x v="5"/>
    <n v="7"/>
    <x v="1"/>
    <x v="1"/>
    <x v="0"/>
    <x v="0"/>
    <x v="0"/>
    <n v="0"/>
  </r>
  <r>
    <x v="13"/>
    <x v="1"/>
    <x v="1"/>
    <n v="878"/>
    <x v="1"/>
    <n v="10"/>
    <x v="2"/>
    <x v="2"/>
    <x v="0"/>
    <n v="277"/>
    <x v="2"/>
    <x v="1"/>
    <n v="43"/>
    <x v="0"/>
    <x v="1"/>
    <x v="1"/>
    <x v="2"/>
    <x v="2"/>
    <x v="198"/>
    <n v="5972"/>
    <n v="1"/>
    <s v="Y"/>
    <x v="0"/>
    <n v="17"/>
    <x v="0"/>
    <x v="1"/>
    <n v="80"/>
    <n v="1"/>
    <n v="5"/>
    <n v="4"/>
    <x v="3"/>
    <x v="8"/>
    <n v="3"/>
    <x v="3"/>
    <x v="2"/>
    <x v="1"/>
    <x v="2"/>
    <x v="1"/>
    <n v="0"/>
  </r>
  <r>
    <x v="32"/>
    <x v="1"/>
    <x v="0"/>
    <n v="905"/>
    <x v="1"/>
    <n v="19"/>
    <x v="0"/>
    <x v="2"/>
    <x v="0"/>
    <n v="281"/>
    <x v="1"/>
    <x v="1"/>
    <n v="99"/>
    <x v="0"/>
    <x v="0"/>
    <x v="2"/>
    <x v="0"/>
    <x v="1"/>
    <x v="199"/>
    <n v="16523"/>
    <n v="8"/>
    <s v="Y"/>
    <x v="0"/>
    <n v="15"/>
    <x v="0"/>
    <x v="3"/>
    <n v="80"/>
    <n v="1"/>
    <n v="15"/>
    <n v="2"/>
    <x v="3"/>
    <x v="5"/>
    <n v="2"/>
    <x v="2"/>
    <x v="1"/>
    <x v="0"/>
    <x v="0"/>
    <x v="1"/>
    <n v="0"/>
  </r>
  <r>
    <x v="8"/>
    <x v="0"/>
    <x v="0"/>
    <n v="1180"/>
    <x v="1"/>
    <n v="29"/>
    <x v="1"/>
    <x v="2"/>
    <x v="0"/>
    <n v="282"/>
    <x v="0"/>
    <x v="1"/>
    <n v="70"/>
    <x v="0"/>
    <x v="0"/>
    <x v="4"/>
    <x v="3"/>
    <x v="1"/>
    <x v="200"/>
    <n v="11354"/>
    <n v="7"/>
    <s v="Y"/>
    <x v="0"/>
    <n v="19"/>
    <x v="0"/>
    <x v="2"/>
    <n v="80"/>
    <n v="0"/>
    <n v="17"/>
    <n v="2"/>
    <x v="1"/>
    <x v="6"/>
    <n v="0"/>
    <x v="0"/>
    <x v="2"/>
    <x v="1"/>
    <x v="1"/>
    <x v="0"/>
    <n v="1"/>
  </r>
  <r>
    <x v="11"/>
    <x v="0"/>
    <x v="0"/>
    <n v="121"/>
    <x v="0"/>
    <n v="27"/>
    <x v="3"/>
    <x v="3"/>
    <x v="0"/>
    <n v="283"/>
    <x v="0"/>
    <x v="0"/>
    <n v="35"/>
    <x v="0"/>
    <x v="2"/>
    <x v="0"/>
    <x v="0"/>
    <x v="1"/>
    <x v="201"/>
    <n v="24525"/>
    <n v="1"/>
    <s v="Y"/>
    <x v="1"/>
    <n v="22"/>
    <x v="1"/>
    <x v="1"/>
    <n v="80"/>
    <n v="3"/>
    <n v="10"/>
    <n v="3"/>
    <x v="2"/>
    <x v="1"/>
    <n v="4"/>
    <x v="1"/>
    <x v="12"/>
    <x v="2"/>
    <x v="0"/>
    <x v="0"/>
    <n v="1"/>
  </r>
  <r>
    <x v="15"/>
    <x v="1"/>
    <x v="0"/>
    <n v="1136"/>
    <x v="1"/>
    <n v="5"/>
    <x v="3"/>
    <x v="0"/>
    <x v="0"/>
    <n v="284"/>
    <x v="2"/>
    <x v="1"/>
    <n v="60"/>
    <x v="2"/>
    <x v="1"/>
    <x v="1"/>
    <x v="1"/>
    <x v="2"/>
    <x v="202"/>
    <n v="12392"/>
    <n v="1"/>
    <s v="Y"/>
    <x v="0"/>
    <n v="16"/>
    <x v="0"/>
    <x v="0"/>
    <n v="80"/>
    <n v="1"/>
    <n v="4"/>
    <n v="2"/>
    <x v="2"/>
    <x v="9"/>
    <n v="2"/>
    <x v="3"/>
    <x v="3"/>
    <x v="2"/>
    <x v="2"/>
    <x v="1"/>
    <n v="0"/>
  </r>
  <r>
    <x v="9"/>
    <x v="1"/>
    <x v="1"/>
    <n v="635"/>
    <x v="1"/>
    <n v="18"/>
    <x v="1"/>
    <x v="2"/>
    <x v="0"/>
    <n v="286"/>
    <x v="0"/>
    <x v="0"/>
    <n v="73"/>
    <x v="0"/>
    <x v="1"/>
    <x v="2"/>
    <x v="0"/>
    <x v="0"/>
    <x v="203"/>
    <n v="7703"/>
    <n v="1"/>
    <s v="Y"/>
    <x v="1"/>
    <n v="13"/>
    <x v="0"/>
    <x v="0"/>
    <n v="80"/>
    <n v="0"/>
    <n v="8"/>
    <n v="2"/>
    <x v="1"/>
    <x v="3"/>
    <n v="1"/>
    <x v="1"/>
    <x v="1"/>
    <x v="1"/>
    <x v="0"/>
    <x v="1"/>
    <n v="0"/>
  </r>
  <r>
    <x v="32"/>
    <x v="1"/>
    <x v="2"/>
    <n v="1151"/>
    <x v="1"/>
    <n v="9"/>
    <x v="4"/>
    <x v="0"/>
    <x v="0"/>
    <n v="287"/>
    <x v="2"/>
    <x v="1"/>
    <n v="63"/>
    <x v="1"/>
    <x v="0"/>
    <x v="4"/>
    <x v="0"/>
    <x v="1"/>
    <x v="204"/>
    <n v="14242"/>
    <n v="9"/>
    <s v="Y"/>
    <x v="1"/>
    <n v="14"/>
    <x v="0"/>
    <x v="1"/>
    <n v="80"/>
    <n v="1"/>
    <n v="5"/>
    <n v="5"/>
    <x v="0"/>
    <x v="11"/>
    <n v="2"/>
    <x v="0"/>
    <x v="3"/>
    <x v="0"/>
    <x v="2"/>
    <x v="1"/>
    <n v="0"/>
  </r>
  <r>
    <x v="21"/>
    <x v="1"/>
    <x v="0"/>
    <n v="644"/>
    <x v="1"/>
    <n v="1"/>
    <x v="2"/>
    <x v="2"/>
    <x v="0"/>
    <n v="288"/>
    <x v="2"/>
    <x v="1"/>
    <n v="97"/>
    <x v="0"/>
    <x v="2"/>
    <x v="4"/>
    <x v="3"/>
    <x v="2"/>
    <x v="205"/>
    <n v="12368"/>
    <n v="7"/>
    <s v="Y"/>
    <x v="1"/>
    <n v="16"/>
    <x v="0"/>
    <x v="3"/>
    <n v="80"/>
    <n v="1"/>
    <n v="17"/>
    <n v="3"/>
    <x v="1"/>
    <x v="9"/>
    <n v="2"/>
    <x v="0"/>
    <x v="6"/>
    <x v="0"/>
    <x v="2"/>
    <x v="0"/>
    <n v="0"/>
  </r>
  <r>
    <x v="5"/>
    <x v="0"/>
    <x v="0"/>
    <n v="1045"/>
    <x v="0"/>
    <n v="4"/>
    <x v="2"/>
    <x v="2"/>
    <x v="0"/>
    <n v="291"/>
    <x v="2"/>
    <x v="1"/>
    <n v="32"/>
    <x v="3"/>
    <x v="2"/>
    <x v="0"/>
    <x v="0"/>
    <x v="1"/>
    <x v="206"/>
    <n v="25812"/>
    <n v="1"/>
    <s v="Y"/>
    <x v="1"/>
    <n v="11"/>
    <x v="0"/>
    <x v="3"/>
    <n v="80"/>
    <n v="0"/>
    <n v="14"/>
    <n v="2"/>
    <x v="2"/>
    <x v="13"/>
    <n v="8"/>
    <x v="10"/>
    <x v="5"/>
    <x v="1"/>
    <x v="3"/>
    <x v="3"/>
    <n v="1"/>
  </r>
  <r>
    <x v="7"/>
    <x v="1"/>
    <x v="2"/>
    <n v="829"/>
    <x v="1"/>
    <n v="1"/>
    <x v="1"/>
    <x v="0"/>
    <x v="0"/>
    <n v="292"/>
    <x v="1"/>
    <x v="1"/>
    <n v="88"/>
    <x v="1"/>
    <x v="2"/>
    <x v="3"/>
    <x v="2"/>
    <x v="0"/>
    <x v="207"/>
    <n v="20925"/>
    <n v="1"/>
    <s v="Y"/>
    <x v="1"/>
    <n v="22"/>
    <x v="1"/>
    <x v="3"/>
    <n v="80"/>
    <n v="0"/>
    <n v="12"/>
    <n v="2"/>
    <x v="1"/>
    <x v="19"/>
    <n v="8"/>
    <x v="8"/>
    <x v="5"/>
    <x v="1"/>
    <x v="3"/>
    <x v="0"/>
    <n v="0"/>
  </r>
  <r>
    <x v="4"/>
    <x v="1"/>
    <x v="1"/>
    <n v="1242"/>
    <x v="0"/>
    <n v="20"/>
    <x v="3"/>
    <x v="0"/>
    <x v="0"/>
    <n v="293"/>
    <x v="2"/>
    <x v="0"/>
    <n v="90"/>
    <x v="0"/>
    <x v="0"/>
    <x v="0"/>
    <x v="2"/>
    <x v="0"/>
    <x v="208"/>
    <n v="12916"/>
    <n v="1"/>
    <s v="Y"/>
    <x v="1"/>
    <n v="14"/>
    <x v="0"/>
    <x v="1"/>
    <n v="80"/>
    <n v="0"/>
    <n v="7"/>
    <n v="2"/>
    <x v="1"/>
    <x v="5"/>
    <n v="7"/>
    <x v="0"/>
    <x v="1"/>
    <x v="2"/>
    <x v="0"/>
    <x v="0"/>
    <n v="0"/>
  </r>
  <r>
    <x v="31"/>
    <x v="1"/>
    <x v="0"/>
    <n v="1469"/>
    <x v="1"/>
    <n v="8"/>
    <x v="2"/>
    <x v="0"/>
    <x v="0"/>
    <n v="296"/>
    <x v="0"/>
    <x v="1"/>
    <n v="81"/>
    <x v="1"/>
    <x v="2"/>
    <x v="7"/>
    <x v="1"/>
    <x v="1"/>
    <x v="209"/>
    <n v="15736"/>
    <n v="5"/>
    <s v="Y"/>
    <x v="1"/>
    <n v="16"/>
    <x v="0"/>
    <x v="1"/>
    <n v="80"/>
    <n v="2"/>
    <n v="16"/>
    <n v="5"/>
    <x v="0"/>
    <x v="1"/>
    <n v="9"/>
    <x v="5"/>
    <x v="1"/>
    <x v="3"/>
    <x v="0"/>
    <x v="3"/>
    <n v="0"/>
  </r>
  <r>
    <x v="7"/>
    <x v="0"/>
    <x v="0"/>
    <n v="1005"/>
    <x v="1"/>
    <n v="3"/>
    <x v="3"/>
    <x v="4"/>
    <x v="0"/>
    <n v="297"/>
    <x v="2"/>
    <x v="0"/>
    <n v="88"/>
    <x v="0"/>
    <x v="1"/>
    <x v="1"/>
    <x v="3"/>
    <x v="0"/>
    <x v="210"/>
    <n v="8556"/>
    <n v="5"/>
    <s v="Y"/>
    <x v="0"/>
    <n v="11"/>
    <x v="0"/>
    <x v="3"/>
    <n v="80"/>
    <n v="0"/>
    <n v="8"/>
    <n v="5"/>
    <x v="1"/>
    <x v="8"/>
    <n v="2"/>
    <x v="0"/>
    <x v="10"/>
    <x v="1"/>
    <x v="2"/>
    <x v="1"/>
    <n v="1"/>
  </r>
  <r>
    <x v="0"/>
    <x v="1"/>
    <x v="0"/>
    <n v="896"/>
    <x v="0"/>
    <n v="6"/>
    <x v="3"/>
    <x v="0"/>
    <x v="0"/>
    <n v="298"/>
    <x v="2"/>
    <x v="0"/>
    <n v="75"/>
    <x v="0"/>
    <x v="2"/>
    <x v="5"/>
    <x v="0"/>
    <x v="0"/>
    <x v="211"/>
    <n v="14674"/>
    <n v="3"/>
    <s v="Y"/>
    <x v="0"/>
    <n v="18"/>
    <x v="0"/>
    <x v="3"/>
    <n v="80"/>
    <n v="0"/>
    <n v="16"/>
    <n v="3"/>
    <x v="1"/>
    <x v="6"/>
    <n v="0"/>
    <x v="0"/>
    <x v="2"/>
    <x v="0"/>
    <x v="1"/>
    <x v="3"/>
    <n v="0"/>
  </r>
  <r>
    <x v="7"/>
    <x v="0"/>
    <x v="1"/>
    <n v="334"/>
    <x v="0"/>
    <n v="26"/>
    <x v="2"/>
    <x v="3"/>
    <x v="0"/>
    <n v="299"/>
    <x v="1"/>
    <x v="0"/>
    <n v="52"/>
    <x v="1"/>
    <x v="0"/>
    <x v="0"/>
    <x v="3"/>
    <x v="0"/>
    <x v="212"/>
    <n v="22967"/>
    <n v="5"/>
    <s v="Y"/>
    <x v="1"/>
    <n v="15"/>
    <x v="0"/>
    <x v="3"/>
    <n v="80"/>
    <n v="0"/>
    <n v="9"/>
    <n v="5"/>
    <x v="2"/>
    <x v="0"/>
    <n v="3"/>
    <x v="0"/>
    <x v="9"/>
    <x v="1"/>
    <x v="0"/>
    <x v="0"/>
    <n v="1"/>
  </r>
  <r>
    <x v="11"/>
    <x v="0"/>
    <x v="0"/>
    <n v="992"/>
    <x v="1"/>
    <n v="1"/>
    <x v="3"/>
    <x v="4"/>
    <x v="0"/>
    <n v="300"/>
    <x v="1"/>
    <x v="1"/>
    <n v="85"/>
    <x v="0"/>
    <x v="1"/>
    <x v="1"/>
    <x v="2"/>
    <x v="0"/>
    <x v="213"/>
    <n v="19757"/>
    <n v="0"/>
    <s v="Y"/>
    <x v="1"/>
    <n v="14"/>
    <x v="0"/>
    <x v="1"/>
    <n v="80"/>
    <n v="0"/>
    <n v="7"/>
    <n v="1"/>
    <x v="2"/>
    <x v="0"/>
    <n v="2"/>
    <x v="1"/>
    <x v="0"/>
    <x v="2"/>
    <x v="0"/>
    <x v="1"/>
    <n v="1"/>
  </r>
  <r>
    <x v="28"/>
    <x v="1"/>
    <x v="2"/>
    <n v="1052"/>
    <x v="0"/>
    <n v="6"/>
    <x v="3"/>
    <x v="2"/>
    <x v="0"/>
    <n v="302"/>
    <x v="2"/>
    <x v="0"/>
    <n v="57"/>
    <x v="1"/>
    <x v="2"/>
    <x v="0"/>
    <x v="0"/>
    <x v="0"/>
    <x v="214"/>
    <n v="16840"/>
    <n v="6"/>
    <s v="Y"/>
    <x v="1"/>
    <n v="12"/>
    <x v="0"/>
    <x v="1"/>
    <n v="80"/>
    <n v="0"/>
    <n v="23"/>
    <n v="2"/>
    <x v="1"/>
    <x v="27"/>
    <n v="7"/>
    <x v="12"/>
    <x v="5"/>
    <x v="0"/>
    <x v="3"/>
    <x v="0"/>
    <n v="0"/>
  </r>
  <r>
    <x v="33"/>
    <x v="1"/>
    <x v="0"/>
    <n v="1147"/>
    <x v="0"/>
    <n v="3"/>
    <x v="3"/>
    <x v="3"/>
    <x v="0"/>
    <n v="303"/>
    <x v="2"/>
    <x v="0"/>
    <n v="52"/>
    <x v="0"/>
    <x v="0"/>
    <x v="0"/>
    <x v="3"/>
    <x v="1"/>
    <x v="215"/>
    <n v="17011"/>
    <n v="2"/>
    <s v="Y"/>
    <x v="1"/>
    <n v="14"/>
    <x v="0"/>
    <x v="1"/>
    <n v="80"/>
    <n v="1"/>
    <n v="16"/>
    <n v="4"/>
    <x v="1"/>
    <x v="0"/>
    <n v="2"/>
    <x v="0"/>
    <x v="0"/>
    <x v="3"/>
    <x v="0"/>
    <x v="0"/>
    <n v="0"/>
  </r>
  <r>
    <x v="9"/>
    <x v="1"/>
    <x v="0"/>
    <n v="1396"/>
    <x v="1"/>
    <n v="5"/>
    <x v="0"/>
    <x v="0"/>
    <x v="0"/>
    <n v="304"/>
    <x v="2"/>
    <x v="1"/>
    <n v="62"/>
    <x v="0"/>
    <x v="0"/>
    <x v="2"/>
    <x v="1"/>
    <x v="0"/>
    <x v="216"/>
    <n v="9945"/>
    <n v="8"/>
    <s v="Y"/>
    <x v="1"/>
    <n v="16"/>
    <x v="0"/>
    <x v="1"/>
    <n v="80"/>
    <n v="0"/>
    <n v="16"/>
    <n v="3"/>
    <x v="3"/>
    <x v="20"/>
    <n v="11"/>
    <x v="2"/>
    <x v="1"/>
    <x v="1"/>
    <x v="3"/>
    <x v="0"/>
    <n v="0"/>
  </r>
  <r>
    <x v="3"/>
    <x v="1"/>
    <x v="0"/>
    <n v="147"/>
    <x v="1"/>
    <n v="4"/>
    <x v="2"/>
    <x v="2"/>
    <x v="0"/>
    <n v="305"/>
    <x v="1"/>
    <x v="0"/>
    <n v="47"/>
    <x v="1"/>
    <x v="1"/>
    <x v="1"/>
    <x v="1"/>
    <x v="1"/>
    <x v="217"/>
    <n v="13248"/>
    <n v="6"/>
    <s v="Y"/>
    <x v="1"/>
    <n v="21"/>
    <x v="1"/>
    <x v="1"/>
    <n v="80"/>
    <n v="0"/>
    <n v="7"/>
    <n v="3"/>
    <x v="1"/>
    <x v="11"/>
    <n v="2"/>
    <x v="1"/>
    <x v="9"/>
    <x v="1"/>
    <x v="2"/>
    <x v="1"/>
    <n v="0"/>
  </r>
  <r>
    <x v="2"/>
    <x v="1"/>
    <x v="1"/>
    <n v="663"/>
    <x v="1"/>
    <n v="11"/>
    <x v="3"/>
    <x v="1"/>
    <x v="0"/>
    <n v="306"/>
    <x v="0"/>
    <x v="1"/>
    <n v="47"/>
    <x v="0"/>
    <x v="2"/>
    <x v="7"/>
    <x v="0"/>
    <x v="2"/>
    <x v="218"/>
    <n v="10056"/>
    <n v="1"/>
    <s v="Y"/>
    <x v="0"/>
    <n v="14"/>
    <x v="0"/>
    <x v="3"/>
    <n v="80"/>
    <n v="3"/>
    <n v="10"/>
    <n v="1"/>
    <x v="1"/>
    <x v="1"/>
    <n v="8"/>
    <x v="0"/>
    <x v="1"/>
    <x v="1"/>
    <x v="0"/>
    <x v="3"/>
    <n v="0"/>
  </r>
  <r>
    <x v="8"/>
    <x v="1"/>
    <x v="0"/>
    <n v="119"/>
    <x v="0"/>
    <n v="3"/>
    <x v="3"/>
    <x v="0"/>
    <x v="0"/>
    <n v="307"/>
    <x v="3"/>
    <x v="1"/>
    <n v="76"/>
    <x v="0"/>
    <x v="2"/>
    <x v="0"/>
    <x v="2"/>
    <x v="2"/>
    <x v="219"/>
    <n v="9647"/>
    <n v="0"/>
    <s v="Y"/>
    <x v="1"/>
    <n v="12"/>
    <x v="0"/>
    <x v="3"/>
    <n v="80"/>
    <n v="2"/>
    <n v="17"/>
    <n v="6"/>
    <x v="2"/>
    <x v="22"/>
    <n v="10"/>
    <x v="8"/>
    <x v="15"/>
    <x v="1"/>
    <x v="3"/>
    <x v="3"/>
    <n v="0"/>
  </r>
  <r>
    <x v="12"/>
    <x v="1"/>
    <x v="2"/>
    <n v="979"/>
    <x v="1"/>
    <n v="1"/>
    <x v="2"/>
    <x v="2"/>
    <x v="0"/>
    <n v="308"/>
    <x v="1"/>
    <x v="1"/>
    <n v="90"/>
    <x v="3"/>
    <x v="0"/>
    <x v="3"/>
    <x v="2"/>
    <x v="1"/>
    <x v="220"/>
    <n v="4381"/>
    <n v="0"/>
    <s v="Y"/>
    <x v="1"/>
    <n v="12"/>
    <x v="0"/>
    <x v="1"/>
    <n v="80"/>
    <n v="1"/>
    <n v="6"/>
    <n v="2"/>
    <x v="1"/>
    <x v="8"/>
    <n v="4"/>
    <x v="1"/>
    <x v="10"/>
    <x v="1"/>
    <x v="2"/>
    <x v="1"/>
    <n v="0"/>
  </r>
  <r>
    <x v="6"/>
    <x v="1"/>
    <x v="0"/>
    <n v="142"/>
    <x v="1"/>
    <n v="3"/>
    <x v="3"/>
    <x v="0"/>
    <x v="0"/>
    <n v="309"/>
    <x v="1"/>
    <x v="1"/>
    <n v="70"/>
    <x v="1"/>
    <x v="1"/>
    <x v="1"/>
    <x v="0"/>
    <x v="1"/>
    <x v="221"/>
    <n v="8456"/>
    <n v="3"/>
    <s v="Y"/>
    <x v="1"/>
    <n v="17"/>
    <x v="0"/>
    <x v="0"/>
    <n v="80"/>
    <n v="1"/>
    <n v="7"/>
    <n v="6"/>
    <x v="1"/>
    <x v="6"/>
    <n v="0"/>
    <x v="0"/>
    <x v="2"/>
    <x v="3"/>
    <x v="1"/>
    <x v="1"/>
    <n v="0"/>
  </r>
  <r>
    <x v="2"/>
    <x v="1"/>
    <x v="1"/>
    <n v="319"/>
    <x v="0"/>
    <n v="4"/>
    <x v="2"/>
    <x v="3"/>
    <x v="0"/>
    <n v="311"/>
    <x v="3"/>
    <x v="1"/>
    <n v="41"/>
    <x v="0"/>
    <x v="1"/>
    <x v="6"/>
    <x v="0"/>
    <x v="2"/>
    <x v="222"/>
    <n v="2539"/>
    <n v="4"/>
    <s v="Y"/>
    <x v="1"/>
    <n v="17"/>
    <x v="0"/>
    <x v="3"/>
    <n v="80"/>
    <n v="1"/>
    <n v="13"/>
    <n v="2"/>
    <x v="1"/>
    <x v="7"/>
    <n v="8"/>
    <x v="8"/>
    <x v="5"/>
    <x v="1"/>
    <x v="0"/>
    <x v="1"/>
    <n v="0"/>
  </r>
  <r>
    <x v="11"/>
    <x v="1"/>
    <x v="1"/>
    <n v="1413"/>
    <x v="0"/>
    <n v="1"/>
    <x v="1"/>
    <x v="2"/>
    <x v="0"/>
    <n v="312"/>
    <x v="0"/>
    <x v="0"/>
    <n v="42"/>
    <x v="0"/>
    <x v="2"/>
    <x v="0"/>
    <x v="0"/>
    <x v="1"/>
    <x v="223"/>
    <n v="6599"/>
    <n v="1"/>
    <s v="Y"/>
    <x v="1"/>
    <n v="14"/>
    <x v="0"/>
    <x v="1"/>
    <n v="80"/>
    <n v="1"/>
    <n v="11"/>
    <n v="5"/>
    <x v="1"/>
    <x v="19"/>
    <n v="10"/>
    <x v="5"/>
    <x v="9"/>
    <x v="2"/>
    <x v="3"/>
    <x v="0"/>
    <n v="0"/>
  </r>
  <r>
    <x v="10"/>
    <x v="1"/>
    <x v="1"/>
    <n v="944"/>
    <x v="0"/>
    <n v="1"/>
    <x v="3"/>
    <x v="3"/>
    <x v="0"/>
    <n v="314"/>
    <x v="1"/>
    <x v="0"/>
    <n v="92"/>
    <x v="0"/>
    <x v="2"/>
    <x v="0"/>
    <x v="2"/>
    <x v="0"/>
    <x v="224"/>
    <n v="9096"/>
    <n v="1"/>
    <s v="Y"/>
    <x v="1"/>
    <n v="14"/>
    <x v="0"/>
    <x v="0"/>
    <n v="80"/>
    <n v="0"/>
    <n v="10"/>
    <n v="3"/>
    <x v="3"/>
    <x v="1"/>
    <n v="7"/>
    <x v="0"/>
    <x v="5"/>
    <x v="1"/>
    <x v="0"/>
    <x v="0"/>
    <n v="0"/>
  </r>
  <r>
    <x v="11"/>
    <x v="0"/>
    <x v="0"/>
    <n v="896"/>
    <x v="1"/>
    <n v="18"/>
    <x v="1"/>
    <x v="2"/>
    <x v="0"/>
    <n v="315"/>
    <x v="1"/>
    <x v="1"/>
    <n v="86"/>
    <x v="1"/>
    <x v="1"/>
    <x v="1"/>
    <x v="0"/>
    <x v="0"/>
    <x v="225"/>
    <n v="14961"/>
    <n v="1"/>
    <s v="Y"/>
    <x v="0"/>
    <n v="13"/>
    <x v="0"/>
    <x v="3"/>
    <n v="80"/>
    <n v="0"/>
    <n v="4"/>
    <n v="3"/>
    <x v="2"/>
    <x v="9"/>
    <n v="3"/>
    <x v="0"/>
    <x v="9"/>
    <x v="2"/>
    <x v="2"/>
    <x v="1"/>
    <n v="1"/>
  </r>
  <r>
    <x v="39"/>
    <x v="1"/>
    <x v="0"/>
    <n v="1323"/>
    <x v="1"/>
    <n v="2"/>
    <x v="3"/>
    <x v="0"/>
    <x v="0"/>
    <n v="316"/>
    <x v="1"/>
    <x v="0"/>
    <n v="89"/>
    <x v="1"/>
    <x v="1"/>
    <x v="2"/>
    <x v="0"/>
    <x v="0"/>
    <x v="226"/>
    <n v="3300"/>
    <n v="7"/>
    <s v="Y"/>
    <x v="1"/>
    <n v="15"/>
    <x v="0"/>
    <x v="2"/>
    <n v="80"/>
    <n v="0"/>
    <n v="6"/>
    <n v="3"/>
    <x v="2"/>
    <x v="4"/>
    <n v="2"/>
    <x v="3"/>
    <x v="3"/>
    <x v="3"/>
    <x v="1"/>
    <x v="1"/>
    <n v="0"/>
  </r>
  <r>
    <x v="19"/>
    <x v="1"/>
    <x v="0"/>
    <n v="532"/>
    <x v="1"/>
    <n v="4"/>
    <x v="0"/>
    <x v="4"/>
    <x v="0"/>
    <n v="319"/>
    <x v="1"/>
    <x v="1"/>
    <n v="58"/>
    <x v="0"/>
    <x v="4"/>
    <x v="5"/>
    <x v="0"/>
    <x v="1"/>
    <x v="227"/>
    <n v="4933"/>
    <n v="1"/>
    <s v="Y"/>
    <x v="1"/>
    <n v="11"/>
    <x v="0"/>
    <x v="1"/>
    <n v="80"/>
    <n v="0"/>
    <n v="22"/>
    <n v="3"/>
    <x v="1"/>
    <x v="14"/>
    <n v="17"/>
    <x v="14"/>
    <x v="14"/>
    <x v="0"/>
    <x v="3"/>
    <x v="2"/>
    <n v="0"/>
  </r>
  <r>
    <x v="6"/>
    <x v="1"/>
    <x v="0"/>
    <n v="818"/>
    <x v="2"/>
    <n v="6"/>
    <x v="0"/>
    <x v="2"/>
    <x v="0"/>
    <n v="321"/>
    <x v="0"/>
    <x v="1"/>
    <n v="52"/>
    <x v="0"/>
    <x v="1"/>
    <x v="8"/>
    <x v="2"/>
    <x v="1"/>
    <x v="228"/>
    <n v="25657"/>
    <n v="8"/>
    <s v="Y"/>
    <x v="1"/>
    <n v="17"/>
    <x v="0"/>
    <x v="1"/>
    <n v="80"/>
    <n v="0"/>
    <n v="7"/>
    <n v="2"/>
    <x v="2"/>
    <x v="4"/>
    <n v="2"/>
    <x v="3"/>
    <x v="3"/>
    <x v="3"/>
    <x v="1"/>
    <x v="1"/>
    <n v="0"/>
  </r>
  <r>
    <x v="24"/>
    <x v="1"/>
    <x v="0"/>
    <n v="854"/>
    <x v="0"/>
    <n v="1"/>
    <x v="2"/>
    <x v="2"/>
    <x v="0"/>
    <n v="323"/>
    <x v="2"/>
    <x v="0"/>
    <n v="68"/>
    <x v="0"/>
    <x v="4"/>
    <x v="5"/>
    <x v="0"/>
    <x v="2"/>
    <x v="229"/>
    <n v="24118"/>
    <n v="3"/>
    <s v="Y"/>
    <x v="1"/>
    <n v="11"/>
    <x v="0"/>
    <x v="3"/>
    <n v="80"/>
    <n v="1"/>
    <n v="32"/>
    <n v="3"/>
    <x v="2"/>
    <x v="5"/>
    <n v="0"/>
    <x v="0"/>
    <x v="4"/>
    <x v="3"/>
    <x v="0"/>
    <x v="2"/>
    <n v="0"/>
  </r>
  <r>
    <x v="3"/>
    <x v="0"/>
    <x v="0"/>
    <n v="813"/>
    <x v="1"/>
    <n v="14"/>
    <x v="3"/>
    <x v="2"/>
    <x v="0"/>
    <n v="325"/>
    <x v="1"/>
    <x v="1"/>
    <n v="58"/>
    <x v="0"/>
    <x v="1"/>
    <x v="2"/>
    <x v="0"/>
    <x v="1"/>
    <x v="230"/>
    <n v="22149"/>
    <n v="5"/>
    <s v="Y"/>
    <x v="0"/>
    <n v="13"/>
    <x v="0"/>
    <x v="3"/>
    <n v="80"/>
    <n v="1"/>
    <n v="8"/>
    <n v="2"/>
    <x v="0"/>
    <x v="8"/>
    <n v="4"/>
    <x v="0"/>
    <x v="10"/>
    <x v="1"/>
    <x v="2"/>
    <x v="1"/>
    <n v="1"/>
  </r>
  <r>
    <x v="23"/>
    <x v="1"/>
    <x v="0"/>
    <n v="1034"/>
    <x v="0"/>
    <n v="16"/>
    <x v="3"/>
    <x v="3"/>
    <x v="0"/>
    <n v="327"/>
    <x v="2"/>
    <x v="0"/>
    <n v="80"/>
    <x v="0"/>
    <x v="3"/>
    <x v="5"/>
    <x v="0"/>
    <x v="1"/>
    <x v="231"/>
    <n v="7744"/>
    <n v="5"/>
    <s v="Y"/>
    <x v="0"/>
    <n v="22"/>
    <x v="1"/>
    <x v="3"/>
    <n v="80"/>
    <n v="1"/>
    <n v="22"/>
    <n v="3"/>
    <x v="1"/>
    <x v="18"/>
    <n v="13"/>
    <x v="1"/>
    <x v="12"/>
    <x v="0"/>
    <x v="3"/>
    <x v="2"/>
    <n v="0"/>
  </r>
  <r>
    <x v="3"/>
    <x v="0"/>
    <x v="0"/>
    <n v="465"/>
    <x v="1"/>
    <n v="2"/>
    <x v="0"/>
    <x v="0"/>
    <x v="0"/>
    <n v="328"/>
    <x v="3"/>
    <x v="0"/>
    <n v="39"/>
    <x v="0"/>
    <x v="1"/>
    <x v="2"/>
    <x v="3"/>
    <x v="1"/>
    <x v="232"/>
    <n v="21509"/>
    <n v="7"/>
    <s v="Y"/>
    <x v="1"/>
    <n v="20"/>
    <x v="1"/>
    <x v="0"/>
    <n v="80"/>
    <n v="0"/>
    <n v="13"/>
    <n v="3"/>
    <x v="3"/>
    <x v="7"/>
    <n v="7"/>
    <x v="1"/>
    <x v="1"/>
    <x v="1"/>
    <x v="0"/>
    <x v="1"/>
    <n v="1"/>
  </r>
  <r>
    <x v="39"/>
    <x v="1"/>
    <x v="2"/>
    <n v="771"/>
    <x v="0"/>
    <n v="2"/>
    <x v="2"/>
    <x v="0"/>
    <x v="0"/>
    <n v="329"/>
    <x v="3"/>
    <x v="1"/>
    <n v="79"/>
    <x v="1"/>
    <x v="4"/>
    <x v="5"/>
    <x v="2"/>
    <x v="0"/>
    <x v="233"/>
    <n v="21030"/>
    <n v="1"/>
    <s v="Y"/>
    <x v="0"/>
    <n v="18"/>
    <x v="0"/>
    <x v="1"/>
    <n v="80"/>
    <n v="0"/>
    <n v="33"/>
    <n v="2"/>
    <x v="3"/>
    <x v="26"/>
    <n v="7"/>
    <x v="9"/>
    <x v="11"/>
    <x v="3"/>
    <x v="3"/>
    <x v="2"/>
    <n v="0"/>
  </r>
  <r>
    <x v="5"/>
    <x v="1"/>
    <x v="0"/>
    <n v="1401"/>
    <x v="0"/>
    <n v="4"/>
    <x v="0"/>
    <x v="0"/>
    <x v="0"/>
    <n v="330"/>
    <x v="1"/>
    <x v="0"/>
    <n v="56"/>
    <x v="0"/>
    <x v="1"/>
    <x v="6"/>
    <x v="1"/>
    <x v="1"/>
    <x v="234"/>
    <n v="20990"/>
    <n v="2"/>
    <s v="Y"/>
    <x v="1"/>
    <n v="11"/>
    <x v="0"/>
    <x v="0"/>
    <n v="80"/>
    <n v="1"/>
    <n v="6"/>
    <n v="5"/>
    <x v="1"/>
    <x v="9"/>
    <n v="3"/>
    <x v="1"/>
    <x v="3"/>
    <x v="1"/>
    <x v="2"/>
    <x v="1"/>
    <n v="0"/>
  </r>
  <r>
    <x v="5"/>
    <x v="0"/>
    <x v="0"/>
    <n v="515"/>
    <x v="1"/>
    <n v="1"/>
    <x v="3"/>
    <x v="0"/>
    <x v="0"/>
    <n v="331"/>
    <x v="2"/>
    <x v="1"/>
    <n v="62"/>
    <x v="1"/>
    <x v="1"/>
    <x v="2"/>
    <x v="2"/>
    <x v="0"/>
    <x v="235"/>
    <n v="9571"/>
    <n v="0"/>
    <s v="Y"/>
    <x v="0"/>
    <n v="14"/>
    <x v="0"/>
    <x v="1"/>
    <n v="80"/>
    <n v="0"/>
    <n v="4"/>
    <n v="2"/>
    <x v="0"/>
    <x v="11"/>
    <n v="2"/>
    <x v="1"/>
    <x v="3"/>
    <x v="1"/>
    <x v="2"/>
    <x v="1"/>
    <n v="1"/>
  </r>
  <r>
    <x v="22"/>
    <x v="1"/>
    <x v="0"/>
    <n v="1431"/>
    <x v="1"/>
    <n v="1"/>
    <x v="2"/>
    <x v="2"/>
    <x v="0"/>
    <n v="332"/>
    <x v="1"/>
    <x v="0"/>
    <n v="96"/>
    <x v="0"/>
    <x v="1"/>
    <x v="2"/>
    <x v="2"/>
    <x v="2"/>
    <x v="236"/>
    <n v="15417"/>
    <n v="7"/>
    <s v="Y"/>
    <x v="1"/>
    <n v="14"/>
    <x v="0"/>
    <x v="3"/>
    <n v="80"/>
    <n v="3"/>
    <n v="7"/>
    <n v="1"/>
    <x v="1"/>
    <x v="11"/>
    <n v="2"/>
    <x v="1"/>
    <x v="3"/>
    <x v="1"/>
    <x v="2"/>
    <x v="1"/>
    <n v="0"/>
  </r>
  <r>
    <x v="5"/>
    <x v="1"/>
    <x v="2"/>
    <n v="976"/>
    <x v="0"/>
    <n v="26"/>
    <x v="2"/>
    <x v="3"/>
    <x v="0"/>
    <n v="333"/>
    <x v="1"/>
    <x v="1"/>
    <n v="100"/>
    <x v="0"/>
    <x v="0"/>
    <x v="0"/>
    <x v="0"/>
    <x v="1"/>
    <x v="237"/>
    <n v="12069"/>
    <n v="0"/>
    <s v="Y"/>
    <x v="1"/>
    <n v="18"/>
    <x v="0"/>
    <x v="0"/>
    <n v="80"/>
    <n v="0"/>
    <n v="4"/>
    <n v="2"/>
    <x v="1"/>
    <x v="11"/>
    <n v="2"/>
    <x v="3"/>
    <x v="3"/>
    <x v="1"/>
    <x v="2"/>
    <x v="1"/>
    <n v="0"/>
  </r>
  <r>
    <x v="0"/>
    <x v="1"/>
    <x v="0"/>
    <n v="1411"/>
    <x v="1"/>
    <n v="19"/>
    <x v="0"/>
    <x v="0"/>
    <x v="0"/>
    <n v="334"/>
    <x v="1"/>
    <x v="1"/>
    <n v="36"/>
    <x v="0"/>
    <x v="0"/>
    <x v="1"/>
    <x v="3"/>
    <x v="2"/>
    <x v="169"/>
    <n v="19877"/>
    <n v="2"/>
    <s v="Y"/>
    <x v="1"/>
    <n v="16"/>
    <x v="0"/>
    <x v="0"/>
    <n v="80"/>
    <n v="2"/>
    <n v="17"/>
    <n v="2"/>
    <x v="2"/>
    <x v="6"/>
    <n v="0"/>
    <x v="0"/>
    <x v="2"/>
    <x v="0"/>
    <x v="1"/>
    <x v="1"/>
    <n v="0"/>
  </r>
  <r>
    <x v="32"/>
    <x v="1"/>
    <x v="0"/>
    <n v="1300"/>
    <x v="1"/>
    <n v="24"/>
    <x v="0"/>
    <x v="4"/>
    <x v="0"/>
    <n v="335"/>
    <x v="3"/>
    <x v="1"/>
    <n v="62"/>
    <x v="0"/>
    <x v="0"/>
    <x v="1"/>
    <x v="0"/>
    <x v="2"/>
    <x v="238"/>
    <n v="24447"/>
    <n v="1"/>
    <s v="Y"/>
    <x v="1"/>
    <n v="17"/>
    <x v="0"/>
    <x v="0"/>
    <n v="80"/>
    <n v="2"/>
    <n v="9"/>
    <n v="3"/>
    <x v="1"/>
    <x v="7"/>
    <n v="8"/>
    <x v="5"/>
    <x v="1"/>
    <x v="0"/>
    <x v="0"/>
    <x v="1"/>
    <n v="0"/>
  </r>
  <r>
    <x v="28"/>
    <x v="1"/>
    <x v="0"/>
    <n v="252"/>
    <x v="1"/>
    <n v="1"/>
    <x v="3"/>
    <x v="1"/>
    <x v="0"/>
    <n v="336"/>
    <x v="1"/>
    <x v="1"/>
    <n v="70"/>
    <x v="2"/>
    <x v="4"/>
    <x v="5"/>
    <x v="0"/>
    <x v="1"/>
    <x v="239"/>
    <n v="15970"/>
    <n v="0"/>
    <s v="Y"/>
    <x v="1"/>
    <n v="11"/>
    <x v="0"/>
    <x v="3"/>
    <n v="80"/>
    <n v="1"/>
    <n v="25"/>
    <n v="2"/>
    <x v="1"/>
    <x v="25"/>
    <n v="0"/>
    <x v="1"/>
    <x v="1"/>
    <x v="0"/>
    <x v="3"/>
    <x v="2"/>
    <n v="0"/>
  </r>
  <r>
    <x v="12"/>
    <x v="1"/>
    <x v="1"/>
    <n v="1327"/>
    <x v="1"/>
    <n v="3"/>
    <x v="2"/>
    <x v="2"/>
    <x v="0"/>
    <n v="337"/>
    <x v="0"/>
    <x v="1"/>
    <n v="73"/>
    <x v="0"/>
    <x v="2"/>
    <x v="7"/>
    <x v="2"/>
    <x v="2"/>
    <x v="240"/>
    <n v="13523"/>
    <n v="9"/>
    <s v="Y"/>
    <x v="1"/>
    <n v="12"/>
    <x v="0"/>
    <x v="0"/>
    <n v="80"/>
    <n v="1"/>
    <n v="9"/>
    <n v="3"/>
    <x v="1"/>
    <x v="4"/>
    <n v="2"/>
    <x v="3"/>
    <x v="3"/>
    <x v="1"/>
    <x v="1"/>
    <x v="3"/>
    <n v="0"/>
  </r>
  <r>
    <x v="3"/>
    <x v="1"/>
    <x v="0"/>
    <n v="832"/>
    <x v="1"/>
    <n v="5"/>
    <x v="2"/>
    <x v="0"/>
    <x v="0"/>
    <n v="338"/>
    <x v="1"/>
    <x v="0"/>
    <n v="63"/>
    <x v="1"/>
    <x v="1"/>
    <x v="1"/>
    <x v="0"/>
    <x v="1"/>
    <x v="12"/>
    <n v="14776"/>
    <n v="1"/>
    <s v="Y"/>
    <x v="1"/>
    <n v="13"/>
    <x v="0"/>
    <x v="3"/>
    <n v="80"/>
    <n v="1"/>
    <n v="2"/>
    <n v="2"/>
    <x v="2"/>
    <x v="4"/>
    <n v="2"/>
    <x v="0"/>
    <x v="3"/>
    <x v="1"/>
    <x v="1"/>
    <x v="1"/>
    <n v="0"/>
  </r>
  <r>
    <x v="13"/>
    <x v="1"/>
    <x v="0"/>
    <n v="470"/>
    <x v="1"/>
    <n v="2"/>
    <x v="2"/>
    <x v="0"/>
    <x v="0"/>
    <n v="339"/>
    <x v="2"/>
    <x v="1"/>
    <n v="84"/>
    <x v="1"/>
    <x v="0"/>
    <x v="3"/>
    <x v="3"/>
    <x v="1"/>
    <x v="241"/>
    <n v="23687"/>
    <n v="6"/>
    <s v="Y"/>
    <x v="1"/>
    <n v="13"/>
    <x v="0"/>
    <x v="2"/>
    <n v="80"/>
    <n v="1"/>
    <n v="13"/>
    <n v="3"/>
    <x v="1"/>
    <x v="19"/>
    <n v="9"/>
    <x v="8"/>
    <x v="12"/>
    <x v="1"/>
    <x v="3"/>
    <x v="0"/>
    <n v="0"/>
  </r>
  <r>
    <x v="2"/>
    <x v="1"/>
    <x v="0"/>
    <n v="1017"/>
    <x v="1"/>
    <n v="1"/>
    <x v="0"/>
    <x v="2"/>
    <x v="0"/>
    <n v="340"/>
    <x v="1"/>
    <x v="0"/>
    <n v="83"/>
    <x v="1"/>
    <x v="1"/>
    <x v="1"/>
    <x v="3"/>
    <x v="1"/>
    <x v="242"/>
    <n v="18697"/>
    <n v="2"/>
    <s v="Y"/>
    <x v="1"/>
    <n v="14"/>
    <x v="0"/>
    <x v="0"/>
    <n v="80"/>
    <n v="1"/>
    <n v="17"/>
    <n v="2"/>
    <x v="2"/>
    <x v="11"/>
    <n v="1"/>
    <x v="0"/>
    <x v="3"/>
    <x v="1"/>
    <x v="2"/>
    <x v="1"/>
    <n v="0"/>
  </r>
  <r>
    <x v="28"/>
    <x v="1"/>
    <x v="1"/>
    <n v="1199"/>
    <x v="1"/>
    <n v="7"/>
    <x v="2"/>
    <x v="0"/>
    <x v="0"/>
    <n v="341"/>
    <x v="3"/>
    <x v="1"/>
    <n v="77"/>
    <x v="2"/>
    <x v="0"/>
    <x v="3"/>
    <x v="2"/>
    <x v="1"/>
    <x v="243"/>
    <n v="5118"/>
    <n v="4"/>
    <s v="Y"/>
    <x v="1"/>
    <n v="17"/>
    <x v="0"/>
    <x v="1"/>
    <n v="80"/>
    <n v="1"/>
    <n v="9"/>
    <n v="1"/>
    <x v="1"/>
    <x v="11"/>
    <n v="2"/>
    <x v="0"/>
    <x v="3"/>
    <x v="0"/>
    <x v="2"/>
    <x v="0"/>
    <n v="0"/>
  </r>
  <r>
    <x v="2"/>
    <x v="0"/>
    <x v="1"/>
    <n v="504"/>
    <x v="1"/>
    <n v="10"/>
    <x v="3"/>
    <x v="2"/>
    <x v="0"/>
    <n v="342"/>
    <x v="3"/>
    <x v="1"/>
    <n v="61"/>
    <x v="0"/>
    <x v="2"/>
    <x v="3"/>
    <x v="2"/>
    <x v="2"/>
    <x v="244"/>
    <n v="22573"/>
    <n v="6"/>
    <s v="Y"/>
    <x v="1"/>
    <n v="11"/>
    <x v="0"/>
    <x v="2"/>
    <n v="80"/>
    <n v="2"/>
    <n v="17"/>
    <n v="5"/>
    <x v="1"/>
    <x v="6"/>
    <n v="0"/>
    <x v="0"/>
    <x v="2"/>
    <x v="1"/>
    <x v="1"/>
    <x v="3"/>
    <n v="1"/>
  </r>
  <r>
    <x v="22"/>
    <x v="1"/>
    <x v="1"/>
    <n v="505"/>
    <x v="1"/>
    <n v="2"/>
    <x v="2"/>
    <x v="4"/>
    <x v="0"/>
    <n v="343"/>
    <x v="1"/>
    <x v="0"/>
    <n v="64"/>
    <x v="0"/>
    <x v="2"/>
    <x v="4"/>
    <x v="2"/>
    <x v="0"/>
    <x v="245"/>
    <n v="6420"/>
    <n v="0"/>
    <s v="Y"/>
    <x v="1"/>
    <n v="25"/>
    <x v="1"/>
    <x v="1"/>
    <n v="80"/>
    <n v="0"/>
    <n v="20"/>
    <n v="1"/>
    <x v="1"/>
    <x v="27"/>
    <n v="6"/>
    <x v="14"/>
    <x v="5"/>
    <x v="1"/>
    <x v="3"/>
    <x v="3"/>
    <n v="0"/>
  </r>
  <r>
    <x v="11"/>
    <x v="1"/>
    <x v="0"/>
    <n v="665"/>
    <x v="1"/>
    <n v="15"/>
    <x v="3"/>
    <x v="0"/>
    <x v="0"/>
    <n v="346"/>
    <x v="1"/>
    <x v="1"/>
    <n v="60"/>
    <x v="0"/>
    <x v="1"/>
    <x v="1"/>
    <x v="0"/>
    <x v="0"/>
    <x v="246"/>
    <n v="22673"/>
    <n v="1"/>
    <s v="Y"/>
    <x v="1"/>
    <n v="19"/>
    <x v="0"/>
    <x v="0"/>
    <n v="80"/>
    <n v="0"/>
    <n v="6"/>
    <n v="1"/>
    <x v="1"/>
    <x v="0"/>
    <n v="5"/>
    <x v="1"/>
    <x v="0"/>
    <x v="2"/>
    <x v="0"/>
    <x v="1"/>
    <n v="0"/>
  </r>
  <r>
    <x v="19"/>
    <x v="1"/>
    <x v="0"/>
    <n v="916"/>
    <x v="1"/>
    <n v="17"/>
    <x v="0"/>
    <x v="0"/>
    <x v="0"/>
    <n v="347"/>
    <x v="2"/>
    <x v="0"/>
    <n v="82"/>
    <x v="2"/>
    <x v="0"/>
    <x v="1"/>
    <x v="3"/>
    <x v="0"/>
    <x v="247"/>
    <n v="23016"/>
    <n v="3"/>
    <s v="Y"/>
    <x v="0"/>
    <n v="13"/>
    <x v="0"/>
    <x v="3"/>
    <n v="80"/>
    <n v="0"/>
    <n v="10"/>
    <n v="1"/>
    <x v="1"/>
    <x v="11"/>
    <n v="2"/>
    <x v="0"/>
    <x v="3"/>
    <x v="0"/>
    <x v="2"/>
    <x v="0"/>
    <n v="0"/>
  </r>
  <r>
    <x v="11"/>
    <x v="1"/>
    <x v="0"/>
    <n v="1247"/>
    <x v="0"/>
    <n v="20"/>
    <x v="0"/>
    <x v="3"/>
    <x v="0"/>
    <n v="349"/>
    <x v="2"/>
    <x v="1"/>
    <n v="45"/>
    <x v="0"/>
    <x v="0"/>
    <x v="0"/>
    <x v="0"/>
    <x v="2"/>
    <x v="248"/>
    <n v="10732"/>
    <n v="2"/>
    <s v="Y"/>
    <x v="1"/>
    <n v="14"/>
    <x v="0"/>
    <x v="1"/>
    <n v="80"/>
    <n v="1"/>
    <n v="10"/>
    <n v="2"/>
    <x v="1"/>
    <x v="11"/>
    <n v="2"/>
    <x v="0"/>
    <x v="3"/>
    <x v="2"/>
    <x v="2"/>
    <x v="0"/>
    <n v="0"/>
  </r>
  <r>
    <x v="36"/>
    <x v="1"/>
    <x v="0"/>
    <n v="685"/>
    <x v="1"/>
    <n v="1"/>
    <x v="3"/>
    <x v="0"/>
    <x v="0"/>
    <n v="350"/>
    <x v="3"/>
    <x v="0"/>
    <n v="62"/>
    <x v="0"/>
    <x v="0"/>
    <x v="3"/>
    <x v="2"/>
    <x v="1"/>
    <x v="249"/>
    <n v="7505"/>
    <n v="0"/>
    <s v="Y"/>
    <x v="1"/>
    <n v="12"/>
    <x v="0"/>
    <x v="1"/>
    <n v="80"/>
    <n v="2"/>
    <n v="5"/>
    <n v="3"/>
    <x v="1"/>
    <x v="9"/>
    <n v="2"/>
    <x v="1"/>
    <x v="3"/>
    <x v="2"/>
    <x v="2"/>
    <x v="1"/>
    <n v="0"/>
  </r>
  <r>
    <x v="19"/>
    <x v="1"/>
    <x v="0"/>
    <n v="269"/>
    <x v="1"/>
    <n v="2"/>
    <x v="3"/>
    <x v="2"/>
    <x v="0"/>
    <n v="351"/>
    <x v="2"/>
    <x v="0"/>
    <n v="56"/>
    <x v="1"/>
    <x v="1"/>
    <x v="2"/>
    <x v="3"/>
    <x v="2"/>
    <x v="250"/>
    <n v="8007"/>
    <n v="0"/>
    <s v="Y"/>
    <x v="0"/>
    <n v="11"/>
    <x v="0"/>
    <x v="3"/>
    <n v="80"/>
    <n v="1"/>
    <n v="10"/>
    <n v="4"/>
    <x v="1"/>
    <x v="7"/>
    <n v="6"/>
    <x v="4"/>
    <x v="5"/>
    <x v="0"/>
    <x v="0"/>
    <x v="1"/>
    <n v="0"/>
  </r>
  <r>
    <x v="32"/>
    <x v="1"/>
    <x v="0"/>
    <n v="1416"/>
    <x v="1"/>
    <n v="2"/>
    <x v="0"/>
    <x v="2"/>
    <x v="0"/>
    <n v="352"/>
    <x v="3"/>
    <x v="1"/>
    <n v="49"/>
    <x v="0"/>
    <x v="4"/>
    <x v="7"/>
    <x v="2"/>
    <x v="2"/>
    <x v="251"/>
    <n v="5949"/>
    <n v="0"/>
    <s v="Y"/>
    <x v="1"/>
    <n v="19"/>
    <x v="0"/>
    <x v="1"/>
    <n v="80"/>
    <n v="1"/>
    <n v="22"/>
    <n v="5"/>
    <x v="1"/>
    <x v="17"/>
    <n v="7"/>
    <x v="2"/>
    <x v="12"/>
    <x v="0"/>
    <x v="3"/>
    <x v="2"/>
    <n v="0"/>
  </r>
  <r>
    <x v="31"/>
    <x v="1"/>
    <x v="0"/>
    <n v="833"/>
    <x v="1"/>
    <n v="1"/>
    <x v="3"/>
    <x v="0"/>
    <x v="0"/>
    <n v="353"/>
    <x v="1"/>
    <x v="1"/>
    <n v="96"/>
    <x v="0"/>
    <x v="1"/>
    <x v="1"/>
    <x v="0"/>
    <x v="1"/>
    <x v="252"/>
    <n v="23231"/>
    <n v="1"/>
    <s v="Y"/>
    <x v="1"/>
    <n v="11"/>
    <x v="0"/>
    <x v="2"/>
    <n v="80"/>
    <n v="0"/>
    <n v="1"/>
    <n v="0"/>
    <x v="2"/>
    <x v="6"/>
    <n v="0"/>
    <x v="0"/>
    <x v="2"/>
    <x v="3"/>
    <x v="1"/>
    <x v="1"/>
    <n v="0"/>
  </r>
  <r>
    <x v="12"/>
    <x v="0"/>
    <x v="1"/>
    <n v="307"/>
    <x v="1"/>
    <n v="29"/>
    <x v="0"/>
    <x v="2"/>
    <x v="0"/>
    <n v="355"/>
    <x v="1"/>
    <x v="1"/>
    <n v="71"/>
    <x v="1"/>
    <x v="1"/>
    <x v="2"/>
    <x v="1"/>
    <x v="0"/>
    <x v="253"/>
    <n v="11652"/>
    <n v="0"/>
    <s v="Y"/>
    <x v="1"/>
    <n v="11"/>
    <x v="0"/>
    <x v="2"/>
    <n v="80"/>
    <n v="0"/>
    <n v="6"/>
    <n v="2"/>
    <x v="3"/>
    <x v="8"/>
    <n v="4"/>
    <x v="1"/>
    <x v="10"/>
    <x v="1"/>
    <x v="2"/>
    <x v="1"/>
    <n v="1"/>
  </r>
  <r>
    <x v="5"/>
    <x v="1"/>
    <x v="1"/>
    <n v="1311"/>
    <x v="1"/>
    <n v="7"/>
    <x v="3"/>
    <x v="0"/>
    <x v="0"/>
    <n v="359"/>
    <x v="0"/>
    <x v="1"/>
    <n v="100"/>
    <x v="2"/>
    <x v="1"/>
    <x v="2"/>
    <x v="1"/>
    <x v="1"/>
    <x v="254"/>
    <n v="26062"/>
    <n v="1"/>
    <s v="Y"/>
    <x v="1"/>
    <n v="20"/>
    <x v="1"/>
    <x v="3"/>
    <n v="80"/>
    <n v="0"/>
    <n v="5"/>
    <n v="3"/>
    <x v="0"/>
    <x v="8"/>
    <n v="1"/>
    <x v="0"/>
    <x v="6"/>
    <x v="1"/>
    <x v="2"/>
    <x v="1"/>
    <n v="0"/>
  </r>
  <r>
    <x v="8"/>
    <x v="1"/>
    <x v="2"/>
    <n v="1327"/>
    <x v="0"/>
    <n v="2"/>
    <x v="0"/>
    <x v="0"/>
    <x v="0"/>
    <n v="361"/>
    <x v="2"/>
    <x v="1"/>
    <n v="39"/>
    <x v="1"/>
    <x v="0"/>
    <x v="0"/>
    <x v="0"/>
    <x v="1"/>
    <x v="255"/>
    <n v="19682"/>
    <n v="3"/>
    <s v="Y"/>
    <x v="1"/>
    <n v="18"/>
    <x v="0"/>
    <x v="1"/>
    <n v="80"/>
    <n v="1"/>
    <n v="13"/>
    <n v="0"/>
    <x v="1"/>
    <x v="3"/>
    <n v="7"/>
    <x v="4"/>
    <x v="0"/>
    <x v="1"/>
    <x v="0"/>
    <x v="0"/>
    <n v="0"/>
  </r>
  <r>
    <x v="5"/>
    <x v="1"/>
    <x v="0"/>
    <n v="128"/>
    <x v="1"/>
    <n v="2"/>
    <x v="1"/>
    <x v="4"/>
    <x v="0"/>
    <n v="362"/>
    <x v="2"/>
    <x v="1"/>
    <n v="84"/>
    <x v="1"/>
    <x v="0"/>
    <x v="2"/>
    <x v="3"/>
    <x v="0"/>
    <x v="256"/>
    <n v="19737"/>
    <n v="4"/>
    <s v="Y"/>
    <x v="1"/>
    <n v="13"/>
    <x v="0"/>
    <x v="1"/>
    <n v="80"/>
    <n v="0"/>
    <n v="9"/>
    <n v="5"/>
    <x v="1"/>
    <x v="0"/>
    <n v="2"/>
    <x v="0"/>
    <x v="10"/>
    <x v="1"/>
    <x v="0"/>
    <x v="1"/>
    <n v="0"/>
  </r>
  <r>
    <x v="21"/>
    <x v="1"/>
    <x v="0"/>
    <n v="488"/>
    <x v="0"/>
    <n v="2"/>
    <x v="3"/>
    <x v="4"/>
    <x v="0"/>
    <n v="363"/>
    <x v="1"/>
    <x v="0"/>
    <n v="75"/>
    <x v="3"/>
    <x v="3"/>
    <x v="5"/>
    <x v="1"/>
    <x v="1"/>
    <x v="257"/>
    <n v="14977"/>
    <n v="3"/>
    <s v="Y"/>
    <x v="0"/>
    <n v="12"/>
    <x v="0"/>
    <x v="2"/>
    <n v="80"/>
    <n v="1"/>
    <n v="28"/>
    <n v="2"/>
    <x v="2"/>
    <x v="5"/>
    <n v="7"/>
    <x v="4"/>
    <x v="1"/>
    <x v="0"/>
    <x v="0"/>
    <x v="2"/>
    <n v="0"/>
  </r>
  <r>
    <x v="14"/>
    <x v="0"/>
    <x v="0"/>
    <n v="529"/>
    <x v="1"/>
    <n v="2"/>
    <x v="2"/>
    <x v="0"/>
    <x v="0"/>
    <n v="364"/>
    <x v="3"/>
    <x v="1"/>
    <n v="79"/>
    <x v="0"/>
    <x v="1"/>
    <x v="2"/>
    <x v="2"/>
    <x v="0"/>
    <x v="258"/>
    <n v="14935"/>
    <n v="2"/>
    <s v="Y"/>
    <x v="1"/>
    <n v="11"/>
    <x v="0"/>
    <x v="3"/>
    <n v="80"/>
    <n v="0"/>
    <n v="5"/>
    <n v="5"/>
    <x v="0"/>
    <x v="2"/>
    <n v="0"/>
    <x v="0"/>
    <x v="2"/>
    <x v="2"/>
    <x v="1"/>
    <x v="1"/>
    <n v="1"/>
  </r>
  <r>
    <x v="11"/>
    <x v="1"/>
    <x v="0"/>
    <n v="1210"/>
    <x v="0"/>
    <n v="2"/>
    <x v="3"/>
    <x v="2"/>
    <x v="0"/>
    <n v="366"/>
    <x v="3"/>
    <x v="1"/>
    <n v="78"/>
    <x v="1"/>
    <x v="0"/>
    <x v="0"/>
    <x v="1"/>
    <x v="1"/>
    <x v="259"/>
    <n v="3687"/>
    <n v="2"/>
    <s v="Y"/>
    <x v="1"/>
    <n v="19"/>
    <x v="0"/>
    <x v="2"/>
    <n v="80"/>
    <n v="2"/>
    <n v="10"/>
    <n v="2"/>
    <x v="1"/>
    <x v="2"/>
    <n v="0"/>
    <x v="0"/>
    <x v="2"/>
    <x v="2"/>
    <x v="1"/>
    <x v="0"/>
    <n v="0"/>
  </r>
  <r>
    <x v="12"/>
    <x v="1"/>
    <x v="0"/>
    <n v="1463"/>
    <x v="1"/>
    <n v="23"/>
    <x v="3"/>
    <x v="2"/>
    <x v="0"/>
    <n v="367"/>
    <x v="0"/>
    <x v="1"/>
    <n v="64"/>
    <x v="1"/>
    <x v="0"/>
    <x v="4"/>
    <x v="0"/>
    <x v="1"/>
    <x v="260"/>
    <n v="14408"/>
    <n v="0"/>
    <s v="Y"/>
    <x v="1"/>
    <n v="21"/>
    <x v="1"/>
    <x v="2"/>
    <n v="80"/>
    <n v="1"/>
    <n v="10"/>
    <n v="2"/>
    <x v="1"/>
    <x v="7"/>
    <n v="0"/>
    <x v="4"/>
    <x v="5"/>
    <x v="1"/>
    <x v="0"/>
    <x v="0"/>
    <n v="0"/>
  </r>
  <r>
    <x v="36"/>
    <x v="1"/>
    <x v="2"/>
    <n v="675"/>
    <x v="1"/>
    <n v="5"/>
    <x v="0"/>
    <x v="0"/>
    <x v="0"/>
    <n v="369"/>
    <x v="0"/>
    <x v="1"/>
    <n v="85"/>
    <x v="2"/>
    <x v="0"/>
    <x v="4"/>
    <x v="3"/>
    <x v="2"/>
    <x v="261"/>
    <n v="18384"/>
    <n v="1"/>
    <s v="Y"/>
    <x v="1"/>
    <n v="12"/>
    <x v="0"/>
    <x v="1"/>
    <n v="80"/>
    <n v="2"/>
    <n v="6"/>
    <n v="2"/>
    <x v="1"/>
    <x v="0"/>
    <n v="3"/>
    <x v="1"/>
    <x v="0"/>
    <x v="2"/>
    <x v="0"/>
    <x v="1"/>
    <n v="0"/>
  </r>
  <r>
    <x v="28"/>
    <x v="1"/>
    <x v="0"/>
    <n v="1385"/>
    <x v="1"/>
    <n v="20"/>
    <x v="0"/>
    <x v="2"/>
    <x v="0"/>
    <n v="372"/>
    <x v="1"/>
    <x v="1"/>
    <n v="79"/>
    <x v="0"/>
    <x v="3"/>
    <x v="4"/>
    <x v="0"/>
    <x v="1"/>
    <x v="262"/>
    <n v="7501"/>
    <n v="0"/>
    <s v="Y"/>
    <x v="0"/>
    <n v="14"/>
    <x v="0"/>
    <x v="2"/>
    <n v="80"/>
    <n v="0"/>
    <n v="21"/>
    <n v="2"/>
    <x v="1"/>
    <x v="23"/>
    <n v="7"/>
    <x v="5"/>
    <x v="13"/>
    <x v="0"/>
    <x v="3"/>
    <x v="3"/>
    <n v="0"/>
  </r>
  <r>
    <x v="9"/>
    <x v="1"/>
    <x v="0"/>
    <n v="1403"/>
    <x v="1"/>
    <n v="6"/>
    <x v="3"/>
    <x v="0"/>
    <x v="0"/>
    <n v="373"/>
    <x v="2"/>
    <x v="1"/>
    <n v="47"/>
    <x v="0"/>
    <x v="1"/>
    <x v="2"/>
    <x v="0"/>
    <x v="1"/>
    <x v="263"/>
    <n v="20251"/>
    <n v="0"/>
    <s v="Y"/>
    <x v="1"/>
    <n v="11"/>
    <x v="0"/>
    <x v="3"/>
    <n v="80"/>
    <n v="1"/>
    <n v="16"/>
    <n v="4"/>
    <x v="1"/>
    <x v="15"/>
    <n v="13"/>
    <x v="13"/>
    <x v="7"/>
    <x v="1"/>
    <x v="3"/>
    <x v="1"/>
    <n v="0"/>
  </r>
  <r>
    <x v="27"/>
    <x v="1"/>
    <x v="0"/>
    <n v="452"/>
    <x v="1"/>
    <n v="1"/>
    <x v="3"/>
    <x v="2"/>
    <x v="0"/>
    <n v="374"/>
    <x v="2"/>
    <x v="1"/>
    <n v="81"/>
    <x v="0"/>
    <x v="4"/>
    <x v="5"/>
    <x v="3"/>
    <x v="0"/>
    <x v="264"/>
    <n v="18938"/>
    <n v="0"/>
    <s v="Y"/>
    <x v="0"/>
    <n v="14"/>
    <x v="0"/>
    <x v="3"/>
    <n v="80"/>
    <n v="0"/>
    <n v="37"/>
    <n v="2"/>
    <x v="1"/>
    <x v="28"/>
    <n v="10"/>
    <x v="5"/>
    <x v="15"/>
    <x v="3"/>
    <x v="3"/>
    <x v="2"/>
    <n v="0"/>
  </r>
  <r>
    <x v="40"/>
    <x v="0"/>
    <x v="2"/>
    <n v="666"/>
    <x v="1"/>
    <n v="29"/>
    <x v="2"/>
    <x v="0"/>
    <x v="0"/>
    <n v="376"/>
    <x v="3"/>
    <x v="1"/>
    <n v="88"/>
    <x v="0"/>
    <x v="2"/>
    <x v="5"/>
    <x v="1"/>
    <x v="1"/>
    <x v="265"/>
    <n v="10268"/>
    <n v="1"/>
    <s v="Y"/>
    <x v="0"/>
    <n v="12"/>
    <x v="0"/>
    <x v="1"/>
    <n v="80"/>
    <n v="1"/>
    <n v="10"/>
    <n v="2"/>
    <x v="2"/>
    <x v="1"/>
    <n v="7"/>
    <x v="10"/>
    <x v="12"/>
    <x v="0"/>
    <x v="0"/>
    <x v="3"/>
    <n v="1"/>
  </r>
  <r>
    <x v="14"/>
    <x v="1"/>
    <x v="0"/>
    <n v="1158"/>
    <x v="1"/>
    <n v="9"/>
    <x v="3"/>
    <x v="2"/>
    <x v="0"/>
    <n v="377"/>
    <x v="2"/>
    <x v="1"/>
    <n v="94"/>
    <x v="0"/>
    <x v="1"/>
    <x v="1"/>
    <x v="0"/>
    <x v="1"/>
    <x v="266"/>
    <n v="2613"/>
    <n v="1"/>
    <s v="Y"/>
    <x v="1"/>
    <n v="23"/>
    <x v="1"/>
    <x v="1"/>
    <n v="80"/>
    <n v="1"/>
    <n v="5"/>
    <n v="3"/>
    <x v="2"/>
    <x v="8"/>
    <n v="2"/>
    <x v="0"/>
    <x v="10"/>
    <x v="2"/>
    <x v="2"/>
    <x v="1"/>
    <n v="0"/>
  </r>
  <r>
    <x v="2"/>
    <x v="1"/>
    <x v="0"/>
    <n v="228"/>
    <x v="0"/>
    <n v="6"/>
    <x v="2"/>
    <x v="2"/>
    <x v="0"/>
    <n v="378"/>
    <x v="1"/>
    <x v="1"/>
    <n v="98"/>
    <x v="0"/>
    <x v="0"/>
    <x v="0"/>
    <x v="0"/>
    <x v="1"/>
    <x v="267"/>
    <n v="22825"/>
    <n v="4"/>
    <s v="Y"/>
    <x v="1"/>
    <n v="14"/>
    <x v="0"/>
    <x v="2"/>
    <n v="80"/>
    <n v="1"/>
    <n v="7"/>
    <n v="5"/>
    <x v="3"/>
    <x v="8"/>
    <n v="4"/>
    <x v="0"/>
    <x v="9"/>
    <x v="1"/>
    <x v="2"/>
    <x v="0"/>
    <n v="0"/>
  </r>
  <r>
    <x v="18"/>
    <x v="1"/>
    <x v="0"/>
    <n v="996"/>
    <x v="1"/>
    <n v="3"/>
    <x v="0"/>
    <x v="2"/>
    <x v="0"/>
    <n v="379"/>
    <x v="2"/>
    <x v="1"/>
    <n v="100"/>
    <x v="1"/>
    <x v="1"/>
    <x v="1"/>
    <x v="2"/>
    <x v="0"/>
    <x v="268"/>
    <n v="10531"/>
    <n v="1"/>
    <s v="Y"/>
    <x v="1"/>
    <n v="17"/>
    <x v="0"/>
    <x v="0"/>
    <n v="80"/>
    <n v="0"/>
    <n v="3"/>
    <n v="4"/>
    <x v="3"/>
    <x v="11"/>
    <n v="2"/>
    <x v="1"/>
    <x v="2"/>
    <x v="2"/>
    <x v="2"/>
    <x v="1"/>
    <n v="0"/>
  </r>
  <r>
    <x v="2"/>
    <x v="1"/>
    <x v="2"/>
    <n v="728"/>
    <x v="1"/>
    <n v="1"/>
    <x v="2"/>
    <x v="2"/>
    <x v="0"/>
    <n v="380"/>
    <x v="3"/>
    <x v="0"/>
    <n v="80"/>
    <x v="0"/>
    <x v="2"/>
    <x v="7"/>
    <x v="0"/>
    <x v="2"/>
    <x v="269"/>
    <n v="11677"/>
    <n v="2"/>
    <s v="Y"/>
    <x v="0"/>
    <n v="18"/>
    <x v="0"/>
    <x v="0"/>
    <n v="80"/>
    <n v="2"/>
    <n v="15"/>
    <n v="2"/>
    <x v="1"/>
    <x v="8"/>
    <n v="2"/>
    <x v="0"/>
    <x v="3"/>
    <x v="1"/>
    <x v="2"/>
    <x v="3"/>
    <n v="0"/>
  </r>
  <r>
    <x v="10"/>
    <x v="1"/>
    <x v="0"/>
    <n v="1315"/>
    <x v="1"/>
    <n v="22"/>
    <x v="3"/>
    <x v="0"/>
    <x v="0"/>
    <n v="381"/>
    <x v="0"/>
    <x v="0"/>
    <n v="71"/>
    <x v="2"/>
    <x v="2"/>
    <x v="5"/>
    <x v="1"/>
    <x v="2"/>
    <x v="270"/>
    <n v="19100"/>
    <n v="7"/>
    <s v="Y"/>
    <x v="1"/>
    <n v="18"/>
    <x v="0"/>
    <x v="2"/>
    <n v="80"/>
    <n v="1"/>
    <n v="10"/>
    <n v="6"/>
    <x v="2"/>
    <x v="5"/>
    <n v="7"/>
    <x v="7"/>
    <x v="3"/>
    <x v="1"/>
    <x v="0"/>
    <x v="3"/>
    <n v="0"/>
  </r>
  <r>
    <x v="8"/>
    <x v="1"/>
    <x v="0"/>
    <n v="322"/>
    <x v="0"/>
    <n v="7"/>
    <x v="0"/>
    <x v="2"/>
    <x v="0"/>
    <n v="382"/>
    <x v="3"/>
    <x v="0"/>
    <n v="44"/>
    <x v="2"/>
    <x v="0"/>
    <x v="0"/>
    <x v="3"/>
    <x v="2"/>
    <x v="147"/>
    <n v="19191"/>
    <n v="1"/>
    <s v="Y"/>
    <x v="0"/>
    <n v="24"/>
    <x v="1"/>
    <x v="3"/>
    <n v="80"/>
    <n v="1"/>
    <n v="8"/>
    <n v="3"/>
    <x v="1"/>
    <x v="3"/>
    <n v="0"/>
    <x v="4"/>
    <x v="1"/>
    <x v="1"/>
    <x v="0"/>
    <x v="0"/>
    <n v="0"/>
  </r>
  <r>
    <x v="25"/>
    <x v="1"/>
    <x v="1"/>
    <n v="1479"/>
    <x v="1"/>
    <n v="1"/>
    <x v="3"/>
    <x v="0"/>
    <x v="0"/>
    <n v="384"/>
    <x v="1"/>
    <x v="0"/>
    <n v="84"/>
    <x v="0"/>
    <x v="0"/>
    <x v="3"/>
    <x v="1"/>
    <x v="2"/>
    <x v="271"/>
    <n v="26767"/>
    <n v="1"/>
    <s v="Y"/>
    <x v="1"/>
    <n v="20"/>
    <x v="1"/>
    <x v="0"/>
    <n v="80"/>
    <n v="1"/>
    <n v="6"/>
    <n v="6"/>
    <x v="0"/>
    <x v="0"/>
    <n v="5"/>
    <x v="1"/>
    <x v="10"/>
    <x v="2"/>
    <x v="0"/>
    <x v="0"/>
    <n v="0"/>
  </r>
  <r>
    <x v="24"/>
    <x v="1"/>
    <x v="0"/>
    <n v="797"/>
    <x v="1"/>
    <n v="4"/>
    <x v="1"/>
    <x v="0"/>
    <x v="0"/>
    <n v="385"/>
    <x v="3"/>
    <x v="1"/>
    <n v="96"/>
    <x v="0"/>
    <x v="4"/>
    <x v="7"/>
    <x v="1"/>
    <x v="2"/>
    <x v="272"/>
    <n v="15815"/>
    <n v="3"/>
    <s v="Y"/>
    <x v="1"/>
    <n v="14"/>
    <x v="0"/>
    <x v="0"/>
    <n v="80"/>
    <n v="2"/>
    <n v="28"/>
    <n v="4"/>
    <x v="2"/>
    <x v="1"/>
    <n v="4"/>
    <x v="1"/>
    <x v="4"/>
    <x v="3"/>
    <x v="0"/>
    <x v="2"/>
    <n v="0"/>
  </r>
  <r>
    <x v="16"/>
    <x v="1"/>
    <x v="0"/>
    <n v="1070"/>
    <x v="1"/>
    <n v="3"/>
    <x v="2"/>
    <x v="2"/>
    <x v="0"/>
    <n v="386"/>
    <x v="1"/>
    <x v="1"/>
    <n v="45"/>
    <x v="0"/>
    <x v="3"/>
    <x v="7"/>
    <x v="2"/>
    <x v="1"/>
    <x v="273"/>
    <n v="21016"/>
    <n v="3"/>
    <s v="Y"/>
    <x v="0"/>
    <n v="16"/>
    <x v="0"/>
    <x v="1"/>
    <n v="80"/>
    <n v="3"/>
    <n v="21"/>
    <n v="5"/>
    <x v="2"/>
    <x v="8"/>
    <n v="3"/>
    <x v="1"/>
    <x v="6"/>
    <x v="3"/>
    <x v="2"/>
    <x v="2"/>
    <n v="0"/>
  </r>
  <r>
    <x v="19"/>
    <x v="1"/>
    <x v="0"/>
    <n v="635"/>
    <x v="0"/>
    <n v="1"/>
    <x v="1"/>
    <x v="0"/>
    <x v="0"/>
    <n v="387"/>
    <x v="0"/>
    <x v="1"/>
    <n v="99"/>
    <x v="0"/>
    <x v="0"/>
    <x v="0"/>
    <x v="2"/>
    <x v="1"/>
    <x v="274"/>
    <n v="24532"/>
    <n v="1"/>
    <s v="Y"/>
    <x v="1"/>
    <n v="25"/>
    <x v="1"/>
    <x v="3"/>
    <n v="80"/>
    <n v="0"/>
    <n v="20"/>
    <n v="3"/>
    <x v="1"/>
    <x v="23"/>
    <n v="16"/>
    <x v="14"/>
    <x v="4"/>
    <x v="0"/>
    <x v="3"/>
    <x v="1"/>
    <n v="0"/>
  </r>
  <r>
    <x v="11"/>
    <x v="1"/>
    <x v="1"/>
    <n v="442"/>
    <x v="0"/>
    <n v="2"/>
    <x v="0"/>
    <x v="0"/>
    <x v="0"/>
    <n v="388"/>
    <x v="0"/>
    <x v="1"/>
    <n v="44"/>
    <x v="0"/>
    <x v="0"/>
    <x v="0"/>
    <x v="0"/>
    <x v="0"/>
    <x v="275"/>
    <n v="20260"/>
    <n v="1"/>
    <s v="Y"/>
    <x v="1"/>
    <n v="18"/>
    <x v="0"/>
    <x v="0"/>
    <n v="80"/>
    <n v="0"/>
    <n v="10"/>
    <n v="3"/>
    <x v="2"/>
    <x v="1"/>
    <n v="7"/>
    <x v="0"/>
    <x v="12"/>
    <x v="2"/>
    <x v="0"/>
    <x v="1"/>
    <n v="0"/>
  </r>
  <r>
    <x v="27"/>
    <x v="1"/>
    <x v="0"/>
    <n v="147"/>
    <x v="1"/>
    <n v="20"/>
    <x v="0"/>
    <x v="4"/>
    <x v="0"/>
    <n v="389"/>
    <x v="0"/>
    <x v="1"/>
    <n v="37"/>
    <x v="0"/>
    <x v="0"/>
    <x v="2"/>
    <x v="0"/>
    <x v="1"/>
    <x v="276"/>
    <n v="15972"/>
    <n v="3"/>
    <s v="Y"/>
    <x v="0"/>
    <n v="19"/>
    <x v="0"/>
    <x v="1"/>
    <n v="80"/>
    <n v="1"/>
    <n v="12"/>
    <n v="4"/>
    <x v="1"/>
    <x v="1"/>
    <n v="7"/>
    <x v="0"/>
    <x v="5"/>
    <x v="3"/>
    <x v="0"/>
    <x v="0"/>
    <n v="0"/>
  </r>
  <r>
    <x v="25"/>
    <x v="1"/>
    <x v="1"/>
    <n v="496"/>
    <x v="1"/>
    <n v="11"/>
    <x v="0"/>
    <x v="2"/>
    <x v="0"/>
    <n v="390"/>
    <x v="3"/>
    <x v="1"/>
    <n v="60"/>
    <x v="0"/>
    <x v="0"/>
    <x v="4"/>
    <x v="3"/>
    <x v="1"/>
    <x v="277"/>
    <n v="22722"/>
    <n v="1"/>
    <s v="Y"/>
    <x v="0"/>
    <n v="13"/>
    <x v="0"/>
    <x v="3"/>
    <n v="80"/>
    <n v="1"/>
    <n v="5"/>
    <n v="3"/>
    <x v="1"/>
    <x v="8"/>
    <n v="3"/>
    <x v="2"/>
    <x v="6"/>
    <x v="2"/>
    <x v="2"/>
    <x v="1"/>
    <n v="0"/>
  </r>
  <r>
    <x v="2"/>
    <x v="1"/>
    <x v="0"/>
    <n v="1372"/>
    <x v="1"/>
    <n v="1"/>
    <x v="3"/>
    <x v="0"/>
    <x v="0"/>
    <n v="391"/>
    <x v="2"/>
    <x v="0"/>
    <n v="42"/>
    <x v="0"/>
    <x v="1"/>
    <x v="1"/>
    <x v="0"/>
    <x v="0"/>
    <x v="278"/>
    <n v="15881"/>
    <n v="1"/>
    <s v="Y"/>
    <x v="1"/>
    <n v="12"/>
    <x v="0"/>
    <x v="2"/>
    <n v="80"/>
    <n v="0"/>
    <n v="17"/>
    <n v="3"/>
    <x v="1"/>
    <x v="18"/>
    <n v="12"/>
    <x v="8"/>
    <x v="1"/>
    <x v="1"/>
    <x v="3"/>
    <x v="1"/>
    <n v="0"/>
  </r>
  <r>
    <x v="20"/>
    <x v="0"/>
    <x v="1"/>
    <n v="920"/>
    <x v="1"/>
    <n v="24"/>
    <x v="3"/>
    <x v="0"/>
    <x v="0"/>
    <n v="392"/>
    <x v="2"/>
    <x v="1"/>
    <n v="43"/>
    <x v="0"/>
    <x v="1"/>
    <x v="2"/>
    <x v="2"/>
    <x v="2"/>
    <x v="279"/>
    <n v="19920"/>
    <n v="3"/>
    <s v="Y"/>
    <x v="0"/>
    <n v="22"/>
    <x v="1"/>
    <x v="1"/>
    <n v="80"/>
    <n v="1"/>
    <n v="19"/>
    <n v="0"/>
    <x v="0"/>
    <x v="6"/>
    <n v="0"/>
    <x v="0"/>
    <x v="2"/>
    <x v="0"/>
    <x v="1"/>
    <x v="1"/>
    <n v="1"/>
  </r>
  <r>
    <x v="8"/>
    <x v="1"/>
    <x v="0"/>
    <n v="688"/>
    <x v="1"/>
    <n v="23"/>
    <x v="2"/>
    <x v="0"/>
    <x v="0"/>
    <n v="393"/>
    <x v="2"/>
    <x v="1"/>
    <n v="82"/>
    <x v="0"/>
    <x v="0"/>
    <x v="4"/>
    <x v="0"/>
    <x v="2"/>
    <x v="280"/>
    <n v="18899"/>
    <n v="9"/>
    <s v="Y"/>
    <x v="1"/>
    <n v="14"/>
    <x v="0"/>
    <x v="2"/>
    <n v="80"/>
    <n v="1"/>
    <n v="10"/>
    <n v="2"/>
    <x v="1"/>
    <x v="4"/>
    <n v="2"/>
    <x v="1"/>
    <x v="3"/>
    <x v="1"/>
    <x v="1"/>
    <x v="0"/>
    <n v="0"/>
  </r>
  <r>
    <x v="25"/>
    <x v="0"/>
    <x v="0"/>
    <n v="1449"/>
    <x v="1"/>
    <n v="16"/>
    <x v="2"/>
    <x v="2"/>
    <x v="0"/>
    <n v="394"/>
    <x v="3"/>
    <x v="1"/>
    <n v="45"/>
    <x v="0"/>
    <x v="1"/>
    <x v="2"/>
    <x v="1"/>
    <x v="2"/>
    <x v="281"/>
    <n v="14180"/>
    <n v="2"/>
    <s v="Y"/>
    <x v="0"/>
    <n v="13"/>
    <x v="0"/>
    <x v="1"/>
    <n v="80"/>
    <n v="1"/>
    <n v="5"/>
    <n v="2"/>
    <x v="1"/>
    <x v="11"/>
    <n v="2"/>
    <x v="0"/>
    <x v="3"/>
    <x v="2"/>
    <x v="2"/>
    <x v="1"/>
    <n v="1"/>
  </r>
  <r>
    <x v="14"/>
    <x v="1"/>
    <x v="0"/>
    <n v="1117"/>
    <x v="1"/>
    <n v="8"/>
    <x v="0"/>
    <x v="0"/>
    <x v="0"/>
    <n v="395"/>
    <x v="2"/>
    <x v="0"/>
    <n v="66"/>
    <x v="0"/>
    <x v="1"/>
    <x v="1"/>
    <x v="0"/>
    <x v="0"/>
    <x v="282"/>
    <n v="4488"/>
    <n v="1"/>
    <s v="Y"/>
    <x v="1"/>
    <n v="21"/>
    <x v="1"/>
    <x v="1"/>
    <n v="80"/>
    <n v="0"/>
    <n v="5"/>
    <n v="3"/>
    <x v="1"/>
    <x v="8"/>
    <n v="3"/>
    <x v="0"/>
    <x v="3"/>
    <x v="2"/>
    <x v="2"/>
    <x v="1"/>
    <n v="0"/>
  </r>
  <r>
    <x v="1"/>
    <x v="1"/>
    <x v="1"/>
    <n v="636"/>
    <x v="1"/>
    <n v="10"/>
    <x v="2"/>
    <x v="0"/>
    <x v="0"/>
    <n v="396"/>
    <x v="1"/>
    <x v="0"/>
    <n v="35"/>
    <x v="0"/>
    <x v="4"/>
    <x v="7"/>
    <x v="3"/>
    <x v="0"/>
    <x v="283"/>
    <n v="25594"/>
    <n v="9"/>
    <s v="Y"/>
    <x v="0"/>
    <n v="11"/>
    <x v="0"/>
    <x v="1"/>
    <n v="80"/>
    <n v="0"/>
    <n v="22"/>
    <n v="4"/>
    <x v="1"/>
    <x v="11"/>
    <n v="2"/>
    <x v="1"/>
    <x v="3"/>
    <x v="0"/>
    <x v="2"/>
    <x v="2"/>
    <n v="0"/>
  </r>
  <r>
    <x v="9"/>
    <x v="1"/>
    <x v="0"/>
    <n v="506"/>
    <x v="1"/>
    <n v="3"/>
    <x v="3"/>
    <x v="4"/>
    <x v="0"/>
    <n v="397"/>
    <x v="1"/>
    <x v="1"/>
    <n v="30"/>
    <x v="0"/>
    <x v="0"/>
    <x v="1"/>
    <x v="1"/>
    <x v="0"/>
    <x v="284"/>
    <n v="26285"/>
    <n v="4"/>
    <s v="Y"/>
    <x v="1"/>
    <n v="12"/>
    <x v="0"/>
    <x v="1"/>
    <n v="80"/>
    <n v="0"/>
    <n v="10"/>
    <n v="2"/>
    <x v="1"/>
    <x v="3"/>
    <n v="0"/>
    <x v="4"/>
    <x v="1"/>
    <x v="1"/>
    <x v="0"/>
    <x v="1"/>
    <n v="0"/>
  </r>
  <r>
    <x v="12"/>
    <x v="1"/>
    <x v="1"/>
    <n v="444"/>
    <x v="0"/>
    <n v="5"/>
    <x v="3"/>
    <x v="3"/>
    <x v="0"/>
    <n v="399"/>
    <x v="2"/>
    <x v="0"/>
    <n v="84"/>
    <x v="0"/>
    <x v="1"/>
    <x v="6"/>
    <x v="1"/>
    <x v="2"/>
    <x v="285"/>
    <n v="3909"/>
    <n v="1"/>
    <s v="Y"/>
    <x v="1"/>
    <n v="11"/>
    <x v="0"/>
    <x v="3"/>
    <n v="80"/>
    <n v="1"/>
    <n v="2"/>
    <n v="5"/>
    <x v="2"/>
    <x v="4"/>
    <n v="2"/>
    <x v="3"/>
    <x v="3"/>
    <x v="1"/>
    <x v="1"/>
    <x v="1"/>
    <n v="0"/>
  </r>
  <r>
    <x v="25"/>
    <x v="0"/>
    <x v="0"/>
    <n v="950"/>
    <x v="0"/>
    <n v="4"/>
    <x v="2"/>
    <x v="3"/>
    <x v="0"/>
    <n v="401"/>
    <x v="2"/>
    <x v="1"/>
    <n v="48"/>
    <x v="1"/>
    <x v="0"/>
    <x v="0"/>
    <x v="0"/>
    <x v="0"/>
    <x v="286"/>
    <n v="8450"/>
    <n v="1"/>
    <s v="Y"/>
    <x v="0"/>
    <n v="12"/>
    <x v="0"/>
    <x v="2"/>
    <n v="80"/>
    <n v="0"/>
    <n v="8"/>
    <n v="0"/>
    <x v="1"/>
    <x v="3"/>
    <n v="7"/>
    <x v="4"/>
    <x v="10"/>
    <x v="2"/>
    <x v="0"/>
    <x v="0"/>
    <n v="1"/>
  </r>
  <r>
    <x v="2"/>
    <x v="1"/>
    <x v="1"/>
    <n v="889"/>
    <x v="1"/>
    <n v="9"/>
    <x v="3"/>
    <x v="2"/>
    <x v="0"/>
    <n v="403"/>
    <x v="0"/>
    <x v="1"/>
    <n v="53"/>
    <x v="0"/>
    <x v="1"/>
    <x v="1"/>
    <x v="0"/>
    <x v="1"/>
    <x v="287"/>
    <n v="11411"/>
    <n v="1"/>
    <s v="Y"/>
    <x v="0"/>
    <n v="12"/>
    <x v="0"/>
    <x v="3"/>
    <n v="80"/>
    <n v="3"/>
    <n v="4"/>
    <n v="3"/>
    <x v="2"/>
    <x v="9"/>
    <n v="2"/>
    <x v="1"/>
    <x v="3"/>
    <x v="1"/>
    <x v="2"/>
    <x v="1"/>
    <n v="0"/>
  </r>
  <r>
    <x v="19"/>
    <x v="1"/>
    <x v="1"/>
    <n v="555"/>
    <x v="0"/>
    <n v="26"/>
    <x v="3"/>
    <x v="3"/>
    <x v="0"/>
    <n v="404"/>
    <x v="1"/>
    <x v="0"/>
    <n v="77"/>
    <x v="0"/>
    <x v="3"/>
    <x v="0"/>
    <x v="1"/>
    <x v="1"/>
    <x v="288"/>
    <n v="14864"/>
    <n v="5"/>
    <s v="Y"/>
    <x v="1"/>
    <n v="14"/>
    <x v="0"/>
    <x v="1"/>
    <n v="80"/>
    <n v="1"/>
    <n v="23"/>
    <n v="2"/>
    <x v="3"/>
    <x v="23"/>
    <n v="4"/>
    <x v="5"/>
    <x v="5"/>
    <x v="0"/>
    <x v="3"/>
    <x v="3"/>
    <n v="0"/>
  </r>
  <r>
    <x v="41"/>
    <x v="0"/>
    <x v="0"/>
    <n v="230"/>
    <x v="1"/>
    <n v="3"/>
    <x v="3"/>
    <x v="0"/>
    <x v="0"/>
    <n v="405"/>
    <x v="1"/>
    <x v="1"/>
    <n v="54"/>
    <x v="0"/>
    <x v="1"/>
    <x v="2"/>
    <x v="2"/>
    <x v="0"/>
    <x v="289"/>
    <n v="25233"/>
    <n v="1"/>
    <s v="Y"/>
    <x v="1"/>
    <n v="13"/>
    <x v="0"/>
    <x v="3"/>
    <n v="80"/>
    <n v="0"/>
    <n v="0"/>
    <n v="2"/>
    <x v="1"/>
    <x v="2"/>
    <n v="0"/>
    <x v="0"/>
    <x v="2"/>
    <x v="4"/>
    <x v="1"/>
    <x v="1"/>
    <n v="1"/>
  </r>
  <r>
    <x v="10"/>
    <x v="1"/>
    <x v="0"/>
    <n v="1232"/>
    <x v="0"/>
    <n v="16"/>
    <x v="3"/>
    <x v="3"/>
    <x v="0"/>
    <n v="406"/>
    <x v="1"/>
    <x v="1"/>
    <n v="96"/>
    <x v="0"/>
    <x v="2"/>
    <x v="0"/>
    <x v="1"/>
    <x v="1"/>
    <x v="290"/>
    <n v="5100"/>
    <n v="0"/>
    <s v="Y"/>
    <x v="1"/>
    <n v="15"/>
    <x v="0"/>
    <x v="3"/>
    <n v="80"/>
    <n v="2"/>
    <n v="12"/>
    <n v="3"/>
    <x v="2"/>
    <x v="19"/>
    <n v="9"/>
    <x v="7"/>
    <x v="12"/>
    <x v="1"/>
    <x v="3"/>
    <x v="0"/>
    <n v="0"/>
  </r>
  <r>
    <x v="9"/>
    <x v="1"/>
    <x v="1"/>
    <n v="566"/>
    <x v="1"/>
    <n v="18"/>
    <x v="2"/>
    <x v="0"/>
    <x v="0"/>
    <n v="407"/>
    <x v="1"/>
    <x v="1"/>
    <n v="81"/>
    <x v="2"/>
    <x v="1"/>
    <x v="2"/>
    <x v="0"/>
    <x v="1"/>
    <x v="291"/>
    <n v="7122"/>
    <n v="4"/>
    <s v="Y"/>
    <x v="1"/>
    <n v="18"/>
    <x v="0"/>
    <x v="1"/>
    <n v="80"/>
    <n v="2"/>
    <n v="4"/>
    <n v="2"/>
    <x v="1"/>
    <x v="6"/>
    <n v="0"/>
    <x v="0"/>
    <x v="2"/>
    <x v="1"/>
    <x v="1"/>
    <x v="1"/>
    <n v="0"/>
  </r>
  <r>
    <x v="31"/>
    <x v="1"/>
    <x v="0"/>
    <n v="1302"/>
    <x v="1"/>
    <n v="2"/>
    <x v="3"/>
    <x v="2"/>
    <x v="0"/>
    <n v="408"/>
    <x v="2"/>
    <x v="1"/>
    <n v="84"/>
    <x v="3"/>
    <x v="0"/>
    <x v="3"/>
    <x v="1"/>
    <x v="2"/>
    <x v="292"/>
    <n v="16321"/>
    <n v="5"/>
    <s v="Y"/>
    <x v="1"/>
    <n v="18"/>
    <x v="0"/>
    <x v="1"/>
    <n v="80"/>
    <n v="1"/>
    <n v="13"/>
    <n v="3"/>
    <x v="1"/>
    <x v="9"/>
    <n v="1"/>
    <x v="1"/>
    <x v="3"/>
    <x v="3"/>
    <x v="2"/>
    <x v="0"/>
    <n v="0"/>
  </r>
  <r>
    <x v="0"/>
    <x v="1"/>
    <x v="0"/>
    <n v="334"/>
    <x v="0"/>
    <n v="2"/>
    <x v="2"/>
    <x v="0"/>
    <x v="0"/>
    <n v="410"/>
    <x v="2"/>
    <x v="1"/>
    <n v="88"/>
    <x v="0"/>
    <x v="3"/>
    <x v="5"/>
    <x v="1"/>
    <x v="0"/>
    <x v="293"/>
    <n v="15896"/>
    <n v="1"/>
    <s v="Y"/>
    <x v="1"/>
    <n v="19"/>
    <x v="0"/>
    <x v="2"/>
    <n v="80"/>
    <n v="0"/>
    <n v="22"/>
    <n v="2"/>
    <x v="1"/>
    <x v="14"/>
    <n v="10"/>
    <x v="0"/>
    <x v="10"/>
    <x v="0"/>
    <x v="3"/>
    <x v="2"/>
    <n v="0"/>
  </r>
  <r>
    <x v="41"/>
    <x v="1"/>
    <x v="0"/>
    <n v="812"/>
    <x v="0"/>
    <n v="10"/>
    <x v="3"/>
    <x v="2"/>
    <x v="0"/>
    <n v="411"/>
    <x v="2"/>
    <x v="0"/>
    <n v="69"/>
    <x v="1"/>
    <x v="1"/>
    <x v="6"/>
    <x v="2"/>
    <x v="0"/>
    <x v="294"/>
    <n v="9724"/>
    <n v="1"/>
    <s v="Y"/>
    <x v="1"/>
    <n v="12"/>
    <x v="0"/>
    <x v="0"/>
    <n v="80"/>
    <n v="0"/>
    <n v="0"/>
    <n v="2"/>
    <x v="1"/>
    <x v="2"/>
    <n v="0"/>
    <x v="0"/>
    <x v="2"/>
    <x v="4"/>
    <x v="1"/>
    <x v="1"/>
    <n v="0"/>
  </r>
  <r>
    <x v="14"/>
    <x v="1"/>
    <x v="0"/>
    <n v="1476"/>
    <x v="1"/>
    <n v="16"/>
    <x v="0"/>
    <x v="2"/>
    <x v="0"/>
    <n v="412"/>
    <x v="0"/>
    <x v="1"/>
    <n v="68"/>
    <x v="2"/>
    <x v="0"/>
    <x v="4"/>
    <x v="3"/>
    <x v="0"/>
    <x v="295"/>
    <n v="4824"/>
    <n v="0"/>
    <s v="Y"/>
    <x v="1"/>
    <n v="19"/>
    <x v="0"/>
    <x v="3"/>
    <n v="80"/>
    <n v="0"/>
    <n v="9"/>
    <n v="2"/>
    <x v="1"/>
    <x v="3"/>
    <n v="3"/>
    <x v="0"/>
    <x v="1"/>
    <x v="2"/>
    <x v="0"/>
    <x v="0"/>
    <n v="0"/>
  </r>
  <r>
    <x v="12"/>
    <x v="1"/>
    <x v="0"/>
    <n v="218"/>
    <x v="0"/>
    <n v="7"/>
    <x v="3"/>
    <x v="4"/>
    <x v="0"/>
    <n v="416"/>
    <x v="0"/>
    <x v="1"/>
    <n v="100"/>
    <x v="2"/>
    <x v="0"/>
    <x v="0"/>
    <x v="0"/>
    <x v="1"/>
    <x v="296"/>
    <n v="12241"/>
    <n v="4"/>
    <s v="Y"/>
    <x v="1"/>
    <n v="11"/>
    <x v="0"/>
    <x v="2"/>
    <n v="80"/>
    <n v="1"/>
    <n v="10"/>
    <n v="3"/>
    <x v="2"/>
    <x v="3"/>
    <n v="7"/>
    <x v="4"/>
    <x v="1"/>
    <x v="1"/>
    <x v="0"/>
    <x v="0"/>
    <n v="0"/>
  </r>
  <r>
    <x v="22"/>
    <x v="1"/>
    <x v="0"/>
    <n v="1132"/>
    <x v="1"/>
    <n v="1"/>
    <x v="3"/>
    <x v="2"/>
    <x v="0"/>
    <n v="417"/>
    <x v="1"/>
    <x v="1"/>
    <n v="48"/>
    <x v="2"/>
    <x v="2"/>
    <x v="4"/>
    <x v="0"/>
    <x v="2"/>
    <x v="297"/>
    <n v="10942"/>
    <n v="0"/>
    <s v="Y"/>
    <x v="1"/>
    <n v="17"/>
    <x v="0"/>
    <x v="0"/>
    <n v="80"/>
    <n v="3"/>
    <n v="19"/>
    <n v="5"/>
    <x v="2"/>
    <x v="29"/>
    <n v="10"/>
    <x v="2"/>
    <x v="1"/>
    <x v="1"/>
    <x v="3"/>
    <x v="0"/>
    <n v="0"/>
  </r>
  <r>
    <x v="9"/>
    <x v="1"/>
    <x v="2"/>
    <n v="1105"/>
    <x v="1"/>
    <n v="24"/>
    <x v="2"/>
    <x v="0"/>
    <x v="0"/>
    <n v="419"/>
    <x v="0"/>
    <x v="0"/>
    <n v="47"/>
    <x v="0"/>
    <x v="0"/>
    <x v="2"/>
    <x v="1"/>
    <x v="1"/>
    <x v="298"/>
    <n v="6927"/>
    <n v="7"/>
    <s v="Y"/>
    <x v="1"/>
    <n v="15"/>
    <x v="0"/>
    <x v="3"/>
    <n v="80"/>
    <n v="1"/>
    <n v="11"/>
    <n v="3"/>
    <x v="1"/>
    <x v="7"/>
    <n v="8"/>
    <x v="0"/>
    <x v="5"/>
    <x v="1"/>
    <x v="0"/>
    <x v="0"/>
    <n v="0"/>
  </r>
  <r>
    <x v="5"/>
    <x v="1"/>
    <x v="0"/>
    <n v="906"/>
    <x v="0"/>
    <n v="7"/>
    <x v="3"/>
    <x v="0"/>
    <x v="0"/>
    <n v="420"/>
    <x v="2"/>
    <x v="1"/>
    <n v="91"/>
    <x v="1"/>
    <x v="0"/>
    <x v="0"/>
    <x v="2"/>
    <x v="1"/>
    <x v="299"/>
    <n v="16985"/>
    <n v="1"/>
    <s v="Y"/>
    <x v="1"/>
    <n v="14"/>
    <x v="0"/>
    <x v="3"/>
    <n v="80"/>
    <n v="1"/>
    <n v="13"/>
    <n v="3"/>
    <x v="2"/>
    <x v="20"/>
    <n v="8"/>
    <x v="5"/>
    <x v="5"/>
    <x v="1"/>
    <x v="3"/>
    <x v="0"/>
    <n v="0"/>
  </r>
  <r>
    <x v="8"/>
    <x v="1"/>
    <x v="0"/>
    <n v="849"/>
    <x v="1"/>
    <n v="25"/>
    <x v="0"/>
    <x v="0"/>
    <x v="0"/>
    <n v="421"/>
    <x v="3"/>
    <x v="0"/>
    <n v="81"/>
    <x v="1"/>
    <x v="2"/>
    <x v="7"/>
    <x v="1"/>
    <x v="1"/>
    <x v="300"/>
    <n v="26707"/>
    <n v="3"/>
    <s v="Y"/>
    <x v="1"/>
    <n v="17"/>
    <x v="0"/>
    <x v="3"/>
    <n v="80"/>
    <n v="1"/>
    <n v="19"/>
    <n v="2"/>
    <x v="1"/>
    <x v="1"/>
    <n v="8"/>
    <x v="0"/>
    <x v="9"/>
    <x v="1"/>
    <x v="0"/>
    <x v="3"/>
    <n v="0"/>
  </r>
  <r>
    <x v="34"/>
    <x v="1"/>
    <x v="2"/>
    <n v="390"/>
    <x v="1"/>
    <n v="1"/>
    <x v="2"/>
    <x v="0"/>
    <x v="0"/>
    <n v="422"/>
    <x v="2"/>
    <x v="1"/>
    <n v="32"/>
    <x v="3"/>
    <x v="0"/>
    <x v="4"/>
    <x v="2"/>
    <x v="2"/>
    <x v="301"/>
    <n v="17056"/>
    <n v="2"/>
    <s v="Y"/>
    <x v="0"/>
    <n v="13"/>
    <x v="0"/>
    <x v="1"/>
    <n v="80"/>
    <n v="1"/>
    <n v="12"/>
    <n v="2"/>
    <x v="1"/>
    <x v="8"/>
    <n v="3"/>
    <x v="1"/>
    <x v="3"/>
    <x v="3"/>
    <x v="2"/>
    <x v="0"/>
    <n v="0"/>
  </r>
  <r>
    <x v="12"/>
    <x v="1"/>
    <x v="0"/>
    <n v="691"/>
    <x v="1"/>
    <n v="5"/>
    <x v="2"/>
    <x v="4"/>
    <x v="0"/>
    <n v="423"/>
    <x v="1"/>
    <x v="1"/>
    <n v="86"/>
    <x v="0"/>
    <x v="1"/>
    <x v="1"/>
    <x v="0"/>
    <x v="1"/>
    <x v="302"/>
    <n v="10077"/>
    <n v="0"/>
    <s v="Y"/>
    <x v="0"/>
    <n v="12"/>
    <x v="0"/>
    <x v="3"/>
    <n v="80"/>
    <n v="1"/>
    <n v="6"/>
    <n v="4"/>
    <x v="1"/>
    <x v="8"/>
    <n v="2"/>
    <x v="0"/>
    <x v="6"/>
    <x v="1"/>
    <x v="2"/>
    <x v="1"/>
    <n v="0"/>
  </r>
  <r>
    <x v="12"/>
    <x v="1"/>
    <x v="0"/>
    <n v="106"/>
    <x v="2"/>
    <n v="2"/>
    <x v="3"/>
    <x v="5"/>
    <x v="0"/>
    <n v="424"/>
    <x v="3"/>
    <x v="1"/>
    <n v="62"/>
    <x v="1"/>
    <x v="0"/>
    <x v="8"/>
    <x v="3"/>
    <x v="1"/>
    <x v="303"/>
    <n v="17822"/>
    <n v="3"/>
    <s v="Y"/>
    <x v="1"/>
    <n v="12"/>
    <x v="0"/>
    <x v="1"/>
    <n v="80"/>
    <n v="0"/>
    <n v="9"/>
    <n v="1"/>
    <x v="1"/>
    <x v="4"/>
    <n v="2"/>
    <x v="1"/>
    <x v="2"/>
    <x v="1"/>
    <x v="1"/>
    <x v="0"/>
    <n v="0"/>
  </r>
  <r>
    <x v="28"/>
    <x v="1"/>
    <x v="1"/>
    <n v="1249"/>
    <x v="1"/>
    <n v="7"/>
    <x v="3"/>
    <x v="0"/>
    <x v="0"/>
    <n v="425"/>
    <x v="3"/>
    <x v="1"/>
    <n v="97"/>
    <x v="0"/>
    <x v="2"/>
    <x v="2"/>
    <x v="3"/>
    <x v="2"/>
    <x v="304"/>
    <n v="20308"/>
    <n v="1"/>
    <s v="Y"/>
    <x v="1"/>
    <n v="18"/>
    <x v="0"/>
    <x v="0"/>
    <n v="80"/>
    <n v="1"/>
    <n v="24"/>
    <n v="2"/>
    <x v="1"/>
    <x v="25"/>
    <n v="9"/>
    <x v="10"/>
    <x v="7"/>
    <x v="0"/>
    <x v="3"/>
    <x v="0"/>
    <n v="0"/>
  </r>
  <r>
    <x v="12"/>
    <x v="1"/>
    <x v="0"/>
    <n v="192"/>
    <x v="1"/>
    <n v="2"/>
    <x v="2"/>
    <x v="0"/>
    <x v="0"/>
    <n v="426"/>
    <x v="1"/>
    <x v="1"/>
    <n v="32"/>
    <x v="0"/>
    <x v="1"/>
    <x v="1"/>
    <x v="0"/>
    <x v="2"/>
    <x v="305"/>
    <n v="7747"/>
    <n v="0"/>
    <s v="Y"/>
    <x v="0"/>
    <n v="18"/>
    <x v="0"/>
    <x v="2"/>
    <n v="80"/>
    <n v="1"/>
    <n v="3"/>
    <n v="2"/>
    <x v="0"/>
    <x v="4"/>
    <n v="2"/>
    <x v="3"/>
    <x v="3"/>
    <x v="1"/>
    <x v="1"/>
    <x v="1"/>
    <n v="0"/>
  </r>
  <r>
    <x v="3"/>
    <x v="1"/>
    <x v="1"/>
    <n v="553"/>
    <x v="1"/>
    <n v="5"/>
    <x v="2"/>
    <x v="0"/>
    <x v="0"/>
    <n v="428"/>
    <x v="2"/>
    <x v="0"/>
    <n v="74"/>
    <x v="0"/>
    <x v="2"/>
    <x v="5"/>
    <x v="1"/>
    <x v="1"/>
    <x v="306"/>
    <n v="23364"/>
    <n v="6"/>
    <s v="Y"/>
    <x v="1"/>
    <n v="11"/>
    <x v="0"/>
    <x v="2"/>
    <n v="80"/>
    <n v="2"/>
    <n v="12"/>
    <n v="2"/>
    <x v="1"/>
    <x v="1"/>
    <n v="6"/>
    <x v="6"/>
    <x v="5"/>
    <x v="1"/>
    <x v="0"/>
    <x v="3"/>
    <n v="0"/>
  </r>
  <r>
    <x v="22"/>
    <x v="1"/>
    <x v="0"/>
    <n v="117"/>
    <x v="1"/>
    <n v="10"/>
    <x v="1"/>
    <x v="2"/>
    <x v="0"/>
    <n v="429"/>
    <x v="1"/>
    <x v="1"/>
    <n v="99"/>
    <x v="0"/>
    <x v="3"/>
    <x v="5"/>
    <x v="3"/>
    <x v="1"/>
    <x v="307"/>
    <n v="5355"/>
    <n v="1"/>
    <s v="Y"/>
    <x v="0"/>
    <n v="14"/>
    <x v="0"/>
    <x v="1"/>
    <n v="80"/>
    <n v="0"/>
    <n v="21"/>
    <n v="3"/>
    <x v="1"/>
    <x v="17"/>
    <n v="9"/>
    <x v="14"/>
    <x v="13"/>
    <x v="1"/>
    <x v="3"/>
    <x v="2"/>
    <n v="0"/>
  </r>
  <r>
    <x v="23"/>
    <x v="1"/>
    <x v="1"/>
    <n v="185"/>
    <x v="1"/>
    <n v="10"/>
    <x v="2"/>
    <x v="0"/>
    <x v="0"/>
    <n v="430"/>
    <x v="1"/>
    <x v="0"/>
    <n v="33"/>
    <x v="0"/>
    <x v="1"/>
    <x v="2"/>
    <x v="0"/>
    <x v="0"/>
    <x v="308"/>
    <n v="10675"/>
    <n v="0"/>
    <s v="Y"/>
    <x v="1"/>
    <n v="19"/>
    <x v="0"/>
    <x v="0"/>
    <n v="80"/>
    <n v="0"/>
    <n v="9"/>
    <n v="5"/>
    <x v="1"/>
    <x v="3"/>
    <n v="7"/>
    <x v="1"/>
    <x v="1"/>
    <x v="0"/>
    <x v="0"/>
    <x v="1"/>
    <n v="0"/>
  </r>
  <r>
    <x v="1"/>
    <x v="1"/>
    <x v="0"/>
    <n v="1091"/>
    <x v="1"/>
    <n v="1"/>
    <x v="0"/>
    <x v="4"/>
    <x v="0"/>
    <n v="431"/>
    <x v="1"/>
    <x v="0"/>
    <n v="90"/>
    <x v="1"/>
    <x v="3"/>
    <x v="4"/>
    <x v="2"/>
    <x v="0"/>
    <x v="309"/>
    <n v="17810"/>
    <n v="7"/>
    <s v="Y"/>
    <x v="0"/>
    <n v="12"/>
    <x v="0"/>
    <x v="1"/>
    <n v="80"/>
    <n v="0"/>
    <n v="25"/>
    <n v="2"/>
    <x v="1"/>
    <x v="5"/>
    <n v="1"/>
    <x v="0"/>
    <x v="1"/>
    <x v="0"/>
    <x v="0"/>
    <x v="3"/>
    <n v="0"/>
  </r>
  <r>
    <x v="39"/>
    <x v="0"/>
    <x v="0"/>
    <n v="723"/>
    <x v="1"/>
    <n v="8"/>
    <x v="2"/>
    <x v="2"/>
    <x v="0"/>
    <n v="433"/>
    <x v="1"/>
    <x v="1"/>
    <n v="85"/>
    <x v="1"/>
    <x v="0"/>
    <x v="1"/>
    <x v="1"/>
    <x v="1"/>
    <x v="132"/>
    <n v="17747"/>
    <n v="2"/>
    <s v="Y"/>
    <x v="1"/>
    <n v="15"/>
    <x v="0"/>
    <x v="0"/>
    <n v="80"/>
    <n v="0"/>
    <n v="11"/>
    <n v="3"/>
    <x v="2"/>
    <x v="3"/>
    <n v="2"/>
    <x v="4"/>
    <x v="1"/>
    <x v="3"/>
    <x v="0"/>
    <x v="1"/>
    <n v="1"/>
  </r>
  <r>
    <x v="4"/>
    <x v="1"/>
    <x v="0"/>
    <n v="1220"/>
    <x v="1"/>
    <n v="5"/>
    <x v="3"/>
    <x v="0"/>
    <x v="0"/>
    <n v="434"/>
    <x v="1"/>
    <x v="0"/>
    <n v="85"/>
    <x v="0"/>
    <x v="1"/>
    <x v="1"/>
    <x v="1"/>
    <x v="0"/>
    <x v="310"/>
    <n v="20938"/>
    <n v="1"/>
    <s v="Y"/>
    <x v="0"/>
    <n v="12"/>
    <x v="0"/>
    <x v="2"/>
    <n v="80"/>
    <n v="0"/>
    <n v="4"/>
    <n v="2"/>
    <x v="2"/>
    <x v="9"/>
    <n v="3"/>
    <x v="1"/>
    <x v="3"/>
    <x v="2"/>
    <x v="2"/>
    <x v="1"/>
    <n v="0"/>
  </r>
  <r>
    <x v="5"/>
    <x v="1"/>
    <x v="0"/>
    <n v="588"/>
    <x v="0"/>
    <n v="8"/>
    <x v="0"/>
    <x v="4"/>
    <x v="0"/>
    <n v="436"/>
    <x v="1"/>
    <x v="0"/>
    <n v="65"/>
    <x v="1"/>
    <x v="0"/>
    <x v="0"/>
    <x v="1"/>
    <x v="1"/>
    <x v="311"/>
    <n v="24624"/>
    <n v="1"/>
    <s v="Y"/>
    <x v="0"/>
    <n v="11"/>
    <x v="0"/>
    <x v="1"/>
    <n v="80"/>
    <n v="0"/>
    <n v="13"/>
    <n v="2"/>
    <x v="1"/>
    <x v="20"/>
    <n v="12"/>
    <x v="14"/>
    <x v="12"/>
    <x v="1"/>
    <x v="3"/>
    <x v="0"/>
    <n v="0"/>
  </r>
  <r>
    <x v="4"/>
    <x v="1"/>
    <x v="0"/>
    <n v="1377"/>
    <x v="0"/>
    <n v="2"/>
    <x v="3"/>
    <x v="0"/>
    <x v="0"/>
    <n v="437"/>
    <x v="2"/>
    <x v="1"/>
    <n v="74"/>
    <x v="0"/>
    <x v="0"/>
    <x v="0"/>
    <x v="2"/>
    <x v="0"/>
    <x v="312"/>
    <n v="5242"/>
    <n v="1"/>
    <s v="Y"/>
    <x v="0"/>
    <n v="11"/>
    <x v="0"/>
    <x v="0"/>
    <n v="80"/>
    <n v="0"/>
    <n v="5"/>
    <n v="3"/>
    <x v="1"/>
    <x v="8"/>
    <n v="4"/>
    <x v="0"/>
    <x v="10"/>
    <x v="2"/>
    <x v="2"/>
    <x v="1"/>
    <n v="0"/>
  </r>
  <r>
    <x v="12"/>
    <x v="1"/>
    <x v="0"/>
    <n v="691"/>
    <x v="0"/>
    <n v="7"/>
    <x v="3"/>
    <x v="3"/>
    <x v="0"/>
    <n v="438"/>
    <x v="2"/>
    <x v="1"/>
    <n v="73"/>
    <x v="0"/>
    <x v="0"/>
    <x v="0"/>
    <x v="0"/>
    <x v="2"/>
    <x v="313"/>
    <n v="7143"/>
    <n v="4"/>
    <s v="Y"/>
    <x v="1"/>
    <n v="12"/>
    <x v="0"/>
    <x v="1"/>
    <n v="80"/>
    <n v="3"/>
    <n v="13"/>
    <n v="3"/>
    <x v="1"/>
    <x v="5"/>
    <n v="7"/>
    <x v="1"/>
    <x v="1"/>
    <x v="1"/>
    <x v="0"/>
    <x v="0"/>
    <n v="0"/>
  </r>
  <r>
    <x v="5"/>
    <x v="1"/>
    <x v="0"/>
    <n v="1018"/>
    <x v="1"/>
    <n v="2"/>
    <x v="2"/>
    <x v="2"/>
    <x v="0"/>
    <n v="439"/>
    <x v="3"/>
    <x v="0"/>
    <n v="74"/>
    <x v="2"/>
    <x v="0"/>
    <x v="1"/>
    <x v="0"/>
    <x v="0"/>
    <x v="314"/>
    <n v="10557"/>
    <n v="7"/>
    <s v="Y"/>
    <x v="1"/>
    <n v="16"/>
    <x v="0"/>
    <x v="3"/>
    <n v="80"/>
    <n v="0"/>
    <n v="10"/>
    <n v="0"/>
    <x v="2"/>
    <x v="5"/>
    <n v="7"/>
    <x v="0"/>
    <x v="1"/>
    <x v="1"/>
    <x v="0"/>
    <x v="0"/>
    <n v="0"/>
  </r>
  <r>
    <x v="14"/>
    <x v="0"/>
    <x v="0"/>
    <n v="1157"/>
    <x v="1"/>
    <n v="2"/>
    <x v="2"/>
    <x v="2"/>
    <x v="0"/>
    <n v="440"/>
    <x v="3"/>
    <x v="1"/>
    <n v="84"/>
    <x v="3"/>
    <x v="1"/>
    <x v="1"/>
    <x v="0"/>
    <x v="1"/>
    <x v="315"/>
    <n v="24737"/>
    <n v="5"/>
    <s v="Y"/>
    <x v="0"/>
    <n v="13"/>
    <x v="0"/>
    <x v="1"/>
    <n v="80"/>
    <n v="0"/>
    <n v="5"/>
    <n v="4"/>
    <x v="2"/>
    <x v="11"/>
    <n v="2"/>
    <x v="3"/>
    <x v="3"/>
    <x v="2"/>
    <x v="2"/>
    <x v="1"/>
    <n v="1"/>
  </r>
  <r>
    <x v="7"/>
    <x v="1"/>
    <x v="0"/>
    <n v="1275"/>
    <x v="1"/>
    <n v="28"/>
    <x v="0"/>
    <x v="2"/>
    <x v="0"/>
    <n v="441"/>
    <x v="2"/>
    <x v="0"/>
    <n v="64"/>
    <x v="0"/>
    <x v="0"/>
    <x v="1"/>
    <x v="0"/>
    <x v="1"/>
    <x v="316"/>
    <n v="11934"/>
    <n v="1"/>
    <s v="Y"/>
    <x v="1"/>
    <n v="13"/>
    <x v="0"/>
    <x v="1"/>
    <n v="80"/>
    <n v="2"/>
    <n v="11"/>
    <n v="2"/>
    <x v="1"/>
    <x v="1"/>
    <n v="8"/>
    <x v="1"/>
    <x v="12"/>
    <x v="1"/>
    <x v="0"/>
    <x v="0"/>
    <n v="0"/>
  </r>
  <r>
    <x v="12"/>
    <x v="1"/>
    <x v="1"/>
    <n v="798"/>
    <x v="1"/>
    <n v="7"/>
    <x v="0"/>
    <x v="0"/>
    <x v="0"/>
    <n v="442"/>
    <x v="1"/>
    <x v="0"/>
    <n v="48"/>
    <x v="1"/>
    <x v="2"/>
    <x v="3"/>
    <x v="2"/>
    <x v="1"/>
    <x v="317"/>
    <n v="14034"/>
    <n v="1"/>
    <s v="Y"/>
    <x v="1"/>
    <n v="24"/>
    <x v="1"/>
    <x v="0"/>
    <n v="80"/>
    <n v="1"/>
    <n v="10"/>
    <n v="2"/>
    <x v="1"/>
    <x v="1"/>
    <n v="9"/>
    <x v="6"/>
    <x v="12"/>
    <x v="1"/>
    <x v="0"/>
    <x v="0"/>
    <n v="0"/>
  </r>
  <r>
    <x v="22"/>
    <x v="1"/>
    <x v="1"/>
    <n v="672"/>
    <x v="1"/>
    <n v="7"/>
    <x v="0"/>
    <x v="2"/>
    <x v="0"/>
    <n v="444"/>
    <x v="1"/>
    <x v="1"/>
    <n v="54"/>
    <x v="1"/>
    <x v="4"/>
    <x v="5"/>
    <x v="0"/>
    <x v="1"/>
    <x v="318"/>
    <n v="21141"/>
    <n v="1"/>
    <s v="Y"/>
    <x v="1"/>
    <n v="15"/>
    <x v="0"/>
    <x v="0"/>
    <n v="80"/>
    <n v="1"/>
    <n v="21"/>
    <n v="2"/>
    <x v="1"/>
    <x v="17"/>
    <n v="9"/>
    <x v="11"/>
    <x v="6"/>
    <x v="1"/>
    <x v="3"/>
    <x v="2"/>
    <n v="0"/>
  </r>
  <r>
    <x v="22"/>
    <x v="0"/>
    <x v="0"/>
    <n v="1162"/>
    <x v="0"/>
    <n v="3"/>
    <x v="0"/>
    <x v="2"/>
    <x v="0"/>
    <n v="445"/>
    <x v="2"/>
    <x v="0"/>
    <n v="41"/>
    <x v="0"/>
    <x v="0"/>
    <x v="0"/>
    <x v="2"/>
    <x v="1"/>
    <x v="319"/>
    <n v="17778"/>
    <n v="4"/>
    <s v="Y"/>
    <x v="0"/>
    <n v="18"/>
    <x v="0"/>
    <x v="0"/>
    <n v="80"/>
    <n v="0"/>
    <n v="12"/>
    <n v="3"/>
    <x v="2"/>
    <x v="6"/>
    <n v="0"/>
    <x v="0"/>
    <x v="2"/>
    <x v="1"/>
    <x v="1"/>
    <x v="0"/>
    <n v="1"/>
  </r>
  <r>
    <x v="3"/>
    <x v="1"/>
    <x v="1"/>
    <n v="508"/>
    <x v="0"/>
    <n v="10"/>
    <x v="3"/>
    <x v="3"/>
    <x v="0"/>
    <n v="446"/>
    <x v="0"/>
    <x v="1"/>
    <n v="46"/>
    <x v="1"/>
    <x v="0"/>
    <x v="0"/>
    <x v="0"/>
    <x v="0"/>
    <x v="320"/>
    <n v="4317"/>
    <n v="3"/>
    <s v="Y"/>
    <x v="1"/>
    <n v="14"/>
    <x v="0"/>
    <x v="3"/>
    <n v="80"/>
    <n v="0"/>
    <n v="9"/>
    <n v="6"/>
    <x v="2"/>
    <x v="5"/>
    <n v="7"/>
    <x v="0"/>
    <x v="9"/>
    <x v="1"/>
    <x v="0"/>
    <x v="1"/>
    <n v="0"/>
  </r>
  <r>
    <x v="40"/>
    <x v="1"/>
    <x v="0"/>
    <n v="1482"/>
    <x v="1"/>
    <n v="5"/>
    <x v="4"/>
    <x v="0"/>
    <x v="0"/>
    <n v="447"/>
    <x v="2"/>
    <x v="1"/>
    <n v="42"/>
    <x v="0"/>
    <x v="4"/>
    <x v="7"/>
    <x v="2"/>
    <x v="1"/>
    <x v="321"/>
    <n v="16375"/>
    <n v="4"/>
    <s v="Y"/>
    <x v="1"/>
    <n v="11"/>
    <x v="0"/>
    <x v="2"/>
    <n v="80"/>
    <n v="1"/>
    <n v="21"/>
    <n v="2"/>
    <x v="1"/>
    <x v="11"/>
    <n v="2"/>
    <x v="1"/>
    <x v="9"/>
    <x v="0"/>
    <x v="2"/>
    <x v="2"/>
    <n v="0"/>
  </r>
  <r>
    <x v="23"/>
    <x v="1"/>
    <x v="1"/>
    <n v="559"/>
    <x v="1"/>
    <n v="10"/>
    <x v="2"/>
    <x v="0"/>
    <x v="0"/>
    <n v="448"/>
    <x v="1"/>
    <x v="0"/>
    <n v="82"/>
    <x v="1"/>
    <x v="0"/>
    <x v="2"/>
    <x v="2"/>
    <x v="2"/>
    <x v="322"/>
    <n v="6227"/>
    <n v="1"/>
    <s v="Y"/>
    <x v="1"/>
    <n v="11"/>
    <x v="0"/>
    <x v="2"/>
    <n v="80"/>
    <n v="1"/>
    <n v="9"/>
    <n v="3"/>
    <x v="3"/>
    <x v="7"/>
    <n v="7"/>
    <x v="0"/>
    <x v="2"/>
    <x v="0"/>
    <x v="0"/>
    <x v="0"/>
    <n v="0"/>
  </r>
  <r>
    <x v="4"/>
    <x v="1"/>
    <x v="2"/>
    <n v="210"/>
    <x v="0"/>
    <n v="1"/>
    <x v="1"/>
    <x v="3"/>
    <x v="0"/>
    <n v="449"/>
    <x v="1"/>
    <x v="1"/>
    <n v="73"/>
    <x v="0"/>
    <x v="0"/>
    <x v="0"/>
    <x v="1"/>
    <x v="1"/>
    <x v="323"/>
    <n v="22107"/>
    <n v="0"/>
    <s v="Y"/>
    <x v="0"/>
    <n v="13"/>
    <x v="0"/>
    <x v="1"/>
    <n v="80"/>
    <n v="1"/>
    <n v="6"/>
    <n v="0"/>
    <x v="1"/>
    <x v="8"/>
    <n v="4"/>
    <x v="1"/>
    <x v="10"/>
    <x v="2"/>
    <x v="2"/>
    <x v="0"/>
    <n v="0"/>
  </r>
  <r>
    <x v="33"/>
    <x v="1"/>
    <x v="1"/>
    <n v="928"/>
    <x v="1"/>
    <n v="20"/>
    <x v="2"/>
    <x v="0"/>
    <x v="0"/>
    <n v="450"/>
    <x v="2"/>
    <x v="0"/>
    <n v="31"/>
    <x v="0"/>
    <x v="0"/>
    <x v="1"/>
    <x v="2"/>
    <x v="0"/>
    <x v="324"/>
    <n v="16885"/>
    <n v="3"/>
    <s v="Y"/>
    <x v="1"/>
    <n v="12"/>
    <x v="0"/>
    <x v="1"/>
    <n v="80"/>
    <n v="0"/>
    <n v="20"/>
    <n v="4"/>
    <x v="2"/>
    <x v="9"/>
    <n v="3"/>
    <x v="0"/>
    <x v="6"/>
    <x v="3"/>
    <x v="2"/>
    <x v="1"/>
    <n v="0"/>
  </r>
  <r>
    <x v="23"/>
    <x v="1"/>
    <x v="0"/>
    <n v="1001"/>
    <x v="1"/>
    <n v="7"/>
    <x v="3"/>
    <x v="0"/>
    <x v="0"/>
    <n v="451"/>
    <x v="1"/>
    <x v="0"/>
    <n v="43"/>
    <x v="0"/>
    <x v="2"/>
    <x v="4"/>
    <x v="3"/>
    <x v="1"/>
    <x v="325"/>
    <n v="9262"/>
    <n v="8"/>
    <s v="Y"/>
    <x v="1"/>
    <n v="16"/>
    <x v="0"/>
    <x v="0"/>
    <n v="80"/>
    <n v="1"/>
    <n v="10"/>
    <n v="1"/>
    <x v="2"/>
    <x v="6"/>
    <n v="0"/>
    <x v="0"/>
    <x v="2"/>
    <x v="0"/>
    <x v="1"/>
    <x v="0"/>
    <n v="0"/>
  </r>
  <r>
    <x v="28"/>
    <x v="1"/>
    <x v="0"/>
    <n v="549"/>
    <x v="1"/>
    <n v="8"/>
    <x v="2"/>
    <x v="1"/>
    <x v="0"/>
    <n v="452"/>
    <x v="2"/>
    <x v="1"/>
    <n v="75"/>
    <x v="0"/>
    <x v="0"/>
    <x v="1"/>
    <x v="0"/>
    <x v="1"/>
    <x v="326"/>
    <n v="9278"/>
    <n v="9"/>
    <s v="Y"/>
    <x v="1"/>
    <n v="14"/>
    <x v="0"/>
    <x v="0"/>
    <n v="80"/>
    <n v="2"/>
    <n v="12"/>
    <n v="3"/>
    <x v="1"/>
    <x v="1"/>
    <n v="9"/>
    <x v="10"/>
    <x v="5"/>
    <x v="0"/>
    <x v="0"/>
    <x v="1"/>
    <n v="0"/>
  </r>
  <r>
    <x v="32"/>
    <x v="1"/>
    <x v="0"/>
    <n v="1124"/>
    <x v="0"/>
    <n v="1"/>
    <x v="0"/>
    <x v="2"/>
    <x v="0"/>
    <n v="453"/>
    <x v="0"/>
    <x v="1"/>
    <n v="57"/>
    <x v="3"/>
    <x v="0"/>
    <x v="0"/>
    <x v="0"/>
    <x v="1"/>
    <x v="327"/>
    <n v="13273"/>
    <n v="2"/>
    <s v="Y"/>
    <x v="0"/>
    <n v="22"/>
    <x v="1"/>
    <x v="3"/>
    <n v="80"/>
    <n v="3"/>
    <n v="6"/>
    <n v="2"/>
    <x v="2"/>
    <x v="9"/>
    <n v="3"/>
    <x v="0"/>
    <x v="3"/>
    <x v="0"/>
    <x v="2"/>
    <x v="0"/>
    <n v="0"/>
  </r>
  <r>
    <x v="11"/>
    <x v="0"/>
    <x v="0"/>
    <n v="318"/>
    <x v="1"/>
    <n v="8"/>
    <x v="2"/>
    <x v="1"/>
    <x v="0"/>
    <n v="454"/>
    <x v="0"/>
    <x v="1"/>
    <n v="77"/>
    <x v="3"/>
    <x v="1"/>
    <x v="2"/>
    <x v="3"/>
    <x v="1"/>
    <x v="328"/>
    <n v="4759"/>
    <n v="1"/>
    <s v="Y"/>
    <x v="0"/>
    <n v="11"/>
    <x v="0"/>
    <x v="1"/>
    <n v="80"/>
    <n v="0"/>
    <n v="7"/>
    <n v="4"/>
    <x v="2"/>
    <x v="5"/>
    <n v="7"/>
    <x v="0"/>
    <x v="1"/>
    <x v="2"/>
    <x v="0"/>
    <x v="1"/>
    <n v="1"/>
  </r>
  <r>
    <x v="11"/>
    <x v="1"/>
    <x v="0"/>
    <n v="738"/>
    <x v="1"/>
    <n v="9"/>
    <x v="4"/>
    <x v="1"/>
    <x v="0"/>
    <n v="455"/>
    <x v="0"/>
    <x v="1"/>
    <n v="30"/>
    <x v="1"/>
    <x v="1"/>
    <x v="2"/>
    <x v="0"/>
    <x v="0"/>
    <x v="329"/>
    <n v="7621"/>
    <n v="0"/>
    <s v="Y"/>
    <x v="1"/>
    <n v="17"/>
    <x v="0"/>
    <x v="3"/>
    <n v="80"/>
    <n v="0"/>
    <n v="4"/>
    <n v="2"/>
    <x v="1"/>
    <x v="11"/>
    <n v="2"/>
    <x v="3"/>
    <x v="3"/>
    <x v="2"/>
    <x v="2"/>
    <x v="1"/>
    <n v="0"/>
  </r>
  <r>
    <x v="7"/>
    <x v="1"/>
    <x v="0"/>
    <n v="570"/>
    <x v="0"/>
    <n v="5"/>
    <x v="3"/>
    <x v="3"/>
    <x v="0"/>
    <n v="456"/>
    <x v="2"/>
    <x v="0"/>
    <n v="30"/>
    <x v="1"/>
    <x v="0"/>
    <x v="0"/>
    <x v="2"/>
    <x v="2"/>
    <x v="330"/>
    <n v="5431"/>
    <n v="1"/>
    <s v="Y"/>
    <x v="1"/>
    <n v="13"/>
    <x v="0"/>
    <x v="3"/>
    <n v="80"/>
    <n v="3"/>
    <n v="10"/>
    <n v="2"/>
    <x v="1"/>
    <x v="1"/>
    <n v="9"/>
    <x v="1"/>
    <x v="3"/>
    <x v="1"/>
    <x v="0"/>
    <x v="0"/>
    <n v="0"/>
  </r>
  <r>
    <x v="4"/>
    <x v="1"/>
    <x v="0"/>
    <n v="1130"/>
    <x v="0"/>
    <n v="8"/>
    <x v="2"/>
    <x v="3"/>
    <x v="0"/>
    <n v="458"/>
    <x v="0"/>
    <x v="0"/>
    <n v="56"/>
    <x v="0"/>
    <x v="0"/>
    <x v="0"/>
    <x v="1"/>
    <x v="1"/>
    <x v="331"/>
    <n v="3415"/>
    <n v="1"/>
    <s v="Y"/>
    <x v="1"/>
    <n v="18"/>
    <x v="0"/>
    <x v="0"/>
    <n v="80"/>
    <n v="1"/>
    <n v="8"/>
    <n v="3"/>
    <x v="1"/>
    <x v="3"/>
    <n v="7"/>
    <x v="0"/>
    <x v="1"/>
    <x v="2"/>
    <x v="0"/>
    <x v="0"/>
    <n v="0"/>
  </r>
  <r>
    <x v="2"/>
    <x v="1"/>
    <x v="0"/>
    <n v="1192"/>
    <x v="1"/>
    <n v="5"/>
    <x v="0"/>
    <x v="2"/>
    <x v="0"/>
    <n v="460"/>
    <x v="2"/>
    <x v="1"/>
    <n v="61"/>
    <x v="0"/>
    <x v="0"/>
    <x v="3"/>
    <x v="0"/>
    <x v="2"/>
    <x v="136"/>
    <n v="23177"/>
    <n v="7"/>
    <s v="Y"/>
    <x v="1"/>
    <n v="16"/>
    <x v="0"/>
    <x v="3"/>
    <n v="80"/>
    <n v="2"/>
    <n v="8"/>
    <n v="2"/>
    <x v="2"/>
    <x v="0"/>
    <n v="2"/>
    <x v="0"/>
    <x v="10"/>
    <x v="1"/>
    <x v="0"/>
    <x v="0"/>
    <n v="0"/>
  </r>
  <r>
    <x v="8"/>
    <x v="1"/>
    <x v="0"/>
    <n v="343"/>
    <x v="1"/>
    <n v="15"/>
    <x v="0"/>
    <x v="0"/>
    <x v="0"/>
    <n v="461"/>
    <x v="1"/>
    <x v="1"/>
    <n v="92"/>
    <x v="1"/>
    <x v="2"/>
    <x v="7"/>
    <x v="0"/>
    <x v="2"/>
    <x v="332"/>
    <n v="15682"/>
    <n v="0"/>
    <s v="Y"/>
    <x v="0"/>
    <n v="14"/>
    <x v="0"/>
    <x v="2"/>
    <n v="80"/>
    <n v="1"/>
    <n v="12"/>
    <n v="3"/>
    <x v="1"/>
    <x v="19"/>
    <n v="10"/>
    <x v="3"/>
    <x v="12"/>
    <x v="1"/>
    <x v="3"/>
    <x v="3"/>
    <n v="0"/>
  </r>
  <r>
    <x v="12"/>
    <x v="1"/>
    <x v="0"/>
    <n v="1232"/>
    <x v="1"/>
    <n v="7"/>
    <x v="2"/>
    <x v="2"/>
    <x v="0"/>
    <n v="462"/>
    <x v="1"/>
    <x v="0"/>
    <n v="39"/>
    <x v="0"/>
    <x v="2"/>
    <x v="3"/>
    <x v="0"/>
    <x v="0"/>
    <x v="333"/>
    <n v="25713"/>
    <n v="1"/>
    <s v="Y"/>
    <x v="0"/>
    <n v="14"/>
    <x v="0"/>
    <x v="3"/>
    <n v="80"/>
    <n v="0"/>
    <n v="11"/>
    <n v="2"/>
    <x v="2"/>
    <x v="19"/>
    <n v="9"/>
    <x v="5"/>
    <x v="13"/>
    <x v="1"/>
    <x v="3"/>
    <x v="0"/>
    <n v="0"/>
  </r>
  <r>
    <x v="11"/>
    <x v="1"/>
    <x v="0"/>
    <n v="144"/>
    <x v="0"/>
    <n v="10"/>
    <x v="1"/>
    <x v="3"/>
    <x v="0"/>
    <n v="463"/>
    <x v="2"/>
    <x v="0"/>
    <n v="39"/>
    <x v="1"/>
    <x v="0"/>
    <x v="0"/>
    <x v="1"/>
    <x v="2"/>
    <x v="334"/>
    <n v="11866"/>
    <n v="1"/>
    <s v="Y"/>
    <x v="0"/>
    <n v="14"/>
    <x v="0"/>
    <x v="0"/>
    <n v="80"/>
    <n v="2"/>
    <n v="7"/>
    <n v="2"/>
    <x v="1"/>
    <x v="5"/>
    <n v="7"/>
    <x v="1"/>
    <x v="1"/>
    <x v="2"/>
    <x v="0"/>
    <x v="0"/>
    <n v="0"/>
  </r>
  <r>
    <x v="10"/>
    <x v="1"/>
    <x v="0"/>
    <n v="1296"/>
    <x v="1"/>
    <n v="5"/>
    <x v="2"/>
    <x v="4"/>
    <x v="0"/>
    <n v="464"/>
    <x v="1"/>
    <x v="1"/>
    <n v="62"/>
    <x v="0"/>
    <x v="2"/>
    <x v="3"/>
    <x v="1"/>
    <x v="0"/>
    <x v="335"/>
    <n v="18264"/>
    <n v="0"/>
    <s v="Y"/>
    <x v="1"/>
    <n v="13"/>
    <x v="0"/>
    <x v="1"/>
    <n v="80"/>
    <n v="0"/>
    <n v="17"/>
    <n v="5"/>
    <x v="1"/>
    <x v="22"/>
    <n v="6"/>
    <x v="0"/>
    <x v="15"/>
    <x v="1"/>
    <x v="3"/>
    <x v="0"/>
    <n v="0"/>
  </r>
  <r>
    <x v="30"/>
    <x v="1"/>
    <x v="0"/>
    <n v="1309"/>
    <x v="1"/>
    <n v="26"/>
    <x v="1"/>
    <x v="0"/>
    <x v="0"/>
    <n v="465"/>
    <x v="1"/>
    <x v="1"/>
    <n v="83"/>
    <x v="0"/>
    <x v="1"/>
    <x v="1"/>
    <x v="0"/>
    <x v="2"/>
    <x v="336"/>
    <n v="16092"/>
    <n v="1"/>
    <s v="Y"/>
    <x v="1"/>
    <n v="12"/>
    <x v="0"/>
    <x v="3"/>
    <n v="80"/>
    <n v="2"/>
    <n v="4"/>
    <n v="2"/>
    <x v="2"/>
    <x v="9"/>
    <n v="2"/>
    <x v="0"/>
    <x v="3"/>
    <x v="2"/>
    <x v="2"/>
    <x v="1"/>
    <n v="0"/>
  </r>
  <r>
    <x v="0"/>
    <x v="1"/>
    <x v="0"/>
    <n v="483"/>
    <x v="1"/>
    <n v="6"/>
    <x v="3"/>
    <x v="2"/>
    <x v="0"/>
    <n v="466"/>
    <x v="2"/>
    <x v="1"/>
    <n v="95"/>
    <x v="1"/>
    <x v="0"/>
    <x v="3"/>
    <x v="1"/>
    <x v="0"/>
    <x v="337"/>
    <n v="10110"/>
    <n v="6"/>
    <s v="Y"/>
    <x v="0"/>
    <n v="15"/>
    <x v="0"/>
    <x v="1"/>
    <n v="80"/>
    <n v="0"/>
    <n v="8"/>
    <n v="3"/>
    <x v="1"/>
    <x v="8"/>
    <n v="4"/>
    <x v="1"/>
    <x v="3"/>
    <x v="0"/>
    <x v="2"/>
    <x v="0"/>
    <n v="0"/>
  </r>
  <r>
    <x v="40"/>
    <x v="1"/>
    <x v="1"/>
    <n v="1309"/>
    <x v="0"/>
    <n v="4"/>
    <x v="1"/>
    <x v="2"/>
    <x v="0"/>
    <n v="467"/>
    <x v="0"/>
    <x v="1"/>
    <n v="99"/>
    <x v="0"/>
    <x v="0"/>
    <x v="6"/>
    <x v="2"/>
    <x v="0"/>
    <x v="338"/>
    <n v="25751"/>
    <n v="3"/>
    <s v="Y"/>
    <x v="1"/>
    <n v="19"/>
    <x v="0"/>
    <x v="0"/>
    <n v="80"/>
    <n v="0"/>
    <n v="5"/>
    <n v="3"/>
    <x v="1"/>
    <x v="2"/>
    <n v="0"/>
    <x v="0"/>
    <x v="2"/>
    <x v="0"/>
    <x v="1"/>
    <x v="1"/>
    <n v="0"/>
  </r>
  <r>
    <x v="19"/>
    <x v="1"/>
    <x v="0"/>
    <n v="810"/>
    <x v="1"/>
    <n v="23"/>
    <x v="4"/>
    <x v="0"/>
    <x v="0"/>
    <n v="468"/>
    <x v="3"/>
    <x v="0"/>
    <n v="44"/>
    <x v="0"/>
    <x v="3"/>
    <x v="7"/>
    <x v="0"/>
    <x v="0"/>
    <x v="339"/>
    <n v="15901"/>
    <n v="2"/>
    <s v="Y"/>
    <x v="1"/>
    <n v="14"/>
    <x v="0"/>
    <x v="2"/>
    <n v="80"/>
    <n v="0"/>
    <n v="16"/>
    <n v="2"/>
    <x v="1"/>
    <x v="6"/>
    <n v="0"/>
    <x v="0"/>
    <x v="2"/>
    <x v="0"/>
    <x v="1"/>
    <x v="2"/>
    <n v="0"/>
  </r>
  <r>
    <x v="11"/>
    <x v="1"/>
    <x v="2"/>
    <n v="746"/>
    <x v="0"/>
    <n v="2"/>
    <x v="3"/>
    <x v="0"/>
    <x v="0"/>
    <n v="469"/>
    <x v="2"/>
    <x v="1"/>
    <n v="61"/>
    <x v="0"/>
    <x v="0"/>
    <x v="0"/>
    <x v="2"/>
    <x v="1"/>
    <x v="340"/>
    <n v="16928"/>
    <n v="1"/>
    <s v="Y"/>
    <x v="1"/>
    <n v="14"/>
    <x v="0"/>
    <x v="0"/>
    <n v="80"/>
    <n v="1"/>
    <n v="4"/>
    <n v="3"/>
    <x v="2"/>
    <x v="9"/>
    <n v="3"/>
    <x v="0"/>
    <x v="3"/>
    <x v="2"/>
    <x v="2"/>
    <x v="1"/>
    <n v="0"/>
  </r>
  <r>
    <x v="19"/>
    <x v="1"/>
    <x v="0"/>
    <n v="544"/>
    <x v="2"/>
    <n v="2"/>
    <x v="1"/>
    <x v="4"/>
    <x v="0"/>
    <n v="470"/>
    <x v="1"/>
    <x v="1"/>
    <n v="52"/>
    <x v="0"/>
    <x v="1"/>
    <x v="8"/>
    <x v="2"/>
    <x v="2"/>
    <x v="341"/>
    <n v="24017"/>
    <n v="0"/>
    <s v="Y"/>
    <x v="0"/>
    <n v="11"/>
    <x v="0"/>
    <x v="3"/>
    <n v="80"/>
    <n v="1"/>
    <n v="4"/>
    <n v="5"/>
    <x v="1"/>
    <x v="11"/>
    <n v="2"/>
    <x v="1"/>
    <x v="2"/>
    <x v="0"/>
    <x v="2"/>
    <x v="1"/>
    <n v="0"/>
  </r>
  <r>
    <x v="5"/>
    <x v="1"/>
    <x v="0"/>
    <n v="1062"/>
    <x v="1"/>
    <n v="2"/>
    <x v="3"/>
    <x v="2"/>
    <x v="0"/>
    <n v="471"/>
    <x v="1"/>
    <x v="0"/>
    <n v="75"/>
    <x v="0"/>
    <x v="1"/>
    <x v="2"/>
    <x v="1"/>
    <x v="1"/>
    <x v="342"/>
    <n v="3956"/>
    <n v="1"/>
    <s v="Y"/>
    <x v="1"/>
    <n v="13"/>
    <x v="0"/>
    <x v="3"/>
    <n v="80"/>
    <n v="1"/>
    <n v="8"/>
    <n v="4"/>
    <x v="1"/>
    <x v="3"/>
    <n v="0"/>
    <x v="0"/>
    <x v="1"/>
    <x v="1"/>
    <x v="0"/>
    <x v="1"/>
    <n v="0"/>
  </r>
  <r>
    <x v="26"/>
    <x v="1"/>
    <x v="0"/>
    <n v="530"/>
    <x v="0"/>
    <n v="29"/>
    <x v="1"/>
    <x v="2"/>
    <x v="0"/>
    <n v="473"/>
    <x v="3"/>
    <x v="0"/>
    <n v="91"/>
    <x v="0"/>
    <x v="2"/>
    <x v="5"/>
    <x v="2"/>
    <x v="1"/>
    <x v="343"/>
    <n v="23978"/>
    <n v="3"/>
    <s v="Y"/>
    <x v="1"/>
    <n v="21"/>
    <x v="1"/>
    <x v="2"/>
    <n v="80"/>
    <n v="1"/>
    <n v="15"/>
    <n v="3"/>
    <x v="0"/>
    <x v="2"/>
    <n v="0"/>
    <x v="0"/>
    <x v="2"/>
    <x v="0"/>
    <x v="1"/>
    <x v="3"/>
    <n v="0"/>
  </r>
  <r>
    <x v="2"/>
    <x v="1"/>
    <x v="0"/>
    <n v="1319"/>
    <x v="1"/>
    <n v="6"/>
    <x v="3"/>
    <x v="2"/>
    <x v="0"/>
    <n v="474"/>
    <x v="1"/>
    <x v="1"/>
    <n v="51"/>
    <x v="2"/>
    <x v="0"/>
    <x v="1"/>
    <x v="3"/>
    <x v="2"/>
    <x v="344"/>
    <n v="17001"/>
    <n v="4"/>
    <s v="Y"/>
    <x v="0"/>
    <n v="13"/>
    <x v="0"/>
    <x v="0"/>
    <n v="80"/>
    <n v="2"/>
    <n v="13"/>
    <n v="2"/>
    <x v="1"/>
    <x v="5"/>
    <n v="7"/>
    <x v="7"/>
    <x v="1"/>
    <x v="1"/>
    <x v="0"/>
    <x v="0"/>
    <n v="0"/>
  </r>
  <r>
    <x v="7"/>
    <x v="1"/>
    <x v="2"/>
    <n v="641"/>
    <x v="0"/>
    <n v="25"/>
    <x v="0"/>
    <x v="4"/>
    <x v="0"/>
    <n v="475"/>
    <x v="2"/>
    <x v="0"/>
    <n v="85"/>
    <x v="0"/>
    <x v="0"/>
    <x v="0"/>
    <x v="2"/>
    <x v="1"/>
    <x v="345"/>
    <n v="6069"/>
    <n v="7"/>
    <s v="Y"/>
    <x v="0"/>
    <n v="12"/>
    <x v="0"/>
    <x v="2"/>
    <n v="80"/>
    <n v="1"/>
    <n v="4"/>
    <n v="2"/>
    <x v="3"/>
    <x v="4"/>
    <n v="2"/>
    <x v="3"/>
    <x v="3"/>
    <x v="1"/>
    <x v="1"/>
    <x v="1"/>
    <n v="0"/>
  </r>
  <r>
    <x v="25"/>
    <x v="1"/>
    <x v="0"/>
    <n v="933"/>
    <x v="0"/>
    <n v="1"/>
    <x v="3"/>
    <x v="0"/>
    <x v="0"/>
    <n v="476"/>
    <x v="1"/>
    <x v="1"/>
    <n v="57"/>
    <x v="0"/>
    <x v="0"/>
    <x v="0"/>
    <x v="2"/>
    <x v="1"/>
    <x v="346"/>
    <n v="20156"/>
    <n v="1"/>
    <s v="Y"/>
    <x v="1"/>
    <n v="17"/>
    <x v="0"/>
    <x v="2"/>
    <n v="80"/>
    <n v="1"/>
    <n v="8"/>
    <n v="3"/>
    <x v="1"/>
    <x v="3"/>
    <n v="7"/>
    <x v="4"/>
    <x v="1"/>
    <x v="2"/>
    <x v="0"/>
    <x v="0"/>
    <n v="0"/>
  </r>
  <r>
    <x v="19"/>
    <x v="1"/>
    <x v="0"/>
    <n v="1332"/>
    <x v="1"/>
    <n v="2"/>
    <x v="2"/>
    <x v="1"/>
    <x v="0"/>
    <n v="477"/>
    <x v="3"/>
    <x v="1"/>
    <n v="98"/>
    <x v="1"/>
    <x v="0"/>
    <x v="4"/>
    <x v="0"/>
    <x v="0"/>
    <x v="347"/>
    <n v="17078"/>
    <n v="3"/>
    <s v="Y"/>
    <x v="1"/>
    <n v="23"/>
    <x v="1"/>
    <x v="2"/>
    <n v="80"/>
    <n v="0"/>
    <n v="14"/>
    <n v="6"/>
    <x v="1"/>
    <x v="6"/>
    <n v="0"/>
    <x v="0"/>
    <x v="2"/>
    <x v="0"/>
    <x v="1"/>
    <x v="0"/>
    <n v="0"/>
  </r>
  <r>
    <x v="18"/>
    <x v="0"/>
    <x v="1"/>
    <n v="756"/>
    <x v="0"/>
    <n v="1"/>
    <x v="1"/>
    <x v="4"/>
    <x v="0"/>
    <n v="478"/>
    <x v="3"/>
    <x v="0"/>
    <n v="99"/>
    <x v="1"/>
    <x v="1"/>
    <x v="6"/>
    <x v="1"/>
    <x v="0"/>
    <x v="348"/>
    <n v="9150"/>
    <n v="1"/>
    <s v="Y"/>
    <x v="0"/>
    <n v="11"/>
    <x v="0"/>
    <x v="3"/>
    <n v="80"/>
    <n v="0"/>
    <n v="3"/>
    <n v="3"/>
    <x v="1"/>
    <x v="11"/>
    <n v="2"/>
    <x v="1"/>
    <x v="3"/>
    <x v="2"/>
    <x v="2"/>
    <x v="1"/>
    <n v="1"/>
  </r>
  <r>
    <x v="9"/>
    <x v="1"/>
    <x v="2"/>
    <n v="845"/>
    <x v="0"/>
    <n v="1"/>
    <x v="4"/>
    <x v="2"/>
    <x v="0"/>
    <n v="479"/>
    <x v="2"/>
    <x v="0"/>
    <n v="45"/>
    <x v="0"/>
    <x v="0"/>
    <x v="0"/>
    <x v="0"/>
    <x v="0"/>
    <x v="349"/>
    <n v="15276"/>
    <n v="4"/>
    <s v="Y"/>
    <x v="1"/>
    <n v="15"/>
    <x v="0"/>
    <x v="2"/>
    <n v="80"/>
    <n v="0"/>
    <n v="7"/>
    <n v="6"/>
    <x v="1"/>
    <x v="6"/>
    <n v="0"/>
    <x v="0"/>
    <x v="2"/>
    <x v="1"/>
    <x v="1"/>
    <x v="0"/>
    <n v="0"/>
  </r>
  <r>
    <x v="9"/>
    <x v="1"/>
    <x v="1"/>
    <n v="541"/>
    <x v="0"/>
    <n v="3"/>
    <x v="2"/>
    <x v="2"/>
    <x v="0"/>
    <n v="481"/>
    <x v="3"/>
    <x v="1"/>
    <n v="48"/>
    <x v="1"/>
    <x v="2"/>
    <x v="0"/>
    <x v="0"/>
    <x v="1"/>
    <x v="350"/>
    <n v="7246"/>
    <n v="4"/>
    <s v="Y"/>
    <x v="1"/>
    <n v="11"/>
    <x v="0"/>
    <x v="0"/>
    <n v="80"/>
    <n v="1"/>
    <n v="16"/>
    <n v="2"/>
    <x v="1"/>
    <x v="20"/>
    <n v="9"/>
    <x v="1"/>
    <x v="11"/>
    <x v="1"/>
    <x v="3"/>
    <x v="0"/>
    <n v="0"/>
  </r>
  <r>
    <x v="38"/>
    <x v="1"/>
    <x v="0"/>
    <n v="593"/>
    <x v="1"/>
    <n v="1"/>
    <x v="2"/>
    <x v="2"/>
    <x v="0"/>
    <n v="482"/>
    <x v="2"/>
    <x v="1"/>
    <n v="88"/>
    <x v="0"/>
    <x v="0"/>
    <x v="4"/>
    <x v="2"/>
    <x v="1"/>
    <x v="351"/>
    <n v="2967"/>
    <n v="2"/>
    <s v="Y"/>
    <x v="1"/>
    <n v="11"/>
    <x v="0"/>
    <x v="3"/>
    <n v="80"/>
    <n v="0"/>
    <n v="15"/>
    <n v="2"/>
    <x v="1"/>
    <x v="11"/>
    <n v="2"/>
    <x v="1"/>
    <x v="3"/>
    <x v="3"/>
    <x v="2"/>
    <x v="0"/>
    <n v="0"/>
  </r>
  <r>
    <x v="32"/>
    <x v="1"/>
    <x v="0"/>
    <n v="1171"/>
    <x v="1"/>
    <n v="10"/>
    <x v="2"/>
    <x v="0"/>
    <x v="0"/>
    <n v="483"/>
    <x v="2"/>
    <x v="0"/>
    <n v="46"/>
    <x v="2"/>
    <x v="1"/>
    <x v="2"/>
    <x v="2"/>
    <x v="1"/>
    <x v="352"/>
    <n v="22495"/>
    <n v="3"/>
    <s v="Y"/>
    <x v="0"/>
    <n v="13"/>
    <x v="0"/>
    <x v="3"/>
    <n v="80"/>
    <n v="1"/>
    <n v="10"/>
    <n v="3"/>
    <x v="1"/>
    <x v="5"/>
    <n v="7"/>
    <x v="1"/>
    <x v="1"/>
    <x v="0"/>
    <x v="0"/>
    <x v="1"/>
    <n v="0"/>
  </r>
  <r>
    <x v="18"/>
    <x v="1"/>
    <x v="2"/>
    <n v="895"/>
    <x v="0"/>
    <n v="9"/>
    <x v="0"/>
    <x v="2"/>
    <x v="0"/>
    <n v="484"/>
    <x v="3"/>
    <x v="1"/>
    <n v="39"/>
    <x v="0"/>
    <x v="1"/>
    <x v="6"/>
    <x v="0"/>
    <x v="0"/>
    <x v="353"/>
    <n v="2851"/>
    <n v="1"/>
    <s v="Y"/>
    <x v="1"/>
    <n v="24"/>
    <x v="1"/>
    <x v="3"/>
    <n v="80"/>
    <n v="0"/>
    <n v="3"/>
    <n v="3"/>
    <x v="2"/>
    <x v="11"/>
    <n v="2"/>
    <x v="3"/>
    <x v="3"/>
    <x v="2"/>
    <x v="2"/>
    <x v="1"/>
    <n v="0"/>
  </r>
  <r>
    <x v="3"/>
    <x v="0"/>
    <x v="0"/>
    <n v="350"/>
    <x v="0"/>
    <n v="5"/>
    <x v="3"/>
    <x v="3"/>
    <x v="0"/>
    <n v="485"/>
    <x v="2"/>
    <x v="0"/>
    <n v="34"/>
    <x v="0"/>
    <x v="1"/>
    <x v="6"/>
    <x v="2"/>
    <x v="0"/>
    <x v="354"/>
    <n v="9150"/>
    <n v="1"/>
    <s v="Y"/>
    <x v="0"/>
    <n v="13"/>
    <x v="0"/>
    <x v="2"/>
    <n v="80"/>
    <n v="0"/>
    <n v="1"/>
    <n v="2"/>
    <x v="1"/>
    <x v="6"/>
    <n v="0"/>
    <x v="0"/>
    <x v="2"/>
    <x v="1"/>
    <x v="1"/>
    <x v="1"/>
    <n v="1"/>
  </r>
  <r>
    <x v="2"/>
    <x v="1"/>
    <x v="0"/>
    <n v="921"/>
    <x v="1"/>
    <n v="10"/>
    <x v="3"/>
    <x v="2"/>
    <x v="0"/>
    <n v="486"/>
    <x v="1"/>
    <x v="0"/>
    <n v="98"/>
    <x v="0"/>
    <x v="1"/>
    <x v="2"/>
    <x v="3"/>
    <x v="1"/>
    <x v="138"/>
    <n v="17663"/>
    <n v="6"/>
    <s v="Y"/>
    <x v="1"/>
    <n v="20"/>
    <x v="1"/>
    <x v="2"/>
    <n v="80"/>
    <n v="1"/>
    <n v="17"/>
    <n v="3"/>
    <x v="1"/>
    <x v="8"/>
    <n v="4"/>
    <x v="0"/>
    <x v="6"/>
    <x v="1"/>
    <x v="2"/>
    <x v="1"/>
    <n v="0"/>
  </r>
  <r>
    <x v="21"/>
    <x v="1"/>
    <x v="2"/>
    <n v="1144"/>
    <x v="1"/>
    <n v="7"/>
    <x v="2"/>
    <x v="2"/>
    <x v="0"/>
    <n v="487"/>
    <x v="1"/>
    <x v="0"/>
    <n v="30"/>
    <x v="0"/>
    <x v="0"/>
    <x v="3"/>
    <x v="2"/>
    <x v="1"/>
    <x v="355"/>
    <n v="16044"/>
    <n v="2"/>
    <s v="Y"/>
    <x v="1"/>
    <n v="14"/>
    <x v="0"/>
    <x v="3"/>
    <n v="80"/>
    <n v="0"/>
    <n v="7"/>
    <n v="2"/>
    <x v="3"/>
    <x v="6"/>
    <n v="0"/>
    <x v="0"/>
    <x v="2"/>
    <x v="0"/>
    <x v="1"/>
    <x v="0"/>
    <n v="0"/>
  </r>
  <r>
    <x v="0"/>
    <x v="0"/>
    <x v="1"/>
    <n v="143"/>
    <x v="0"/>
    <n v="4"/>
    <x v="3"/>
    <x v="3"/>
    <x v="0"/>
    <n v="488"/>
    <x v="3"/>
    <x v="1"/>
    <n v="56"/>
    <x v="0"/>
    <x v="0"/>
    <x v="0"/>
    <x v="1"/>
    <x v="0"/>
    <x v="356"/>
    <n v="9558"/>
    <n v="1"/>
    <s v="Y"/>
    <x v="1"/>
    <n v="18"/>
    <x v="0"/>
    <x v="3"/>
    <n v="80"/>
    <n v="0"/>
    <n v="8"/>
    <n v="5"/>
    <x v="1"/>
    <x v="3"/>
    <n v="7"/>
    <x v="4"/>
    <x v="1"/>
    <x v="0"/>
    <x v="0"/>
    <x v="0"/>
    <n v="1"/>
  </r>
  <r>
    <x v="24"/>
    <x v="1"/>
    <x v="0"/>
    <n v="1046"/>
    <x v="1"/>
    <n v="10"/>
    <x v="3"/>
    <x v="4"/>
    <x v="0"/>
    <n v="491"/>
    <x v="2"/>
    <x v="1"/>
    <n v="100"/>
    <x v="1"/>
    <x v="2"/>
    <x v="4"/>
    <x v="0"/>
    <x v="0"/>
    <x v="357"/>
    <n v="2755"/>
    <n v="6"/>
    <s v="Y"/>
    <x v="1"/>
    <n v="15"/>
    <x v="0"/>
    <x v="1"/>
    <n v="80"/>
    <n v="0"/>
    <n v="20"/>
    <n v="2"/>
    <x v="1"/>
    <x v="9"/>
    <n v="3"/>
    <x v="1"/>
    <x v="6"/>
    <x v="3"/>
    <x v="2"/>
    <x v="3"/>
    <n v="0"/>
  </r>
  <r>
    <x v="32"/>
    <x v="0"/>
    <x v="0"/>
    <n v="575"/>
    <x v="0"/>
    <n v="22"/>
    <x v="0"/>
    <x v="3"/>
    <x v="0"/>
    <n v="492"/>
    <x v="1"/>
    <x v="1"/>
    <n v="68"/>
    <x v="1"/>
    <x v="0"/>
    <x v="0"/>
    <x v="2"/>
    <x v="1"/>
    <x v="358"/>
    <n v="6110"/>
    <n v="2"/>
    <s v="Y"/>
    <x v="0"/>
    <n v="12"/>
    <x v="0"/>
    <x v="0"/>
    <n v="80"/>
    <n v="2"/>
    <n v="8"/>
    <n v="6"/>
    <x v="1"/>
    <x v="0"/>
    <n v="4"/>
    <x v="1"/>
    <x v="2"/>
    <x v="0"/>
    <x v="0"/>
    <x v="0"/>
    <n v="1"/>
  </r>
  <r>
    <x v="12"/>
    <x v="1"/>
    <x v="0"/>
    <n v="408"/>
    <x v="1"/>
    <n v="9"/>
    <x v="2"/>
    <x v="0"/>
    <x v="0"/>
    <n v="493"/>
    <x v="1"/>
    <x v="1"/>
    <n v="42"/>
    <x v="1"/>
    <x v="1"/>
    <x v="1"/>
    <x v="1"/>
    <x v="0"/>
    <x v="210"/>
    <n v="7551"/>
    <n v="0"/>
    <s v="Y"/>
    <x v="0"/>
    <n v="16"/>
    <x v="0"/>
    <x v="1"/>
    <n v="80"/>
    <n v="0"/>
    <n v="3"/>
    <n v="5"/>
    <x v="1"/>
    <x v="4"/>
    <n v="2"/>
    <x v="3"/>
    <x v="3"/>
    <x v="1"/>
    <x v="1"/>
    <x v="1"/>
    <n v="0"/>
  </r>
  <r>
    <x v="18"/>
    <x v="0"/>
    <x v="0"/>
    <n v="156"/>
    <x v="0"/>
    <n v="12"/>
    <x v="3"/>
    <x v="0"/>
    <x v="0"/>
    <n v="494"/>
    <x v="1"/>
    <x v="0"/>
    <n v="90"/>
    <x v="2"/>
    <x v="1"/>
    <x v="6"/>
    <x v="1"/>
    <x v="0"/>
    <x v="359"/>
    <n v="25422"/>
    <n v="1"/>
    <s v="Y"/>
    <x v="1"/>
    <n v="15"/>
    <x v="0"/>
    <x v="1"/>
    <n v="80"/>
    <n v="0"/>
    <n v="1"/>
    <n v="0"/>
    <x v="1"/>
    <x v="6"/>
    <n v="0"/>
    <x v="0"/>
    <x v="2"/>
    <x v="2"/>
    <x v="1"/>
    <x v="1"/>
    <n v="1"/>
  </r>
  <r>
    <x v="11"/>
    <x v="1"/>
    <x v="0"/>
    <n v="1283"/>
    <x v="1"/>
    <n v="23"/>
    <x v="3"/>
    <x v="0"/>
    <x v="0"/>
    <n v="495"/>
    <x v="2"/>
    <x v="1"/>
    <n v="54"/>
    <x v="0"/>
    <x v="1"/>
    <x v="1"/>
    <x v="0"/>
    <x v="0"/>
    <x v="360"/>
    <n v="18168"/>
    <n v="9"/>
    <s v="Y"/>
    <x v="1"/>
    <n v="16"/>
    <x v="0"/>
    <x v="1"/>
    <n v="80"/>
    <n v="0"/>
    <n v="6"/>
    <n v="4"/>
    <x v="1"/>
    <x v="11"/>
    <n v="2"/>
    <x v="1"/>
    <x v="3"/>
    <x v="2"/>
    <x v="2"/>
    <x v="1"/>
    <n v="0"/>
  </r>
  <r>
    <x v="10"/>
    <x v="1"/>
    <x v="0"/>
    <n v="755"/>
    <x v="1"/>
    <n v="9"/>
    <x v="2"/>
    <x v="0"/>
    <x v="0"/>
    <n v="496"/>
    <x v="1"/>
    <x v="1"/>
    <n v="97"/>
    <x v="1"/>
    <x v="0"/>
    <x v="4"/>
    <x v="1"/>
    <x v="0"/>
    <x v="361"/>
    <n v="19394"/>
    <n v="9"/>
    <s v="Y"/>
    <x v="1"/>
    <n v="19"/>
    <x v="0"/>
    <x v="3"/>
    <n v="80"/>
    <n v="0"/>
    <n v="10"/>
    <n v="5"/>
    <x v="1"/>
    <x v="6"/>
    <n v="1"/>
    <x v="0"/>
    <x v="2"/>
    <x v="1"/>
    <x v="1"/>
    <x v="0"/>
    <n v="0"/>
  </r>
  <r>
    <x v="4"/>
    <x v="1"/>
    <x v="0"/>
    <n v="1469"/>
    <x v="1"/>
    <n v="1"/>
    <x v="0"/>
    <x v="2"/>
    <x v="0"/>
    <n v="497"/>
    <x v="2"/>
    <x v="1"/>
    <n v="82"/>
    <x v="0"/>
    <x v="1"/>
    <x v="2"/>
    <x v="1"/>
    <x v="2"/>
    <x v="362"/>
    <n v="17881"/>
    <n v="1"/>
    <s v="Y"/>
    <x v="1"/>
    <n v="11"/>
    <x v="0"/>
    <x v="2"/>
    <n v="80"/>
    <n v="1"/>
    <n v="5"/>
    <n v="2"/>
    <x v="1"/>
    <x v="8"/>
    <n v="2"/>
    <x v="0"/>
    <x v="10"/>
    <x v="2"/>
    <x v="2"/>
    <x v="1"/>
    <n v="0"/>
  </r>
  <r>
    <x v="14"/>
    <x v="1"/>
    <x v="0"/>
    <n v="304"/>
    <x v="0"/>
    <n v="9"/>
    <x v="2"/>
    <x v="0"/>
    <x v="0"/>
    <n v="498"/>
    <x v="0"/>
    <x v="1"/>
    <n v="92"/>
    <x v="0"/>
    <x v="0"/>
    <x v="0"/>
    <x v="0"/>
    <x v="0"/>
    <x v="363"/>
    <n v="20750"/>
    <n v="1"/>
    <s v="Y"/>
    <x v="1"/>
    <n v="16"/>
    <x v="0"/>
    <x v="1"/>
    <n v="80"/>
    <n v="0"/>
    <n v="7"/>
    <n v="1"/>
    <x v="1"/>
    <x v="5"/>
    <n v="5"/>
    <x v="0"/>
    <x v="1"/>
    <x v="2"/>
    <x v="0"/>
    <x v="0"/>
    <n v="0"/>
  </r>
  <r>
    <x v="1"/>
    <x v="1"/>
    <x v="0"/>
    <n v="1261"/>
    <x v="1"/>
    <n v="7"/>
    <x v="3"/>
    <x v="1"/>
    <x v="0"/>
    <n v="499"/>
    <x v="0"/>
    <x v="1"/>
    <n v="31"/>
    <x v="1"/>
    <x v="2"/>
    <x v="4"/>
    <x v="2"/>
    <x v="0"/>
    <x v="364"/>
    <n v="12066"/>
    <n v="8"/>
    <s v="Y"/>
    <x v="1"/>
    <n v="24"/>
    <x v="1"/>
    <x v="3"/>
    <n v="80"/>
    <n v="0"/>
    <n v="26"/>
    <n v="2"/>
    <x v="1"/>
    <x v="8"/>
    <n v="2"/>
    <x v="0"/>
    <x v="2"/>
    <x v="0"/>
    <x v="2"/>
    <x v="3"/>
    <n v="0"/>
  </r>
  <r>
    <x v="31"/>
    <x v="1"/>
    <x v="0"/>
    <n v="1178"/>
    <x v="0"/>
    <n v="14"/>
    <x v="0"/>
    <x v="0"/>
    <x v="0"/>
    <n v="500"/>
    <x v="1"/>
    <x v="0"/>
    <n v="87"/>
    <x v="0"/>
    <x v="0"/>
    <x v="0"/>
    <x v="0"/>
    <x v="1"/>
    <x v="365"/>
    <n v="14862"/>
    <n v="4"/>
    <s v="Y"/>
    <x v="1"/>
    <n v="11"/>
    <x v="0"/>
    <x v="3"/>
    <n v="80"/>
    <n v="1"/>
    <n v="18"/>
    <n v="2"/>
    <x v="2"/>
    <x v="5"/>
    <n v="7"/>
    <x v="0"/>
    <x v="1"/>
    <x v="3"/>
    <x v="0"/>
    <x v="1"/>
    <n v="0"/>
  </r>
  <r>
    <x v="9"/>
    <x v="1"/>
    <x v="0"/>
    <n v="329"/>
    <x v="1"/>
    <n v="2"/>
    <x v="3"/>
    <x v="0"/>
    <x v="0"/>
    <n v="501"/>
    <x v="2"/>
    <x v="0"/>
    <n v="96"/>
    <x v="0"/>
    <x v="1"/>
    <x v="1"/>
    <x v="2"/>
    <x v="1"/>
    <x v="366"/>
    <n v="11868"/>
    <n v="4"/>
    <s v="Y"/>
    <x v="1"/>
    <n v="13"/>
    <x v="0"/>
    <x v="2"/>
    <n v="80"/>
    <n v="1"/>
    <n v="6"/>
    <n v="3"/>
    <x v="1"/>
    <x v="4"/>
    <n v="2"/>
    <x v="3"/>
    <x v="3"/>
    <x v="1"/>
    <x v="1"/>
    <x v="1"/>
    <n v="0"/>
  </r>
  <r>
    <x v="13"/>
    <x v="0"/>
    <x v="2"/>
    <n v="1362"/>
    <x v="0"/>
    <n v="19"/>
    <x v="3"/>
    <x v="3"/>
    <x v="0"/>
    <n v="502"/>
    <x v="3"/>
    <x v="1"/>
    <n v="67"/>
    <x v="2"/>
    <x v="0"/>
    <x v="0"/>
    <x v="0"/>
    <x v="0"/>
    <x v="367"/>
    <n v="4652"/>
    <n v="8"/>
    <s v="Y"/>
    <x v="0"/>
    <n v="13"/>
    <x v="0"/>
    <x v="2"/>
    <n v="80"/>
    <n v="0"/>
    <n v="9"/>
    <n v="3"/>
    <x v="2"/>
    <x v="8"/>
    <n v="2"/>
    <x v="0"/>
    <x v="10"/>
    <x v="1"/>
    <x v="2"/>
    <x v="0"/>
    <n v="1"/>
  </r>
  <r>
    <x v="27"/>
    <x v="1"/>
    <x v="0"/>
    <n v="1311"/>
    <x v="1"/>
    <n v="2"/>
    <x v="3"/>
    <x v="0"/>
    <x v="0"/>
    <n v="505"/>
    <x v="1"/>
    <x v="0"/>
    <n v="97"/>
    <x v="0"/>
    <x v="3"/>
    <x v="5"/>
    <x v="0"/>
    <x v="0"/>
    <x v="368"/>
    <n v="23258"/>
    <n v="2"/>
    <s v="Y"/>
    <x v="0"/>
    <n v="13"/>
    <x v="0"/>
    <x v="3"/>
    <n v="80"/>
    <n v="0"/>
    <n v="30"/>
    <n v="2"/>
    <x v="1"/>
    <x v="8"/>
    <n v="4"/>
    <x v="1"/>
    <x v="3"/>
    <x v="3"/>
    <x v="2"/>
    <x v="2"/>
    <n v="0"/>
  </r>
  <r>
    <x v="17"/>
    <x v="1"/>
    <x v="0"/>
    <n v="1371"/>
    <x v="0"/>
    <n v="10"/>
    <x v="2"/>
    <x v="3"/>
    <x v="0"/>
    <n v="507"/>
    <x v="2"/>
    <x v="0"/>
    <n v="77"/>
    <x v="0"/>
    <x v="0"/>
    <x v="0"/>
    <x v="2"/>
    <x v="2"/>
    <x v="369"/>
    <n v="5915"/>
    <n v="1"/>
    <s v="Y"/>
    <x v="0"/>
    <n v="12"/>
    <x v="0"/>
    <x v="1"/>
    <n v="80"/>
    <n v="1"/>
    <n v="5"/>
    <n v="2"/>
    <x v="3"/>
    <x v="8"/>
    <n v="2"/>
    <x v="0"/>
    <x v="6"/>
    <x v="2"/>
    <x v="2"/>
    <x v="1"/>
    <n v="0"/>
  </r>
  <r>
    <x v="7"/>
    <x v="1"/>
    <x v="0"/>
    <n v="202"/>
    <x v="0"/>
    <n v="2"/>
    <x v="1"/>
    <x v="4"/>
    <x v="0"/>
    <n v="508"/>
    <x v="1"/>
    <x v="1"/>
    <n v="72"/>
    <x v="0"/>
    <x v="1"/>
    <x v="6"/>
    <x v="1"/>
    <x v="1"/>
    <x v="370"/>
    <n v="17434"/>
    <n v="1"/>
    <s v="Y"/>
    <x v="1"/>
    <n v="18"/>
    <x v="0"/>
    <x v="0"/>
    <n v="80"/>
    <n v="1"/>
    <n v="1"/>
    <n v="3"/>
    <x v="1"/>
    <x v="6"/>
    <n v="0"/>
    <x v="0"/>
    <x v="2"/>
    <x v="1"/>
    <x v="1"/>
    <x v="1"/>
    <n v="0"/>
  </r>
  <r>
    <x v="25"/>
    <x v="0"/>
    <x v="1"/>
    <n v="575"/>
    <x v="1"/>
    <n v="3"/>
    <x v="1"/>
    <x v="4"/>
    <x v="0"/>
    <n v="510"/>
    <x v="1"/>
    <x v="1"/>
    <n v="73"/>
    <x v="0"/>
    <x v="1"/>
    <x v="1"/>
    <x v="3"/>
    <x v="0"/>
    <x v="371"/>
    <n v="6582"/>
    <n v="0"/>
    <s v="Y"/>
    <x v="1"/>
    <n v="22"/>
    <x v="1"/>
    <x v="3"/>
    <n v="80"/>
    <n v="0"/>
    <n v="7"/>
    <n v="2"/>
    <x v="1"/>
    <x v="0"/>
    <n v="4"/>
    <x v="0"/>
    <x v="10"/>
    <x v="2"/>
    <x v="0"/>
    <x v="1"/>
    <n v="1"/>
  </r>
  <r>
    <x v="15"/>
    <x v="1"/>
    <x v="0"/>
    <n v="253"/>
    <x v="1"/>
    <n v="11"/>
    <x v="3"/>
    <x v="2"/>
    <x v="0"/>
    <n v="511"/>
    <x v="3"/>
    <x v="0"/>
    <n v="43"/>
    <x v="0"/>
    <x v="1"/>
    <x v="1"/>
    <x v="1"/>
    <x v="1"/>
    <x v="372"/>
    <n v="24440"/>
    <n v="1"/>
    <s v="Y"/>
    <x v="1"/>
    <n v="13"/>
    <x v="0"/>
    <x v="1"/>
    <n v="80"/>
    <n v="1"/>
    <n v="2"/>
    <n v="1"/>
    <x v="1"/>
    <x v="4"/>
    <n v="1"/>
    <x v="1"/>
    <x v="3"/>
    <x v="2"/>
    <x v="1"/>
    <x v="1"/>
    <n v="0"/>
  </r>
  <r>
    <x v="9"/>
    <x v="1"/>
    <x v="0"/>
    <n v="164"/>
    <x v="0"/>
    <n v="2"/>
    <x v="0"/>
    <x v="2"/>
    <x v="0"/>
    <n v="513"/>
    <x v="0"/>
    <x v="1"/>
    <n v="61"/>
    <x v="1"/>
    <x v="2"/>
    <x v="0"/>
    <x v="2"/>
    <x v="1"/>
    <x v="373"/>
    <n v="3809"/>
    <n v="1"/>
    <s v="Y"/>
    <x v="1"/>
    <n v="13"/>
    <x v="0"/>
    <x v="2"/>
    <n v="80"/>
    <n v="2"/>
    <n v="10"/>
    <n v="2"/>
    <x v="1"/>
    <x v="1"/>
    <n v="9"/>
    <x v="10"/>
    <x v="2"/>
    <x v="1"/>
    <x v="0"/>
    <x v="0"/>
    <n v="0"/>
  </r>
  <r>
    <x v="7"/>
    <x v="0"/>
    <x v="1"/>
    <n v="464"/>
    <x v="1"/>
    <n v="4"/>
    <x v="3"/>
    <x v="4"/>
    <x v="0"/>
    <n v="514"/>
    <x v="1"/>
    <x v="1"/>
    <n v="40"/>
    <x v="0"/>
    <x v="1"/>
    <x v="1"/>
    <x v="0"/>
    <x v="0"/>
    <x v="374"/>
    <n v="3427"/>
    <n v="9"/>
    <s v="Y"/>
    <x v="0"/>
    <n v="23"/>
    <x v="1"/>
    <x v="3"/>
    <n v="80"/>
    <n v="0"/>
    <n v="3"/>
    <n v="4"/>
    <x v="1"/>
    <x v="6"/>
    <n v="0"/>
    <x v="0"/>
    <x v="2"/>
    <x v="1"/>
    <x v="1"/>
    <x v="1"/>
    <n v="1"/>
  </r>
  <r>
    <x v="2"/>
    <x v="1"/>
    <x v="0"/>
    <n v="1107"/>
    <x v="1"/>
    <n v="14"/>
    <x v="3"/>
    <x v="0"/>
    <x v="0"/>
    <n v="515"/>
    <x v="2"/>
    <x v="0"/>
    <n v="95"/>
    <x v="0"/>
    <x v="1"/>
    <x v="2"/>
    <x v="3"/>
    <x v="2"/>
    <x v="375"/>
    <n v="26914"/>
    <n v="1"/>
    <s v="Y"/>
    <x v="1"/>
    <n v="12"/>
    <x v="0"/>
    <x v="3"/>
    <n v="80"/>
    <n v="1"/>
    <n v="18"/>
    <n v="2"/>
    <x v="2"/>
    <x v="29"/>
    <n v="7"/>
    <x v="12"/>
    <x v="8"/>
    <x v="1"/>
    <x v="3"/>
    <x v="1"/>
    <n v="0"/>
  </r>
  <r>
    <x v="32"/>
    <x v="1"/>
    <x v="0"/>
    <n v="759"/>
    <x v="0"/>
    <n v="2"/>
    <x v="0"/>
    <x v="3"/>
    <x v="0"/>
    <n v="516"/>
    <x v="2"/>
    <x v="0"/>
    <n v="46"/>
    <x v="0"/>
    <x v="0"/>
    <x v="0"/>
    <x v="1"/>
    <x v="2"/>
    <x v="376"/>
    <n v="22553"/>
    <n v="7"/>
    <s v="Y"/>
    <x v="1"/>
    <n v="12"/>
    <x v="0"/>
    <x v="3"/>
    <n v="80"/>
    <n v="2"/>
    <n v="8"/>
    <n v="5"/>
    <x v="1"/>
    <x v="8"/>
    <n v="4"/>
    <x v="1"/>
    <x v="6"/>
    <x v="0"/>
    <x v="2"/>
    <x v="0"/>
    <n v="0"/>
  </r>
  <r>
    <x v="19"/>
    <x v="1"/>
    <x v="0"/>
    <n v="201"/>
    <x v="1"/>
    <n v="1"/>
    <x v="2"/>
    <x v="0"/>
    <x v="0"/>
    <n v="517"/>
    <x v="0"/>
    <x v="0"/>
    <n v="95"/>
    <x v="0"/>
    <x v="1"/>
    <x v="2"/>
    <x v="3"/>
    <x v="2"/>
    <x v="377"/>
    <n v="20490"/>
    <n v="3"/>
    <s v="Y"/>
    <x v="1"/>
    <n v="16"/>
    <x v="0"/>
    <x v="2"/>
    <n v="80"/>
    <n v="1"/>
    <n v="8"/>
    <n v="5"/>
    <x v="1"/>
    <x v="8"/>
    <n v="2"/>
    <x v="1"/>
    <x v="3"/>
    <x v="0"/>
    <x v="2"/>
    <x v="1"/>
    <n v="0"/>
  </r>
  <r>
    <x v="2"/>
    <x v="1"/>
    <x v="0"/>
    <n v="1305"/>
    <x v="1"/>
    <n v="10"/>
    <x v="2"/>
    <x v="0"/>
    <x v="0"/>
    <n v="518"/>
    <x v="1"/>
    <x v="1"/>
    <n v="49"/>
    <x v="0"/>
    <x v="0"/>
    <x v="3"/>
    <x v="1"/>
    <x v="0"/>
    <x v="378"/>
    <n v="21123"/>
    <n v="2"/>
    <s v="Y"/>
    <x v="0"/>
    <n v="12"/>
    <x v="0"/>
    <x v="1"/>
    <n v="80"/>
    <n v="0"/>
    <n v="18"/>
    <n v="2"/>
    <x v="2"/>
    <x v="6"/>
    <n v="0"/>
    <x v="0"/>
    <x v="9"/>
    <x v="1"/>
    <x v="1"/>
    <x v="1"/>
    <n v="0"/>
  </r>
  <r>
    <x v="23"/>
    <x v="1"/>
    <x v="0"/>
    <n v="982"/>
    <x v="1"/>
    <n v="12"/>
    <x v="3"/>
    <x v="0"/>
    <x v="0"/>
    <n v="520"/>
    <x v="3"/>
    <x v="1"/>
    <n v="59"/>
    <x v="1"/>
    <x v="3"/>
    <x v="7"/>
    <x v="1"/>
    <x v="2"/>
    <x v="379"/>
    <n v="4345"/>
    <n v="1"/>
    <s v="Y"/>
    <x v="1"/>
    <n v="11"/>
    <x v="0"/>
    <x v="3"/>
    <n v="80"/>
    <n v="1"/>
    <n v="25"/>
    <n v="3"/>
    <x v="1"/>
    <x v="10"/>
    <n v="10"/>
    <x v="2"/>
    <x v="12"/>
    <x v="0"/>
    <x v="3"/>
    <x v="3"/>
    <n v="0"/>
  </r>
  <r>
    <x v="32"/>
    <x v="1"/>
    <x v="0"/>
    <n v="555"/>
    <x v="1"/>
    <n v="2"/>
    <x v="3"/>
    <x v="2"/>
    <x v="0"/>
    <n v="521"/>
    <x v="0"/>
    <x v="0"/>
    <n v="78"/>
    <x v="1"/>
    <x v="0"/>
    <x v="2"/>
    <x v="2"/>
    <x v="1"/>
    <x v="380"/>
    <n v="13436"/>
    <n v="6"/>
    <s v="Y"/>
    <x v="1"/>
    <n v="22"/>
    <x v="1"/>
    <x v="2"/>
    <n v="80"/>
    <n v="1"/>
    <n v="20"/>
    <n v="3"/>
    <x v="1"/>
    <x v="6"/>
    <n v="0"/>
    <x v="0"/>
    <x v="2"/>
    <x v="0"/>
    <x v="1"/>
    <x v="1"/>
    <n v="0"/>
  </r>
  <r>
    <x v="33"/>
    <x v="1"/>
    <x v="0"/>
    <n v="821"/>
    <x v="1"/>
    <n v="5"/>
    <x v="0"/>
    <x v="2"/>
    <x v="0"/>
    <n v="522"/>
    <x v="3"/>
    <x v="1"/>
    <n v="86"/>
    <x v="0"/>
    <x v="4"/>
    <x v="7"/>
    <x v="3"/>
    <x v="1"/>
    <x v="381"/>
    <n v="8509"/>
    <n v="4"/>
    <s v="Y"/>
    <x v="1"/>
    <n v="11"/>
    <x v="0"/>
    <x v="3"/>
    <n v="80"/>
    <n v="1"/>
    <n v="24"/>
    <n v="4"/>
    <x v="2"/>
    <x v="9"/>
    <n v="2"/>
    <x v="1"/>
    <x v="3"/>
    <x v="3"/>
    <x v="2"/>
    <x v="2"/>
    <n v="0"/>
  </r>
  <r>
    <x v="13"/>
    <x v="1"/>
    <x v="2"/>
    <n v="1381"/>
    <x v="0"/>
    <n v="4"/>
    <x v="2"/>
    <x v="3"/>
    <x v="0"/>
    <n v="523"/>
    <x v="1"/>
    <x v="0"/>
    <n v="72"/>
    <x v="0"/>
    <x v="0"/>
    <x v="0"/>
    <x v="2"/>
    <x v="1"/>
    <x v="382"/>
    <n v="12740"/>
    <n v="9"/>
    <s v="Y"/>
    <x v="1"/>
    <n v="15"/>
    <x v="0"/>
    <x v="0"/>
    <n v="80"/>
    <n v="1"/>
    <n v="6"/>
    <n v="3"/>
    <x v="1"/>
    <x v="11"/>
    <n v="2"/>
    <x v="1"/>
    <x v="3"/>
    <x v="1"/>
    <x v="2"/>
    <x v="0"/>
    <n v="0"/>
  </r>
  <r>
    <x v="12"/>
    <x v="1"/>
    <x v="0"/>
    <n v="480"/>
    <x v="1"/>
    <n v="7"/>
    <x v="0"/>
    <x v="2"/>
    <x v="0"/>
    <n v="524"/>
    <x v="0"/>
    <x v="0"/>
    <n v="31"/>
    <x v="0"/>
    <x v="0"/>
    <x v="3"/>
    <x v="3"/>
    <x v="1"/>
    <x v="383"/>
    <n v="4156"/>
    <n v="1"/>
    <s v="Y"/>
    <x v="1"/>
    <n v="12"/>
    <x v="0"/>
    <x v="2"/>
    <n v="80"/>
    <n v="1"/>
    <n v="13"/>
    <n v="5"/>
    <x v="0"/>
    <x v="20"/>
    <n v="10"/>
    <x v="2"/>
    <x v="11"/>
    <x v="1"/>
    <x v="3"/>
    <x v="1"/>
    <n v="0"/>
  </r>
  <r>
    <x v="23"/>
    <x v="1"/>
    <x v="1"/>
    <n v="313"/>
    <x v="1"/>
    <n v="21"/>
    <x v="3"/>
    <x v="2"/>
    <x v="0"/>
    <n v="525"/>
    <x v="2"/>
    <x v="1"/>
    <n v="61"/>
    <x v="0"/>
    <x v="1"/>
    <x v="2"/>
    <x v="0"/>
    <x v="1"/>
    <x v="384"/>
    <n v="15238"/>
    <n v="7"/>
    <s v="Y"/>
    <x v="1"/>
    <n v="20"/>
    <x v="1"/>
    <x v="0"/>
    <n v="80"/>
    <n v="1"/>
    <n v="8"/>
    <n v="1"/>
    <x v="1"/>
    <x v="11"/>
    <n v="2"/>
    <x v="1"/>
    <x v="3"/>
    <x v="0"/>
    <x v="2"/>
    <x v="1"/>
    <n v="0"/>
  </r>
  <r>
    <x v="23"/>
    <x v="1"/>
    <x v="0"/>
    <n v="1473"/>
    <x v="1"/>
    <n v="8"/>
    <x v="2"/>
    <x v="1"/>
    <x v="0"/>
    <n v="526"/>
    <x v="1"/>
    <x v="0"/>
    <n v="74"/>
    <x v="0"/>
    <x v="0"/>
    <x v="4"/>
    <x v="2"/>
    <x v="2"/>
    <x v="385"/>
    <n v="2227"/>
    <n v="4"/>
    <s v="Y"/>
    <x v="0"/>
    <n v="14"/>
    <x v="0"/>
    <x v="1"/>
    <n v="80"/>
    <n v="0"/>
    <n v="8"/>
    <n v="3"/>
    <x v="1"/>
    <x v="8"/>
    <n v="2"/>
    <x v="0"/>
    <x v="3"/>
    <x v="0"/>
    <x v="2"/>
    <x v="1"/>
    <n v="0"/>
  </r>
  <r>
    <x v="36"/>
    <x v="1"/>
    <x v="0"/>
    <n v="891"/>
    <x v="0"/>
    <n v="4"/>
    <x v="0"/>
    <x v="0"/>
    <x v="0"/>
    <n v="527"/>
    <x v="0"/>
    <x v="0"/>
    <n v="99"/>
    <x v="1"/>
    <x v="0"/>
    <x v="0"/>
    <x v="0"/>
    <x v="0"/>
    <x v="386"/>
    <n v="12090"/>
    <n v="1"/>
    <s v="Y"/>
    <x v="0"/>
    <n v="11"/>
    <x v="0"/>
    <x v="2"/>
    <n v="80"/>
    <n v="0"/>
    <n v="5"/>
    <n v="3"/>
    <x v="1"/>
    <x v="8"/>
    <n v="4"/>
    <x v="1"/>
    <x v="6"/>
    <x v="2"/>
    <x v="2"/>
    <x v="1"/>
    <n v="0"/>
  </r>
  <r>
    <x v="2"/>
    <x v="1"/>
    <x v="2"/>
    <n v="1063"/>
    <x v="1"/>
    <n v="25"/>
    <x v="4"/>
    <x v="2"/>
    <x v="0"/>
    <n v="529"/>
    <x v="0"/>
    <x v="0"/>
    <n v="72"/>
    <x v="0"/>
    <x v="0"/>
    <x v="1"/>
    <x v="2"/>
    <x v="1"/>
    <x v="387"/>
    <n v="23866"/>
    <n v="3"/>
    <s v="Y"/>
    <x v="0"/>
    <n v="15"/>
    <x v="0"/>
    <x v="0"/>
    <n v="80"/>
    <n v="2"/>
    <n v="15"/>
    <n v="2"/>
    <x v="1"/>
    <x v="20"/>
    <n v="11"/>
    <x v="13"/>
    <x v="1"/>
    <x v="1"/>
    <x v="3"/>
    <x v="1"/>
    <n v="0"/>
  </r>
  <r>
    <x v="12"/>
    <x v="1"/>
    <x v="0"/>
    <n v="329"/>
    <x v="1"/>
    <n v="1"/>
    <x v="0"/>
    <x v="0"/>
    <x v="0"/>
    <n v="530"/>
    <x v="2"/>
    <x v="1"/>
    <n v="98"/>
    <x v="1"/>
    <x v="1"/>
    <x v="2"/>
    <x v="3"/>
    <x v="1"/>
    <x v="388"/>
    <n v="16193"/>
    <n v="1"/>
    <s v="Y"/>
    <x v="1"/>
    <n v="12"/>
    <x v="0"/>
    <x v="3"/>
    <n v="80"/>
    <n v="1"/>
    <n v="4"/>
    <n v="3"/>
    <x v="1"/>
    <x v="9"/>
    <n v="2"/>
    <x v="2"/>
    <x v="3"/>
    <x v="1"/>
    <x v="2"/>
    <x v="1"/>
    <n v="0"/>
  </r>
  <r>
    <x v="22"/>
    <x v="1"/>
    <x v="1"/>
    <n v="1218"/>
    <x v="1"/>
    <n v="1"/>
    <x v="1"/>
    <x v="0"/>
    <x v="0"/>
    <n v="531"/>
    <x v="0"/>
    <x v="1"/>
    <n v="52"/>
    <x v="0"/>
    <x v="4"/>
    <x v="5"/>
    <x v="2"/>
    <x v="2"/>
    <x v="389"/>
    <n v="8213"/>
    <n v="1"/>
    <s v="Y"/>
    <x v="0"/>
    <n v="14"/>
    <x v="0"/>
    <x v="3"/>
    <n v="80"/>
    <n v="1"/>
    <n v="21"/>
    <n v="3"/>
    <x v="1"/>
    <x v="17"/>
    <n v="8"/>
    <x v="1"/>
    <x v="4"/>
    <x v="1"/>
    <x v="3"/>
    <x v="2"/>
    <n v="0"/>
  </r>
  <r>
    <x v="29"/>
    <x v="1"/>
    <x v="1"/>
    <n v="906"/>
    <x v="0"/>
    <n v="6"/>
    <x v="3"/>
    <x v="0"/>
    <x v="0"/>
    <n v="532"/>
    <x v="1"/>
    <x v="0"/>
    <n v="86"/>
    <x v="2"/>
    <x v="3"/>
    <x v="0"/>
    <x v="3"/>
    <x v="1"/>
    <x v="390"/>
    <n v="18256"/>
    <n v="9"/>
    <s v="Y"/>
    <x v="1"/>
    <n v="11"/>
    <x v="0"/>
    <x v="1"/>
    <n v="80"/>
    <n v="3"/>
    <n v="36"/>
    <n v="0"/>
    <x v="2"/>
    <x v="5"/>
    <n v="7"/>
    <x v="4"/>
    <x v="1"/>
    <x v="3"/>
    <x v="0"/>
    <x v="3"/>
    <n v="0"/>
  </r>
  <r>
    <x v="7"/>
    <x v="1"/>
    <x v="0"/>
    <n v="1082"/>
    <x v="0"/>
    <n v="12"/>
    <x v="3"/>
    <x v="4"/>
    <x v="0"/>
    <n v="533"/>
    <x v="0"/>
    <x v="0"/>
    <n v="83"/>
    <x v="0"/>
    <x v="0"/>
    <x v="0"/>
    <x v="2"/>
    <x v="0"/>
    <x v="391"/>
    <n v="19558"/>
    <n v="0"/>
    <s v="Y"/>
    <x v="1"/>
    <n v="11"/>
    <x v="0"/>
    <x v="2"/>
    <n v="80"/>
    <n v="0"/>
    <n v="6"/>
    <n v="6"/>
    <x v="1"/>
    <x v="8"/>
    <n v="4"/>
    <x v="5"/>
    <x v="10"/>
    <x v="1"/>
    <x v="2"/>
    <x v="0"/>
    <n v="0"/>
  </r>
  <r>
    <x v="0"/>
    <x v="1"/>
    <x v="0"/>
    <n v="645"/>
    <x v="0"/>
    <n v="1"/>
    <x v="3"/>
    <x v="3"/>
    <x v="0"/>
    <n v="534"/>
    <x v="0"/>
    <x v="1"/>
    <n v="49"/>
    <x v="2"/>
    <x v="2"/>
    <x v="0"/>
    <x v="3"/>
    <x v="1"/>
    <x v="392"/>
    <n v="19566"/>
    <n v="1"/>
    <s v="Y"/>
    <x v="1"/>
    <n v="16"/>
    <x v="0"/>
    <x v="3"/>
    <n v="80"/>
    <n v="1"/>
    <n v="10"/>
    <n v="2"/>
    <x v="1"/>
    <x v="1"/>
    <n v="7"/>
    <x v="0"/>
    <x v="1"/>
    <x v="0"/>
    <x v="0"/>
    <x v="0"/>
    <n v="0"/>
  </r>
  <r>
    <x v="14"/>
    <x v="1"/>
    <x v="0"/>
    <n v="1300"/>
    <x v="1"/>
    <n v="17"/>
    <x v="0"/>
    <x v="2"/>
    <x v="0"/>
    <n v="536"/>
    <x v="1"/>
    <x v="1"/>
    <n v="79"/>
    <x v="0"/>
    <x v="0"/>
    <x v="2"/>
    <x v="3"/>
    <x v="2"/>
    <x v="393"/>
    <n v="13535"/>
    <n v="1"/>
    <s v="Y"/>
    <x v="1"/>
    <n v="12"/>
    <x v="0"/>
    <x v="1"/>
    <n v="80"/>
    <n v="1"/>
    <n v="10"/>
    <n v="2"/>
    <x v="1"/>
    <x v="1"/>
    <n v="0"/>
    <x v="1"/>
    <x v="5"/>
    <x v="2"/>
    <x v="0"/>
    <x v="1"/>
    <n v="0"/>
  </r>
  <r>
    <x v="36"/>
    <x v="0"/>
    <x v="0"/>
    <n v="688"/>
    <x v="1"/>
    <n v="3"/>
    <x v="3"/>
    <x v="2"/>
    <x v="0"/>
    <n v="538"/>
    <x v="3"/>
    <x v="1"/>
    <n v="91"/>
    <x v="0"/>
    <x v="1"/>
    <x v="2"/>
    <x v="3"/>
    <x v="1"/>
    <x v="394"/>
    <n v="9396"/>
    <n v="5"/>
    <s v="Y"/>
    <x v="1"/>
    <n v="13"/>
    <x v="0"/>
    <x v="3"/>
    <n v="80"/>
    <n v="1"/>
    <n v="6"/>
    <n v="5"/>
    <x v="1"/>
    <x v="4"/>
    <n v="2"/>
    <x v="0"/>
    <x v="3"/>
    <x v="2"/>
    <x v="1"/>
    <x v="1"/>
    <n v="1"/>
  </r>
  <r>
    <x v="39"/>
    <x v="1"/>
    <x v="0"/>
    <n v="319"/>
    <x v="1"/>
    <n v="3"/>
    <x v="3"/>
    <x v="2"/>
    <x v="0"/>
    <n v="543"/>
    <x v="2"/>
    <x v="1"/>
    <n v="39"/>
    <x v="1"/>
    <x v="2"/>
    <x v="3"/>
    <x v="2"/>
    <x v="1"/>
    <x v="395"/>
    <n v="19609"/>
    <n v="2"/>
    <s v="Y"/>
    <x v="0"/>
    <n v="14"/>
    <x v="0"/>
    <x v="3"/>
    <n v="80"/>
    <n v="0"/>
    <n v="28"/>
    <n v="4"/>
    <x v="1"/>
    <x v="8"/>
    <n v="4"/>
    <x v="0"/>
    <x v="10"/>
    <x v="3"/>
    <x v="2"/>
    <x v="0"/>
    <n v="0"/>
  </r>
  <r>
    <x v="28"/>
    <x v="1"/>
    <x v="0"/>
    <n v="192"/>
    <x v="1"/>
    <n v="10"/>
    <x v="0"/>
    <x v="0"/>
    <x v="0"/>
    <n v="544"/>
    <x v="3"/>
    <x v="1"/>
    <n v="69"/>
    <x v="0"/>
    <x v="1"/>
    <x v="1"/>
    <x v="0"/>
    <x v="1"/>
    <x v="396"/>
    <n v="9655"/>
    <n v="3"/>
    <s v="Y"/>
    <x v="1"/>
    <n v="21"/>
    <x v="1"/>
    <x v="1"/>
    <n v="80"/>
    <n v="2"/>
    <n v="8"/>
    <n v="3"/>
    <x v="2"/>
    <x v="4"/>
    <n v="2"/>
    <x v="0"/>
    <x v="3"/>
    <x v="0"/>
    <x v="1"/>
    <x v="1"/>
    <n v="0"/>
  </r>
  <r>
    <x v="39"/>
    <x v="1"/>
    <x v="0"/>
    <n v="1490"/>
    <x v="1"/>
    <n v="4"/>
    <x v="0"/>
    <x v="0"/>
    <x v="0"/>
    <n v="546"/>
    <x v="2"/>
    <x v="0"/>
    <n v="30"/>
    <x v="0"/>
    <x v="3"/>
    <x v="5"/>
    <x v="0"/>
    <x v="1"/>
    <x v="397"/>
    <n v="10310"/>
    <n v="2"/>
    <s v="Y"/>
    <x v="1"/>
    <n v="13"/>
    <x v="0"/>
    <x v="1"/>
    <n v="80"/>
    <n v="0"/>
    <n v="31"/>
    <n v="2"/>
    <x v="0"/>
    <x v="8"/>
    <n v="2"/>
    <x v="1"/>
    <x v="10"/>
    <x v="3"/>
    <x v="2"/>
    <x v="2"/>
    <n v="0"/>
  </r>
  <r>
    <x v="19"/>
    <x v="1"/>
    <x v="1"/>
    <n v="532"/>
    <x v="1"/>
    <n v="29"/>
    <x v="0"/>
    <x v="0"/>
    <x v="0"/>
    <n v="547"/>
    <x v="3"/>
    <x v="0"/>
    <n v="92"/>
    <x v="0"/>
    <x v="0"/>
    <x v="1"/>
    <x v="2"/>
    <x v="2"/>
    <x v="398"/>
    <n v="12932"/>
    <n v="2"/>
    <s v="Y"/>
    <x v="1"/>
    <n v="11"/>
    <x v="0"/>
    <x v="2"/>
    <n v="80"/>
    <n v="1"/>
    <n v="19"/>
    <n v="3"/>
    <x v="1"/>
    <x v="8"/>
    <n v="4"/>
    <x v="0"/>
    <x v="3"/>
    <x v="0"/>
    <x v="2"/>
    <x v="1"/>
    <n v="0"/>
  </r>
  <r>
    <x v="7"/>
    <x v="1"/>
    <x v="0"/>
    <n v="317"/>
    <x v="1"/>
    <n v="2"/>
    <x v="3"/>
    <x v="0"/>
    <x v="0"/>
    <n v="548"/>
    <x v="1"/>
    <x v="0"/>
    <n v="43"/>
    <x v="3"/>
    <x v="0"/>
    <x v="3"/>
    <x v="0"/>
    <x v="0"/>
    <x v="399"/>
    <n v="24793"/>
    <n v="2"/>
    <s v="Y"/>
    <x v="1"/>
    <n v="20"/>
    <x v="1"/>
    <x v="3"/>
    <n v="80"/>
    <n v="0"/>
    <n v="11"/>
    <n v="2"/>
    <x v="1"/>
    <x v="8"/>
    <n v="4"/>
    <x v="0"/>
    <x v="3"/>
    <x v="1"/>
    <x v="2"/>
    <x v="0"/>
    <n v="0"/>
  </r>
  <r>
    <x v="42"/>
    <x v="1"/>
    <x v="0"/>
    <n v="422"/>
    <x v="1"/>
    <n v="7"/>
    <x v="3"/>
    <x v="0"/>
    <x v="0"/>
    <n v="549"/>
    <x v="3"/>
    <x v="0"/>
    <n v="41"/>
    <x v="0"/>
    <x v="4"/>
    <x v="5"/>
    <x v="3"/>
    <x v="1"/>
    <x v="400"/>
    <n v="3854"/>
    <n v="5"/>
    <s v="Y"/>
    <x v="1"/>
    <n v="11"/>
    <x v="0"/>
    <x v="1"/>
    <n v="80"/>
    <n v="0"/>
    <n v="33"/>
    <n v="5"/>
    <x v="0"/>
    <x v="30"/>
    <n v="8"/>
    <x v="14"/>
    <x v="13"/>
    <x v="3"/>
    <x v="3"/>
    <x v="2"/>
    <n v="0"/>
  </r>
  <r>
    <x v="21"/>
    <x v="1"/>
    <x v="0"/>
    <n v="1485"/>
    <x v="1"/>
    <n v="18"/>
    <x v="3"/>
    <x v="2"/>
    <x v="0"/>
    <n v="550"/>
    <x v="1"/>
    <x v="0"/>
    <n v="87"/>
    <x v="0"/>
    <x v="0"/>
    <x v="3"/>
    <x v="2"/>
    <x v="2"/>
    <x v="401"/>
    <n v="26314"/>
    <n v="2"/>
    <s v="Y"/>
    <x v="1"/>
    <n v="14"/>
    <x v="0"/>
    <x v="3"/>
    <n v="80"/>
    <n v="1"/>
    <n v="19"/>
    <n v="5"/>
    <x v="2"/>
    <x v="1"/>
    <n v="7"/>
    <x v="0"/>
    <x v="5"/>
    <x v="0"/>
    <x v="0"/>
    <x v="1"/>
    <n v="0"/>
  </r>
  <r>
    <x v="19"/>
    <x v="1"/>
    <x v="1"/>
    <n v="1368"/>
    <x v="1"/>
    <n v="28"/>
    <x v="2"/>
    <x v="4"/>
    <x v="0"/>
    <n v="551"/>
    <x v="2"/>
    <x v="0"/>
    <n v="88"/>
    <x v="1"/>
    <x v="0"/>
    <x v="4"/>
    <x v="0"/>
    <x v="1"/>
    <x v="402"/>
    <n v="4386"/>
    <n v="0"/>
    <s v="Y"/>
    <x v="1"/>
    <n v="11"/>
    <x v="0"/>
    <x v="1"/>
    <n v="80"/>
    <n v="3"/>
    <n v="7"/>
    <n v="4"/>
    <x v="3"/>
    <x v="0"/>
    <n v="5"/>
    <x v="0"/>
    <x v="10"/>
    <x v="0"/>
    <x v="0"/>
    <x v="1"/>
    <n v="0"/>
  </r>
  <r>
    <x v="17"/>
    <x v="0"/>
    <x v="0"/>
    <n v="1448"/>
    <x v="0"/>
    <n v="1"/>
    <x v="1"/>
    <x v="4"/>
    <x v="0"/>
    <n v="554"/>
    <x v="3"/>
    <x v="0"/>
    <n v="62"/>
    <x v="0"/>
    <x v="1"/>
    <x v="6"/>
    <x v="1"/>
    <x v="0"/>
    <x v="403"/>
    <n v="21972"/>
    <n v="1"/>
    <s v="Y"/>
    <x v="0"/>
    <n v="16"/>
    <x v="0"/>
    <x v="2"/>
    <n v="80"/>
    <n v="0"/>
    <n v="6"/>
    <n v="4"/>
    <x v="1"/>
    <x v="8"/>
    <n v="3"/>
    <x v="1"/>
    <x v="10"/>
    <x v="2"/>
    <x v="2"/>
    <x v="1"/>
    <n v="1"/>
  </r>
  <r>
    <x v="13"/>
    <x v="0"/>
    <x v="1"/>
    <n v="296"/>
    <x v="0"/>
    <n v="6"/>
    <x v="0"/>
    <x v="3"/>
    <x v="0"/>
    <n v="555"/>
    <x v="2"/>
    <x v="0"/>
    <n v="33"/>
    <x v="3"/>
    <x v="1"/>
    <x v="6"/>
    <x v="2"/>
    <x v="2"/>
    <x v="404"/>
    <n v="12253"/>
    <n v="0"/>
    <s v="Y"/>
    <x v="1"/>
    <n v="16"/>
    <x v="0"/>
    <x v="1"/>
    <n v="80"/>
    <n v="1"/>
    <n v="3"/>
    <n v="3"/>
    <x v="2"/>
    <x v="4"/>
    <n v="2"/>
    <x v="1"/>
    <x v="2"/>
    <x v="1"/>
    <x v="1"/>
    <x v="1"/>
    <n v="1"/>
  </r>
  <r>
    <x v="8"/>
    <x v="1"/>
    <x v="1"/>
    <n v="1490"/>
    <x v="1"/>
    <n v="2"/>
    <x v="0"/>
    <x v="0"/>
    <x v="0"/>
    <n v="556"/>
    <x v="2"/>
    <x v="1"/>
    <n v="42"/>
    <x v="0"/>
    <x v="1"/>
    <x v="2"/>
    <x v="0"/>
    <x v="1"/>
    <x v="405"/>
    <n v="12106"/>
    <n v="1"/>
    <s v="Y"/>
    <x v="0"/>
    <n v="23"/>
    <x v="1"/>
    <x v="3"/>
    <n v="80"/>
    <n v="1"/>
    <n v="1"/>
    <n v="3"/>
    <x v="1"/>
    <x v="6"/>
    <n v="0"/>
    <x v="0"/>
    <x v="2"/>
    <x v="1"/>
    <x v="1"/>
    <x v="1"/>
    <n v="0"/>
  </r>
  <r>
    <x v="32"/>
    <x v="1"/>
    <x v="0"/>
    <n v="1398"/>
    <x v="0"/>
    <n v="2"/>
    <x v="2"/>
    <x v="0"/>
    <x v="0"/>
    <n v="558"/>
    <x v="1"/>
    <x v="0"/>
    <n v="79"/>
    <x v="0"/>
    <x v="4"/>
    <x v="5"/>
    <x v="2"/>
    <x v="1"/>
    <x v="406"/>
    <n v="13022"/>
    <n v="0"/>
    <s v="Y"/>
    <x v="1"/>
    <n v="14"/>
    <x v="0"/>
    <x v="1"/>
    <n v="80"/>
    <n v="0"/>
    <n v="21"/>
    <n v="2"/>
    <x v="1"/>
    <x v="23"/>
    <n v="15"/>
    <x v="1"/>
    <x v="11"/>
    <x v="0"/>
    <x v="3"/>
    <x v="2"/>
    <n v="0"/>
  </r>
  <r>
    <x v="25"/>
    <x v="1"/>
    <x v="0"/>
    <n v="1349"/>
    <x v="1"/>
    <n v="23"/>
    <x v="3"/>
    <x v="0"/>
    <x v="0"/>
    <n v="560"/>
    <x v="3"/>
    <x v="0"/>
    <n v="90"/>
    <x v="0"/>
    <x v="1"/>
    <x v="1"/>
    <x v="0"/>
    <x v="2"/>
    <x v="407"/>
    <n v="3032"/>
    <n v="1"/>
    <s v="Y"/>
    <x v="1"/>
    <n v="22"/>
    <x v="1"/>
    <x v="2"/>
    <n v="80"/>
    <n v="2"/>
    <n v="3"/>
    <n v="3"/>
    <x v="0"/>
    <x v="11"/>
    <n v="2"/>
    <x v="0"/>
    <x v="3"/>
    <x v="2"/>
    <x v="2"/>
    <x v="1"/>
    <n v="0"/>
  </r>
  <r>
    <x v="7"/>
    <x v="1"/>
    <x v="2"/>
    <n v="1400"/>
    <x v="1"/>
    <n v="3"/>
    <x v="3"/>
    <x v="0"/>
    <x v="0"/>
    <n v="562"/>
    <x v="1"/>
    <x v="1"/>
    <n v="53"/>
    <x v="0"/>
    <x v="1"/>
    <x v="2"/>
    <x v="0"/>
    <x v="1"/>
    <x v="408"/>
    <n v="16734"/>
    <n v="4"/>
    <s v="Y"/>
    <x v="1"/>
    <n v="15"/>
    <x v="0"/>
    <x v="3"/>
    <n v="80"/>
    <n v="1"/>
    <n v="9"/>
    <n v="3"/>
    <x v="0"/>
    <x v="8"/>
    <n v="3"/>
    <x v="1"/>
    <x v="10"/>
    <x v="1"/>
    <x v="2"/>
    <x v="1"/>
    <n v="0"/>
  </r>
  <r>
    <x v="11"/>
    <x v="1"/>
    <x v="0"/>
    <n v="986"/>
    <x v="1"/>
    <n v="3"/>
    <x v="2"/>
    <x v="2"/>
    <x v="0"/>
    <n v="564"/>
    <x v="0"/>
    <x v="1"/>
    <n v="93"/>
    <x v="1"/>
    <x v="2"/>
    <x v="7"/>
    <x v="2"/>
    <x v="1"/>
    <x v="409"/>
    <n v="21526"/>
    <n v="1"/>
    <s v="Y"/>
    <x v="1"/>
    <n v="18"/>
    <x v="0"/>
    <x v="3"/>
    <n v="80"/>
    <n v="0"/>
    <n v="10"/>
    <n v="2"/>
    <x v="1"/>
    <x v="1"/>
    <n v="2"/>
    <x v="0"/>
    <x v="1"/>
    <x v="2"/>
    <x v="0"/>
    <x v="3"/>
    <n v="0"/>
  </r>
  <r>
    <x v="11"/>
    <x v="0"/>
    <x v="0"/>
    <n v="408"/>
    <x v="1"/>
    <n v="25"/>
    <x v="4"/>
    <x v="4"/>
    <x v="0"/>
    <n v="565"/>
    <x v="1"/>
    <x v="0"/>
    <n v="71"/>
    <x v="1"/>
    <x v="1"/>
    <x v="1"/>
    <x v="1"/>
    <x v="1"/>
    <x v="410"/>
    <n v="18300"/>
    <n v="5"/>
    <s v="Y"/>
    <x v="1"/>
    <n v="16"/>
    <x v="0"/>
    <x v="2"/>
    <n v="80"/>
    <n v="0"/>
    <n v="6"/>
    <n v="2"/>
    <x v="3"/>
    <x v="4"/>
    <n v="2"/>
    <x v="1"/>
    <x v="9"/>
    <x v="2"/>
    <x v="1"/>
    <x v="1"/>
    <n v="1"/>
  </r>
  <r>
    <x v="37"/>
    <x v="0"/>
    <x v="0"/>
    <n v="489"/>
    <x v="2"/>
    <n v="2"/>
    <x v="0"/>
    <x v="4"/>
    <x v="0"/>
    <n v="566"/>
    <x v="3"/>
    <x v="1"/>
    <n v="52"/>
    <x v="1"/>
    <x v="1"/>
    <x v="8"/>
    <x v="0"/>
    <x v="0"/>
    <x v="411"/>
    <n v="18437"/>
    <n v="1"/>
    <s v="Y"/>
    <x v="1"/>
    <n v="12"/>
    <x v="0"/>
    <x v="3"/>
    <n v="80"/>
    <n v="0"/>
    <n v="1"/>
    <n v="3"/>
    <x v="3"/>
    <x v="6"/>
    <n v="0"/>
    <x v="0"/>
    <x v="2"/>
    <x v="4"/>
    <x v="1"/>
    <x v="1"/>
    <n v="1"/>
  </r>
  <r>
    <x v="7"/>
    <x v="1"/>
    <x v="2"/>
    <n v="1398"/>
    <x v="0"/>
    <n v="22"/>
    <x v="2"/>
    <x v="1"/>
    <x v="0"/>
    <n v="567"/>
    <x v="1"/>
    <x v="0"/>
    <n v="69"/>
    <x v="0"/>
    <x v="2"/>
    <x v="0"/>
    <x v="3"/>
    <x v="1"/>
    <x v="412"/>
    <n v="2890"/>
    <n v="0"/>
    <s v="Y"/>
    <x v="1"/>
    <n v="11"/>
    <x v="0"/>
    <x v="3"/>
    <n v="80"/>
    <n v="0"/>
    <n v="10"/>
    <n v="3"/>
    <x v="1"/>
    <x v="7"/>
    <n v="8"/>
    <x v="4"/>
    <x v="5"/>
    <x v="1"/>
    <x v="0"/>
    <x v="0"/>
    <n v="0"/>
  </r>
  <r>
    <x v="38"/>
    <x v="1"/>
    <x v="0"/>
    <n v="210"/>
    <x v="0"/>
    <n v="29"/>
    <x v="3"/>
    <x v="3"/>
    <x v="0"/>
    <n v="568"/>
    <x v="3"/>
    <x v="1"/>
    <n v="56"/>
    <x v="1"/>
    <x v="3"/>
    <x v="5"/>
    <x v="0"/>
    <x v="2"/>
    <x v="413"/>
    <n v="22102"/>
    <n v="3"/>
    <s v="Y"/>
    <x v="1"/>
    <n v="12"/>
    <x v="0"/>
    <x v="3"/>
    <n v="80"/>
    <n v="1"/>
    <n v="32"/>
    <n v="3"/>
    <x v="2"/>
    <x v="6"/>
    <n v="0"/>
    <x v="0"/>
    <x v="2"/>
    <x v="3"/>
    <x v="1"/>
    <x v="3"/>
    <n v="0"/>
  </r>
  <r>
    <x v="24"/>
    <x v="1"/>
    <x v="0"/>
    <n v="1099"/>
    <x v="1"/>
    <n v="29"/>
    <x v="2"/>
    <x v="0"/>
    <x v="0"/>
    <n v="569"/>
    <x v="0"/>
    <x v="1"/>
    <n v="88"/>
    <x v="1"/>
    <x v="3"/>
    <x v="5"/>
    <x v="2"/>
    <x v="1"/>
    <x v="414"/>
    <n v="9314"/>
    <n v="0"/>
    <s v="Y"/>
    <x v="1"/>
    <n v="15"/>
    <x v="0"/>
    <x v="2"/>
    <n v="80"/>
    <n v="1"/>
    <n v="28"/>
    <n v="2"/>
    <x v="1"/>
    <x v="16"/>
    <n v="10"/>
    <x v="9"/>
    <x v="1"/>
    <x v="3"/>
    <x v="3"/>
    <x v="2"/>
    <n v="0"/>
  </r>
  <r>
    <x v="7"/>
    <x v="1"/>
    <x v="2"/>
    <n v="1116"/>
    <x v="1"/>
    <n v="2"/>
    <x v="3"/>
    <x v="2"/>
    <x v="0"/>
    <n v="571"/>
    <x v="1"/>
    <x v="0"/>
    <n v="49"/>
    <x v="0"/>
    <x v="1"/>
    <x v="2"/>
    <x v="0"/>
    <x v="0"/>
    <x v="411"/>
    <n v="7181"/>
    <n v="0"/>
    <s v="Y"/>
    <x v="1"/>
    <n v="14"/>
    <x v="0"/>
    <x v="3"/>
    <n v="80"/>
    <n v="0"/>
    <n v="12"/>
    <n v="2"/>
    <x v="2"/>
    <x v="19"/>
    <n v="7"/>
    <x v="7"/>
    <x v="1"/>
    <x v="1"/>
    <x v="3"/>
    <x v="1"/>
    <n v="0"/>
  </r>
  <r>
    <x v="42"/>
    <x v="1"/>
    <x v="1"/>
    <n v="1499"/>
    <x v="0"/>
    <n v="28"/>
    <x v="3"/>
    <x v="3"/>
    <x v="0"/>
    <n v="573"/>
    <x v="1"/>
    <x v="0"/>
    <n v="80"/>
    <x v="1"/>
    <x v="2"/>
    <x v="0"/>
    <x v="3"/>
    <x v="1"/>
    <x v="415"/>
    <n v="2845"/>
    <n v="4"/>
    <s v="Y"/>
    <x v="1"/>
    <n v="19"/>
    <x v="0"/>
    <x v="1"/>
    <n v="80"/>
    <n v="0"/>
    <n v="22"/>
    <n v="5"/>
    <x v="3"/>
    <x v="29"/>
    <n v="13"/>
    <x v="11"/>
    <x v="7"/>
    <x v="3"/>
    <x v="3"/>
    <x v="3"/>
    <n v="0"/>
  </r>
  <r>
    <x v="40"/>
    <x v="1"/>
    <x v="0"/>
    <n v="983"/>
    <x v="1"/>
    <n v="2"/>
    <x v="0"/>
    <x v="2"/>
    <x v="0"/>
    <n v="574"/>
    <x v="3"/>
    <x v="0"/>
    <n v="65"/>
    <x v="0"/>
    <x v="0"/>
    <x v="3"/>
    <x v="0"/>
    <x v="2"/>
    <x v="416"/>
    <n v="7389"/>
    <n v="5"/>
    <s v="Y"/>
    <x v="1"/>
    <n v="13"/>
    <x v="0"/>
    <x v="3"/>
    <n v="80"/>
    <n v="3"/>
    <n v="20"/>
    <n v="2"/>
    <x v="1"/>
    <x v="8"/>
    <n v="0"/>
    <x v="0"/>
    <x v="10"/>
    <x v="0"/>
    <x v="2"/>
    <x v="0"/>
    <n v="0"/>
  </r>
  <r>
    <x v="21"/>
    <x v="1"/>
    <x v="0"/>
    <n v="1009"/>
    <x v="1"/>
    <n v="2"/>
    <x v="3"/>
    <x v="0"/>
    <x v="0"/>
    <n v="575"/>
    <x v="3"/>
    <x v="1"/>
    <n v="51"/>
    <x v="0"/>
    <x v="3"/>
    <x v="7"/>
    <x v="2"/>
    <x v="1"/>
    <x v="417"/>
    <n v="2288"/>
    <n v="6"/>
    <s v="Y"/>
    <x v="1"/>
    <n v="13"/>
    <x v="0"/>
    <x v="3"/>
    <n v="80"/>
    <n v="0"/>
    <n v="26"/>
    <n v="2"/>
    <x v="0"/>
    <x v="11"/>
    <n v="2"/>
    <x v="0"/>
    <x v="9"/>
    <x v="0"/>
    <x v="2"/>
    <x v="2"/>
    <n v="0"/>
  </r>
  <r>
    <x v="10"/>
    <x v="1"/>
    <x v="0"/>
    <n v="144"/>
    <x v="1"/>
    <n v="22"/>
    <x v="3"/>
    <x v="0"/>
    <x v="0"/>
    <n v="577"/>
    <x v="2"/>
    <x v="1"/>
    <n v="46"/>
    <x v="3"/>
    <x v="1"/>
    <x v="2"/>
    <x v="2"/>
    <x v="0"/>
    <x v="418"/>
    <n v="19225"/>
    <n v="0"/>
    <s v="Y"/>
    <x v="1"/>
    <n v="15"/>
    <x v="0"/>
    <x v="3"/>
    <n v="80"/>
    <n v="0"/>
    <n v="6"/>
    <n v="2"/>
    <x v="1"/>
    <x v="8"/>
    <n v="4"/>
    <x v="5"/>
    <x v="6"/>
    <x v="1"/>
    <x v="2"/>
    <x v="1"/>
    <n v="0"/>
  </r>
  <r>
    <x v="33"/>
    <x v="1"/>
    <x v="0"/>
    <n v="548"/>
    <x v="1"/>
    <n v="8"/>
    <x v="2"/>
    <x v="0"/>
    <x v="0"/>
    <n v="578"/>
    <x v="1"/>
    <x v="0"/>
    <n v="42"/>
    <x v="0"/>
    <x v="0"/>
    <x v="2"/>
    <x v="2"/>
    <x v="0"/>
    <x v="419"/>
    <n v="23428"/>
    <n v="7"/>
    <s v="Y"/>
    <x v="1"/>
    <n v="11"/>
    <x v="0"/>
    <x v="3"/>
    <n v="80"/>
    <n v="0"/>
    <n v="19"/>
    <n v="3"/>
    <x v="1"/>
    <x v="6"/>
    <n v="0"/>
    <x v="0"/>
    <x v="2"/>
    <x v="3"/>
    <x v="1"/>
    <x v="1"/>
    <n v="0"/>
  </r>
  <r>
    <x v="13"/>
    <x v="1"/>
    <x v="0"/>
    <n v="1303"/>
    <x v="1"/>
    <n v="2"/>
    <x v="2"/>
    <x v="0"/>
    <x v="0"/>
    <n v="579"/>
    <x v="2"/>
    <x v="1"/>
    <n v="62"/>
    <x v="1"/>
    <x v="1"/>
    <x v="1"/>
    <x v="2"/>
    <x v="2"/>
    <x v="420"/>
    <n v="8416"/>
    <n v="3"/>
    <s v="Y"/>
    <x v="1"/>
    <n v="12"/>
    <x v="0"/>
    <x v="3"/>
    <n v="80"/>
    <n v="1"/>
    <n v="14"/>
    <n v="3"/>
    <x v="1"/>
    <x v="5"/>
    <n v="3"/>
    <x v="8"/>
    <x v="1"/>
    <x v="1"/>
    <x v="0"/>
    <x v="1"/>
    <n v="0"/>
  </r>
  <r>
    <x v="21"/>
    <x v="1"/>
    <x v="0"/>
    <n v="1125"/>
    <x v="0"/>
    <n v="10"/>
    <x v="3"/>
    <x v="3"/>
    <x v="0"/>
    <n v="580"/>
    <x v="1"/>
    <x v="0"/>
    <n v="94"/>
    <x v="1"/>
    <x v="2"/>
    <x v="0"/>
    <x v="0"/>
    <x v="1"/>
    <x v="421"/>
    <n v="11563"/>
    <n v="2"/>
    <s v="Y"/>
    <x v="0"/>
    <n v="19"/>
    <x v="0"/>
    <x v="3"/>
    <n v="80"/>
    <n v="1"/>
    <n v="15"/>
    <n v="3"/>
    <x v="1"/>
    <x v="11"/>
    <n v="2"/>
    <x v="1"/>
    <x v="3"/>
    <x v="0"/>
    <x v="2"/>
    <x v="0"/>
    <n v="0"/>
  </r>
  <r>
    <x v="12"/>
    <x v="1"/>
    <x v="0"/>
    <n v="1274"/>
    <x v="1"/>
    <n v="9"/>
    <x v="1"/>
    <x v="0"/>
    <x v="0"/>
    <n v="581"/>
    <x v="1"/>
    <x v="1"/>
    <n v="33"/>
    <x v="0"/>
    <x v="2"/>
    <x v="3"/>
    <x v="1"/>
    <x v="2"/>
    <x v="422"/>
    <n v="14394"/>
    <n v="1"/>
    <s v="Y"/>
    <x v="1"/>
    <n v="25"/>
    <x v="1"/>
    <x v="1"/>
    <n v="80"/>
    <n v="1"/>
    <n v="13"/>
    <n v="6"/>
    <x v="3"/>
    <x v="20"/>
    <n v="8"/>
    <x v="0"/>
    <x v="5"/>
    <x v="1"/>
    <x v="3"/>
    <x v="3"/>
    <n v="0"/>
  </r>
  <r>
    <x v="3"/>
    <x v="0"/>
    <x v="0"/>
    <n v="1277"/>
    <x v="1"/>
    <n v="15"/>
    <x v="1"/>
    <x v="2"/>
    <x v="0"/>
    <n v="582"/>
    <x v="0"/>
    <x v="1"/>
    <n v="56"/>
    <x v="0"/>
    <x v="2"/>
    <x v="5"/>
    <x v="2"/>
    <x v="1"/>
    <x v="423"/>
    <n v="24619"/>
    <n v="7"/>
    <s v="Y"/>
    <x v="0"/>
    <n v="12"/>
    <x v="0"/>
    <x v="1"/>
    <n v="80"/>
    <n v="0"/>
    <n v="15"/>
    <n v="2"/>
    <x v="3"/>
    <x v="5"/>
    <n v="6"/>
    <x v="4"/>
    <x v="1"/>
    <x v="1"/>
    <x v="0"/>
    <x v="3"/>
    <n v="1"/>
  </r>
  <r>
    <x v="3"/>
    <x v="0"/>
    <x v="0"/>
    <n v="587"/>
    <x v="1"/>
    <n v="10"/>
    <x v="1"/>
    <x v="2"/>
    <x v="0"/>
    <n v="584"/>
    <x v="3"/>
    <x v="1"/>
    <n v="38"/>
    <x v="3"/>
    <x v="1"/>
    <x v="2"/>
    <x v="0"/>
    <x v="2"/>
    <x v="424"/>
    <n v="6705"/>
    <n v="7"/>
    <s v="Y"/>
    <x v="1"/>
    <n v="13"/>
    <x v="0"/>
    <x v="0"/>
    <n v="80"/>
    <n v="3"/>
    <n v="8"/>
    <n v="2"/>
    <x v="1"/>
    <x v="9"/>
    <n v="3"/>
    <x v="1"/>
    <x v="6"/>
    <x v="1"/>
    <x v="2"/>
    <x v="1"/>
    <n v="1"/>
  </r>
  <r>
    <x v="7"/>
    <x v="1"/>
    <x v="0"/>
    <n v="413"/>
    <x v="0"/>
    <n v="7"/>
    <x v="1"/>
    <x v="3"/>
    <x v="0"/>
    <n v="585"/>
    <x v="2"/>
    <x v="1"/>
    <n v="57"/>
    <x v="0"/>
    <x v="1"/>
    <x v="6"/>
    <x v="1"/>
    <x v="0"/>
    <x v="425"/>
    <n v="18398"/>
    <n v="0"/>
    <s v="Y"/>
    <x v="1"/>
    <n v="14"/>
    <x v="0"/>
    <x v="0"/>
    <n v="80"/>
    <n v="0"/>
    <n v="4"/>
    <n v="3"/>
    <x v="1"/>
    <x v="11"/>
    <n v="2"/>
    <x v="1"/>
    <x v="3"/>
    <x v="1"/>
    <x v="2"/>
    <x v="1"/>
    <n v="0"/>
  </r>
  <r>
    <x v="10"/>
    <x v="1"/>
    <x v="0"/>
    <n v="1276"/>
    <x v="1"/>
    <n v="16"/>
    <x v="3"/>
    <x v="0"/>
    <x v="0"/>
    <n v="586"/>
    <x v="2"/>
    <x v="1"/>
    <n v="72"/>
    <x v="0"/>
    <x v="2"/>
    <x v="4"/>
    <x v="2"/>
    <x v="1"/>
    <x v="426"/>
    <n v="14295"/>
    <n v="4"/>
    <s v="Y"/>
    <x v="0"/>
    <n v="12"/>
    <x v="0"/>
    <x v="3"/>
    <n v="80"/>
    <n v="0"/>
    <n v="10"/>
    <n v="2"/>
    <x v="1"/>
    <x v="3"/>
    <n v="7"/>
    <x v="0"/>
    <x v="2"/>
    <x v="1"/>
    <x v="0"/>
    <x v="0"/>
    <n v="0"/>
  </r>
  <r>
    <x v="12"/>
    <x v="0"/>
    <x v="1"/>
    <n v="534"/>
    <x v="1"/>
    <n v="20"/>
    <x v="3"/>
    <x v="0"/>
    <x v="0"/>
    <n v="587"/>
    <x v="3"/>
    <x v="1"/>
    <n v="66"/>
    <x v="0"/>
    <x v="2"/>
    <x v="4"/>
    <x v="2"/>
    <x v="1"/>
    <x v="427"/>
    <n v="22908"/>
    <n v="3"/>
    <s v="Y"/>
    <x v="1"/>
    <n v="12"/>
    <x v="0"/>
    <x v="0"/>
    <n v="80"/>
    <n v="0"/>
    <n v="12"/>
    <n v="2"/>
    <x v="1"/>
    <x v="6"/>
    <n v="0"/>
    <x v="0"/>
    <x v="2"/>
    <x v="1"/>
    <x v="1"/>
    <x v="0"/>
    <n v="1"/>
  </r>
  <r>
    <x v="13"/>
    <x v="0"/>
    <x v="1"/>
    <n v="988"/>
    <x v="2"/>
    <n v="23"/>
    <x v="3"/>
    <x v="5"/>
    <x v="0"/>
    <n v="590"/>
    <x v="0"/>
    <x v="0"/>
    <n v="43"/>
    <x v="0"/>
    <x v="2"/>
    <x v="8"/>
    <x v="3"/>
    <x v="2"/>
    <x v="428"/>
    <n v="11533"/>
    <n v="9"/>
    <s v="Y"/>
    <x v="0"/>
    <n v="15"/>
    <x v="0"/>
    <x v="3"/>
    <n v="80"/>
    <n v="3"/>
    <n v="11"/>
    <n v="2"/>
    <x v="1"/>
    <x v="11"/>
    <n v="2"/>
    <x v="0"/>
    <x v="3"/>
    <x v="1"/>
    <x v="2"/>
    <x v="0"/>
    <n v="1"/>
  </r>
  <r>
    <x v="19"/>
    <x v="1"/>
    <x v="1"/>
    <n v="1474"/>
    <x v="1"/>
    <n v="5"/>
    <x v="0"/>
    <x v="1"/>
    <x v="0"/>
    <n v="591"/>
    <x v="0"/>
    <x v="1"/>
    <n v="97"/>
    <x v="0"/>
    <x v="1"/>
    <x v="2"/>
    <x v="2"/>
    <x v="1"/>
    <x v="429"/>
    <n v="9260"/>
    <n v="4"/>
    <s v="Y"/>
    <x v="1"/>
    <n v="17"/>
    <x v="0"/>
    <x v="1"/>
    <n v="80"/>
    <n v="1"/>
    <n v="8"/>
    <n v="4"/>
    <x v="1"/>
    <x v="4"/>
    <n v="2"/>
    <x v="3"/>
    <x v="2"/>
    <x v="0"/>
    <x v="1"/>
    <x v="1"/>
    <n v="0"/>
  </r>
  <r>
    <x v="9"/>
    <x v="1"/>
    <x v="2"/>
    <n v="635"/>
    <x v="0"/>
    <n v="10"/>
    <x v="2"/>
    <x v="2"/>
    <x v="0"/>
    <n v="592"/>
    <x v="0"/>
    <x v="1"/>
    <n v="32"/>
    <x v="0"/>
    <x v="2"/>
    <x v="0"/>
    <x v="0"/>
    <x v="0"/>
    <x v="15"/>
    <n v="15318"/>
    <n v="1"/>
    <s v="Y"/>
    <x v="1"/>
    <n v="14"/>
    <x v="0"/>
    <x v="1"/>
    <n v="80"/>
    <n v="0"/>
    <n v="10"/>
    <n v="3"/>
    <x v="2"/>
    <x v="1"/>
    <n v="3"/>
    <x v="10"/>
    <x v="1"/>
    <x v="1"/>
    <x v="0"/>
    <x v="0"/>
    <n v="0"/>
  </r>
  <r>
    <x v="15"/>
    <x v="0"/>
    <x v="1"/>
    <n v="1368"/>
    <x v="1"/>
    <n v="4"/>
    <x v="1"/>
    <x v="4"/>
    <x v="0"/>
    <n v="593"/>
    <x v="1"/>
    <x v="1"/>
    <n v="99"/>
    <x v="1"/>
    <x v="1"/>
    <x v="2"/>
    <x v="2"/>
    <x v="0"/>
    <x v="430"/>
    <n v="9129"/>
    <n v="5"/>
    <s v="Y"/>
    <x v="1"/>
    <n v="16"/>
    <x v="0"/>
    <x v="3"/>
    <n v="80"/>
    <n v="0"/>
    <n v="4"/>
    <n v="3"/>
    <x v="1"/>
    <x v="4"/>
    <n v="2"/>
    <x v="1"/>
    <x v="3"/>
    <x v="2"/>
    <x v="1"/>
    <x v="1"/>
    <n v="1"/>
  </r>
  <r>
    <x v="26"/>
    <x v="1"/>
    <x v="0"/>
    <n v="163"/>
    <x v="0"/>
    <n v="2"/>
    <x v="4"/>
    <x v="3"/>
    <x v="0"/>
    <n v="595"/>
    <x v="0"/>
    <x v="0"/>
    <n v="37"/>
    <x v="0"/>
    <x v="0"/>
    <x v="0"/>
    <x v="0"/>
    <x v="1"/>
    <x v="431"/>
    <n v="19658"/>
    <n v="2"/>
    <s v="Y"/>
    <x v="1"/>
    <n v="14"/>
    <x v="0"/>
    <x v="0"/>
    <n v="80"/>
    <n v="1"/>
    <n v="14"/>
    <n v="2"/>
    <x v="1"/>
    <x v="7"/>
    <n v="7"/>
    <x v="7"/>
    <x v="1"/>
    <x v="0"/>
    <x v="0"/>
    <x v="1"/>
    <n v="0"/>
  </r>
  <r>
    <x v="27"/>
    <x v="1"/>
    <x v="0"/>
    <n v="1117"/>
    <x v="0"/>
    <n v="18"/>
    <x v="4"/>
    <x v="0"/>
    <x v="0"/>
    <n v="597"/>
    <x v="3"/>
    <x v="0"/>
    <n v="83"/>
    <x v="0"/>
    <x v="3"/>
    <x v="5"/>
    <x v="1"/>
    <x v="0"/>
    <x v="432"/>
    <n v="9873"/>
    <n v="3"/>
    <s v="Y"/>
    <x v="1"/>
    <n v="23"/>
    <x v="1"/>
    <x v="1"/>
    <n v="80"/>
    <n v="0"/>
    <n v="37"/>
    <n v="2"/>
    <x v="1"/>
    <x v="1"/>
    <n v="9"/>
    <x v="4"/>
    <x v="1"/>
    <x v="3"/>
    <x v="0"/>
    <x v="2"/>
    <n v="0"/>
  </r>
  <r>
    <x v="0"/>
    <x v="1"/>
    <x v="2"/>
    <n v="267"/>
    <x v="0"/>
    <n v="10"/>
    <x v="0"/>
    <x v="0"/>
    <x v="0"/>
    <n v="599"/>
    <x v="2"/>
    <x v="1"/>
    <n v="56"/>
    <x v="0"/>
    <x v="0"/>
    <x v="0"/>
    <x v="0"/>
    <x v="0"/>
    <x v="433"/>
    <n v="13430"/>
    <n v="7"/>
    <s v="Y"/>
    <x v="1"/>
    <n v="14"/>
    <x v="0"/>
    <x v="1"/>
    <n v="80"/>
    <n v="0"/>
    <n v="16"/>
    <n v="3"/>
    <x v="1"/>
    <x v="13"/>
    <n v="3"/>
    <x v="1"/>
    <x v="13"/>
    <x v="0"/>
    <x v="3"/>
    <x v="0"/>
    <n v="0"/>
  </r>
  <r>
    <x v="10"/>
    <x v="1"/>
    <x v="0"/>
    <n v="619"/>
    <x v="0"/>
    <n v="1"/>
    <x v="3"/>
    <x v="3"/>
    <x v="0"/>
    <n v="600"/>
    <x v="0"/>
    <x v="1"/>
    <n v="85"/>
    <x v="0"/>
    <x v="0"/>
    <x v="0"/>
    <x v="2"/>
    <x v="1"/>
    <x v="434"/>
    <n v="18659"/>
    <n v="9"/>
    <s v="Y"/>
    <x v="1"/>
    <n v="11"/>
    <x v="0"/>
    <x v="3"/>
    <n v="80"/>
    <n v="0"/>
    <n v="15"/>
    <n v="2"/>
    <x v="1"/>
    <x v="19"/>
    <n v="9"/>
    <x v="7"/>
    <x v="12"/>
    <x v="1"/>
    <x v="3"/>
    <x v="1"/>
    <n v="0"/>
  </r>
  <r>
    <x v="32"/>
    <x v="1"/>
    <x v="0"/>
    <n v="302"/>
    <x v="1"/>
    <n v="6"/>
    <x v="3"/>
    <x v="0"/>
    <x v="0"/>
    <n v="601"/>
    <x v="0"/>
    <x v="0"/>
    <n v="75"/>
    <x v="0"/>
    <x v="3"/>
    <x v="3"/>
    <x v="2"/>
    <x v="0"/>
    <x v="435"/>
    <n v="20364"/>
    <n v="7"/>
    <s v="Y"/>
    <x v="1"/>
    <n v="15"/>
    <x v="0"/>
    <x v="3"/>
    <n v="80"/>
    <n v="0"/>
    <n v="22"/>
    <n v="3"/>
    <x v="1"/>
    <x v="23"/>
    <n v="6"/>
    <x v="8"/>
    <x v="15"/>
    <x v="0"/>
    <x v="3"/>
    <x v="3"/>
    <n v="0"/>
  </r>
  <r>
    <x v="22"/>
    <x v="1"/>
    <x v="1"/>
    <n v="443"/>
    <x v="1"/>
    <n v="8"/>
    <x v="1"/>
    <x v="0"/>
    <x v="0"/>
    <n v="602"/>
    <x v="1"/>
    <x v="0"/>
    <n v="48"/>
    <x v="0"/>
    <x v="1"/>
    <x v="2"/>
    <x v="2"/>
    <x v="1"/>
    <x v="436"/>
    <n v="17872"/>
    <n v="1"/>
    <s v="Y"/>
    <x v="1"/>
    <n v="11"/>
    <x v="0"/>
    <x v="0"/>
    <n v="80"/>
    <n v="1"/>
    <n v="8"/>
    <n v="3"/>
    <x v="1"/>
    <x v="3"/>
    <n v="3"/>
    <x v="0"/>
    <x v="1"/>
    <x v="1"/>
    <x v="0"/>
    <x v="1"/>
    <n v="0"/>
  </r>
  <r>
    <x v="12"/>
    <x v="1"/>
    <x v="0"/>
    <n v="828"/>
    <x v="0"/>
    <n v="2"/>
    <x v="1"/>
    <x v="0"/>
    <x v="0"/>
    <n v="604"/>
    <x v="0"/>
    <x v="1"/>
    <n v="77"/>
    <x v="0"/>
    <x v="0"/>
    <x v="0"/>
    <x v="0"/>
    <x v="0"/>
    <x v="437"/>
    <n v="8346"/>
    <n v="4"/>
    <s v="Y"/>
    <x v="0"/>
    <n v="13"/>
    <x v="0"/>
    <x v="3"/>
    <n v="80"/>
    <n v="0"/>
    <n v="10"/>
    <n v="2"/>
    <x v="3"/>
    <x v="0"/>
    <n v="5"/>
    <x v="0"/>
    <x v="0"/>
    <x v="1"/>
    <x v="0"/>
    <x v="0"/>
    <n v="0"/>
  </r>
  <r>
    <x v="19"/>
    <x v="1"/>
    <x v="0"/>
    <n v="319"/>
    <x v="1"/>
    <n v="24"/>
    <x v="3"/>
    <x v="2"/>
    <x v="0"/>
    <n v="605"/>
    <x v="2"/>
    <x v="1"/>
    <n v="56"/>
    <x v="0"/>
    <x v="2"/>
    <x v="3"/>
    <x v="3"/>
    <x v="1"/>
    <x v="438"/>
    <n v="6950"/>
    <n v="1"/>
    <s v="Y"/>
    <x v="0"/>
    <n v="21"/>
    <x v="1"/>
    <x v="1"/>
    <n v="80"/>
    <n v="1"/>
    <n v="10"/>
    <n v="5"/>
    <x v="2"/>
    <x v="1"/>
    <n v="9"/>
    <x v="8"/>
    <x v="5"/>
    <x v="0"/>
    <x v="0"/>
    <x v="0"/>
    <n v="0"/>
  </r>
  <r>
    <x v="28"/>
    <x v="1"/>
    <x v="0"/>
    <n v="561"/>
    <x v="0"/>
    <n v="2"/>
    <x v="3"/>
    <x v="1"/>
    <x v="0"/>
    <n v="606"/>
    <x v="2"/>
    <x v="1"/>
    <n v="61"/>
    <x v="0"/>
    <x v="0"/>
    <x v="0"/>
    <x v="1"/>
    <x v="1"/>
    <x v="439"/>
    <n v="16177"/>
    <n v="0"/>
    <s v="Y"/>
    <x v="1"/>
    <n v="19"/>
    <x v="0"/>
    <x v="2"/>
    <n v="80"/>
    <n v="1"/>
    <n v="9"/>
    <n v="3"/>
    <x v="3"/>
    <x v="3"/>
    <n v="7"/>
    <x v="2"/>
    <x v="1"/>
    <x v="0"/>
    <x v="0"/>
    <x v="1"/>
    <n v="0"/>
  </r>
  <r>
    <x v="25"/>
    <x v="0"/>
    <x v="1"/>
    <n v="426"/>
    <x v="2"/>
    <n v="17"/>
    <x v="2"/>
    <x v="0"/>
    <x v="0"/>
    <n v="608"/>
    <x v="0"/>
    <x v="0"/>
    <n v="58"/>
    <x v="0"/>
    <x v="1"/>
    <x v="8"/>
    <x v="2"/>
    <x v="2"/>
    <x v="199"/>
    <n v="22808"/>
    <n v="0"/>
    <s v="Y"/>
    <x v="0"/>
    <n v="11"/>
    <x v="0"/>
    <x v="2"/>
    <n v="80"/>
    <n v="1"/>
    <n v="8"/>
    <n v="2"/>
    <x v="2"/>
    <x v="5"/>
    <n v="7"/>
    <x v="1"/>
    <x v="2"/>
    <x v="2"/>
    <x v="0"/>
    <x v="1"/>
    <n v="1"/>
  </r>
  <r>
    <x v="11"/>
    <x v="1"/>
    <x v="0"/>
    <n v="232"/>
    <x v="1"/>
    <n v="19"/>
    <x v="3"/>
    <x v="4"/>
    <x v="0"/>
    <n v="611"/>
    <x v="2"/>
    <x v="1"/>
    <n v="34"/>
    <x v="0"/>
    <x v="0"/>
    <x v="3"/>
    <x v="0"/>
    <x v="2"/>
    <x v="440"/>
    <n v="22645"/>
    <n v="4"/>
    <s v="Y"/>
    <x v="1"/>
    <n v="12"/>
    <x v="0"/>
    <x v="2"/>
    <n v="80"/>
    <n v="2"/>
    <n v="8"/>
    <n v="2"/>
    <x v="3"/>
    <x v="11"/>
    <n v="2"/>
    <x v="1"/>
    <x v="3"/>
    <x v="2"/>
    <x v="2"/>
    <x v="1"/>
    <n v="0"/>
  </r>
  <r>
    <x v="3"/>
    <x v="1"/>
    <x v="0"/>
    <n v="922"/>
    <x v="1"/>
    <n v="1"/>
    <x v="4"/>
    <x v="2"/>
    <x v="0"/>
    <n v="612"/>
    <x v="3"/>
    <x v="0"/>
    <n v="95"/>
    <x v="2"/>
    <x v="3"/>
    <x v="7"/>
    <x v="2"/>
    <x v="2"/>
    <x v="441"/>
    <n v="22578"/>
    <n v="4"/>
    <s v="Y"/>
    <x v="1"/>
    <n v="19"/>
    <x v="0"/>
    <x v="3"/>
    <n v="80"/>
    <n v="1"/>
    <n v="10"/>
    <n v="2"/>
    <x v="1"/>
    <x v="0"/>
    <n v="1"/>
    <x v="0"/>
    <x v="0"/>
    <x v="1"/>
    <x v="0"/>
    <x v="2"/>
    <n v="0"/>
  </r>
  <r>
    <x v="12"/>
    <x v="1"/>
    <x v="0"/>
    <n v="688"/>
    <x v="0"/>
    <n v="7"/>
    <x v="3"/>
    <x v="0"/>
    <x v="0"/>
    <n v="613"/>
    <x v="1"/>
    <x v="1"/>
    <n v="44"/>
    <x v="1"/>
    <x v="2"/>
    <x v="5"/>
    <x v="0"/>
    <x v="2"/>
    <x v="442"/>
    <n v="25291"/>
    <n v="9"/>
    <s v="Y"/>
    <x v="1"/>
    <n v="21"/>
    <x v="1"/>
    <x v="3"/>
    <n v="80"/>
    <n v="1"/>
    <n v="10"/>
    <n v="3"/>
    <x v="2"/>
    <x v="8"/>
    <n v="4"/>
    <x v="0"/>
    <x v="9"/>
    <x v="1"/>
    <x v="2"/>
    <x v="3"/>
    <n v="0"/>
  </r>
  <r>
    <x v="41"/>
    <x v="0"/>
    <x v="1"/>
    <n v="1306"/>
    <x v="0"/>
    <n v="5"/>
    <x v="3"/>
    <x v="3"/>
    <x v="0"/>
    <n v="614"/>
    <x v="0"/>
    <x v="1"/>
    <n v="69"/>
    <x v="0"/>
    <x v="1"/>
    <x v="6"/>
    <x v="1"/>
    <x v="0"/>
    <x v="443"/>
    <n v="8059"/>
    <n v="1"/>
    <s v="Y"/>
    <x v="0"/>
    <n v="14"/>
    <x v="0"/>
    <x v="1"/>
    <n v="80"/>
    <n v="0"/>
    <n v="0"/>
    <n v="3"/>
    <x v="1"/>
    <x v="2"/>
    <n v="0"/>
    <x v="0"/>
    <x v="2"/>
    <x v="4"/>
    <x v="1"/>
    <x v="1"/>
    <n v="1"/>
  </r>
  <r>
    <x v="32"/>
    <x v="1"/>
    <x v="2"/>
    <n v="1094"/>
    <x v="0"/>
    <n v="28"/>
    <x v="3"/>
    <x v="1"/>
    <x v="0"/>
    <n v="615"/>
    <x v="1"/>
    <x v="1"/>
    <n v="58"/>
    <x v="3"/>
    <x v="2"/>
    <x v="0"/>
    <x v="3"/>
    <x v="2"/>
    <x v="444"/>
    <n v="11373"/>
    <n v="3"/>
    <s v="Y"/>
    <x v="1"/>
    <n v="15"/>
    <x v="0"/>
    <x v="3"/>
    <n v="80"/>
    <n v="1"/>
    <n v="20"/>
    <n v="2"/>
    <x v="1"/>
    <x v="6"/>
    <n v="0"/>
    <x v="0"/>
    <x v="9"/>
    <x v="0"/>
    <x v="1"/>
    <x v="3"/>
    <n v="0"/>
  </r>
  <r>
    <x v="0"/>
    <x v="1"/>
    <x v="2"/>
    <n v="509"/>
    <x v="1"/>
    <n v="2"/>
    <x v="2"/>
    <x v="1"/>
    <x v="0"/>
    <n v="616"/>
    <x v="3"/>
    <x v="0"/>
    <n v="62"/>
    <x v="1"/>
    <x v="0"/>
    <x v="4"/>
    <x v="2"/>
    <x v="0"/>
    <x v="445"/>
    <n v="2112"/>
    <n v="2"/>
    <s v="Y"/>
    <x v="0"/>
    <n v="17"/>
    <x v="0"/>
    <x v="0"/>
    <n v="80"/>
    <n v="0"/>
    <n v="10"/>
    <n v="3"/>
    <x v="1"/>
    <x v="3"/>
    <n v="7"/>
    <x v="0"/>
    <x v="1"/>
    <x v="0"/>
    <x v="0"/>
    <x v="0"/>
    <n v="0"/>
  </r>
  <r>
    <x v="25"/>
    <x v="1"/>
    <x v="0"/>
    <n v="775"/>
    <x v="0"/>
    <n v="29"/>
    <x v="0"/>
    <x v="2"/>
    <x v="0"/>
    <n v="618"/>
    <x v="3"/>
    <x v="1"/>
    <n v="45"/>
    <x v="0"/>
    <x v="0"/>
    <x v="0"/>
    <x v="2"/>
    <x v="2"/>
    <x v="383"/>
    <n v="4267"/>
    <n v="5"/>
    <s v="Y"/>
    <x v="1"/>
    <n v="12"/>
    <x v="0"/>
    <x v="0"/>
    <n v="80"/>
    <n v="2"/>
    <n v="8"/>
    <n v="5"/>
    <x v="1"/>
    <x v="2"/>
    <n v="0"/>
    <x v="0"/>
    <x v="2"/>
    <x v="2"/>
    <x v="1"/>
    <x v="1"/>
    <n v="0"/>
  </r>
  <r>
    <x v="10"/>
    <x v="1"/>
    <x v="0"/>
    <n v="195"/>
    <x v="0"/>
    <n v="1"/>
    <x v="3"/>
    <x v="2"/>
    <x v="0"/>
    <n v="620"/>
    <x v="3"/>
    <x v="0"/>
    <n v="80"/>
    <x v="0"/>
    <x v="0"/>
    <x v="0"/>
    <x v="2"/>
    <x v="0"/>
    <x v="446"/>
    <n v="6698"/>
    <n v="1"/>
    <s v="Y"/>
    <x v="1"/>
    <n v="16"/>
    <x v="0"/>
    <x v="1"/>
    <n v="80"/>
    <n v="0"/>
    <n v="5"/>
    <n v="3"/>
    <x v="1"/>
    <x v="8"/>
    <n v="4"/>
    <x v="0"/>
    <x v="6"/>
    <x v="1"/>
    <x v="2"/>
    <x v="1"/>
    <n v="0"/>
  </r>
  <r>
    <x v="13"/>
    <x v="1"/>
    <x v="0"/>
    <n v="258"/>
    <x v="0"/>
    <n v="21"/>
    <x v="2"/>
    <x v="0"/>
    <x v="0"/>
    <n v="621"/>
    <x v="2"/>
    <x v="1"/>
    <n v="74"/>
    <x v="2"/>
    <x v="0"/>
    <x v="0"/>
    <x v="0"/>
    <x v="0"/>
    <x v="447"/>
    <n v="19921"/>
    <n v="1"/>
    <s v="Y"/>
    <x v="1"/>
    <n v="12"/>
    <x v="0"/>
    <x v="1"/>
    <n v="80"/>
    <n v="0"/>
    <n v="10"/>
    <n v="3"/>
    <x v="1"/>
    <x v="1"/>
    <n v="7"/>
    <x v="8"/>
    <x v="1"/>
    <x v="1"/>
    <x v="0"/>
    <x v="0"/>
    <n v="0"/>
  </r>
  <r>
    <x v="25"/>
    <x v="0"/>
    <x v="0"/>
    <n v="471"/>
    <x v="1"/>
    <n v="24"/>
    <x v="3"/>
    <x v="4"/>
    <x v="0"/>
    <n v="622"/>
    <x v="1"/>
    <x v="1"/>
    <n v="66"/>
    <x v="3"/>
    <x v="1"/>
    <x v="2"/>
    <x v="0"/>
    <x v="0"/>
    <x v="246"/>
    <n v="23213"/>
    <n v="1"/>
    <s v="Y"/>
    <x v="0"/>
    <n v="18"/>
    <x v="0"/>
    <x v="2"/>
    <n v="80"/>
    <n v="0"/>
    <n v="1"/>
    <n v="3"/>
    <x v="0"/>
    <x v="6"/>
    <n v="0"/>
    <x v="0"/>
    <x v="2"/>
    <x v="2"/>
    <x v="1"/>
    <x v="1"/>
    <n v="1"/>
  </r>
  <r>
    <x v="2"/>
    <x v="1"/>
    <x v="0"/>
    <n v="799"/>
    <x v="1"/>
    <n v="1"/>
    <x v="3"/>
    <x v="4"/>
    <x v="0"/>
    <n v="623"/>
    <x v="0"/>
    <x v="0"/>
    <n v="59"/>
    <x v="0"/>
    <x v="2"/>
    <x v="3"/>
    <x v="0"/>
    <x v="0"/>
    <x v="448"/>
    <n v="23848"/>
    <n v="4"/>
    <s v="Y"/>
    <x v="1"/>
    <n v="17"/>
    <x v="0"/>
    <x v="1"/>
    <n v="80"/>
    <n v="0"/>
    <n v="12"/>
    <n v="3"/>
    <x v="3"/>
    <x v="0"/>
    <n v="5"/>
    <x v="1"/>
    <x v="3"/>
    <x v="1"/>
    <x v="0"/>
    <x v="0"/>
    <n v="0"/>
  </r>
  <r>
    <x v="21"/>
    <x v="1"/>
    <x v="1"/>
    <n v="1034"/>
    <x v="1"/>
    <n v="18"/>
    <x v="1"/>
    <x v="2"/>
    <x v="0"/>
    <n v="624"/>
    <x v="3"/>
    <x v="0"/>
    <n v="86"/>
    <x v="0"/>
    <x v="2"/>
    <x v="4"/>
    <x v="2"/>
    <x v="1"/>
    <x v="449"/>
    <n v="8984"/>
    <n v="5"/>
    <s v="Y"/>
    <x v="1"/>
    <n v="11"/>
    <x v="0"/>
    <x v="1"/>
    <n v="80"/>
    <n v="0"/>
    <n v="28"/>
    <n v="3"/>
    <x v="2"/>
    <x v="4"/>
    <n v="2"/>
    <x v="1"/>
    <x v="3"/>
    <x v="0"/>
    <x v="1"/>
    <x v="3"/>
    <n v="0"/>
  </r>
  <r>
    <x v="0"/>
    <x v="1"/>
    <x v="0"/>
    <n v="1276"/>
    <x v="0"/>
    <n v="2"/>
    <x v="4"/>
    <x v="0"/>
    <x v="0"/>
    <n v="625"/>
    <x v="0"/>
    <x v="0"/>
    <n v="91"/>
    <x v="0"/>
    <x v="3"/>
    <x v="5"/>
    <x v="3"/>
    <x v="1"/>
    <x v="450"/>
    <n v="5626"/>
    <n v="7"/>
    <s v="Y"/>
    <x v="1"/>
    <n v="16"/>
    <x v="0"/>
    <x v="2"/>
    <n v="80"/>
    <n v="1"/>
    <n v="22"/>
    <n v="2"/>
    <x v="1"/>
    <x v="29"/>
    <n v="16"/>
    <x v="14"/>
    <x v="5"/>
    <x v="0"/>
    <x v="3"/>
    <x v="2"/>
    <n v="0"/>
  </r>
  <r>
    <x v="2"/>
    <x v="1"/>
    <x v="2"/>
    <n v="142"/>
    <x v="0"/>
    <n v="9"/>
    <x v="2"/>
    <x v="2"/>
    <x v="0"/>
    <n v="626"/>
    <x v="3"/>
    <x v="1"/>
    <n v="69"/>
    <x v="0"/>
    <x v="2"/>
    <x v="0"/>
    <x v="1"/>
    <x v="2"/>
    <x v="451"/>
    <n v="24666"/>
    <n v="1"/>
    <s v="Y"/>
    <x v="1"/>
    <n v="13"/>
    <x v="0"/>
    <x v="1"/>
    <n v="80"/>
    <n v="1"/>
    <n v="9"/>
    <n v="6"/>
    <x v="1"/>
    <x v="7"/>
    <n v="5"/>
    <x v="4"/>
    <x v="1"/>
    <x v="1"/>
    <x v="0"/>
    <x v="0"/>
    <n v="0"/>
  </r>
  <r>
    <x v="39"/>
    <x v="1"/>
    <x v="0"/>
    <n v="956"/>
    <x v="1"/>
    <n v="6"/>
    <x v="0"/>
    <x v="4"/>
    <x v="0"/>
    <n v="630"/>
    <x v="2"/>
    <x v="1"/>
    <n v="78"/>
    <x v="0"/>
    <x v="0"/>
    <x v="1"/>
    <x v="3"/>
    <x v="2"/>
    <x v="452"/>
    <n v="22087"/>
    <n v="3"/>
    <s v="Y"/>
    <x v="0"/>
    <n v="12"/>
    <x v="0"/>
    <x v="2"/>
    <n v="80"/>
    <n v="2"/>
    <n v="18"/>
    <n v="3"/>
    <x v="1"/>
    <x v="1"/>
    <n v="9"/>
    <x v="7"/>
    <x v="12"/>
    <x v="3"/>
    <x v="0"/>
    <x v="0"/>
    <n v="0"/>
  </r>
  <r>
    <x v="5"/>
    <x v="0"/>
    <x v="2"/>
    <n v="1474"/>
    <x v="0"/>
    <n v="11"/>
    <x v="2"/>
    <x v="1"/>
    <x v="0"/>
    <n v="631"/>
    <x v="2"/>
    <x v="1"/>
    <n v="60"/>
    <x v="2"/>
    <x v="0"/>
    <x v="0"/>
    <x v="2"/>
    <x v="1"/>
    <x v="453"/>
    <n v="23914"/>
    <n v="8"/>
    <s v="Y"/>
    <x v="1"/>
    <n v="12"/>
    <x v="0"/>
    <x v="1"/>
    <n v="80"/>
    <n v="0"/>
    <n v="6"/>
    <n v="2"/>
    <x v="1"/>
    <x v="9"/>
    <n v="2"/>
    <x v="1"/>
    <x v="3"/>
    <x v="1"/>
    <x v="2"/>
    <x v="1"/>
    <n v="1"/>
  </r>
  <r>
    <x v="17"/>
    <x v="1"/>
    <x v="1"/>
    <n v="535"/>
    <x v="0"/>
    <n v="24"/>
    <x v="3"/>
    <x v="2"/>
    <x v="0"/>
    <n v="632"/>
    <x v="2"/>
    <x v="1"/>
    <n v="38"/>
    <x v="0"/>
    <x v="1"/>
    <x v="6"/>
    <x v="0"/>
    <x v="1"/>
    <x v="454"/>
    <n v="5530"/>
    <n v="0"/>
    <s v="Y"/>
    <x v="1"/>
    <n v="13"/>
    <x v="0"/>
    <x v="3"/>
    <n v="80"/>
    <n v="2"/>
    <n v="3"/>
    <n v="3"/>
    <x v="1"/>
    <x v="4"/>
    <n v="2"/>
    <x v="3"/>
    <x v="9"/>
    <x v="2"/>
    <x v="1"/>
    <x v="1"/>
    <n v="0"/>
  </r>
  <r>
    <x v="8"/>
    <x v="1"/>
    <x v="0"/>
    <n v="1495"/>
    <x v="1"/>
    <n v="10"/>
    <x v="3"/>
    <x v="2"/>
    <x v="0"/>
    <n v="634"/>
    <x v="1"/>
    <x v="0"/>
    <n v="76"/>
    <x v="0"/>
    <x v="0"/>
    <x v="4"/>
    <x v="2"/>
    <x v="1"/>
    <x v="427"/>
    <n v="22174"/>
    <n v="3"/>
    <s v="Y"/>
    <x v="1"/>
    <n v="19"/>
    <x v="0"/>
    <x v="3"/>
    <n v="80"/>
    <n v="1"/>
    <n v="18"/>
    <n v="4"/>
    <x v="1"/>
    <x v="6"/>
    <n v="0"/>
    <x v="0"/>
    <x v="2"/>
    <x v="1"/>
    <x v="1"/>
    <x v="0"/>
    <n v="0"/>
  </r>
  <r>
    <x v="2"/>
    <x v="1"/>
    <x v="0"/>
    <n v="446"/>
    <x v="1"/>
    <n v="1"/>
    <x v="2"/>
    <x v="0"/>
    <x v="0"/>
    <n v="635"/>
    <x v="0"/>
    <x v="0"/>
    <n v="65"/>
    <x v="0"/>
    <x v="0"/>
    <x v="3"/>
    <x v="1"/>
    <x v="1"/>
    <x v="455"/>
    <n v="15701"/>
    <n v="6"/>
    <s v="Y"/>
    <x v="1"/>
    <n v="12"/>
    <x v="0"/>
    <x v="2"/>
    <n v="80"/>
    <n v="1"/>
    <n v="8"/>
    <n v="2"/>
    <x v="2"/>
    <x v="0"/>
    <n v="5"/>
    <x v="5"/>
    <x v="6"/>
    <x v="1"/>
    <x v="0"/>
    <x v="0"/>
    <n v="0"/>
  </r>
  <r>
    <x v="1"/>
    <x v="1"/>
    <x v="0"/>
    <n v="1245"/>
    <x v="1"/>
    <n v="18"/>
    <x v="2"/>
    <x v="0"/>
    <x v="0"/>
    <n v="638"/>
    <x v="2"/>
    <x v="1"/>
    <n v="58"/>
    <x v="1"/>
    <x v="4"/>
    <x v="7"/>
    <x v="2"/>
    <x v="2"/>
    <x v="456"/>
    <n v="2125"/>
    <n v="1"/>
    <s v="Y"/>
    <x v="0"/>
    <n v="17"/>
    <x v="0"/>
    <x v="3"/>
    <n v="80"/>
    <n v="1"/>
    <n v="31"/>
    <n v="5"/>
    <x v="1"/>
    <x v="31"/>
    <n v="9"/>
    <x v="0"/>
    <x v="12"/>
    <x v="0"/>
    <x v="3"/>
    <x v="2"/>
    <n v="0"/>
  </r>
  <r>
    <x v="17"/>
    <x v="1"/>
    <x v="0"/>
    <n v="691"/>
    <x v="1"/>
    <n v="23"/>
    <x v="3"/>
    <x v="2"/>
    <x v="0"/>
    <n v="639"/>
    <x v="0"/>
    <x v="1"/>
    <n v="89"/>
    <x v="2"/>
    <x v="1"/>
    <x v="1"/>
    <x v="0"/>
    <x v="1"/>
    <x v="457"/>
    <n v="21630"/>
    <n v="1"/>
    <s v="Y"/>
    <x v="0"/>
    <n v="11"/>
    <x v="0"/>
    <x v="2"/>
    <n v="80"/>
    <n v="2"/>
    <n v="6"/>
    <n v="3"/>
    <x v="1"/>
    <x v="0"/>
    <n v="5"/>
    <x v="1"/>
    <x v="10"/>
    <x v="2"/>
    <x v="0"/>
    <x v="1"/>
    <n v="0"/>
  </r>
  <r>
    <x v="25"/>
    <x v="1"/>
    <x v="0"/>
    <n v="703"/>
    <x v="0"/>
    <n v="28"/>
    <x v="0"/>
    <x v="3"/>
    <x v="0"/>
    <n v="641"/>
    <x v="3"/>
    <x v="1"/>
    <n v="66"/>
    <x v="0"/>
    <x v="0"/>
    <x v="0"/>
    <x v="1"/>
    <x v="1"/>
    <x v="458"/>
    <n v="7428"/>
    <n v="1"/>
    <s v="Y"/>
    <x v="1"/>
    <n v="20"/>
    <x v="1"/>
    <x v="1"/>
    <n v="80"/>
    <n v="2"/>
    <n v="6"/>
    <n v="5"/>
    <x v="3"/>
    <x v="8"/>
    <n v="3"/>
    <x v="1"/>
    <x v="10"/>
    <x v="2"/>
    <x v="2"/>
    <x v="0"/>
    <n v="0"/>
  </r>
  <r>
    <x v="17"/>
    <x v="1"/>
    <x v="0"/>
    <n v="823"/>
    <x v="1"/>
    <n v="17"/>
    <x v="0"/>
    <x v="1"/>
    <x v="0"/>
    <n v="643"/>
    <x v="2"/>
    <x v="1"/>
    <n v="94"/>
    <x v="1"/>
    <x v="1"/>
    <x v="2"/>
    <x v="1"/>
    <x v="1"/>
    <x v="459"/>
    <n v="9100"/>
    <n v="1"/>
    <s v="Y"/>
    <x v="1"/>
    <n v="21"/>
    <x v="1"/>
    <x v="1"/>
    <n v="80"/>
    <n v="1"/>
    <n v="1"/>
    <n v="2"/>
    <x v="1"/>
    <x v="6"/>
    <n v="0"/>
    <x v="0"/>
    <x v="2"/>
    <x v="2"/>
    <x v="1"/>
    <x v="1"/>
    <n v="0"/>
  </r>
  <r>
    <x v="24"/>
    <x v="1"/>
    <x v="1"/>
    <n v="1246"/>
    <x v="2"/>
    <n v="3"/>
    <x v="3"/>
    <x v="2"/>
    <x v="0"/>
    <n v="644"/>
    <x v="3"/>
    <x v="1"/>
    <n v="99"/>
    <x v="0"/>
    <x v="4"/>
    <x v="5"/>
    <x v="1"/>
    <x v="1"/>
    <x v="460"/>
    <n v="7999"/>
    <n v="1"/>
    <s v="Y"/>
    <x v="1"/>
    <n v="11"/>
    <x v="0"/>
    <x v="3"/>
    <n v="80"/>
    <n v="1"/>
    <n v="32"/>
    <n v="2"/>
    <x v="1"/>
    <x v="32"/>
    <n v="5"/>
    <x v="13"/>
    <x v="1"/>
    <x v="3"/>
    <x v="3"/>
    <x v="2"/>
    <n v="0"/>
  </r>
  <r>
    <x v="36"/>
    <x v="1"/>
    <x v="0"/>
    <n v="622"/>
    <x v="0"/>
    <n v="13"/>
    <x v="1"/>
    <x v="2"/>
    <x v="0"/>
    <n v="645"/>
    <x v="0"/>
    <x v="1"/>
    <n v="40"/>
    <x v="0"/>
    <x v="1"/>
    <x v="6"/>
    <x v="2"/>
    <x v="1"/>
    <x v="461"/>
    <n v="26376"/>
    <n v="1"/>
    <s v="Y"/>
    <x v="1"/>
    <n v="11"/>
    <x v="0"/>
    <x v="3"/>
    <n v="80"/>
    <n v="0"/>
    <n v="7"/>
    <n v="1"/>
    <x v="1"/>
    <x v="5"/>
    <n v="4"/>
    <x v="0"/>
    <x v="4"/>
    <x v="2"/>
    <x v="0"/>
    <x v="1"/>
    <n v="0"/>
  </r>
  <r>
    <x v="17"/>
    <x v="0"/>
    <x v="1"/>
    <n v="1287"/>
    <x v="1"/>
    <n v="7"/>
    <x v="3"/>
    <x v="0"/>
    <x v="0"/>
    <n v="647"/>
    <x v="3"/>
    <x v="0"/>
    <n v="55"/>
    <x v="0"/>
    <x v="1"/>
    <x v="2"/>
    <x v="2"/>
    <x v="1"/>
    <x v="407"/>
    <n v="14168"/>
    <n v="1"/>
    <s v="Y"/>
    <x v="0"/>
    <n v="16"/>
    <x v="0"/>
    <x v="1"/>
    <n v="80"/>
    <n v="1"/>
    <n v="6"/>
    <n v="4"/>
    <x v="1"/>
    <x v="0"/>
    <n v="3"/>
    <x v="1"/>
    <x v="3"/>
    <x v="2"/>
    <x v="0"/>
    <x v="1"/>
    <n v="1"/>
  </r>
  <r>
    <x v="7"/>
    <x v="0"/>
    <x v="1"/>
    <n v="448"/>
    <x v="0"/>
    <n v="12"/>
    <x v="2"/>
    <x v="0"/>
    <x v="0"/>
    <n v="648"/>
    <x v="0"/>
    <x v="1"/>
    <n v="74"/>
    <x v="1"/>
    <x v="1"/>
    <x v="6"/>
    <x v="3"/>
    <x v="1"/>
    <x v="462"/>
    <n v="14470"/>
    <n v="1"/>
    <s v="Y"/>
    <x v="1"/>
    <n v="18"/>
    <x v="0"/>
    <x v="3"/>
    <n v="80"/>
    <n v="1"/>
    <n v="1"/>
    <n v="2"/>
    <x v="3"/>
    <x v="6"/>
    <n v="0"/>
    <x v="0"/>
    <x v="2"/>
    <x v="1"/>
    <x v="1"/>
    <x v="1"/>
    <n v="1"/>
  </r>
  <r>
    <x v="13"/>
    <x v="1"/>
    <x v="0"/>
    <n v="254"/>
    <x v="1"/>
    <n v="1"/>
    <x v="0"/>
    <x v="0"/>
    <x v="0"/>
    <n v="649"/>
    <x v="0"/>
    <x v="1"/>
    <n v="83"/>
    <x v="1"/>
    <x v="1"/>
    <x v="1"/>
    <x v="0"/>
    <x v="1"/>
    <x v="463"/>
    <n v="22794"/>
    <n v="1"/>
    <s v="Y"/>
    <x v="0"/>
    <n v="13"/>
    <x v="0"/>
    <x v="1"/>
    <n v="80"/>
    <n v="1"/>
    <n v="6"/>
    <n v="3"/>
    <x v="1"/>
    <x v="0"/>
    <n v="5"/>
    <x v="1"/>
    <x v="6"/>
    <x v="1"/>
    <x v="0"/>
    <x v="1"/>
    <n v="0"/>
  </r>
  <r>
    <x v="12"/>
    <x v="0"/>
    <x v="0"/>
    <n v="1365"/>
    <x v="0"/>
    <n v="13"/>
    <x v="2"/>
    <x v="2"/>
    <x v="0"/>
    <n v="650"/>
    <x v="0"/>
    <x v="1"/>
    <n v="46"/>
    <x v="0"/>
    <x v="0"/>
    <x v="0"/>
    <x v="3"/>
    <x v="2"/>
    <x v="464"/>
    <n v="11512"/>
    <n v="2"/>
    <s v="Y"/>
    <x v="1"/>
    <n v="17"/>
    <x v="0"/>
    <x v="3"/>
    <n v="80"/>
    <n v="0"/>
    <n v="9"/>
    <n v="2"/>
    <x v="0"/>
    <x v="11"/>
    <n v="1"/>
    <x v="1"/>
    <x v="3"/>
    <x v="1"/>
    <x v="2"/>
    <x v="1"/>
    <n v="1"/>
  </r>
  <r>
    <x v="10"/>
    <x v="1"/>
    <x v="0"/>
    <n v="538"/>
    <x v="1"/>
    <n v="25"/>
    <x v="0"/>
    <x v="1"/>
    <x v="0"/>
    <n v="652"/>
    <x v="3"/>
    <x v="1"/>
    <n v="54"/>
    <x v="1"/>
    <x v="0"/>
    <x v="2"/>
    <x v="0"/>
    <x v="0"/>
    <x v="465"/>
    <n v="14004"/>
    <n v="4"/>
    <s v="Y"/>
    <x v="1"/>
    <n v="14"/>
    <x v="0"/>
    <x v="1"/>
    <n v="80"/>
    <n v="0"/>
    <n v="9"/>
    <n v="3"/>
    <x v="1"/>
    <x v="11"/>
    <n v="2"/>
    <x v="0"/>
    <x v="3"/>
    <x v="1"/>
    <x v="2"/>
    <x v="1"/>
    <n v="0"/>
  </r>
  <r>
    <x v="12"/>
    <x v="1"/>
    <x v="0"/>
    <n v="525"/>
    <x v="0"/>
    <n v="6"/>
    <x v="2"/>
    <x v="2"/>
    <x v="0"/>
    <n v="653"/>
    <x v="3"/>
    <x v="1"/>
    <n v="66"/>
    <x v="2"/>
    <x v="0"/>
    <x v="0"/>
    <x v="0"/>
    <x v="2"/>
    <x v="466"/>
    <n v="6219"/>
    <n v="4"/>
    <s v="Y"/>
    <x v="1"/>
    <n v="22"/>
    <x v="1"/>
    <x v="1"/>
    <n v="80"/>
    <n v="2"/>
    <n v="13"/>
    <n v="4"/>
    <x v="3"/>
    <x v="5"/>
    <n v="7"/>
    <x v="8"/>
    <x v="1"/>
    <x v="1"/>
    <x v="0"/>
    <x v="0"/>
    <n v="0"/>
  </r>
  <r>
    <x v="4"/>
    <x v="1"/>
    <x v="0"/>
    <n v="798"/>
    <x v="1"/>
    <n v="6"/>
    <x v="2"/>
    <x v="2"/>
    <x v="0"/>
    <n v="655"/>
    <x v="3"/>
    <x v="0"/>
    <n v="66"/>
    <x v="1"/>
    <x v="1"/>
    <x v="1"/>
    <x v="2"/>
    <x v="2"/>
    <x v="467"/>
    <n v="5013"/>
    <n v="0"/>
    <s v="Y"/>
    <x v="1"/>
    <n v="12"/>
    <x v="0"/>
    <x v="3"/>
    <n v="80"/>
    <n v="2"/>
    <n v="6"/>
    <n v="5"/>
    <x v="2"/>
    <x v="8"/>
    <n v="3"/>
    <x v="0"/>
    <x v="6"/>
    <x v="2"/>
    <x v="2"/>
    <x v="1"/>
    <n v="0"/>
  </r>
  <r>
    <x v="2"/>
    <x v="1"/>
    <x v="0"/>
    <n v="558"/>
    <x v="0"/>
    <n v="2"/>
    <x v="3"/>
    <x v="3"/>
    <x v="0"/>
    <n v="656"/>
    <x v="2"/>
    <x v="1"/>
    <n v="75"/>
    <x v="0"/>
    <x v="0"/>
    <x v="0"/>
    <x v="2"/>
    <x v="1"/>
    <x v="468"/>
    <n v="3010"/>
    <n v="4"/>
    <s v="Y"/>
    <x v="0"/>
    <n v="11"/>
    <x v="0"/>
    <x v="3"/>
    <n v="80"/>
    <n v="1"/>
    <n v="17"/>
    <n v="3"/>
    <x v="2"/>
    <x v="11"/>
    <n v="0"/>
    <x v="1"/>
    <x v="2"/>
    <x v="1"/>
    <x v="2"/>
    <x v="0"/>
    <n v="0"/>
  </r>
  <r>
    <x v="35"/>
    <x v="1"/>
    <x v="0"/>
    <n v="959"/>
    <x v="1"/>
    <n v="1"/>
    <x v="3"/>
    <x v="0"/>
    <x v="0"/>
    <n v="657"/>
    <x v="2"/>
    <x v="0"/>
    <n v="83"/>
    <x v="1"/>
    <x v="1"/>
    <x v="1"/>
    <x v="1"/>
    <x v="0"/>
    <x v="469"/>
    <n v="11757"/>
    <n v="1"/>
    <s v="Y"/>
    <x v="1"/>
    <n v="13"/>
    <x v="0"/>
    <x v="1"/>
    <n v="80"/>
    <n v="0"/>
    <n v="1"/>
    <n v="0"/>
    <x v="3"/>
    <x v="6"/>
    <n v="0"/>
    <x v="0"/>
    <x v="2"/>
    <x v="2"/>
    <x v="1"/>
    <x v="1"/>
    <n v="0"/>
  </r>
  <r>
    <x v="19"/>
    <x v="1"/>
    <x v="0"/>
    <n v="622"/>
    <x v="1"/>
    <n v="2"/>
    <x v="2"/>
    <x v="0"/>
    <x v="0"/>
    <n v="659"/>
    <x v="1"/>
    <x v="0"/>
    <n v="81"/>
    <x v="0"/>
    <x v="0"/>
    <x v="4"/>
    <x v="0"/>
    <x v="1"/>
    <x v="470"/>
    <n v="5718"/>
    <n v="1"/>
    <s v="Y"/>
    <x v="1"/>
    <n v="13"/>
    <x v="0"/>
    <x v="2"/>
    <n v="80"/>
    <n v="2"/>
    <n v="10"/>
    <n v="4"/>
    <x v="1"/>
    <x v="1"/>
    <n v="2"/>
    <x v="3"/>
    <x v="3"/>
    <x v="0"/>
    <x v="0"/>
    <x v="1"/>
    <n v="0"/>
  </r>
  <r>
    <x v="23"/>
    <x v="1"/>
    <x v="0"/>
    <n v="782"/>
    <x v="1"/>
    <n v="6"/>
    <x v="2"/>
    <x v="1"/>
    <x v="0"/>
    <n v="661"/>
    <x v="0"/>
    <x v="1"/>
    <n v="50"/>
    <x v="1"/>
    <x v="3"/>
    <x v="7"/>
    <x v="0"/>
    <x v="2"/>
    <x v="471"/>
    <n v="2671"/>
    <n v="4"/>
    <s v="Y"/>
    <x v="0"/>
    <n v="14"/>
    <x v="0"/>
    <x v="3"/>
    <n v="80"/>
    <n v="1"/>
    <n v="21"/>
    <n v="3"/>
    <x v="2"/>
    <x v="6"/>
    <n v="0"/>
    <x v="0"/>
    <x v="2"/>
    <x v="0"/>
    <x v="1"/>
    <x v="2"/>
    <n v="0"/>
  </r>
  <r>
    <x v="8"/>
    <x v="1"/>
    <x v="0"/>
    <n v="362"/>
    <x v="1"/>
    <n v="1"/>
    <x v="1"/>
    <x v="0"/>
    <x v="0"/>
    <n v="662"/>
    <x v="1"/>
    <x v="0"/>
    <n v="43"/>
    <x v="0"/>
    <x v="1"/>
    <x v="1"/>
    <x v="3"/>
    <x v="0"/>
    <x v="472"/>
    <n v="14561"/>
    <n v="3"/>
    <s v="Y"/>
    <x v="1"/>
    <n v="17"/>
    <x v="0"/>
    <x v="1"/>
    <n v="80"/>
    <n v="0"/>
    <n v="8"/>
    <n v="3"/>
    <x v="2"/>
    <x v="2"/>
    <n v="0"/>
    <x v="0"/>
    <x v="2"/>
    <x v="1"/>
    <x v="1"/>
    <x v="1"/>
    <n v="0"/>
  </r>
  <r>
    <x v="23"/>
    <x v="1"/>
    <x v="1"/>
    <n v="1001"/>
    <x v="1"/>
    <n v="9"/>
    <x v="4"/>
    <x v="2"/>
    <x v="0"/>
    <n v="663"/>
    <x v="2"/>
    <x v="1"/>
    <n v="72"/>
    <x v="0"/>
    <x v="0"/>
    <x v="2"/>
    <x v="2"/>
    <x v="2"/>
    <x v="473"/>
    <n v="19627"/>
    <n v="3"/>
    <s v="Y"/>
    <x v="0"/>
    <n v="13"/>
    <x v="0"/>
    <x v="2"/>
    <n v="80"/>
    <n v="1"/>
    <n v="10"/>
    <n v="3"/>
    <x v="1"/>
    <x v="3"/>
    <n v="7"/>
    <x v="5"/>
    <x v="1"/>
    <x v="0"/>
    <x v="0"/>
    <x v="0"/>
    <n v="0"/>
  </r>
  <r>
    <x v="26"/>
    <x v="1"/>
    <x v="0"/>
    <n v="1236"/>
    <x v="1"/>
    <n v="1"/>
    <x v="2"/>
    <x v="0"/>
    <x v="0"/>
    <n v="664"/>
    <x v="2"/>
    <x v="0"/>
    <n v="40"/>
    <x v="1"/>
    <x v="3"/>
    <x v="5"/>
    <x v="3"/>
    <x v="1"/>
    <x v="474"/>
    <n v="17997"/>
    <n v="7"/>
    <s v="Y"/>
    <x v="1"/>
    <n v="11"/>
    <x v="0"/>
    <x v="0"/>
    <n v="80"/>
    <n v="1"/>
    <n v="21"/>
    <n v="3"/>
    <x v="0"/>
    <x v="11"/>
    <n v="2"/>
    <x v="0"/>
    <x v="3"/>
    <x v="0"/>
    <x v="2"/>
    <x v="2"/>
    <n v="0"/>
  </r>
  <r>
    <x v="20"/>
    <x v="1"/>
    <x v="0"/>
    <n v="1112"/>
    <x v="2"/>
    <n v="1"/>
    <x v="2"/>
    <x v="0"/>
    <x v="0"/>
    <n v="665"/>
    <x v="3"/>
    <x v="0"/>
    <n v="50"/>
    <x v="1"/>
    <x v="0"/>
    <x v="8"/>
    <x v="2"/>
    <x v="0"/>
    <x v="475"/>
    <n v="26894"/>
    <n v="4"/>
    <s v="Y"/>
    <x v="1"/>
    <n v="11"/>
    <x v="0"/>
    <x v="2"/>
    <n v="80"/>
    <n v="0"/>
    <n v="10"/>
    <n v="1"/>
    <x v="3"/>
    <x v="4"/>
    <n v="2"/>
    <x v="0"/>
    <x v="3"/>
    <x v="0"/>
    <x v="1"/>
    <x v="0"/>
    <n v="0"/>
  </r>
  <r>
    <x v="13"/>
    <x v="1"/>
    <x v="0"/>
    <n v="204"/>
    <x v="0"/>
    <n v="14"/>
    <x v="3"/>
    <x v="4"/>
    <x v="0"/>
    <n v="666"/>
    <x v="1"/>
    <x v="0"/>
    <n v="31"/>
    <x v="0"/>
    <x v="1"/>
    <x v="6"/>
    <x v="2"/>
    <x v="2"/>
    <x v="476"/>
    <n v="2912"/>
    <n v="1"/>
    <s v="Y"/>
    <x v="0"/>
    <n v="18"/>
    <x v="0"/>
    <x v="1"/>
    <n v="80"/>
    <n v="2"/>
    <n v="8"/>
    <n v="3"/>
    <x v="1"/>
    <x v="3"/>
    <n v="2"/>
    <x v="0"/>
    <x v="4"/>
    <x v="1"/>
    <x v="0"/>
    <x v="1"/>
    <n v="0"/>
  </r>
  <r>
    <x v="4"/>
    <x v="0"/>
    <x v="0"/>
    <n v="1420"/>
    <x v="0"/>
    <n v="2"/>
    <x v="1"/>
    <x v="3"/>
    <x v="0"/>
    <n v="667"/>
    <x v="1"/>
    <x v="1"/>
    <n v="85"/>
    <x v="0"/>
    <x v="1"/>
    <x v="6"/>
    <x v="3"/>
    <x v="2"/>
    <x v="477"/>
    <n v="16346"/>
    <n v="0"/>
    <s v="Y"/>
    <x v="1"/>
    <n v="11"/>
    <x v="0"/>
    <x v="2"/>
    <n v="80"/>
    <n v="1"/>
    <n v="5"/>
    <n v="3"/>
    <x v="1"/>
    <x v="9"/>
    <n v="3"/>
    <x v="0"/>
    <x v="3"/>
    <x v="2"/>
    <x v="2"/>
    <x v="1"/>
    <n v="1"/>
  </r>
  <r>
    <x v="18"/>
    <x v="1"/>
    <x v="0"/>
    <n v="1343"/>
    <x v="0"/>
    <n v="22"/>
    <x v="1"/>
    <x v="4"/>
    <x v="0"/>
    <n v="669"/>
    <x v="1"/>
    <x v="1"/>
    <n v="49"/>
    <x v="0"/>
    <x v="1"/>
    <x v="6"/>
    <x v="2"/>
    <x v="0"/>
    <x v="478"/>
    <n v="24444"/>
    <n v="1"/>
    <s v="Y"/>
    <x v="1"/>
    <n v="11"/>
    <x v="0"/>
    <x v="3"/>
    <n v="80"/>
    <n v="0"/>
    <n v="3"/>
    <n v="2"/>
    <x v="1"/>
    <x v="11"/>
    <n v="2"/>
    <x v="1"/>
    <x v="3"/>
    <x v="2"/>
    <x v="2"/>
    <x v="1"/>
    <n v="0"/>
  </r>
  <r>
    <x v="20"/>
    <x v="1"/>
    <x v="0"/>
    <n v="1315"/>
    <x v="1"/>
    <n v="3"/>
    <x v="2"/>
    <x v="1"/>
    <x v="0"/>
    <n v="671"/>
    <x v="2"/>
    <x v="1"/>
    <n v="35"/>
    <x v="0"/>
    <x v="4"/>
    <x v="5"/>
    <x v="0"/>
    <x v="1"/>
    <x v="479"/>
    <n v="9358"/>
    <n v="4"/>
    <s v="Y"/>
    <x v="0"/>
    <n v="12"/>
    <x v="0"/>
    <x v="0"/>
    <n v="80"/>
    <n v="1"/>
    <n v="26"/>
    <n v="2"/>
    <x v="3"/>
    <x v="4"/>
    <n v="2"/>
    <x v="0"/>
    <x v="9"/>
    <x v="0"/>
    <x v="1"/>
    <x v="2"/>
    <n v="0"/>
  </r>
  <r>
    <x v="15"/>
    <x v="1"/>
    <x v="0"/>
    <n v="604"/>
    <x v="1"/>
    <n v="6"/>
    <x v="1"/>
    <x v="2"/>
    <x v="0"/>
    <n v="675"/>
    <x v="3"/>
    <x v="1"/>
    <n v="69"/>
    <x v="0"/>
    <x v="1"/>
    <x v="1"/>
    <x v="2"/>
    <x v="1"/>
    <x v="480"/>
    <n v="12145"/>
    <n v="0"/>
    <s v="Y"/>
    <x v="1"/>
    <n v="20"/>
    <x v="1"/>
    <x v="1"/>
    <n v="80"/>
    <n v="0"/>
    <n v="3"/>
    <n v="3"/>
    <x v="1"/>
    <x v="4"/>
    <n v="2"/>
    <x v="3"/>
    <x v="3"/>
    <x v="2"/>
    <x v="1"/>
    <x v="1"/>
    <n v="0"/>
  </r>
  <r>
    <x v="3"/>
    <x v="1"/>
    <x v="0"/>
    <n v="1216"/>
    <x v="0"/>
    <n v="8"/>
    <x v="2"/>
    <x v="3"/>
    <x v="0"/>
    <n v="677"/>
    <x v="1"/>
    <x v="1"/>
    <n v="39"/>
    <x v="0"/>
    <x v="0"/>
    <x v="0"/>
    <x v="2"/>
    <x v="2"/>
    <x v="481"/>
    <n v="20431"/>
    <n v="0"/>
    <s v="Y"/>
    <x v="1"/>
    <n v="12"/>
    <x v="0"/>
    <x v="1"/>
    <n v="80"/>
    <n v="0"/>
    <n v="6"/>
    <n v="3"/>
    <x v="1"/>
    <x v="8"/>
    <n v="0"/>
    <x v="1"/>
    <x v="3"/>
    <x v="1"/>
    <x v="2"/>
    <x v="0"/>
    <n v="0"/>
  </r>
  <r>
    <x v="5"/>
    <x v="1"/>
    <x v="0"/>
    <n v="646"/>
    <x v="1"/>
    <n v="9"/>
    <x v="2"/>
    <x v="0"/>
    <x v="0"/>
    <n v="679"/>
    <x v="3"/>
    <x v="0"/>
    <n v="92"/>
    <x v="0"/>
    <x v="0"/>
    <x v="1"/>
    <x v="0"/>
    <x v="1"/>
    <x v="482"/>
    <n v="18089"/>
    <n v="1"/>
    <s v="Y"/>
    <x v="0"/>
    <n v="12"/>
    <x v="0"/>
    <x v="1"/>
    <n v="80"/>
    <n v="1"/>
    <n v="6"/>
    <n v="2"/>
    <x v="2"/>
    <x v="0"/>
    <n v="4"/>
    <x v="0"/>
    <x v="0"/>
    <x v="1"/>
    <x v="0"/>
    <x v="0"/>
    <n v="0"/>
  </r>
  <r>
    <x v="7"/>
    <x v="1"/>
    <x v="1"/>
    <n v="160"/>
    <x v="1"/>
    <n v="3"/>
    <x v="3"/>
    <x v="2"/>
    <x v="0"/>
    <n v="680"/>
    <x v="1"/>
    <x v="0"/>
    <n v="71"/>
    <x v="0"/>
    <x v="1"/>
    <x v="1"/>
    <x v="2"/>
    <x v="2"/>
    <x v="483"/>
    <n v="22653"/>
    <n v="1"/>
    <s v="Y"/>
    <x v="1"/>
    <n v="20"/>
    <x v="1"/>
    <x v="3"/>
    <n v="80"/>
    <n v="1"/>
    <n v="1"/>
    <n v="2"/>
    <x v="1"/>
    <x v="6"/>
    <n v="0"/>
    <x v="0"/>
    <x v="2"/>
    <x v="1"/>
    <x v="1"/>
    <x v="1"/>
    <n v="0"/>
  </r>
  <r>
    <x v="16"/>
    <x v="1"/>
    <x v="0"/>
    <n v="238"/>
    <x v="0"/>
    <n v="1"/>
    <x v="1"/>
    <x v="2"/>
    <x v="0"/>
    <n v="682"/>
    <x v="2"/>
    <x v="0"/>
    <n v="34"/>
    <x v="0"/>
    <x v="0"/>
    <x v="0"/>
    <x v="3"/>
    <x v="0"/>
    <x v="484"/>
    <n v="7507"/>
    <n v="7"/>
    <s v="Y"/>
    <x v="1"/>
    <n v="20"/>
    <x v="1"/>
    <x v="1"/>
    <n v="80"/>
    <n v="0"/>
    <n v="18"/>
    <n v="2"/>
    <x v="3"/>
    <x v="13"/>
    <n v="7"/>
    <x v="6"/>
    <x v="13"/>
    <x v="3"/>
    <x v="3"/>
    <x v="0"/>
    <n v="0"/>
  </r>
  <r>
    <x v="13"/>
    <x v="1"/>
    <x v="0"/>
    <n v="1397"/>
    <x v="1"/>
    <n v="1"/>
    <x v="4"/>
    <x v="0"/>
    <x v="0"/>
    <n v="683"/>
    <x v="0"/>
    <x v="1"/>
    <n v="42"/>
    <x v="0"/>
    <x v="1"/>
    <x v="1"/>
    <x v="0"/>
    <x v="1"/>
    <x v="485"/>
    <n v="7660"/>
    <n v="1"/>
    <s v="Y"/>
    <x v="1"/>
    <n v="12"/>
    <x v="0"/>
    <x v="1"/>
    <n v="80"/>
    <n v="1"/>
    <n v="10"/>
    <n v="4"/>
    <x v="2"/>
    <x v="1"/>
    <n v="9"/>
    <x v="6"/>
    <x v="5"/>
    <x v="1"/>
    <x v="0"/>
    <x v="1"/>
    <n v="0"/>
  </r>
  <r>
    <x v="28"/>
    <x v="0"/>
    <x v="1"/>
    <n v="306"/>
    <x v="0"/>
    <n v="26"/>
    <x v="2"/>
    <x v="0"/>
    <x v="0"/>
    <n v="684"/>
    <x v="3"/>
    <x v="0"/>
    <n v="100"/>
    <x v="0"/>
    <x v="0"/>
    <x v="0"/>
    <x v="3"/>
    <x v="1"/>
    <x v="486"/>
    <n v="5630"/>
    <n v="2"/>
    <s v="Y"/>
    <x v="1"/>
    <n v="14"/>
    <x v="0"/>
    <x v="1"/>
    <n v="80"/>
    <n v="2"/>
    <n v="5"/>
    <n v="4"/>
    <x v="1"/>
    <x v="6"/>
    <n v="1"/>
    <x v="0"/>
    <x v="2"/>
    <x v="0"/>
    <x v="1"/>
    <x v="1"/>
    <n v="1"/>
  </r>
  <r>
    <x v="25"/>
    <x v="1"/>
    <x v="0"/>
    <n v="991"/>
    <x v="1"/>
    <n v="6"/>
    <x v="3"/>
    <x v="0"/>
    <x v="0"/>
    <n v="686"/>
    <x v="1"/>
    <x v="0"/>
    <n v="71"/>
    <x v="0"/>
    <x v="1"/>
    <x v="2"/>
    <x v="0"/>
    <x v="1"/>
    <x v="487"/>
    <n v="17759"/>
    <n v="1"/>
    <s v="Y"/>
    <x v="0"/>
    <n v="13"/>
    <x v="0"/>
    <x v="3"/>
    <n v="80"/>
    <n v="1"/>
    <n v="3"/>
    <n v="2"/>
    <x v="1"/>
    <x v="11"/>
    <n v="2"/>
    <x v="0"/>
    <x v="3"/>
    <x v="2"/>
    <x v="2"/>
    <x v="1"/>
    <n v="0"/>
  </r>
  <r>
    <x v="2"/>
    <x v="1"/>
    <x v="0"/>
    <n v="482"/>
    <x v="1"/>
    <n v="3"/>
    <x v="3"/>
    <x v="1"/>
    <x v="0"/>
    <n v="689"/>
    <x v="1"/>
    <x v="1"/>
    <n v="36"/>
    <x v="0"/>
    <x v="2"/>
    <x v="3"/>
    <x v="2"/>
    <x v="1"/>
    <x v="488"/>
    <n v="9606"/>
    <n v="1"/>
    <s v="Y"/>
    <x v="1"/>
    <n v="15"/>
    <x v="0"/>
    <x v="3"/>
    <n v="80"/>
    <n v="1"/>
    <n v="10"/>
    <n v="2"/>
    <x v="1"/>
    <x v="1"/>
    <n v="7"/>
    <x v="4"/>
    <x v="5"/>
    <x v="1"/>
    <x v="0"/>
    <x v="0"/>
    <n v="0"/>
  </r>
  <r>
    <x v="11"/>
    <x v="1"/>
    <x v="0"/>
    <n v="1176"/>
    <x v="0"/>
    <n v="3"/>
    <x v="0"/>
    <x v="2"/>
    <x v="0"/>
    <n v="690"/>
    <x v="0"/>
    <x v="0"/>
    <n v="62"/>
    <x v="0"/>
    <x v="0"/>
    <x v="0"/>
    <x v="2"/>
    <x v="1"/>
    <x v="489"/>
    <n v="3487"/>
    <n v="1"/>
    <s v="Y"/>
    <x v="1"/>
    <n v="14"/>
    <x v="0"/>
    <x v="0"/>
    <n v="80"/>
    <n v="1"/>
    <n v="6"/>
    <n v="5"/>
    <x v="2"/>
    <x v="0"/>
    <n v="0"/>
    <x v="1"/>
    <x v="3"/>
    <x v="2"/>
    <x v="0"/>
    <x v="0"/>
    <n v="0"/>
  </r>
  <r>
    <x v="10"/>
    <x v="1"/>
    <x v="0"/>
    <n v="1017"/>
    <x v="1"/>
    <n v="6"/>
    <x v="2"/>
    <x v="0"/>
    <x v="0"/>
    <n v="691"/>
    <x v="0"/>
    <x v="1"/>
    <n v="82"/>
    <x v="3"/>
    <x v="0"/>
    <x v="1"/>
    <x v="0"/>
    <x v="0"/>
    <x v="490"/>
    <n v="19368"/>
    <n v="1"/>
    <s v="Y"/>
    <x v="1"/>
    <n v="13"/>
    <x v="0"/>
    <x v="2"/>
    <n v="80"/>
    <n v="0"/>
    <n v="17"/>
    <n v="3"/>
    <x v="1"/>
    <x v="18"/>
    <n v="11"/>
    <x v="14"/>
    <x v="5"/>
    <x v="1"/>
    <x v="3"/>
    <x v="0"/>
    <n v="0"/>
  </r>
  <r>
    <x v="3"/>
    <x v="1"/>
    <x v="1"/>
    <n v="1296"/>
    <x v="1"/>
    <n v="6"/>
    <x v="3"/>
    <x v="0"/>
    <x v="0"/>
    <n v="692"/>
    <x v="1"/>
    <x v="1"/>
    <n v="30"/>
    <x v="0"/>
    <x v="0"/>
    <x v="4"/>
    <x v="0"/>
    <x v="2"/>
    <x v="491"/>
    <n v="5335"/>
    <n v="3"/>
    <s v="Y"/>
    <x v="1"/>
    <n v="23"/>
    <x v="1"/>
    <x v="3"/>
    <n v="80"/>
    <n v="1"/>
    <n v="15"/>
    <n v="2"/>
    <x v="0"/>
    <x v="20"/>
    <n v="11"/>
    <x v="5"/>
    <x v="1"/>
    <x v="1"/>
    <x v="3"/>
    <x v="0"/>
    <n v="0"/>
  </r>
  <r>
    <x v="33"/>
    <x v="1"/>
    <x v="0"/>
    <n v="397"/>
    <x v="2"/>
    <n v="19"/>
    <x v="2"/>
    <x v="2"/>
    <x v="0"/>
    <n v="698"/>
    <x v="1"/>
    <x v="1"/>
    <n v="88"/>
    <x v="0"/>
    <x v="2"/>
    <x v="8"/>
    <x v="1"/>
    <x v="1"/>
    <x v="492"/>
    <n v="6729"/>
    <n v="2"/>
    <s v="Y"/>
    <x v="1"/>
    <n v="15"/>
    <x v="0"/>
    <x v="3"/>
    <n v="80"/>
    <n v="1"/>
    <n v="16"/>
    <n v="1"/>
    <x v="3"/>
    <x v="7"/>
    <n v="7"/>
    <x v="4"/>
    <x v="9"/>
    <x v="3"/>
    <x v="0"/>
    <x v="3"/>
    <n v="0"/>
  </r>
  <r>
    <x v="9"/>
    <x v="1"/>
    <x v="0"/>
    <n v="913"/>
    <x v="1"/>
    <n v="9"/>
    <x v="0"/>
    <x v="2"/>
    <x v="0"/>
    <n v="699"/>
    <x v="0"/>
    <x v="1"/>
    <n v="48"/>
    <x v="1"/>
    <x v="0"/>
    <x v="3"/>
    <x v="1"/>
    <x v="2"/>
    <x v="493"/>
    <n v="13934"/>
    <n v="2"/>
    <s v="Y"/>
    <x v="0"/>
    <n v="11"/>
    <x v="0"/>
    <x v="3"/>
    <n v="80"/>
    <n v="1"/>
    <n v="13"/>
    <n v="2"/>
    <x v="1"/>
    <x v="11"/>
    <n v="2"/>
    <x v="0"/>
    <x v="3"/>
    <x v="1"/>
    <x v="2"/>
    <x v="0"/>
    <n v="0"/>
  </r>
  <r>
    <x v="4"/>
    <x v="1"/>
    <x v="0"/>
    <n v="1115"/>
    <x v="1"/>
    <n v="3"/>
    <x v="2"/>
    <x v="2"/>
    <x v="0"/>
    <n v="700"/>
    <x v="3"/>
    <x v="1"/>
    <n v="54"/>
    <x v="1"/>
    <x v="1"/>
    <x v="1"/>
    <x v="0"/>
    <x v="0"/>
    <x v="494"/>
    <n v="15174"/>
    <n v="0"/>
    <s v="Y"/>
    <x v="1"/>
    <n v="13"/>
    <x v="0"/>
    <x v="1"/>
    <n v="80"/>
    <n v="0"/>
    <n v="5"/>
    <n v="0"/>
    <x v="1"/>
    <x v="9"/>
    <n v="2"/>
    <x v="1"/>
    <x v="9"/>
    <x v="2"/>
    <x v="2"/>
    <x v="1"/>
    <n v="0"/>
  </r>
  <r>
    <x v="35"/>
    <x v="0"/>
    <x v="0"/>
    <n v="1362"/>
    <x v="1"/>
    <n v="10"/>
    <x v="1"/>
    <x v="2"/>
    <x v="0"/>
    <n v="701"/>
    <x v="2"/>
    <x v="1"/>
    <n v="32"/>
    <x v="0"/>
    <x v="1"/>
    <x v="1"/>
    <x v="2"/>
    <x v="0"/>
    <x v="495"/>
    <n v="26999"/>
    <n v="1"/>
    <s v="Y"/>
    <x v="0"/>
    <n v="11"/>
    <x v="0"/>
    <x v="1"/>
    <n v="80"/>
    <n v="0"/>
    <n v="1"/>
    <n v="5"/>
    <x v="1"/>
    <x v="6"/>
    <n v="0"/>
    <x v="1"/>
    <x v="9"/>
    <x v="2"/>
    <x v="1"/>
    <x v="1"/>
    <n v="1"/>
  </r>
  <r>
    <x v="3"/>
    <x v="0"/>
    <x v="1"/>
    <n v="1076"/>
    <x v="1"/>
    <n v="3"/>
    <x v="3"/>
    <x v="0"/>
    <x v="0"/>
    <n v="702"/>
    <x v="3"/>
    <x v="1"/>
    <n v="70"/>
    <x v="0"/>
    <x v="1"/>
    <x v="1"/>
    <x v="3"/>
    <x v="0"/>
    <x v="496"/>
    <n v="3164"/>
    <n v="1"/>
    <s v="Y"/>
    <x v="0"/>
    <n v="11"/>
    <x v="0"/>
    <x v="0"/>
    <n v="80"/>
    <n v="0"/>
    <n v="10"/>
    <n v="3"/>
    <x v="1"/>
    <x v="1"/>
    <n v="8"/>
    <x v="10"/>
    <x v="1"/>
    <x v="1"/>
    <x v="0"/>
    <x v="1"/>
    <n v="1"/>
  </r>
  <r>
    <x v="10"/>
    <x v="1"/>
    <x v="2"/>
    <n v="727"/>
    <x v="1"/>
    <n v="3"/>
    <x v="3"/>
    <x v="0"/>
    <x v="0"/>
    <n v="704"/>
    <x v="1"/>
    <x v="1"/>
    <n v="41"/>
    <x v="1"/>
    <x v="1"/>
    <x v="2"/>
    <x v="2"/>
    <x v="1"/>
    <x v="497"/>
    <n v="16900"/>
    <n v="1"/>
    <s v="Y"/>
    <x v="1"/>
    <n v="18"/>
    <x v="0"/>
    <x v="3"/>
    <n v="80"/>
    <n v="2"/>
    <n v="1"/>
    <n v="3"/>
    <x v="1"/>
    <x v="6"/>
    <n v="0"/>
    <x v="0"/>
    <x v="2"/>
    <x v="1"/>
    <x v="1"/>
    <x v="1"/>
    <n v="0"/>
  </r>
  <r>
    <x v="30"/>
    <x v="1"/>
    <x v="0"/>
    <n v="885"/>
    <x v="1"/>
    <n v="4"/>
    <x v="3"/>
    <x v="2"/>
    <x v="0"/>
    <n v="705"/>
    <x v="3"/>
    <x v="1"/>
    <n v="58"/>
    <x v="2"/>
    <x v="1"/>
    <x v="1"/>
    <x v="3"/>
    <x v="1"/>
    <x v="498"/>
    <n v="8544"/>
    <n v="2"/>
    <s v="Y"/>
    <x v="1"/>
    <n v="16"/>
    <x v="0"/>
    <x v="0"/>
    <n v="80"/>
    <n v="1"/>
    <n v="5"/>
    <n v="3"/>
    <x v="3"/>
    <x v="11"/>
    <n v="2"/>
    <x v="0"/>
    <x v="3"/>
    <x v="2"/>
    <x v="2"/>
    <x v="1"/>
    <n v="0"/>
  </r>
  <r>
    <x v="36"/>
    <x v="1"/>
    <x v="0"/>
    <n v="810"/>
    <x v="0"/>
    <n v="8"/>
    <x v="3"/>
    <x v="0"/>
    <x v="0"/>
    <n v="707"/>
    <x v="2"/>
    <x v="1"/>
    <n v="57"/>
    <x v="2"/>
    <x v="0"/>
    <x v="0"/>
    <x v="1"/>
    <x v="1"/>
    <x v="499"/>
    <n v="15678"/>
    <n v="0"/>
    <s v="Y"/>
    <x v="1"/>
    <n v="22"/>
    <x v="1"/>
    <x v="3"/>
    <n v="80"/>
    <n v="1"/>
    <n v="4"/>
    <n v="4"/>
    <x v="1"/>
    <x v="11"/>
    <n v="2"/>
    <x v="1"/>
    <x v="3"/>
    <x v="2"/>
    <x v="2"/>
    <x v="1"/>
    <n v="0"/>
  </r>
  <r>
    <x v="8"/>
    <x v="1"/>
    <x v="0"/>
    <n v="243"/>
    <x v="0"/>
    <n v="7"/>
    <x v="2"/>
    <x v="3"/>
    <x v="0"/>
    <n v="709"/>
    <x v="2"/>
    <x v="0"/>
    <n v="46"/>
    <x v="1"/>
    <x v="0"/>
    <x v="0"/>
    <x v="0"/>
    <x v="0"/>
    <x v="500"/>
    <n v="7791"/>
    <n v="0"/>
    <s v="Y"/>
    <x v="1"/>
    <n v="20"/>
    <x v="1"/>
    <x v="0"/>
    <n v="80"/>
    <n v="0"/>
    <n v="8"/>
    <n v="2"/>
    <x v="1"/>
    <x v="5"/>
    <n v="7"/>
    <x v="0"/>
    <x v="0"/>
    <x v="1"/>
    <x v="0"/>
    <x v="1"/>
    <n v="0"/>
  </r>
  <r>
    <x v="11"/>
    <x v="1"/>
    <x v="1"/>
    <n v="806"/>
    <x v="1"/>
    <n v="1"/>
    <x v="2"/>
    <x v="0"/>
    <x v="0"/>
    <n v="710"/>
    <x v="0"/>
    <x v="1"/>
    <n v="76"/>
    <x v="3"/>
    <x v="1"/>
    <x v="1"/>
    <x v="0"/>
    <x v="2"/>
    <x v="143"/>
    <n v="18959"/>
    <n v="1"/>
    <s v="Y"/>
    <x v="1"/>
    <n v="18"/>
    <x v="0"/>
    <x v="1"/>
    <n v="80"/>
    <n v="1"/>
    <n v="10"/>
    <n v="5"/>
    <x v="1"/>
    <x v="1"/>
    <n v="7"/>
    <x v="3"/>
    <x v="5"/>
    <x v="2"/>
    <x v="0"/>
    <x v="1"/>
    <n v="0"/>
  </r>
  <r>
    <x v="26"/>
    <x v="1"/>
    <x v="0"/>
    <n v="817"/>
    <x v="0"/>
    <n v="2"/>
    <x v="1"/>
    <x v="3"/>
    <x v="0"/>
    <n v="712"/>
    <x v="0"/>
    <x v="1"/>
    <n v="56"/>
    <x v="2"/>
    <x v="0"/>
    <x v="0"/>
    <x v="1"/>
    <x v="1"/>
    <x v="501"/>
    <n v="18597"/>
    <n v="3"/>
    <s v="Y"/>
    <x v="1"/>
    <n v="12"/>
    <x v="0"/>
    <x v="1"/>
    <n v="80"/>
    <n v="0"/>
    <n v="12"/>
    <n v="3"/>
    <x v="1"/>
    <x v="4"/>
    <n v="2"/>
    <x v="3"/>
    <x v="3"/>
    <x v="0"/>
    <x v="1"/>
    <x v="0"/>
    <n v="0"/>
  </r>
  <r>
    <x v="4"/>
    <x v="1"/>
    <x v="1"/>
    <n v="1410"/>
    <x v="0"/>
    <n v="3"/>
    <x v="1"/>
    <x v="2"/>
    <x v="0"/>
    <n v="714"/>
    <x v="2"/>
    <x v="0"/>
    <n v="71"/>
    <x v="2"/>
    <x v="0"/>
    <x v="0"/>
    <x v="0"/>
    <x v="2"/>
    <x v="502"/>
    <n v="16673"/>
    <n v="1"/>
    <s v="Y"/>
    <x v="0"/>
    <n v="20"/>
    <x v="1"/>
    <x v="2"/>
    <n v="80"/>
    <n v="2"/>
    <n v="6"/>
    <n v="3"/>
    <x v="1"/>
    <x v="0"/>
    <n v="5"/>
    <x v="0"/>
    <x v="10"/>
    <x v="2"/>
    <x v="0"/>
    <x v="1"/>
    <n v="0"/>
  </r>
  <r>
    <x v="2"/>
    <x v="1"/>
    <x v="0"/>
    <n v="1225"/>
    <x v="1"/>
    <n v="10"/>
    <x v="0"/>
    <x v="0"/>
    <x v="0"/>
    <n v="715"/>
    <x v="2"/>
    <x v="1"/>
    <n v="80"/>
    <x v="2"/>
    <x v="1"/>
    <x v="1"/>
    <x v="0"/>
    <x v="0"/>
    <x v="503"/>
    <n v="15232"/>
    <n v="3"/>
    <s v="Y"/>
    <x v="1"/>
    <n v="17"/>
    <x v="0"/>
    <x v="0"/>
    <n v="80"/>
    <n v="0"/>
    <n v="4"/>
    <n v="2"/>
    <x v="1"/>
    <x v="6"/>
    <n v="0"/>
    <x v="0"/>
    <x v="2"/>
    <x v="1"/>
    <x v="1"/>
    <x v="1"/>
    <n v="0"/>
  </r>
  <r>
    <x v="24"/>
    <x v="1"/>
    <x v="0"/>
    <n v="1207"/>
    <x v="1"/>
    <n v="28"/>
    <x v="1"/>
    <x v="2"/>
    <x v="0"/>
    <n v="716"/>
    <x v="2"/>
    <x v="1"/>
    <n v="74"/>
    <x v="2"/>
    <x v="1"/>
    <x v="2"/>
    <x v="2"/>
    <x v="1"/>
    <x v="504"/>
    <n v="3297"/>
    <n v="1"/>
    <s v="Y"/>
    <x v="0"/>
    <n v="11"/>
    <x v="0"/>
    <x v="3"/>
    <n v="80"/>
    <n v="3"/>
    <n v="20"/>
    <n v="3"/>
    <x v="1"/>
    <x v="23"/>
    <n v="8"/>
    <x v="2"/>
    <x v="5"/>
    <x v="3"/>
    <x v="3"/>
    <x v="1"/>
    <n v="0"/>
  </r>
  <r>
    <x v="13"/>
    <x v="1"/>
    <x v="0"/>
    <n v="1442"/>
    <x v="1"/>
    <n v="9"/>
    <x v="3"/>
    <x v="2"/>
    <x v="0"/>
    <n v="717"/>
    <x v="2"/>
    <x v="0"/>
    <n v="46"/>
    <x v="1"/>
    <x v="2"/>
    <x v="4"/>
    <x v="1"/>
    <x v="0"/>
    <x v="505"/>
    <n v="17654"/>
    <n v="1"/>
    <s v="Y"/>
    <x v="1"/>
    <n v="14"/>
    <x v="0"/>
    <x v="2"/>
    <n v="80"/>
    <n v="0"/>
    <n v="9"/>
    <n v="3"/>
    <x v="3"/>
    <x v="3"/>
    <n v="7"/>
    <x v="4"/>
    <x v="1"/>
    <x v="1"/>
    <x v="0"/>
    <x v="0"/>
    <n v="0"/>
  </r>
  <r>
    <x v="17"/>
    <x v="0"/>
    <x v="0"/>
    <n v="693"/>
    <x v="0"/>
    <n v="3"/>
    <x v="0"/>
    <x v="0"/>
    <x v="0"/>
    <n v="720"/>
    <x v="3"/>
    <x v="0"/>
    <n v="65"/>
    <x v="0"/>
    <x v="0"/>
    <x v="0"/>
    <x v="2"/>
    <x v="0"/>
    <x v="506"/>
    <n v="24785"/>
    <n v="9"/>
    <s v="Y"/>
    <x v="1"/>
    <n v="14"/>
    <x v="0"/>
    <x v="0"/>
    <n v="80"/>
    <n v="0"/>
    <n v="4"/>
    <n v="3"/>
    <x v="1"/>
    <x v="4"/>
    <n v="2"/>
    <x v="3"/>
    <x v="2"/>
    <x v="2"/>
    <x v="1"/>
    <x v="1"/>
    <n v="1"/>
  </r>
  <r>
    <x v="22"/>
    <x v="1"/>
    <x v="0"/>
    <n v="408"/>
    <x v="1"/>
    <n v="2"/>
    <x v="2"/>
    <x v="4"/>
    <x v="0"/>
    <n v="721"/>
    <x v="2"/>
    <x v="0"/>
    <n v="80"/>
    <x v="1"/>
    <x v="0"/>
    <x v="4"/>
    <x v="2"/>
    <x v="0"/>
    <x v="507"/>
    <n v="20978"/>
    <n v="1"/>
    <s v="Y"/>
    <x v="1"/>
    <n v="11"/>
    <x v="0"/>
    <x v="0"/>
    <n v="80"/>
    <n v="0"/>
    <n v="20"/>
    <n v="4"/>
    <x v="1"/>
    <x v="23"/>
    <n v="7"/>
    <x v="14"/>
    <x v="13"/>
    <x v="1"/>
    <x v="3"/>
    <x v="1"/>
    <n v="0"/>
  </r>
  <r>
    <x v="5"/>
    <x v="1"/>
    <x v="0"/>
    <n v="929"/>
    <x v="0"/>
    <n v="10"/>
    <x v="3"/>
    <x v="3"/>
    <x v="0"/>
    <n v="722"/>
    <x v="2"/>
    <x v="1"/>
    <n v="55"/>
    <x v="0"/>
    <x v="0"/>
    <x v="0"/>
    <x v="0"/>
    <x v="0"/>
    <x v="508"/>
    <n v="21703"/>
    <n v="1"/>
    <s v="Y"/>
    <x v="1"/>
    <n v="12"/>
    <x v="0"/>
    <x v="1"/>
    <n v="80"/>
    <n v="0"/>
    <n v="10"/>
    <n v="2"/>
    <x v="2"/>
    <x v="1"/>
    <n v="7"/>
    <x v="0"/>
    <x v="5"/>
    <x v="1"/>
    <x v="0"/>
    <x v="0"/>
    <n v="0"/>
  </r>
  <r>
    <x v="24"/>
    <x v="0"/>
    <x v="1"/>
    <n v="562"/>
    <x v="0"/>
    <n v="8"/>
    <x v="0"/>
    <x v="4"/>
    <x v="0"/>
    <n v="723"/>
    <x v="0"/>
    <x v="1"/>
    <n v="50"/>
    <x v="0"/>
    <x v="0"/>
    <x v="0"/>
    <x v="2"/>
    <x v="1"/>
    <x v="509"/>
    <n v="23452"/>
    <n v="3"/>
    <s v="Y"/>
    <x v="0"/>
    <n v="14"/>
    <x v="0"/>
    <x v="0"/>
    <n v="80"/>
    <n v="1"/>
    <n v="18"/>
    <n v="4"/>
    <x v="1"/>
    <x v="9"/>
    <n v="3"/>
    <x v="1"/>
    <x v="6"/>
    <x v="3"/>
    <x v="2"/>
    <x v="0"/>
    <n v="1"/>
  </r>
  <r>
    <x v="8"/>
    <x v="1"/>
    <x v="0"/>
    <n v="827"/>
    <x v="1"/>
    <n v="1"/>
    <x v="2"/>
    <x v="0"/>
    <x v="0"/>
    <n v="724"/>
    <x v="0"/>
    <x v="0"/>
    <n v="33"/>
    <x v="2"/>
    <x v="0"/>
    <x v="4"/>
    <x v="0"/>
    <x v="0"/>
    <x v="510"/>
    <n v="19383"/>
    <n v="0"/>
    <s v="Y"/>
    <x v="1"/>
    <n v="13"/>
    <x v="0"/>
    <x v="3"/>
    <n v="80"/>
    <n v="0"/>
    <n v="10"/>
    <n v="4"/>
    <x v="2"/>
    <x v="7"/>
    <n v="7"/>
    <x v="1"/>
    <x v="5"/>
    <x v="1"/>
    <x v="0"/>
    <x v="0"/>
    <n v="0"/>
  </r>
  <r>
    <x v="4"/>
    <x v="1"/>
    <x v="0"/>
    <n v="608"/>
    <x v="1"/>
    <n v="1"/>
    <x v="0"/>
    <x v="0"/>
    <x v="0"/>
    <n v="725"/>
    <x v="1"/>
    <x v="0"/>
    <n v="68"/>
    <x v="0"/>
    <x v="2"/>
    <x v="3"/>
    <x v="3"/>
    <x v="1"/>
    <x v="511"/>
    <n v="6009"/>
    <n v="1"/>
    <s v="Y"/>
    <x v="1"/>
    <n v="11"/>
    <x v="0"/>
    <x v="1"/>
    <n v="80"/>
    <n v="0"/>
    <n v="9"/>
    <n v="3"/>
    <x v="1"/>
    <x v="7"/>
    <n v="7"/>
    <x v="0"/>
    <x v="1"/>
    <x v="2"/>
    <x v="0"/>
    <x v="0"/>
    <n v="0"/>
  </r>
  <r>
    <x v="5"/>
    <x v="1"/>
    <x v="0"/>
    <n v="1018"/>
    <x v="1"/>
    <n v="3"/>
    <x v="0"/>
    <x v="0"/>
    <x v="0"/>
    <n v="727"/>
    <x v="1"/>
    <x v="0"/>
    <n v="39"/>
    <x v="0"/>
    <x v="2"/>
    <x v="7"/>
    <x v="0"/>
    <x v="0"/>
    <x v="512"/>
    <n v="19373"/>
    <n v="3"/>
    <s v="Y"/>
    <x v="1"/>
    <n v="15"/>
    <x v="0"/>
    <x v="1"/>
    <n v="80"/>
    <n v="0"/>
    <n v="10"/>
    <n v="6"/>
    <x v="1"/>
    <x v="5"/>
    <n v="7"/>
    <x v="4"/>
    <x v="1"/>
    <x v="1"/>
    <x v="0"/>
    <x v="3"/>
    <n v="0"/>
  </r>
  <r>
    <x v="40"/>
    <x v="1"/>
    <x v="0"/>
    <n v="703"/>
    <x v="0"/>
    <n v="14"/>
    <x v="2"/>
    <x v="3"/>
    <x v="0"/>
    <n v="728"/>
    <x v="2"/>
    <x v="1"/>
    <n v="42"/>
    <x v="0"/>
    <x v="0"/>
    <x v="0"/>
    <x v="3"/>
    <x v="0"/>
    <x v="513"/>
    <n v="11825"/>
    <n v="2"/>
    <s v="Y"/>
    <x v="1"/>
    <n v="12"/>
    <x v="0"/>
    <x v="1"/>
    <n v="80"/>
    <n v="0"/>
    <n v="20"/>
    <n v="2"/>
    <x v="1"/>
    <x v="5"/>
    <n v="7"/>
    <x v="1"/>
    <x v="1"/>
    <x v="0"/>
    <x v="0"/>
    <x v="1"/>
    <n v="0"/>
  </r>
  <r>
    <x v="32"/>
    <x v="1"/>
    <x v="1"/>
    <n v="580"/>
    <x v="0"/>
    <n v="5"/>
    <x v="2"/>
    <x v="0"/>
    <x v="0"/>
    <n v="729"/>
    <x v="2"/>
    <x v="1"/>
    <n v="48"/>
    <x v="1"/>
    <x v="2"/>
    <x v="0"/>
    <x v="3"/>
    <x v="1"/>
    <x v="514"/>
    <n v="23772"/>
    <n v="5"/>
    <s v="Y"/>
    <x v="0"/>
    <n v="21"/>
    <x v="1"/>
    <x v="3"/>
    <n v="80"/>
    <n v="1"/>
    <n v="20"/>
    <n v="2"/>
    <x v="1"/>
    <x v="29"/>
    <n v="13"/>
    <x v="1"/>
    <x v="11"/>
    <x v="0"/>
    <x v="3"/>
    <x v="3"/>
    <n v="0"/>
  </r>
  <r>
    <x v="16"/>
    <x v="1"/>
    <x v="0"/>
    <n v="970"/>
    <x v="1"/>
    <n v="7"/>
    <x v="3"/>
    <x v="0"/>
    <x v="0"/>
    <n v="730"/>
    <x v="1"/>
    <x v="1"/>
    <n v="59"/>
    <x v="2"/>
    <x v="3"/>
    <x v="7"/>
    <x v="2"/>
    <x v="1"/>
    <x v="515"/>
    <n v="13514"/>
    <n v="3"/>
    <s v="Y"/>
    <x v="1"/>
    <n v="19"/>
    <x v="0"/>
    <x v="3"/>
    <n v="80"/>
    <n v="0"/>
    <n v="32"/>
    <n v="3"/>
    <x v="1"/>
    <x v="8"/>
    <n v="1"/>
    <x v="1"/>
    <x v="6"/>
    <x v="3"/>
    <x v="2"/>
    <x v="3"/>
    <n v="0"/>
  </r>
  <r>
    <x v="0"/>
    <x v="1"/>
    <x v="0"/>
    <n v="427"/>
    <x v="2"/>
    <n v="10"/>
    <x v="2"/>
    <x v="5"/>
    <x v="0"/>
    <n v="731"/>
    <x v="0"/>
    <x v="1"/>
    <n v="73"/>
    <x v="1"/>
    <x v="4"/>
    <x v="5"/>
    <x v="0"/>
    <x v="2"/>
    <x v="516"/>
    <n v="8861"/>
    <n v="3"/>
    <s v="Y"/>
    <x v="1"/>
    <n v="15"/>
    <x v="0"/>
    <x v="2"/>
    <n v="80"/>
    <n v="3"/>
    <n v="23"/>
    <n v="2"/>
    <x v="2"/>
    <x v="17"/>
    <n v="6"/>
    <x v="12"/>
    <x v="4"/>
    <x v="0"/>
    <x v="3"/>
    <x v="2"/>
    <n v="0"/>
  </r>
  <r>
    <x v="42"/>
    <x v="1"/>
    <x v="0"/>
    <n v="1179"/>
    <x v="0"/>
    <n v="16"/>
    <x v="2"/>
    <x v="3"/>
    <x v="0"/>
    <n v="732"/>
    <x v="3"/>
    <x v="1"/>
    <n v="84"/>
    <x v="0"/>
    <x v="0"/>
    <x v="0"/>
    <x v="3"/>
    <x v="0"/>
    <x v="517"/>
    <n v="11924"/>
    <n v="8"/>
    <s v="Y"/>
    <x v="1"/>
    <n v="14"/>
    <x v="0"/>
    <x v="1"/>
    <n v="80"/>
    <n v="0"/>
    <n v="10"/>
    <n v="1"/>
    <x v="1"/>
    <x v="4"/>
    <n v="2"/>
    <x v="3"/>
    <x v="3"/>
    <x v="3"/>
    <x v="1"/>
    <x v="0"/>
    <n v="0"/>
  </r>
  <r>
    <x v="4"/>
    <x v="1"/>
    <x v="1"/>
    <n v="294"/>
    <x v="1"/>
    <n v="10"/>
    <x v="0"/>
    <x v="0"/>
    <x v="0"/>
    <n v="733"/>
    <x v="2"/>
    <x v="1"/>
    <n v="32"/>
    <x v="0"/>
    <x v="2"/>
    <x v="3"/>
    <x v="3"/>
    <x v="2"/>
    <x v="518"/>
    <n v="4809"/>
    <n v="1"/>
    <s v="Y"/>
    <x v="1"/>
    <n v="21"/>
    <x v="1"/>
    <x v="3"/>
    <n v="80"/>
    <n v="2"/>
    <n v="9"/>
    <n v="4"/>
    <x v="2"/>
    <x v="7"/>
    <n v="7"/>
    <x v="1"/>
    <x v="1"/>
    <x v="2"/>
    <x v="0"/>
    <x v="0"/>
    <n v="0"/>
  </r>
  <r>
    <x v="0"/>
    <x v="1"/>
    <x v="0"/>
    <n v="314"/>
    <x v="2"/>
    <n v="1"/>
    <x v="3"/>
    <x v="5"/>
    <x v="0"/>
    <n v="734"/>
    <x v="2"/>
    <x v="1"/>
    <n v="59"/>
    <x v="1"/>
    <x v="4"/>
    <x v="5"/>
    <x v="2"/>
    <x v="1"/>
    <x v="519"/>
    <n v="19562"/>
    <n v="1"/>
    <s v="Y"/>
    <x v="1"/>
    <n v="12"/>
    <x v="0"/>
    <x v="2"/>
    <n v="80"/>
    <n v="1"/>
    <n v="22"/>
    <n v="3"/>
    <x v="1"/>
    <x v="14"/>
    <n v="7"/>
    <x v="3"/>
    <x v="13"/>
    <x v="0"/>
    <x v="3"/>
    <x v="2"/>
    <n v="0"/>
  </r>
  <r>
    <x v="24"/>
    <x v="1"/>
    <x v="0"/>
    <n v="316"/>
    <x v="0"/>
    <n v="8"/>
    <x v="2"/>
    <x v="3"/>
    <x v="0"/>
    <n v="738"/>
    <x v="2"/>
    <x v="1"/>
    <n v="54"/>
    <x v="0"/>
    <x v="1"/>
    <x v="6"/>
    <x v="1"/>
    <x v="1"/>
    <x v="520"/>
    <n v="9983"/>
    <n v="7"/>
    <s v="Y"/>
    <x v="1"/>
    <n v="15"/>
    <x v="0"/>
    <x v="1"/>
    <n v="80"/>
    <n v="1"/>
    <n v="4"/>
    <n v="2"/>
    <x v="1"/>
    <x v="4"/>
    <n v="2"/>
    <x v="3"/>
    <x v="3"/>
    <x v="3"/>
    <x v="1"/>
    <x v="1"/>
    <n v="0"/>
  </r>
  <r>
    <x v="14"/>
    <x v="0"/>
    <x v="0"/>
    <n v="654"/>
    <x v="1"/>
    <n v="1"/>
    <x v="0"/>
    <x v="0"/>
    <x v="0"/>
    <n v="741"/>
    <x v="3"/>
    <x v="0"/>
    <n v="67"/>
    <x v="3"/>
    <x v="1"/>
    <x v="1"/>
    <x v="1"/>
    <x v="0"/>
    <x v="521"/>
    <n v="3872"/>
    <n v="7"/>
    <s v="Y"/>
    <x v="0"/>
    <n v="13"/>
    <x v="0"/>
    <x v="1"/>
    <n v="80"/>
    <n v="0"/>
    <n v="10"/>
    <n v="4"/>
    <x v="1"/>
    <x v="5"/>
    <n v="7"/>
    <x v="2"/>
    <x v="1"/>
    <x v="2"/>
    <x v="0"/>
    <x v="1"/>
    <n v="1"/>
  </r>
  <r>
    <x v="9"/>
    <x v="1"/>
    <x v="2"/>
    <n v="427"/>
    <x v="1"/>
    <n v="8"/>
    <x v="3"/>
    <x v="0"/>
    <x v="0"/>
    <n v="742"/>
    <x v="3"/>
    <x v="0"/>
    <n v="63"/>
    <x v="2"/>
    <x v="2"/>
    <x v="7"/>
    <x v="3"/>
    <x v="1"/>
    <x v="522"/>
    <n v="20335"/>
    <n v="9"/>
    <s v="Y"/>
    <x v="1"/>
    <n v="14"/>
    <x v="0"/>
    <x v="0"/>
    <n v="80"/>
    <n v="1"/>
    <n v="10"/>
    <n v="2"/>
    <x v="1"/>
    <x v="3"/>
    <n v="7"/>
    <x v="0"/>
    <x v="0"/>
    <x v="1"/>
    <x v="0"/>
    <x v="3"/>
    <n v="0"/>
  </r>
  <r>
    <x v="8"/>
    <x v="1"/>
    <x v="0"/>
    <n v="168"/>
    <x v="1"/>
    <n v="1"/>
    <x v="3"/>
    <x v="0"/>
    <x v="0"/>
    <n v="743"/>
    <x v="1"/>
    <x v="0"/>
    <n v="81"/>
    <x v="0"/>
    <x v="2"/>
    <x v="3"/>
    <x v="2"/>
    <x v="0"/>
    <x v="523"/>
    <n v="15397"/>
    <n v="4"/>
    <s v="Y"/>
    <x v="0"/>
    <n v="14"/>
    <x v="0"/>
    <x v="1"/>
    <n v="80"/>
    <n v="0"/>
    <n v="10"/>
    <n v="4"/>
    <x v="3"/>
    <x v="6"/>
    <n v="0"/>
    <x v="0"/>
    <x v="2"/>
    <x v="1"/>
    <x v="1"/>
    <x v="0"/>
    <n v="0"/>
  </r>
  <r>
    <x v="20"/>
    <x v="1"/>
    <x v="2"/>
    <n v="381"/>
    <x v="1"/>
    <n v="24"/>
    <x v="3"/>
    <x v="2"/>
    <x v="0"/>
    <n v="744"/>
    <x v="3"/>
    <x v="1"/>
    <n v="49"/>
    <x v="3"/>
    <x v="1"/>
    <x v="2"/>
    <x v="2"/>
    <x v="0"/>
    <x v="524"/>
    <n v="2104"/>
    <n v="2"/>
    <s v="Y"/>
    <x v="1"/>
    <n v="14"/>
    <x v="0"/>
    <x v="3"/>
    <n v="80"/>
    <n v="0"/>
    <n v="9"/>
    <n v="5"/>
    <x v="1"/>
    <x v="8"/>
    <n v="2"/>
    <x v="1"/>
    <x v="10"/>
    <x v="0"/>
    <x v="2"/>
    <x v="1"/>
    <n v="0"/>
  </r>
  <r>
    <x v="40"/>
    <x v="1"/>
    <x v="1"/>
    <n v="217"/>
    <x v="0"/>
    <n v="3"/>
    <x v="3"/>
    <x v="2"/>
    <x v="0"/>
    <n v="746"/>
    <x v="2"/>
    <x v="0"/>
    <n v="49"/>
    <x v="0"/>
    <x v="3"/>
    <x v="0"/>
    <x v="2"/>
    <x v="2"/>
    <x v="525"/>
    <n v="10225"/>
    <n v="9"/>
    <s v="Y"/>
    <x v="0"/>
    <n v="12"/>
    <x v="0"/>
    <x v="1"/>
    <n v="80"/>
    <n v="2"/>
    <n v="28"/>
    <n v="2"/>
    <x v="2"/>
    <x v="14"/>
    <n v="2"/>
    <x v="14"/>
    <x v="15"/>
    <x v="0"/>
    <x v="3"/>
    <x v="3"/>
    <n v="0"/>
  </r>
  <r>
    <x v="7"/>
    <x v="1"/>
    <x v="0"/>
    <n v="501"/>
    <x v="0"/>
    <n v="27"/>
    <x v="4"/>
    <x v="3"/>
    <x v="0"/>
    <n v="747"/>
    <x v="1"/>
    <x v="1"/>
    <n v="99"/>
    <x v="0"/>
    <x v="0"/>
    <x v="0"/>
    <x v="0"/>
    <x v="2"/>
    <x v="367"/>
    <n v="25275"/>
    <n v="7"/>
    <s v="Y"/>
    <x v="1"/>
    <n v="23"/>
    <x v="1"/>
    <x v="1"/>
    <n v="80"/>
    <n v="1"/>
    <n v="10"/>
    <n v="2"/>
    <x v="2"/>
    <x v="3"/>
    <n v="7"/>
    <x v="4"/>
    <x v="1"/>
    <x v="1"/>
    <x v="0"/>
    <x v="0"/>
    <n v="0"/>
  </r>
  <r>
    <x v="11"/>
    <x v="1"/>
    <x v="0"/>
    <n v="1396"/>
    <x v="0"/>
    <n v="10"/>
    <x v="3"/>
    <x v="0"/>
    <x v="0"/>
    <n v="749"/>
    <x v="1"/>
    <x v="1"/>
    <n v="99"/>
    <x v="0"/>
    <x v="1"/>
    <x v="6"/>
    <x v="2"/>
    <x v="0"/>
    <x v="526"/>
    <n v="2755"/>
    <n v="1"/>
    <s v="Y"/>
    <x v="1"/>
    <n v="11"/>
    <x v="0"/>
    <x v="3"/>
    <n v="80"/>
    <n v="0"/>
    <n v="1"/>
    <n v="6"/>
    <x v="1"/>
    <x v="6"/>
    <n v="0"/>
    <x v="0"/>
    <x v="2"/>
    <x v="2"/>
    <x v="1"/>
    <x v="1"/>
    <n v="0"/>
  </r>
  <r>
    <x v="19"/>
    <x v="0"/>
    <x v="1"/>
    <n v="933"/>
    <x v="1"/>
    <n v="19"/>
    <x v="3"/>
    <x v="2"/>
    <x v="0"/>
    <n v="752"/>
    <x v="1"/>
    <x v="1"/>
    <n v="57"/>
    <x v="2"/>
    <x v="1"/>
    <x v="1"/>
    <x v="2"/>
    <x v="2"/>
    <x v="527"/>
    <n v="20366"/>
    <n v="6"/>
    <s v="Y"/>
    <x v="0"/>
    <n v="12"/>
    <x v="0"/>
    <x v="1"/>
    <n v="80"/>
    <n v="0"/>
    <n v="7"/>
    <n v="2"/>
    <x v="1"/>
    <x v="4"/>
    <n v="2"/>
    <x v="3"/>
    <x v="3"/>
    <x v="0"/>
    <x v="1"/>
    <x v="1"/>
    <n v="1"/>
  </r>
  <r>
    <x v="23"/>
    <x v="1"/>
    <x v="1"/>
    <n v="775"/>
    <x v="0"/>
    <n v="15"/>
    <x v="3"/>
    <x v="0"/>
    <x v="0"/>
    <n v="754"/>
    <x v="2"/>
    <x v="1"/>
    <n v="47"/>
    <x v="1"/>
    <x v="0"/>
    <x v="0"/>
    <x v="0"/>
    <x v="1"/>
    <x v="197"/>
    <n v="23683"/>
    <n v="3"/>
    <s v="Y"/>
    <x v="1"/>
    <n v="18"/>
    <x v="0"/>
    <x v="3"/>
    <n v="80"/>
    <n v="1"/>
    <n v="7"/>
    <n v="5"/>
    <x v="1"/>
    <x v="4"/>
    <n v="2"/>
    <x v="3"/>
    <x v="3"/>
    <x v="0"/>
    <x v="1"/>
    <x v="0"/>
    <n v="0"/>
  </r>
  <r>
    <x v="13"/>
    <x v="1"/>
    <x v="0"/>
    <n v="970"/>
    <x v="1"/>
    <n v="8"/>
    <x v="0"/>
    <x v="2"/>
    <x v="0"/>
    <n v="757"/>
    <x v="0"/>
    <x v="0"/>
    <n v="96"/>
    <x v="0"/>
    <x v="0"/>
    <x v="4"/>
    <x v="2"/>
    <x v="0"/>
    <x v="528"/>
    <n v="7360"/>
    <n v="3"/>
    <s v="Y"/>
    <x v="1"/>
    <n v="11"/>
    <x v="0"/>
    <x v="1"/>
    <n v="80"/>
    <n v="0"/>
    <n v="10"/>
    <n v="2"/>
    <x v="1"/>
    <x v="8"/>
    <n v="1"/>
    <x v="5"/>
    <x v="6"/>
    <x v="1"/>
    <x v="2"/>
    <x v="0"/>
    <n v="0"/>
  </r>
  <r>
    <x v="30"/>
    <x v="1"/>
    <x v="0"/>
    <n v="650"/>
    <x v="1"/>
    <n v="9"/>
    <x v="1"/>
    <x v="2"/>
    <x v="0"/>
    <n v="758"/>
    <x v="0"/>
    <x v="1"/>
    <n v="37"/>
    <x v="0"/>
    <x v="1"/>
    <x v="2"/>
    <x v="3"/>
    <x v="1"/>
    <x v="172"/>
    <n v="4344"/>
    <n v="1"/>
    <s v="Y"/>
    <x v="1"/>
    <n v="14"/>
    <x v="0"/>
    <x v="1"/>
    <n v="80"/>
    <n v="1"/>
    <n v="5"/>
    <n v="2"/>
    <x v="3"/>
    <x v="9"/>
    <n v="3"/>
    <x v="0"/>
    <x v="3"/>
    <x v="2"/>
    <x v="2"/>
    <x v="1"/>
    <n v="0"/>
  </r>
  <r>
    <x v="22"/>
    <x v="1"/>
    <x v="0"/>
    <n v="141"/>
    <x v="2"/>
    <n v="3"/>
    <x v="3"/>
    <x v="5"/>
    <x v="0"/>
    <n v="760"/>
    <x v="1"/>
    <x v="0"/>
    <n v="44"/>
    <x v="2"/>
    <x v="0"/>
    <x v="8"/>
    <x v="1"/>
    <x v="1"/>
    <x v="529"/>
    <n v="18767"/>
    <n v="9"/>
    <s v="Y"/>
    <x v="1"/>
    <n v="15"/>
    <x v="0"/>
    <x v="3"/>
    <n v="80"/>
    <n v="1"/>
    <n v="12"/>
    <n v="3"/>
    <x v="0"/>
    <x v="3"/>
    <n v="3"/>
    <x v="2"/>
    <x v="4"/>
    <x v="1"/>
    <x v="0"/>
    <x v="0"/>
    <n v="0"/>
  </r>
  <r>
    <x v="29"/>
    <x v="1"/>
    <x v="0"/>
    <n v="832"/>
    <x v="1"/>
    <n v="9"/>
    <x v="3"/>
    <x v="2"/>
    <x v="0"/>
    <n v="762"/>
    <x v="1"/>
    <x v="1"/>
    <n v="81"/>
    <x v="0"/>
    <x v="3"/>
    <x v="4"/>
    <x v="0"/>
    <x v="1"/>
    <x v="530"/>
    <n v="20420"/>
    <n v="7"/>
    <s v="Y"/>
    <x v="1"/>
    <n v="11"/>
    <x v="0"/>
    <x v="3"/>
    <n v="80"/>
    <n v="0"/>
    <n v="30"/>
    <n v="1"/>
    <x v="2"/>
    <x v="1"/>
    <n v="7"/>
    <x v="1"/>
    <x v="9"/>
    <x v="3"/>
    <x v="0"/>
    <x v="3"/>
    <n v="0"/>
  </r>
  <r>
    <x v="32"/>
    <x v="1"/>
    <x v="0"/>
    <n v="804"/>
    <x v="1"/>
    <n v="2"/>
    <x v="1"/>
    <x v="2"/>
    <x v="0"/>
    <n v="763"/>
    <x v="2"/>
    <x v="0"/>
    <n v="86"/>
    <x v="1"/>
    <x v="1"/>
    <x v="1"/>
    <x v="0"/>
    <x v="0"/>
    <x v="531"/>
    <n v="22929"/>
    <n v="0"/>
    <s v="Y"/>
    <x v="0"/>
    <n v="20"/>
    <x v="1"/>
    <x v="1"/>
    <n v="80"/>
    <n v="0"/>
    <n v="5"/>
    <n v="2"/>
    <x v="2"/>
    <x v="9"/>
    <n v="2"/>
    <x v="3"/>
    <x v="6"/>
    <x v="0"/>
    <x v="2"/>
    <x v="1"/>
    <n v="0"/>
  </r>
  <r>
    <x v="4"/>
    <x v="1"/>
    <x v="0"/>
    <n v="975"/>
    <x v="1"/>
    <n v="7"/>
    <x v="3"/>
    <x v="2"/>
    <x v="0"/>
    <n v="764"/>
    <x v="2"/>
    <x v="0"/>
    <n v="55"/>
    <x v="1"/>
    <x v="0"/>
    <x v="4"/>
    <x v="3"/>
    <x v="0"/>
    <x v="445"/>
    <n v="23398"/>
    <n v="8"/>
    <s v="Y"/>
    <x v="1"/>
    <n v="19"/>
    <x v="0"/>
    <x v="0"/>
    <n v="80"/>
    <n v="0"/>
    <n v="9"/>
    <n v="2"/>
    <x v="0"/>
    <x v="5"/>
    <n v="6"/>
    <x v="0"/>
    <x v="1"/>
    <x v="2"/>
    <x v="0"/>
    <x v="0"/>
    <n v="0"/>
  </r>
  <r>
    <x v="11"/>
    <x v="1"/>
    <x v="0"/>
    <n v="1090"/>
    <x v="0"/>
    <n v="10"/>
    <x v="3"/>
    <x v="3"/>
    <x v="0"/>
    <n v="766"/>
    <x v="2"/>
    <x v="1"/>
    <n v="83"/>
    <x v="0"/>
    <x v="1"/>
    <x v="6"/>
    <x v="1"/>
    <x v="2"/>
    <x v="532"/>
    <n v="17967"/>
    <n v="1"/>
    <s v="Y"/>
    <x v="1"/>
    <n v="14"/>
    <x v="0"/>
    <x v="1"/>
    <n v="80"/>
    <n v="2"/>
    <n v="2"/>
    <n v="2"/>
    <x v="1"/>
    <x v="4"/>
    <n v="2"/>
    <x v="3"/>
    <x v="3"/>
    <x v="2"/>
    <x v="1"/>
    <x v="1"/>
    <n v="0"/>
  </r>
  <r>
    <x v="16"/>
    <x v="1"/>
    <x v="0"/>
    <n v="346"/>
    <x v="1"/>
    <n v="6"/>
    <x v="3"/>
    <x v="0"/>
    <x v="0"/>
    <n v="769"/>
    <x v="2"/>
    <x v="1"/>
    <n v="86"/>
    <x v="0"/>
    <x v="0"/>
    <x v="2"/>
    <x v="0"/>
    <x v="0"/>
    <x v="533"/>
    <n v="10919"/>
    <n v="2"/>
    <s v="Y"/>
    <x v="1"/>
    <n v="17"/>
    <x v="0"/>
    <x v="1"/>
    <n v="80"/>
    <n v="0"/>
    <n v="19"/>
    <n v="4"/>
    <x v="1"/>
    <x v="4"/>
    <n v="2"/>
    <x v="3"/>
    <x v="3"/>
    <x v="3"/>
    <x v="1"/>
    <x v="1"/>
    <n v="0"/>
  </r>
  <r>
    <x v="10"/>
    <x v="1"/>
    <x v="2"/>
    <n v="1225"/>
    <x v="1"/>
    <n v="2"/>
    <x v="2"/>
    <x v="0"/>
    <x v="0"/>
    <n v="771"/>
    <x v="2"/>
    <x v="0"/>
    <n v="61"/>
    <x v="0"/>
    <x v="0"/>
    <x v="4"/>
    <x v="3"/>
    <x v="2"/>
    <x v="534"/>
    <n v="4761"/>
    <n v="2"/>
    <s v="Y"/>
    <x v="1"/>
    <n v="11"/>
    <x v="0"/>
    <x v="0"/>
    <n v="80"/>
    <n v="1"/>
    <n v="16"/>
    <n v="2"/>
    <x v="3"/>
    <x v="6"/>
    <n v="0"/>
    <x v="0"/>
    <x v="2"/>
    <x v="1"/>
    <x v="1"/>
    <x v="0"/>
    <n v="0"/>
  </r>
  <r>
    <x v="5"/>
    <x v="1"/>
    <x v="1"/>
    <n v="430"/>
    <x v="1"/>
    <n v="24"/>
    <x v="2"/>
    <x v="0"/>
    <x v="0"/>
    <n v="772"/>
    <x v="3"/>
    <x v="1"/>
    <n v="80"/>
    <x v="0"/>
    <x v="0"/>
    <x v="2"/>
    <x v="0"/>
    <x v="1"/>
    <x v="535"/>
    <n v="21146"/>
    <n v="1"/>
    <s v="Y"/>
    <x v="1"/>
    <n v="15"/>
    <x v="0"/>
    <x v="1"/>
    <n v="80"/>
    <n v="2"/>
    <n v="10"/>
    <n v="2"/>
    <x v="1"/>
    <x v="1"/>
    <n v="8"/>
    <x v="5"/>
    <x v="1"/>
    <x v="1"/>
    <x v="0"/>
    <x v="0"/>
    <n v="0"/>
  </r>
  <r>
    <x v="8"/>
    <x v="1"/>
    <x v="0"/>
    <n v="268"/>
    <x v="1"/>
    <n v="2"/>
    <x v="4"/>
    <x v="2"/>
    <x v="0"/>
    <n v="773"/>
    <x v="2"/>
    <x v="1"/>
    <n v="92"/>
    <x v="0"/>
    <x v="1"/>
    <x v="1"/>
    <x v="2"/>
    <x v="1"/>
    <x v="536"/>
    <n v="20471"/>
    <n v="6"/>
    <s v="Y"/>
    <x v="0"/>
    <n v="13"/>
    <x v="0"/>
    <x v="2"/>
    <n v="80"/>
    <n v="1"/>
    <n v="6"/>
    <n v="0"/>
    <x v="0"/>
    <x v="6"/>
    <n v="0"/>
    <x v="0"/>
    <x v="9"/>
    <x v="1"/>
    <x v="1"/>
    <x v="1"/>
    <n v="0"/>
  </r>
  <r>
    <x v="13"/>
    <x v="1"/>
    <x v="0"/>
    <n v="167"/>
    <x v="1"/>
    <n v="8"/>
    <x v="4"/>
    <x v="0"/>
    <x v="0"/>
    <n v="775"/>
    <x v="0"/>
    <x v="0"/>
    <n v="32"/>
    <x v="0"/>
    <x v="0"/>
    <x v="3"/>
    <x v="3"/>
    <x v="2"/>
    <x v="537"/>
    <n v="4187"/>
    <n v="3"/>
    <s v="Y"/>
    <x v="1"/>
    <n v="14"/>
    <x v="0"/>
    <x v="3"/>
    <n v="80"/>
    <n v="1"/>
    <n v="7"/>
    <n v="3"/>
    <x v="1"/>
    <x v="2"/>
    <n v="0"/>
    <x v="0"/>
    <x v="2"/>
    <x v="1"/>
    <x v="1"/>
    <x v="0"/>
    <n v="0"/>
  </r>
  <r>
    <x v="39"/>
    <x v="1"/>
    <x v="0"/>
    <n v="621"/>
    <x v="0"/>
    <n v="3"/>
    <x v="2"/>
    <x v="3"/>
    <x v="0"/>
    <n v="776"/>
    <x v="1"/>
    <x v="1"/>
    <n v="31"/>
    <x v="1"/>
    <x v="3"/>
    <x v="5"/>
    <x v="3"/>
    <x v="1"/>
    <x v="538"/>
    <n v="10084"/>
    <n v="1"/>
    <s v="Y"/>
    <x v="1"/>
    <n v="11"/>
    <x v="0"/>
    <x v="0"/>
    <n v="80"/>
    <n v="0"/>
    <n v="34"/>
    <n v="3"/>
    <x v="3"/>
    <x v="33"/>
    <n v="6"/>
    <x v="1"/>
    <x v="16"/>
    <x v="3"/>
    <x v="3"/>
    <x v="2"/>
    <n v="0"/>
  </r>
  <r>
    <x v="3"/>
    <x v="0"/>
    <x v="0"/>
    <n v="527"/>
    <x v="1"/>
    <n v="1"/>
    <x v="2"/>
    <x v="1"/>
    <x v="0"/>
    <n v="780"/>
    <x v="2"/>
    <x v="1"/>
    <n v="63"/>
    <x v="0"/>
    <x v="1"/>
    <x v="1"/>
    <x v="0"/>
    <x v="0"/>
    <x v="539"/>
    <n v="5207"/>
    <n v="1"/>
    <s v="Y"/>
    <x v="0"/>
    <n v="13"/>
    <x v="0"/>
    <x v="3"/>
    <n v="80"/>
    <n v="0"/>
    <n v="10"/>
    <n v="2"/>
    <x v="2"/>
    <x v="1"/>
    <n v="9"/>
    <x v="4"/>
    <x v="5"/>
    <x v="1"/>
    <x v="0"/>
    <x v="1"/>
    <n v="1"/>
  </r>
  <r>
    <x v="36"/>
    <x v="1"/>
    <x v="0"/>
    <n v="883"/>
    <x v="0"/>
    <n v="26"/>
    <x v="1"/>
    <x v="2"/>
    <x v="0"/>
    <n v="781"/>
    <x v="1"/>
    <x v="0"/>
    <n v="32"/>
    <x v="0"/>
    <x v="0"/>
    <x v="0"/>
    <x v="0"/>
    <x v="0"/>
    <x v="540"/>
    <n v="22807"/>
    <n v="1"/>
    <s v="Y"/>
    <x v="1"/>
    <n v="23"/>
    <x v="1"/>
    <x v="2"/>
    <n v="80"/>
    <n v="0"/>
    <n v="6"/>
    <n v="5"/>
    <x v="2"/>
    <x v="0"/>
    <n v="5"/>
    <x v="1"/>
    <x v="10"/>
    <x v="2"/>
    <x v="0"/>
    <x v="0"/>
    <n v="0"/>
  </r>
  <r>
    <x v="28"/>
    <x v="1"/>
    <x v="0"/>
    <n v="954"/>
    <x v="0"/>
    <n v="2"/>
    <x v="0"/>
    <x v="4"/>
    <x v="0"/>
    <n v="783"/>
    <x v="0"/>
    <x v="1"/>
    <n v="46"/>
    <x v="3"/>
    <x v="0"/>
    <x v="6"/>
    <x v="2"/>
    <x v="0"/>
    <x v="541"/>
    <n v="12388"/>
    <n v="0"/>
    <s v="Y"/>
    <x v="1"/>
    <n v="13"/>
    <x v="0"/>
    <x v="0"/>
    <n v="80"/>
    <n v="0"/>
    <n v="9"/>
    <n v="3"/>
    <x v="1"/>
    <x v="3"/>
    <n v="7"/>
    <x v="2"/>
    <x v="9"/>
    <x v="0"/>
    <x v="0"/>
    <x v="0"/>
    <n v="0"/>
  </r>
  <r>
    <x v="30"/>
    <x v="1"/>
    <x v="0"/>
    <n v="310"/>
    <x v="1"/>
    <n v="10"/>
    <x v="1"/>
    <x v="2"/>
    <x v="0"/>
    <n v="784"/>
    <x v="3"/>
    <x v="1"/>
    <n v="79"/>
    <x v="2"/>
    <x v="1"/>
    <x v="1"/>
    <x v="2"/>
    <x v="0"/>
    <x v="542"/>
    <n v="19630"/>
    <n v="1"/>
    <s v="Y"/>
    <x v="1"/>
    <n v="18"/>
    <x v="0"/>
    <x v="1"/>
    <n v="80"/>
    <n v="0"/>
    <n v="2"/>
    <n v="3"/>
    <x v="1"/>
    <x v="4"/>
    <n v="2"/>
    <x v="0"/>
    <x v="3"/>
    <x v="2"/>
    <x v="1"/>
    <x v="1"/>
    <n v="0"/>
  </r>
  <r>
    <x v="40"/>
    <x v="0"/>
    <x v="1"/>
    <n v="719"/>
    <x v="0"/>
    <n v="27"/>
    <x v="0"/>
    <x v="0"/>
    <x v="0"/>
    <n v="785"/>
    <x v="0"/>
    <x v="0"/>
    <n v="77"/>
    <x v="2"/>
    <x v="0"/>
    <x v="0"/>
    <x v="2"/>
    <x v="0"/>
    <x v="271"/>
    <n v="10339"/>
    <n v="4"/>
    <s v="Y"/>
    <x v="0"/>
    <n v="12"/>
    <x v="0"/>
    <x v="1"/>
    <n v="80"/>
    <n v="0"/>
    <n v="8"/>
    <n v="2"/>
    <x v="1"/>
    <x v="8"/>
    <n v="4"/>
    <x v="1"/>
    <x v="6"/>
    <x v="0"/>
    <x v="2"/>
    <x v="0"/>
    <n v="1"/>
  </r>
  <r>
    <x v="13"/>
    <x v="1"/>
    <x v="0"/>
    <n v="304"/>
    <x v="0"/>
    <n v="2"/>
    <x v="3"/>
    <x v="1"/>
    <x v="0"/>
    <n v="786"/>
    <x v="2"/>
    <x v="1"/>
    <n v="60"/>
    <x v="0"/>
    <x v="0"/>
    <x v="0"/>
    <x v="0"/>
    <x v="0"/>
    <x v="543"/>
    <n v="18686"/>
    <n v="1"/>
    <s v="Y"/>
    <x v="1"/>
    <n v="22"/>
    <x v="1"/>
    <x v="3"/>
    <n v="80"/>
    <n v="0"/>
    <n v="6"/>
    <n v="5"/>
    <x v="1"/>
    <x v="0"/>
    <n v="5"/>
    <x v="1"/>
    <x v="10"/>
    <x v="1"/>
    <x v="0"/>
    <x v="0"/>
    <n v="0"/>
  </r>
  <r>
    <x v="27"/>
    <x v="0"/>
    <x v="0"/>
    <n v="725"/>
    <x v="1"/>
    <n v="2"/>
    <x v="3"/>
    <x v="2"/>
    <x v="0"/>
    <n v="787"/>
    <x v="2"/>
    <x v="1"/>
    <n v="78"/>
    <x v="0"/>
    <x v="4"/>
    <x v="5"/>
    <x v="3"/>
    <x v="1"/>
    <x v="544"/>
    <n v="21199"/>
    <n v="5"/>
    <s v="Y"/>
    <x v="0"/>
    <n v="13"/>
    <x v="0"/>
    <x v="1"/>
    <n v="80"/>
    <n v="1"/>
    <n v="24"/>
    <n v="2"/>
    <x v="1"/>
    <x v="8"/>
    <n v="2"/>
    <x v="1"/>
    <x v="10"/>
    <x v="3"/>
    <x v="2"/>
    <x v="2"/>
    <n v="1"/>
  </r>
  <r>
    <x v="9"/>
    <x v="1"/>
    <x v="2"/>
    <n v="1434"/>
    <x v="0"/>
    <n v="8"/>
    <x v="2"/>
    <x v="0"/>
    <x v="0"/>
    <n v="789"/>
    <x v="3"/>
    <x v="1"/>
    <n v="76"/>
    <x v="1"/>
    <x v="2"/>
    <x v="0"/>
    <x v="3"/>
    <x v="0"/>
    <x v="545"/>
    <n v="14229"/>
    <n v="1"/>
    <s v="Y"/>
    <x v="1"/>
    <n v="15"/>
    <x v="0"/>
    <x v="2"/>
    <n v="80"/>
    <n v="0"/>
    <n v="10"/>
    <n v="1"/>
    <x v="1"/>
    <x v="1"/>
    <n v="7"/>
    <x v="0"/>
    <x v="12"/>
    <x v="1"/>
    <x v="0"/>
    <x v="0"/>
    <n v="0"/>
  </r>
  <r>
    <x v="39"/>
    <x v="1"/>
    <x v="2"/>
    <n v="715"/>
    <x v="1"/>
    <n v="19"/>
    <x v="2"/>
    <x v="2"/>
    <x v="0"/>
    <n v="791"/>
    <x v="2"/>
    <x v="1"/>
    <n v="41"/>
    <x v="0"/>
    <x v="1"/>
    <x v="1"/>
    <x v="0"/>
    <x v="1"/>
    <x v="546"/>
    <n v="26589"/>
    <n v="0"/>
    <s v="Y"/>
    <x v="1"/>
    <n v="18"/>
    <x v="0"/>
    <x v="0"/>
    <n v="80"/>
    <n v="1"/>
    <n v="5"/>
    <n v="3"/>
    <x v="1"/>
    <x v="9"/>
    <n v="3"/>
    <x v="1"/>
    <x v="3"/>
    <x v="3"/>
    <x v="2"/>
    <x v="1"/>
    <n v="0"/>
  </r>
  <r>
    <x v="25"/>
    <x v="1"/>
    <x v="1"/>
    <n v="575"/>
    <x v="1"/>
    <n v="1"/>
    <x v="0"/>
    <x v="0"/>
    <x v="0"/>
    <n v="792"/>
    <x v="3"/>
    <x v="0"/>
    <n v="71"/>
    <x v="3"/>
    <x v="1"/>
    <x v="2"/>
    <x v="0"/>
    <x v="2"/>
    <x v="547"/>
    <n v="5288"/>
    <n v="3"/>
    <s v="Y"/>
    <x v="1"/>
    <n v="14"/>
    <x v="0"/>
    <x v="0"/>
    <n v="80"/>
    <n v="1"/>
    <n v="5"/>
    <n v="2"/>
    <x v="1"/>
    <x v="4"/>
    <n v="2"/>
    <x v="3"/>
    <x v="2"/>
    <x v="2"/>
    <x v="1"/>
    <x v="1"/>
    <n v="0"/>
  </r>
  <r>
    <x v="11"/>
    <x v="1"/>
    <x v="0"/>
    <n v="657"/>
    <x v="1"/>
    <n v="27"/>
    <x v="3"/>
    <x v="2"/>
    <x v="0"/>
    <n v="793"/>
    <x v="0"/>
    <x v="0"/>
    <n v="66"/>
    <x v="0"/>
    <x v="0"/>
    <x v="4"/>
    <x v="2"/>
    <x v="1"/>
    <x v="548"/>
    <n v="25549"/>
    <n v="4"/>
    <s v="Y"/>
    <x v="1"/>
    <n v="12"/>
    <x v="0"/>
    <x v="0"/>
    <n v="80"/>
    <n v="1"/>
    <n v="11"/>
    <n v="3"/>
    <x v="2"/>
    <x v="3"/>
    <n v="7"/>
    <x v="1"/>
    <x v="9"/>
    <x v="2"/>
    <x v="0"/>
    <x v="1"/>
    <n v="0"/>
  </r>
  <r>
    <x v="25"/>
    <x v="0"/>
    <x v="0"/>
    <n v="1146"/>
    <x v="0"/>
    <n v="8"/>
    <x v="3"/>
    <x v="4"/>
    <x v="0"/>
    <n v="796"/>
    <x v="2"/>
    <x v="1"/>
    <n v="38"/>
    <x v="1"/>
    <x v="0"/>
    <x v="0"/>
    <x v="3"/>
    <x v="0"/>
    <x v="549"/>
    <n v="3064"/>
    <n v="6"/>
    <s v="Y"/>
    <x v="1"/>
    <n v="17"/>
    <x v="0"/>
    <x v="3"/>
    <n v="80"/>
    <n v="0"/>
    <n v="6"/>
    <n v="2"/>
    <x v="2"/>
    <x v="9"/>
    <n v="3"/>
    <x v="1"/>
    <x v="3"/>
    <x v="2"/>
    <x v="2"/>
    <x v="0"/>
    <n v="1"/>
  </r>
  <r>
    <x v="13"/>
    <x v="1"/>
    <x v="0"/>
    <n v="182"/>
    <x v="1"/>
    <n v="1"/>
    <x v="2"/>
    <x v="0"/>
    <x v="0"/>
    <n v="797"/>
    <x v="0"/>
    <x v="0"/>
    <n v="72"/>
    <x v="2"/>
    <x v="1"/>
    <x v="1"/>
    <x v="0"/>
    <x v="0"/>
    <x v="550"/>
    <n v="13551"/>
    <n v="2"/>
    <s v="Y"/>
    <x v="1"/>
    <n v="16"/>
    <x v="0"/>
    <x v="3"/>
    <n v="80"/>
    <n v="0"/>
    <n v="10"/>
    <n v="2"/>
    <x v="1"/>
    <x v="9"/>
    <n v="2"/>
    <x v="1"/>
    <x v="6"/>
    <x v="1"/>
    <x v="2"/>
    <x v="1"/>
    <n v="0"/>
  </r>
  <r>
    <x v="33"/>
    <x v="1"/>
    <x v="0"/>
    <n v="376"/>
    <x v="1"/>
    <n v="19"/>
    <x v="2"/>
    <x v="2"/>
    <x v="0"/>
    <n v="799"/>
    <x v="2"/>
    <x v="0"/>
    <n v="95"/>
    <x v="0"/>
    <x v="0"/>
    <x v="3"/>
    <x v="3"/>
    <x v="2"/>
    <x v="551"/>
    <n v="22670"/>
    <n v="9"/>
    <s v="Y"/>
    <x v="0"/>
    <n v="11"/>
    <x v="0"/>
    <x v="2"/>
    <n v="80"/>
    <n v="2"/>
    <n v="9"/>
    <n v="4"/>
    <x v="1"/>
    <x v="8"/>
    <n v="3"/>
    <x v="1"/>
    <x v="10"/>
    <x v="3"/>
    <x v="2"/>
    <x v="0"/>
    <n v="0"/>
  </r>
  <r>
    <x v="4"/>
    <x v="1"/>
    <x v="1"/>
    <n v="829"/>
    <x v="0"/>
    <n v="8"/>
    <x v="1"/>
    <x v="3"/>
    <x v="0"/>
    <n v="800"/>
    <x v="1"/>
    <x v="1"/>
    <n v="84"/>
    <x v="0"/>
    <x v="0"/>
    <x v="0"/>
    <x v="0"/>
    <x v="1"/>
    <x v="552"/>
    <n v="24008"/>
    <n v="0"/>
    <s v="Y"/>
    <x v="1"/>
    <n v="19"/>
    <x v="0"/>
    <x v="2"/>
    <n v="80"/>
    <n v="1"/>
    <n v="5"/>
    <n v="3"/>
    <x v="1"/>
    <x v="9"/>
    <n v="2"/>
    <x v="1"/>
    <x v="9"/>
    <x v="2"/>
    <x v="2"/>
    <x v="1"/>
    <n v="0"/>
  </r>
  <r>
    <x v="2"/>
    <x v="1"/>
    <x v="0"/>
    <n v="571"/>
    <x v="1"/>
    <n v="10"/>
    <x v="1"/>
    <x v="0"/>
    <x v="0"/>
    <n v="802"/>
    <x v="2"/>
    <x v="0"/>
    <n v="82"/>
    <x v="0"/>
    <x v="1"/>
    <x v="1"/>
    <x v="3"/>
    <x v="2"/>
    <x v="553"/>
    <n v="19905"/>
    <n v="0"/>
    <s v="Y"/>
    <x v="0"/>
    <n v="13"/>
    <x v="0"/>
    <x v="2"/>
    <n v="80"/>
    <n v="2"/>
    <n v="6"/>
    <n v="3"/>
    <x v="2"/>
    <x v="8"/>
    <n v="3"/>
    <x v="5"/>
    <x v="6"/>
    <x v="1"/>
    <x v="2"/>
    <x v="1"/>
    <n v="0"/>
  </r>
  <r>
    <x v="8"/>
    <x v="1"/>
    <x v="1"/>
    <n v="240"/>
    <x v="1"/>
    <n v="2"/>
    <x v="2"/>
    <x v="0"/>
    <x v="0"/>
    <n v="803"/>
    <x v="3"/>
    <x v="0"/>
    <n v="75"/>
    <x v="2"/>
    <x v="0"/>
    <x v="3"/>
    <x v="3"/>
    <x v="0"/>
    <x v="554"/>
    <n v="26085"/>
    <n v="6"/>
    <s v="Y"/>
    <x v="0"/>
    <n v="12"/>
    <x v="0"/>
    <x v="1"/>
    <n v="80"/>
    <n v="0"/>
    <n v="17"/>
    <n v="2"/>
    <x v="1"/>
    <x v="15"/>
    <n v="7"/>
    <x v="5"/>
    <x v="11"/>
    <x v="1"/>
    <x v="3"/>
    <x v="0"/>
    <n v="0"/>
  </r>
  <r>
    <x v="13"/>
    <x v="1"/>
    <x v="0"/>
    <n v="121"/>
    <x v="1"/>
    <n v="2"/>
    <x v="2"/>
    <x v="2"/>
    <x v="0"/>
    <n v="804"/>
    <x v="1"/>
    <x v="0"/>
    <n v="86"/>
    <x v="1"/>
    <x v="1"/>
    <x v="1"/>
    <x v="3"/>
    <x v="0"/>
    <x v="555"/>
    <n v="7530"/>
    <n v="1"/>
    <s v="Y"/>
    <x v="1"/>
    <n v="11"/>
    <x v="0"/>
    <x v="3"/>
    <n v="80"/>
    <n v="0"/>
    <n v="6"/>
    <n v="3"/>
    <x v="1"/>
    <x v="0"/>
    <n v="5"/>
    <x v="1"/>
    <x v="6"/>
    <x v="1"/>
    <x v="0"/>
    <x v="1"/>
    <n v="0"/>
  </r>
  <r>
    <x v="10"/>
    <x v="1"/>
    <x v="0"/>
    <n v="384"/>
    <x v="0"/>
    <n v="8"/>
    <x v="2"/>
    <x v="0"/>
    <x v="0"/>
    <n v="805"/>
    <x v="3"/>
    <x v="0"/>
    <n v="72"/>
    <x v="0"/>
    <x v="1"/>
    <x v="6"/>
    <x v="0"/>
    <x v="1"/>
    <x v="556"/>
    <n v="20317"/>
    <n v="1"/>
    <s v="Y"/>
    <x v="1"/>
    <n v="16"/>
    <x v="0"/>
    <x v="2"/>
    <n v="80"/>
    <n v="1"/>
    <n v="3"/>
    <n v="1"/>
    <x v="2"/>
    <x v="11"/>
    <n v="2"/>
    <x v="0"/>
    <x v="3"/>
    <x v="1"/>
    <x v="2"/>
    <x v="1"/>
    <n v="0"/>
  </r>
  <r>
    <x v="7"/>
    <x v="1"/>
    <x v="0"/>
    <n v="921"/>
    <x v="1"/>
    <n v="1"/>
    <x v="3"/>
    <x v="0"/>
    <x v="0"/>
    <n v="806"/>
    <x v="2"/>
    <x v="1"/>
    <n v="38"/>
    <x v="3"/>
    <x v="1"/>
    <x v="2"/>
    <x v="2"/>
    <x v="1"/>
    <x v="557"/>
    <n v="24375"/>
    <n v="3"/>
    <s v="Y"/>
    <x v="1"/>
    <n v="21"/>
    <x v="1"/>
    <x v="3"/>
    <n v="80"/>
    <n v="2"/>
    <n v="7"/>
    <n v="2"/>
    <x v="1"/>
    <x v="4"/>
    <n v="2"/>
    <x v="0"/>
    <x v="3"/>
    <x v="1"/>
    <x v="1"/>
    <x v="1"/>
    <n v="0"/>
  </r>
  <r>
    <x v="32"/>
    <x v="1"/>
    <x v="1"/>
    <n v="791"/>
    <x v="1"/>
    <n v="2"/>
    <x v="0"/>
    <x v="2"/>
    <x v="0"/>
    <n v="807"/>
    <x v="1"/>
    <x v="0"/>
    <n v="38"/>
    <x v="2"/>
    <x v="0"/>
    <x v="4"/>
    <x v="1"/>
    <x v="1"/>
    <x v="558"/>
    <n v="9931"/>
    <n v="1"/>
    <s v="Y"/>
    <x v="1"/>
    <n v="24"/>
    <x v="1"/>
    <x v="1"/>
    <n v="80"/>
    <n v="1"/>
    <n v="8"/>
    <n v="2"/>
    <x v="1"/>
    <x v="3"/>
    <n v="7"/>
    <x v="2"/>
    <x v="1"/>
    <x v="0"/>
    <x v="0"/>
    <x v="1"/>
    <n v="0"/>
  </r>
  <r>
    <x v="13"/>
    <x v="1"/>
    <x v="0"/>
    <n v="1111"/>
    <x v="0"/>
    <n v="8"/>
    <x v="0"/>
    <x v="0"/>
    <x v="0"/>
    <n v="808"/>
    <x v="1"/>
    <x v="0"/>
    <n v="93"/>
    <x v="0"/>
    <x v="0"/>
    <x v="0"/>
    <x v="3"/>
    <x v="1"/>
    <x v="559"/>
    <n v="13305"/>
    <n v="5"/>
    <s v="Y"/>
    <x v="1"/>
    <n v="17"/>
    <x v="0"/>
    <x v="2"/>
    <n v="80"/>
    <n v="1"/>
    <n v="6"/>
    <n v="1"/>
    <x v="1"/>
    <x v="11"/>
    <n v="2"/>
    <x v="1"/>
    <x v="3"/>
    <x v="1"/>
    <x v="2"/>
    <x v="0"/>
    <n v="0"/>
  </r>
  <r>
    <x v="19"/>
    <x v="1"/>
    <x v="1"/>
    <n v="570"/>
    <x v="1"/>
    <n v="8"/>
    <x v="3"/>
    <x v="0"/>
    <x v="0"/>
    <n v="809"/>
    <x v="0"/>
    <x v="1"/>
    <n v="66"/>
    <x v="0"/>
    <x v="4"/>
    <x v="5"/>
    <x v="0"/>
    <x v="2"/>
    <x v="560"/>
    <n v="16225"/>
    <n v="1"/>
    <s v="Y"/>
    <x v="1"/>
    <n v="13"/>
    <x v="0"/>
    <x v="2"/>
    <n v="80"/>
    <n v="1"/>
    <n v="24"/>
    <n v="4"/>
    <x v="2"/>
    <x v="25"/>
    <n v="7"/>
    <x v="15"/>
    <x v="12"/>
    <x v="0"/>
    <x v="3"/>
    <x v="2"/>
    <n v="0"/>
  </r>
  <r>
    <x v="30"/>
    <x v="0"/>
    <x v="0"/>
    <n v="1243"/>
    <x v="1"/>
    <n v="6"/>
    <x v="3"/>
    <x v="0"/>
    <x v="0"/>
    <n v="811"/>
    <x v="1"/>
    <x v="1"/>
    <n v="63"/>
    <x v="2"/>
    <x v="1"/>
    <x v="2"/>
    <x v="3"/>
    <x v="1"/>
    <x v="561"/>
    <n v="3445"/>
    <n v="1"/>
    <s v="Y"/>
    <x v="0"/>
    <n v="21"/>
    <x v="1"/>
    <x v="3"/>
    <n v="80"/>
    <n v="2"/>
    <n v="1"/>
    <n v="2"/>
    <x v="1"/>
    <x v="2"/>
    <n v="0"/>
    <x v="0"/>
    <x v="2"/>
    <x v="2"/>
    <x v="1"/>
    <x v="1"/>
    <n v="1"/>
  </r>
  <r>
    <x v="17"/>
    <x v="1"/>
    <x v="2"/>
    <n v="1092"/>
    <x v="1"/>
    <n v="9"/>
    <x v="3"/>
    <x v="0"/>
    <x v="0"/>
    <n v="812"/>
    <x v="1"/>
    <x v="1"/>
    <n v="60"/>
    <x v="1"/>
    <x v="1"/>
    <x v="2"/>
    <x v="1"/>
    <x v="2"/>
    <x v="562"/>
    <n v="26551"/>
    <n v="1"/>
    <s v="Y"/>
    <x v="1"/>
    <n v="11"/>
    <x v="0"/>
    <x v="3"/>
    <n v="80"/>
    <n v="3"/>
    <n v="1"/>
    <n v="4"/>
    <x v="1"/>
    <x v="6"/>
    <n v="0"/>
    <x v="0"/>
    <x v="2"/>
    <x v="2"/>
    <x v="1"/>
    <x v="1"/>
    <n v="0"/>
  </r>
  <r>
    <x v="39"/>
    <x v="1"/>
    <x v="0"/>
    <n v="1325"/>
    <x v="1"/>
    <n v="11"/>
    <x v="2"/>
    <x v="0"/>
    <x v="0"/>
    <n v="813"/>
    <x v="2"/>
    <x v="0"/>
    <n v="82"/>
    <x v="0"/>
    <x v="0"/>
    <x v="2"/>
    <x v="2"/>
    <x v="1"/>
    <x v="563"/>
    <n v="21821"/>
    <n v="8"/>
    <s v="Y"/>
    <x v="1"/>
    <n v="20"/>
    <x v="1"/>
    <x v="2"/>
    <n v="80"/>
    <n v="1"/>
    <n v="9"/>
    <n v="3"/>
    <x v="1"/>
    <x v="8"/>
    <n v="2"/>
    <x v="1"/>
    <x v="10"/>
    <x v="3"/>
    <x v="2"/>
    <x v="1"/>
    <n v="0"/>
  </r>
  <r>
    <x v="24"/>
    <x v="1"/>
    <x v="0"/>
    <n v="691"/>
    <x v="1"/>
    <n v="2"/>
    <x v="3"/>
    <x v="2"/>
    <x v="0"/>
    <n v="815"/>
    <x v="1"/>
    <x v="1"/>
    <n v="64"/>
    <x v="0"/>
    <x v="3"/>
    <x v="7"/>
    <x v="2"/>
    <x v="1"/>
    <x v="564"/>
    <n v="6881"/>
    <n v="5"/>
    <s v="Y"/>
    <x v="1"/>
    <n v="16"/>
    <x v="0"/>
    <x v="1"/>
    <n v="80"/>
    <n v="0"/>
    <n v="30"/>
    <n v="3"/>
    <x v="1"/>
    <x v="9"/>
    <n v="3"/>
    <x v="0"/>
    <x v="6"/>
    <x v="3"/>
    <x v="2"/>
    <x v="2"/>
    <n v="0"/>
  </r>
  <r>
    <x v="11"/>
    <x v="0"/>
    <x v="0"/>
    <n v="805"/>
    <x v="1"/>
    <n v="1"/>
    <x v="0"/>
    <x v="0"/>
    <x v="0"/>
    <n v="816"/>
    <x v="0"/>
    <x v="0"/>
    <n v="36"/>
    <x v="1"/>
    <x v="1"/>
    <x v="2"/>
    <x v="3"/>
    <x v="1"/>
    <x v="565"/>
    <n v="6689"/>
    <n v="1"/>
    <s v="Y"/>
    <x v="0"/>
    <n v="11"/>
    <x v="0"/>
    <x v="1"/>
    <n v="80"/>
    <n v="1"/>
    <n v="1"/>
    <n v="1"/>
    <x v="1"/>
    <x v="6"/>
    <n v="0"/>
    <x v="0"/>
    <x v="2"/>
    <x v="2"/>
    <x v="1"/>
    <x v="1"/>
    <n v="1"/>
  </r>
  <r>
    <x v="3"/>
    <x v="1"/>
    <x v="0"/>
    <n v="213"/>
    <x v="1"/>
    <n v="7"/>
    <x v="3"/>
    <x v="2"/>
    <x v="0"/>
    <n v="817"/>
    <x v="1"/>
    <x v="1"/>
    <n v="49"/>
    <x v="0"/>
    <x v="2"/>
    <x v="7"/>
    <x v="2"/>
    <x v="1"/>
    <x v="566"/>
    <n v="25995"/>
    <n v="0"/>
    <s v="Y"/>
    <x v="1"/>
    <n v="11"/>
    <x v="0"/>
    <x v="1"/>
    <n v="80"/>
    <n v="0"/>
    <n v="14"/>
    <n v="3"/>
    <x v="3"/>
    <x v="20"/>
    <n v="9"/>
    <x v="2"/>
    <x v="1"/>
    <x v="1"/>
    <x v="3"/>
    <x v="3"/>
    <n v="0"/>
  </r>
  <r>
    <x v="3"/>
    <x v="0"/>
    <x v="0"/>
    <n v="118"/>
    <x v="0"/>
    <n v="16"/>
    <x v="3"/>
    <x v="3"/>
    <x v="0"/>
    <n v="819"/>
    <x v="3"/>
    <x v="0"/>
    <n v="69"/>
    <x v="0"/>
    <x v="0"/>
    <x v="0"/>
    <x v="3"/>
    <x v="0"/>
    <x v="567"/>
    <n v="26507"/>
    <n v="5"/>
    <s v="Y"/>
    <x v="1"/>
    <n v="15"/>
    <x v="0"/>
    <x v="3"/>
    <n v="80"/>
    <n v="0"/>
    <n v="6"/>
    <n v="3"/>
    <x v="1"/>
    <x v="11"/>
    <n v="2"/>
    <x v="0"/>
    <x v="3"/>
    <x v="1"/>
    <x v="2"/>
    <x v="0"/>
    <n v="1"/>
  </r>
  <r>
    <x v="40"/>
    <x v="1"/>
    <x v="0"/>
    <n v="202"/>
    <x v="1"/>
    <n v="2"/>
    <x v="0"/>
    <x v="1"/>
    <x v="0"/>
    <n v="820"/>
    <x v="1"/>
    <x v="0"/>
    <n v="33"/>
    <x v="0"/>
    <x v="3"/>
    <x v="5"/>
    <x v="0"/>
    <x v="1"/>
    <x v="568"/>
    <n v="12982"/>
    <n v="1"/>
    <s v="Y"/>
    <x v="0"/>
    <n v="11"/>
    <x v="0"/>
    <x v="3"/>
    <n v="80"/>
    <n v="1"/>
    <n v="26"/>
    <n v="3"/>
    <x v="2"/>
    <x v="34"/>
    <n v="14"/>
    <x v="2"/>
    <x v="2"/>
    <x v="0"/>
    <x v="3"/>
    <x v="2"/>
    <n v="0"/>
  </r>
  <r>
    <x v="9"/>
    <x v="1"/>
    <x v="0"/>
    <n v="676"/>
    <x v="1"/>
    <n v="1"/>
    <x v="3"/>
    <x v="1"/>
    <x v="0"/>
    <n v="823"/>
    <x v="1"/>
    <x v="0"/>
    <n v="35"/>
    <x v="0"/>
    <x v="0"/>
    <x v="3"/>
    <x v="1"/>
    <x v="1"/>
    <x v="311"/>
    <n v="23361"/>
    <n v="0"/>
    <s v="Y"/>
    <x v="1"/>
    <n v="15"/>
    <x v="0"/>
    <x v="0"/>
    <n v="80"/>
    <n v="1"/>
    <n v="10"/>
    <n v="2"/>
    <x v="1"/>
    <x v="7"/>
    <n v="7"/>
    <x v="0"/>
    <x v="0"/>
    <x v="1"/>
    <x v="0"/>
    <x v="0"/>
    <n v="0"/>
  </r>
  <r>
    <x v="11"/>
    <x v="1"/>
    <x v="0"/>
    <n v="1252"/>
    <x v="1"/>
    <n v="23"/>
    <x v="0"/>
    <x v="0"/>
    <x v="0"/>
    <n v="824"/>
    <x v="1"/>
    <x v="1"/>
    <n v="81"/>
    <x v="2"/>
    <x v="1"/>
    <x v="1"/>
    <x v="2"/>
    <x v="1"/>
    <x v="569"/>
    <n v="23779"/>
    <n v="1"/>
    <s v="Y"/>
    <x v="1"/>
    <n v="24"/>
    <x v="1"/>
    <x v="3"/>
    <n v="80"/>
    <n v="1"/>
    <n v="10"/>
    <n v="3"/>
    <x v="1"/>
    <x v="1"/>
    <n v="7"/>
    <x v="0"/>
    <x v="1"/>
    <x v="2"/>
    <x v="0"/>
    <x v="1"/>
    <n v="0"/>
  </r>
  <r>
    <x v="34"/>
    <x v="0"/>
    <x v="0"/>
    <n v="286"/>
    <x v="1"/>
    <n v="2"/>
    <x v="2"/>
    <x v="0"/>
    <x v="0"/>
    <n v="825"/>
    <x v="2"/>
    <x v="1"/>
    <n v="31"/>
    <x v="0"/>
    <x v="4"/>
    <x v="7"/>
    <x v="1"/>
    <x v="0"/>
    <x v="570"/>
    <n v="25761"/>
    <n v="7"/>
    <s v="Y"/>
    <x v="0"/>
    <n v="12"/>
    <x v="0"/>
    <x v="1"/>
    <n v="80"/>
    <n v="0"/>
    <n v="40"/>
    <n v="2"/>
    <x v="1"/>
    <x v="31"/>
    <n v="15"/>
    <x v="11"/>
    <x v="5"/>
    <x v="3"/>
    <x v="3"/>
    <x v="2"/>
    <n v="1"/>
  </r>
  <r>
    <x v="10"/>
    <x v="1"/>
    <x v="0"/>
    <n v="1258"/>
    <x v="1"/>
    <n v="1"/>
    <x v="2"/>
    <x v="0"/>
    <x v="0"/>
    <n v="826"/>
    <x v="2"/>
    <x v="0"/>
    <n v="40"/>
    <x v="2"/>
    <x v="1"/>
    <x v="1"/>
    <x v="2"/>
    <x v="0"/>
    <x v="571"/>
    <n v="13301"/>
    <n v="3"/>
    <s v="Y"/>
    <x v="1"/>
    <n v="13"/>
    <x v="0"/>
    <x v="3"/>
    <n v="80"/>
    <n v="0"/>
    <n v="7"/>
    <n v="0"/>
    <x v="1"/>
    <x v="4"/>
    <n v="2"/>
    <x v="3"/>
    <x v="3"/>
    <x v="1"/>
    <x v="1"/>
    <x v="1"/>
    <n v="0"/>
  </r>
  <r>
    <x v="19"/>
    <x v="1"/>
    <x v="0"/>
    <n v="932"/>
    <x v="1"/>
    <n v="1"/>
    <x v="0"/>
    <x v="0"/>
    <x v="0"/>
    <n v="827"/>
    <x v="2"/>
    <x v="0"/>
    <n v="43"/>
    <x v="1"/>
    <x v="0"/>
    <x v="3"/>
    <x v="0"/>
    <x v="1"/>
    <x v="572"/>
    <n v="4051"/>
    <n v="9"/>
    <s v="Y"/>
    <x v="0"/>
    <n v="13"/>
    <x v="0"/>
    <x v="1"/>
    <n v="80"/>
    <n v="1"/>
    <n v="8"/>
    <n v="4"/>
    <x v="1"/>
    <x v="9"/>
    <n v="3"/>
    <x v="0"/>
    <x v="3"/>
    <x v="0"/>
    <x v="2"/>
    <x v="0"/>
    <n v="0"/>
  </r>
  <r>
    <x v="14"/>
    <x v="0"/>
    <x v="0"/>
    <n v="890"/>
    <x v="1"/>
    <n v="2"/>
    <x v="2"/>
    <x v="2"/>
    <x v="0"/>
    <n v="828"/>
    <x v="1"/>
    <x v="1"/>
    <n v="46"/>
    <x v="0"/>
    <x v="1"/>
    <x v="1"/>
    <x v="2"/>
    <x v="0"/>
    <x v="573"/>
    <n v="16374"/>
    <n v="6"/>
    <s v="Y"/>
    <x v="1"/>
    <n v="17"/>
    <x v="0"/>
    <x v="1"/>
    <n v="80"/>
    <n v="0"/>
    <n v="5"/>
    <n v="3"/>
    <x v="2"/>
    <x v="4"/>
    <n v="2"/>
    <x v="3"/>
    <x v="9"/>
    <x v="2"/>
    <x v="1"/>
    <x v="1"/>
    <n v="1"/>
  </r>
  <r>
    <x v="9"/>
    <x v="1"/>
    <x v="0"/>
    <n v="1041"/>
    <x v="2"/>
    <n v="13"/>
    <x v="3"/>
    <x v="5"/>
    <x v="0"/>
    <n v="829"/>
    <x v="1"/>
    <x v="1"/>
    <n v="36"/>
    <x v="0"/>
    <x v="1"/>
    <x v="8"/>
    <x v="1"/>
    <x v="1"/>
    <x v="574"/>
    <n v="25527"/>
    <n v="4"/>
    <s v="Y"/>
    <x v="1"/>
    <n v="13"/>
    <x v="0"/>
    <x v="2"/>
    <n v="80"/>
    <n v="1"/>
    <n v="8"/>
    <n v="2"/>
    <x v="1"/>
    <x v="8"/>
    <n v="2"/>
    <x v="0"/>
    <x v="10"/>
    <x v="1"/>
    <x v="2"/>
    <x v="1"/>
    <n v="0"/>
  </r>
  <r>
    <x v="5"/>
    <x v="1"/>
    <x v="0"/>
    <n v="859"/>
    <x v="1"/>
    <n v="4"/>
    <x v="3"/>
    <x v="0"/>
    <x v="0"/>
    <n v="830"/>
    <x v="1"/>
    <x v="0"/>
    <n v="98"/>
    <x v="1"/>
    <x v="0"/>
    <x v="3"/>
    <x v="2"/>
    <x v="1"/>
    <x v="57"/>
    <n v="19124"/>
    <n v="1"/>
    <s v="Y"/>
    <x v="1"/>
    <n v="12"/>
    <x v="0"/>
    <x v="3"/>
    <n v="80"/>
    <n v="1"/>
    <n v="14"/>
    <n v="3"/>
    <x v="1"/>
    <x v="13"/>
    <n v="13"/>
    <x v="7"/>
    <x v="5"/>
    <x v="1"/>
    <x v="3"/>
    <x v="0"/>
    <n v="0"/>
  </r>
  <r>
    <x v="32"/>
    <x v="1"/>
    <x v="1"/>
    <n v="720"/>
    <x v="1"/>
    <n v="16"/>
    <x v="2"/>
    <x v="2"/>
    <x v="0"/>
    <n v="832"/>
    <x v="3"/>
    <x v="1"/>
    <n v="51"/>
    <x v="1"/>
    <x v="0"/>
    <x v="2"/>
    <x v="2"/>
    <x v="0"/>
    <x v="575"/>
    <n v="11983"/>
    <n v="6"/>
    <s v="Y"/>
    <x v="1"/>
    <n v="14"/>
    <x v="0"/>
    <x v="1"/>
    <n v="80"/>
    <n v="0"/>
    <n v="10"/>
    <n v="6"/>
    <x v="1"/>
    <x v="6"/>
    <n v="0"/>
    <x v="0"/>
    <x v="2"/>
    <x v="0"/>
    <x v="1"/>
    <x v="0"/>
    <n v="0"/>
  </r>
  <r>
    <x v="7"/>
    <x v="1"/>
    <x v="0"/>
    <n v="946"/>
    <x v="1"/>
    <n v="2"/>
    <x v="3"/>
    <x v="2"/>
    <x v="0"/>
    <n v="833"/>
    <x v="1"/>
    <x v="0"/>
    <n v="52"/>
    <x v="1"/>
    <x v="0"/>
    <x v="3"/>
    <x v="0"/>
    <x v="0"/>
    <x v="576"/>
    <n v="20234"/>
    <n v="5"/>
    <s v="Y"/>
    <x v="0"/>
    <n v="24"/>
    <x v="1"/>
    <x v="2"/>
    <n v="80"/>
    <n v="0"/>
    <n v="12"/>
    <n v="4"/>
    <x v="2"/>
    <x v="2"/>
    <n v="0"/>
    <x v="0"/>
    <x v="2"/>
    <x v="1"/>
    <x v="1"/>
    <x v="0"/>
    <n v="0"/>
  </r>
  <r>
    <x v="28"/>
    <x v="1"/>
    <x v="0"/>
    <n v="252"/>
    <x v="1"/>
    <n v="2"/>
    <x v="3"/>
    <x v="0"/>
    <x v="0"/>
    <n v="834"/>
    <x v="0"/>
    <x v="0"/>
    <n v="95"/>
    <x v="1"/>
    <x v="1"/>
    <x v="1"/>
    <x v="2"/>
    <x v="0"/>
    <x v="577"/>
    <n v="6153"/>
    <n v="1"/>
    <s v="Y"/>
    <x v="1"/>
    <n v="14"/>
    <x v="0"/>
    <x v="1"/>
    <n v="80"/>
    <n v="0"/>
    <n v="1"/>
    <n v="3"/>
    <x v="1"/>
    <x v="6"/>
    <n v="0"/>
    <x v="0"/>
    <x v="2"/>
    <x v="0"/>
    <x v="1"/>
    <x v="1"/>
    <n v="0"/>
  </r>
  <r>
    <x v="19"/>
    <x v="1"/>
    <x v="0"/>
    <n v="933"/>
    <x v="1"/>
    <n v="29"/>
    <x v="3"/>
    <x v="0"/>
    <x v="0"/>
    <n v="836"/>
    <x v="0"/>
    <x v="1"/>
    <n v="98"/>
    <x v="0"/>
    <x v="0"/>
    <x v="3"/>
    <x v="1"/>
    <x v="1"/>
    <x v="578"/>
    <n v="11806"/>
    <n v="1"/>
    <s v="Y"/>
    <x v="1"/>
    <n v="13"/>
    <x v="0"/>
    <x v="1"/>
    <n v="80"/>
    <n v="1"/>
    <n v="10"/>
    <n v="3"/>
    <x v="2"/>
    <x v="7"/>
    <n v="8"/>
    <x v="4"/>
    <x v="5"/>
    <x v="0"/>
    <x v="0"/>
    <x v="1"/>
    <n v="0"/>
  </r>
  <r>
    <x v="8"/>
    <x v="1"/>
    <x v="1"/>
    <n v="471"/>
    <x v="1"/>
    <n v="12"/>
    <x v="3"/>
    <x v="0"/>
    <x v="0"/>
    <n v="837"/>
    <x v="3"/>
    <x v="1"/>
    <n v="45"/>
    <x v="1"/>
    <x v="0"/>
    <x v="4"/>
    <x v="3"/>
    <x v="2"/>
    <x v="579"/>
    <n v="4284"/>
    <n v="2"/>
    <s v="Y"/>
    <x v="1"/>
    <n v="15"/>
    <x v="0"/>
    <x v="3"/>
    <n v="80"/>
    <n v="1"/>
    <n v="13"/>
    <n v="3"/>
    <x v="2"/>
    <x v="9"/>
    <n v="3"/>
    <x v="1"/>
    <x v="3"/>
    <x v="1"/>
    <x v="2"/>
    <x v="0"/>
    <n v="0"/>
  </r>
  <r>
    <x v="13"/>
    <x v="1"/>
    <x v="1"/>
    <n v="702"/>
    <x v="1"/>
    <n v="16"/>
    <x v="2"/>
    <x v="0"/>
    <x v="0"/>
    <n v="838"/>
    <x v="1"/>
    <x v="0"/>
    <n v="100"/>
    <x v="1"/>
    <x v="1"/>
    <x v="1"/>
    <x v="0"/>
    <x v="0"/>
    <x v="580"/>
    <n v="8306"/>
    <n v="1"/>
    <s v="Y"/>
    <x v="1"/>
    <n v="16"/>
    <x v="0"/>
    <x v="3"/>
    <n v="80"/>
    <n v="0"/>
    <n v="6"/>
    <n v="3"/>
    <x v="1"/>
    <x v="8"/>
    <n v="2"/>
    <x v="1"/>
    <x v="6"/>
    <x v="1"/>
    <x v="2"/>
    <x v="1"/>
    <n v="0"/>
  </r>
  <r>
    <x v="1"/>
    <x v="0"/>
    <x v="0"/>
    <n v="1184"/>
    <x v="0"/>
    <n v="11"/>
    <x v="3"/>
    <x v="3"/>
    <x v="0"/>
    <n v="840"/>
    <x v="1"/>
    <x v="0"/>
    <n v="43"/>
    <x v="0"/>
    <x v="2"/>
    <x v="0"/>
    <x v="0"/>
    <x v="1"/>
    <x v="581"/>
    <n v="5860"/>
    <n v="1"/>
    <s v="Y"/>
    <x v="1"/>
    <n v="18"/>
    <x v="0"/>
    <x v="0"/>
    <n v="80"/>
    <n v="2"/>
    <n v="9"/>
    <n v="3"/>
    <x v="3"/>
    <x v="7"/>
    <n v="8"/>
    <x v="4"/>
    <x v="1"/>
    <x v="0"/>
    <x v="0"/>
    <x v="0"/>
    <n v="1"/>
  </r>
  <r>
    <x v="27"/>
    <x v="0"/>
    <x v="0"/>
    <n v="436"/>
    <x v="0"/>
    <n v="2"/>
    <x v="1"/>
    <x v="2"/>
    <x v="0"/>
    <n v="842"/>
    <x v="1"/>
    <x v="1"/>
    <n v="37"/>
    <x v="0"/>
    <x v="0"/>
    <x v="0"/>
    <x v="0"/>
    <x v="0"/>
    <x v="582"/>
    <n v="21519"/>
    <n v="4"/>
    <s v="Y"/>
    <x v="1"/>
    <n v="16"/>
    <x v="0"/>
    <x v="3"/>
    <n v="80"/>
    <n v="0"/>
    <n v="12"/>
    <n v="3"/>
    <x v="2"/>
    <x v="7"/>
    <n v="7"/>
    <x v="4"/>
    <x v="6"/>
    <x v="3"/>
    <x v="0"/>
    <x v="0"/>
    <n v="1"/>
  </r>
  <r>
    <x v="23"/>
    <x v="1"/>
    <x v="0"/>
    <n v="589"/>
    <x v="1"/>
    <n v="14"/>
    <x v="0"/>
    <x v="0"/>
    <x v="0"/>
    <n v="843"/>
    <x v="0"/>
    <x v="1"/>
    <n v="94"/>
    <x v="0"/>
    <x v="3"/>
    <x v="7"/>
    <x v="3"/>
    <x v="1"/>
    <x v="583"/>
    <n v="5200"/>
    <n v="6"/>
    <s v="Y"/>
    <x v="1"/>
    <n v="24"/>
    <x v="1"/>
    <x v="3"/>
    <n v="80"/>
    <n v="1"/>
    <n v="22"/>
    <n v="3"/>
    <x v="1"/>
    <x v="9"/>
    <n v="1"/>
    <x v="1"/>
    <x v="2"/>
    <x v="0"/>
    <x v="2"/>
    <x v="2"/>
    <n v="0"/>
  </r>
  <r>
    <x v="4"/>
    <x v="1"/>
    <x v="0"/>
    <n v="269"/>
    <x v="1"/>
    <n v="5"/>
    <x v="1"/>
    <x v="4"/>
    <x v="0"/>
    <n v="844"/>
    <x v="1"/>
    <x v="1"/>
    <n v="42"/>
    <x v="1"/>
    <x v="2"/>
    <x v="7"/>
    <x v="0"/>
    <x v="2"/>
    <x v="584"/>
    <n v="8842"/>
    <n v="1"/>
    <s v="Y"/>
    <x v="0"/>
    <n v="16"/>
    <x v="0"/>
    <x v="2"/>
    <n v="80"/>
    <n v="1"/>
    <n v="9"/>
    <n v="3"/>
    <x v="1"/>
    <x v="7"/>
    <n v="8"/>
    <x v="0"/>
    <x v="5"/>
    <x v="2"/>
    <x v="0"/>
    <x v="3"/>
    <n v="0"/>
  </r>
  <r>
    <x v="10"/>
    <x v="1"/>
    <x v="0"/>
    <n v="950"/>
    <x v="1"/>
    <n v="7"/>
    <x v="3"/>
    <x v="1"/>
    <x v="0"/>
    <n v="845"/>
    <x v="1"/>
    <x v="1"/>
    <n v="59"/>
    <x v="0"/>
    <x v="2"/>
    <x v="3"/>
    <x v="2"/>
    <x v="0"/>
    <x v="585"/>
    <n v="18869"/>
    <n v="3"/>
    <s v="Y"/>
    <x v="1"/>
    <n v="21"/>
    <x v="1"/>
    <x v="2"/>
    <n v="80"/>
    <n v="0"/>
    <n v="17"/>
    <n v="3"/>
    <x v="3"/>
    <x v="3"/>
    <n v="5"/>
    <x v="1"/>
    <x v="4"/>
    <x v="1"/>
    <x v="0"/>
    <x v="3"/>
    <n v="0"/>
  </r>
  <r>
    <x v="14"/>
    <x v="1"/>
    <x v="0"/>
    <n v="760"/>
    <x v="0"/>
    <n v="2"/>
    <x v="2"/>
    <x v="3"/>
    <x v="0"/>
    <n v="846"/>
    <x v="0"/>
    <x v="0"/>
    <n v="81"/>
    <x v="0"/>
    <x v="0"/>
    <x v="0"/>
    <x v="1"/>
    <x v="1"/>
    <x v="586"/>
    <n v="3698"/>
    <n v="1"/>
    <s v="Y"/>
    <x v="0"/>
    <n v="20"/>
    <x v="1"/>
    <x v="0"/>
    <n v="80"/>
    <n v="0"/>
    <n v="8"/>
    <n v="2"/>
    <x v="1"/>
    <x v="3"/>
    <n v="7"/>
    <x v="4"/>
    <x v="0"/>
    <x v="2"/>
    <x v="0"/>
    <x v="1"/>
    <n v="0"/>
  </r>
  <r>
    <x v="13"/>
    <x v="1"/>
    <x v="0"/>
    <n v="829"/>
    <x v="2"/>
    <n v="3"/>
    <x v="0"/>
    <x v="5"/>
    <x v="0"/>
    <n v="847"/>
    <x v="1"/>
    <x v="1"/>
    <n v="88"/>
    <x v="0"/>
    <x v="1"/>
    <x v="8"/>
    <x v="0"/>
    <x v="1"/>
    <x v="587"/>
    <n v="2243"/>
    <n v="0"/>
    <s v="Y"/>
    <x v="1"/>
    <n v="19"/>
    <x v="0"/>
    <x v="3"/>
    <n v="80"/>
    <n v="1"/>
    <n v="4"/>
    <n v="1"/>
    <x v="0"/>
    <x v="11"/>
    <n v="2"/>
    <x v="0"/>
    <x v="3"/>
    <x v="1"/>
    <x v="2"/>
    <x v="1"/>
    <n v="0"/>
  </r>
  <r>
    <x v="25"/>
    <x v="0"/>
    <x v="1"/>
    <n v="887"/>
    <x v="1"/>
    <n v="5"/>
    <x v="0"/>
    <x v="2"/>
    <x v="0"/>
    <n v="848"/>
    <x v="1"/>
    <x v="0"/>
    <n v="88"/>
    <x v="1"/>
    <x v="1"/>
    <x v="1"/>
    <x v="2"/>
    <x v="1"/>
    <x v="588"/>
    <n v="20898"/>
    <n v="1"/>
    <s v="Y"/>
    <x v="0"/>
    <n v="14"/>
    <x v="0"/>
    <x v="0"/>
    <n v="80"/>
    <n v="1"/>
    <n v="8"/>
    <n v="2"/>
    <x v="1"/>
    <x v="3"/>
    <n v="7"/>
    <x v="1"/>
    <x v="1"/>
    <x v="2"/>
    <x v="0"/>
    <x v="1"/>
    <n v="1"/>
  </r>
  <r>
    <x v="4"/>
    <x v="1"/>
    <x v="2"/>
    <n v="443"/>
    <x v="1"/>
    <n v="3"/>
    <x v="3"/>
    <x v="2"/>
    <x v="0"/>
    <n v="850"/>
    <x v="2"/>
    <x v="1"/>
    <n v="50"/>
    <x v="0"/>
    <x v="1"/>
    <x v="1"/>
    <x v="0"/>
    <x v="1"/>
    <x v="589"/>
    <n v="16571"/>
    <n v="1"/>
    <s v="Y"/>
    <x v="1"/>
    <n v="11"/>
    <x v="0"/>
    <x v="3"/>
    <n v="80"/>
    <n v="3"/>
    <n v="0"/>
    <n v="6"/>
    <x v="2"/>
    <x v="2"/>
    <n v="0"/>
    <x v="0"/>
    <x v="2"/>
    <x v="2"/>
    <x v="1"/>
    <x v="1"/>
    <n v="0"/>
  </r>
  <r>
    <x v="31"/>
    <x v="1"/>
    <x v="0"/>
    <n v="1318"/>
    <x v="0"/>
    <n v="26"/>
    <x v="2"/>
    <x v="3"/>
    <x v="0"/>
    <n v="851"/>
    <x v="3"/>
    <x v="0"/>
    <n v="66"/>
    <x v="0"/>
    <x v="3"/>
    <x v="5"/>
    <x v="2"/>
    <x v="1"/>
    <x v="590"/>
    <n v="5594"/>
    <n v="2"/>
    <s v="Y"/>
    <x v="1"/>
    <n v="14"/>
    <x v="0"/>
    <x v="3"/>
    <n v="80"/>
    <n v="1"/>
    <n v="29"/>
    <n v="2"/>
    <x v="2"/>
    <x v="23"/>
    <n v="6"/>
    <x v="5"/>
    <x v="8"/>
    <x v="3"/>
    <x v="3"/>
    <x v="2"/>
    <n v="0"/>
  </r>
  <r>
    <x v="20"/>
    <x v="1"/>
    <x v="0"/>
    <n v="625"/>
    <x v="1"/>
    <n v="4"/>
    <x v="3"/>
    <x v="2"/>
    <x v="0"/>
    <n v="852"/>
    <x v="2"/>
    <x v="1"/>
    <n v="50"/>
    <x v="0"/>
    <x v="0"/>
    <x v="4"/>
    <x v="1"/>
    <x v="0"/>
    <x v="591"/>
    <n v="5197"/>
    <n v="9"/>
    <s v="Y"/>
    <x v="1"/>
    <n v="12"/>
    <x v="0"/>
    <x v="1"/>
    <n v="80"/>
    <n v="0"/>
    <n v="10"/>
    <n v="2"/>
    <x v="2"/>
    <x v="8"/>
    <n v="2"/>
    <x v="3"/>
    <x v="6"/>
    <x v="0"/>
    <x v="2"/>
    <x v="0"/>
    <n v="0"/>
  </r>
  <r>
    <x v="36"/>
    <x v="1"/>
    <x v="0"/>
    <n v="180"/>
    <x v="1"/>
    <n v="2"/>
    <x v="1"/>
    <x v="2"/>
    <x v="0"/>
    <n v="854"/>
    <x v="3"/>
    <x v="1"/>
    <n v="65"/>
    <x v="2"/>
    <x v="1"/>
    <x v="1"/>
    <x v="3"/>
    <x v="0"/>
    <x v="592"/>
    <n v="21632"/>
    <n v="7"/>
    <s v="Y"/>
    <x v="1"/>
    <n v="13"/>
    <x v="0"/>
    <x v="3"/>
    <n v="80"/>
    <n v="0"/>
    <n v="6"/>
    <n v="3"/>
    <x v="2"/>
    <x v="9"/>
    <n v="3"/>
    <x v="0"/>
    <x v="9"/>
    <x v="2"/>
    <x v="2"/>
    <x v="1"/>
    <n v="0"/>
  </r>
  <r>
    <x v="3"/>
    <x v="1"/>
    <x v="0"/>
    <n v="586"/>
    <x v="0"/>
    <n v="1"/>
    <x v="3"/>
    <x v="2"/>
    <x v="0"/>
    <n v="855"/>
    <x v="3"/>
    <x v="1"/>
    <n v="48"/>
    <x v="2"/>
    <x v="0"/>
    <x v="0"/>
    <x v="3"/>
    <x v="2"/>
    <x v="593"/>
    <n v="21816"/>
    <n v="1"/>
    <s v="Y"/>
    <x v="1"/>
    <n v="22"/>
    <x v="1"/>
    <x v="0"/>
    <n v="80"/>
    <n v="1"/>
    <n v="9"/>
    <n v="5"/>
    <x v="1"/>
    <x v="7"/>
    <n v="8"/>
    <x v="0"/>
    <x v="5"/>
    <x v="1"/>
    <x v="0"/>
    <x v="1"/>
    <n v="0"/>
  </r>
  <r>
    <x v="10"/>
    <x v="1"/>
    <x v="0"/>
    <n v="1343"/>
    <x v="1"/>
    <n v="27"/>
    <x v="1"/>
    <x v="2"/>
    <x v="0"/>
    <n v="856"/>
    <x v="1"/>
    <x v="0"/>
    <n v="53"/>
    <x v="1"/>
    <x v="1"/>
    <x v="1"/>
    <x v="3"/>
    <x v="0"/>
    <x v="594"/>
    <n v="17852"/>
    <n v="1"/>
    <s v="Y"/>
    <x v="1"/>
    <n v="11"/>
    <x v="0"/>
    <x v="1"/>
    <n v="80"/>
    <n v="0"/>
    <n v="6"/>
    <n v="3"/>
    <x v="2"/>
    <x v="0"/>
    <n v="5"/>
    <x v="1"/>
    <x v="9"/>
    <x v="1"/>
    <x v="0"/>
    <x v="1"/>
    <n v="0"/>
  </r>
  <r>
    <x v="9"/>
    <x v="1"/>
    <x v="0"/>
    <n v="928"/>
    <x v="0"/>
    <n v="1"/>
    <x v="0"/>
    <x v="0"/>
    <x v="0"/>
    <n v="857"/>
    <x v="0"/>
    <x v="1"/>
    <n v="56"/>
    <x v="0"/>
    <x v="0"/>
    <x v="0"/>
    <x v="0"/>
    <x v="1"/>
    <x v="595"/>
    <n v="2823"/>
    <n v="1"/>
    <s v="Y"/>
    <x v="0"/>
    <n v="14"/>
    <x v="0"/>
    <x v="1"/>
    <n v="80"/>
    <n v="1"/>
    <n v="18"/>
    <n v="1"/>
    <x v="2"/>
    <x v="29"/>
    <n v="14"/>
    <x v="5"/>
    <x v="7"/>
    <x v="1"/>
    <x v="3"/>
    <x v="0"/>
    <n v="0"/>
  </r>
  <r>
    <x v="5"/>
    <x v="1"/>
    <x v="0"/>
    <n v="117"/>
    <x v="0"/>
    <n v="13"/>
    <x v="2"/>
    <x v="0"/>
    <x v="0"/>
    <n v="859"/>
    <x v="0"/>
    <x v="1"/>
    <n v="73"/>
    <x v="0"/>
    <x v="0"/>
    <x v="0"/>
    <x v="0"/>
    <x v="2"/>
    <x v="596"/>
    <n v="9250"/>
    <n v="2"/>
    <s v="Y"/>
    <x v="1"/>
    <n v="11"/>
    <x v="0"/>
    <x v="3"/>
    <n v="80"/>
    <n v="1"/>
    <n v="8"/>
    <n v="3"/>
    <x v="2"/>
    <x v="8"/>
    <n v="2"/>
    <x v="0"/>
    <x v="6"/>
    <x v="1"/>
    <x v="2"/>
    <x v="1"/>
    <n v="0"/>
  </r>
  <r>
    <x v="7"/>
    <x v="1"/>
    <x v="1"/>
    <n v="1012"/>
    <x v="1"/>
    <n v="5"/>
    <x v="2"/>
    <x v="0"/>
    <x v="0"/>
    <n v="861"/>
    <x v="0"/>
    <x v="1"/>
    <n v="75"/>
    <x v="1"/>
    <x v="1"/>
    <x v="1"/>
    <x v="0"/>
    <x v="2"/>
    <x v="597"/>
    <n v="2373"/>
    <n v="9"/>
    <s v="Y"/>
    <x v="1"/>
    <n v="12"/>
    <x v="0"/>
    <x v="2"/>
    <n v="80"/>
    <n v="1"/>
    <n v="10"/>
    <n v="3"/>
    <x v="2"/>
    <x v="8"/>
    <n v="4"/>
    <x v="0"/>
    <x v="6"/>
    <x v="1"/>
    <x v="2"/>
    <x v="1"/>
    <n v="0"/>
  </r>
  <r>
    <x v="16"/>
    <x v="1"/>
    <x v="0"/>
    <n v="661"/>
    <x v="0"/>
    <n v="7"/>
    <x v="0"/>
    <x v="3"/>
    <x v="0"/>
    <n v="862"/>
    <x v="3"/>
    <x v="0"/>
    <n v="78"/>
    <x v="1"/>
    <x v="2"/>
    <x v="0"/>
    <x v="0"/>
    <x v="1"/>
    <x v="598"/>
    <n v="20715"/>
    <n v="7"/>
    <s v="Y"/>
    <x v="0"/>
    <n v="18"/>
    <x v="0"/>
    <x v="1"/>
    <n v="80"/>
    <n v="1"/>
    <n v="35"/>
    <n v="3"/>
    <x v="1"/>
    <x v="8"/>
    <n v="2"/>
    <x v="0"/>
    <x v="10"/>
    <x v="3"/>
    <x v="2"/>
    <x v="3"/>
    <n v="0"/>
  </r>
  <r>
    <x v="28"/>
    <x v="1"/>
    <x v="0"/>
    <n v="930"/>
    <x v="0"/>
    <n v="9"/>
    <x v="3"/>
    <x v="3"/>
    <x v="0"/>
    <n v="864"/>
    <x v="2"/>
    <x v="1"/>
    <n v="74"/>
    <x v="0"/>
    <x v="2"/>
    <x v="0"/>
    <x v="3"/>
    <x v="2"/>
    <x v="599"/>
    <n v="19239"/>
    <n v="4"/>
    <s v="Y"/>
    <x v="0"/>
    <n v="12"/>
    <x v="0"/>
    <x v="3"/>
    <n v="80"/>
    <n v="1"/>
    <n v="18"/>
    <n v="2"/>
    <x v="1"/>
    <x v="8"/>
    <n v="4"/>
    <x v="0"/>
    <x v="3"/>
    <x v="0"/>
    <x v="2"/>
    <x v="3"/>
    <n v="0"/>
  </r>
  <r>
    <x v="5"/>
    <x v="1"/>
    <x v="0"/>
    <n v="638"/>
    <x v="1"/>
    <n v="8"/>
    <x v="0"/>
    <x v="2"/>
    <x v="0"/>
    <n v="865"/>
    <x v="1"/>
    <x v="0"/>
    <n v="91"/>
    <x v="2"/>
    <x v="0"/>
    <x v="1"/>
    <x v="2"/>
    <x v="1"/>
    <x v="600"/>
    <n v="22162"/>
    <n v="5"/>
    <s v="Y"/>
    <x v="1"/>
    <n v="12"/>
    <x v="0"/>
    <x v="3"/>
    <n v="80"/>
    <n v="1"/>
    <n v="9"/>
    <n v="3"/>
    <x v="2"/>
    <x v="8"/>
    <n v="3"/>
    <x v="1"/>
    <x v="6"/>
    <x v="1"/>
    <x v="2"/>
    <x v="0"/>
    <n v="0"/>
  </r>
  <r>
    <x v="39"/>
    <x v="1"/>
    <x v="1"/>
    <n v="890"/>
    <x v="1"/>
    <n v="25"/>
    <x v="2"/>
    <x v="2"/>
    <x v="0"/>
    <n v="867"/>
    <x v="1"/>
    <x v="0"/>
    <n v="81"/>
    <x v="1"/>
    <x v="3"/>
    <x v="3"/>
    <x v="0"/>
    <x v="1"/>
    <x v="601"/>
    <n v="19028"/>
    <n v="3"/>
    <s v="Y"/>
    <x v="1"/>
    <n v="22"/>
    <x v="1"/>
    <x v="3"/>
    <n v="80"/>
    <n v="0"/>
    <n v="31"/>
    <n v="3"/>
    <x v="1"/>
    <x v="7"/>
    <n v="8"/>
    <x v="0"/>
    <x v="2"/>
    <x v="3"/>
    <x v="0"/>
    <x v="3"/>
    <n v="0"/>
  </r>
  <r>
    <x v="2"/>
    <x v="1"/>
    <x v="0"/>
    <n v="342"/>
    <x v="0"/>
    <n v="16"/>
    <x v="2"/>
    <x v="3"/>
    <x v="0"/>
    <n v="868"/>
    <x v="2"/>
    <x v="1"/>
    <n v="66"/>
    <x v="1"/>
    <x v="0"/>
    <x v="0"/>
    <x v="2"/>
    <x v="2"/>
    <x v="602"/>
    <n v="24558"/>
    <n v="4"/>
    <s v="Y"/>
    <x v="1"/>
    <n v="19"/>
    <x v="0"/>
    <x v="1"/>
    <n v="80"/>
    <n v="2"/>
    <n v="9"/>
    <n v="2"/>
    <x v="1"/>
    <x v="6"/>
    <n v="0"/>
    <x v="0"/>
    <x v="2"/>
    <x v="1"/>
    <x v="1"/>
    <x v="0"/>
    <n v="0"/>
  </r>
  <r>
    <x v="14"/>
    <x v="1"/>
    <x v="0"/>
    <n v="1169"/>
    <x v="2"/>
    <n v="8"/>
    <x v="0"/>
    <x v="2"/>
    <x v="0"/>
    <n v="869"/>
    <x v="0"/>
    <x v="1"/>
    <n v="63"/>
    <x v="1"/>
    <x v="1"/>
    <x v="8"/>
    <x v="0"/>
    <x v="2"/>
    <x v="365"/>
    <n v="23965"/>
    <n v="1"/>
    <s v="Y"/>
    <x v="1"/>
    <n v="13"/>
    <x v="0"/>
    <x v="1"/>
    <n v="80"/>
    <n v="1"/>
    <n v="6"/>
    <n v="6"/>
    <x v="1"/>
    <x v="8"/>
    <n v="1"/>
    <x v="0"/>
    <x v="10"/>
    <x v="2"/>
    <x v="2"/>
    <x v="1"/>
    <n v="0"/>
  </r>
  <r>
    <x v="15"/>
    <x v="1"/>
    <x v="0"/>
    <n v="1230"/>
    <x v="1"/>
    <n v="1"/>
    <x v="0"/>
    <x v="0"/>
    <x v="0"/>
    <n v="872"/>
    <x v="2"/>
    <x v="1"/>
    <n v="33"/>
    <x v="1"/>
    <x v="0"/>
    <x v="3"/>
    <x v="0"/>
    <x v="1"/>
    <x v="603"/>
    <n v="19146"/>
    <n v="6"/>
    <s v="Y"/>
    <x v="1"/>
    <n v="22"/>
    <x v="1"/>
    <x v="0"/>
    <n v="80"/>
    <n v="2"/>
    <n v="4"/>
    <n v="2"/>
    <x v="0"/>
    <x v="4"/>
    <n v="2"/>
    <x v="3"/>
    <x v="3"/>
    <x v="2"/>
    <x v="1"/>
    <x v="1"/>
    <n v="0"/>
  </r>
  <r>
    <x v="20"/>
    <x v="1"/>
    <x v="0"/>
    <n v="986"/>
    <x v="1"/>
    <n v="8"/>
    <x v="2"/>
    <x v="0"/>
    <x v="0"/>
    <n v="874"/>
    <x v="3"/>
    <x v="1"/>
    <n v="62"/>
    <x v="2"/>
    <x v="1"/>
    <x v="2"/>
    <x v="0"/>
    <x v="1"/>
    <x v="604"/>
    <n v="5044"/>
    <n v="2"/>
    <s v="Y"/>
    <x v="0"/>
    <n v="24"/>
    <x v="1"/>
    <x v="3"/>
    <n v="80"/>
    <n v="1"/>
    <n v="10"/>
    <n v="2"/>
    <x v="2"/>
    <x v="11"/>
    <n v="2"/>
    <x v="0"/>
    <x v="3"/>
    <x v="0"/>
    <x v="2"/>
    <x v="1"/>
    <n v="0"/>
  </r>
  <r>
    <x v="19"/>
    <x v="1"/>
    <x v="1"/>
    <n v="1271"/>
    <x v="1"/>
    <n v="2"/>
    <x v="1"/>
    <x v="2"/>
    <x v="0"/>
    <n v="875"/>
    <x v="0"/>
    <x v="1"/>
    <n v="35"/>
    <x v="0"/>
    <x v="1"/>
    <x v="1"/>
    <x v="0"/>
    <x v="0"/>
    <x v="605"/>
    <n v="9068"/>
    <n v="5"/>
    <s v="Y"/>
    <x v="0"/>
    <n v="14"/>
    <x v="0"/>
    <x v="1"/>
    <n v="80"/>
    <n v="0"/>
    <n v="8"/>
    <n v="2"/>
    <x v="1"/>
    <x v="4"/>
    <n v="1"/>
    <x v="3"/>
    <x v="3"/>
    <x v="0"/>
    <x v="1"/>
    <x v="1"/>
    <n v="0"/>
  </r>
  <r>
    <x v="9"/>
    <x v="1"/>
    <x v="0"/>
    <n v="1278"/>
    <x v="2"/>
    <n v="8"/>
    <x v="3"/>
    <x v="0"/>
    <x v="0"/>
    <n v="878"/>
    <x v="3"/>
    <x v="1"/>
    <n v="77"/>
    <x v="1"/>
    <x v="1"/>
    <x v="8"/>
    <x v="3"/>
    <x v="1"/>
    <x v="531"/>
    <n v="8635"/>
    <n v="0"/>
    <s v="Y"/>
    <x v="1"/>
    <n v="21"/>
    <x v="1"/>
    <x v="3"/>
    <n v="80"/>
    <n v="0"/>
    <n v="6"/>
    <n v="3"/>
    <x v="1"/>
    <x v="8"/>
    <n v="4"/>
    <x v="0"/>
    <x v="6"/>
    <x v="1"/>
    <x v="2"/>
    <x v="1"/>
    <n v="0"/>
  </r>
  <r>
    <x v="36"/>
    <x v="1"/>
    <x v="0"/>
    <n v="141"/>
    <x v="0"/>
    <n v="3"/>
    <x v="1"/>
    <x v="1"/>
    <x v="0"/>
    <n v="879"/>
    <x v="1"/>
    <x v="1"/>
    <n v="98"/>
    <x v="0"/>
    <x v="0"/>
    <x v="0"/>
    <x v="3"/>
    <x v="1"/>
    <x v="606"/>
    <n v="14363"/>
    <n v="1"/>
    <s v="Y"/>
    <x v="0"/>
    <n v="18"/>
    <x v="0"/>
    <x v="1"/>
    <n v="80"/>
    <n v="0"/>
    <n v="5"/>
    <n v="3"/>
    <x v="1"/>
    <x v="8"/>
    <n v="3"/>
    <x v="0"/>
    <x v="6"/>
    <x v="2"/>
    <x v="2"/>
    <x v="1"/>
    <n v="0"/>
  </r>
  <r>
    <x v="10"/>
    <x v="1"/>
    <x v="0"/>
    <n v="607"/>
    <x v="1"/>
    <n v="9"/>
    <x v="3"/>
    <x v="0"/>
    <x v="0"/>
    <n v="880"/>
    <x v="2"/>
    <x v="0"/>
    <n v="66"/>
    <x v="1"/>
    <x v="2"/>
    <x v="3"/>
    <x v="2"/>
    <x v="1"/>
    <x v="607"/>
    <n v="23457"/>
    <n v="1"/>
    <s v="Y"/>
    <x v="0"/>
    <n v="20"/>
    <x v="1"/>
    <x v="2"/>
    <n v="80"/>
    <n v="1"/>
    <n v="17"/>
    <n v="2"/>
    <x v="1"/>
    <x v="18"/>
    <n v="14"/>
    <x v="8"/>
    <x v="14"/>
    <x v="1"/>
    <x v="3"/>
    <x v="3"/>
    <n v="0"/>
  </r>
  <r>
    <x v="10"/>
    <x v="0"/>
    <x v="1"/>
    <n v="130"/>
    <x v="1"/>
    <n v="25"/>
    <x v="2"/>
    <x v="0"/>
    <x v="0"/>
    <n v="881"/>
    <x v="2"/>
    <x v="0"/>
    <n v="96"/>
    <x v="0"/>
    <x v="1"/>
    <x v="1"/>
    <x v="1"/>
    <x v="2"/>
    <x v="608"/>
    <n v="16612"/>
    <n v="1"/>
    <s v="Y"/>
    <x v="0"/>
    <n v="19"/>
    <x v="0"/>
    <x v="0"/>
    <n v="80"/>
    <n v="1"/>
    <n v="10"/>
    <n v="3"/>
    <x v="2"/>
    <x v="1"/>
    <n v="2"/>
    <x v="4"/>
    <x v="5"/>
    <x v="1"/>
    <x v="0"/>
    <x v="1"/>
    <n v="1"/>
  </r>
  <r>
    <x v="5"/>
    <x v="1"/>
    <x v="2"/>
    <n v="300"/>
    <x v="1"/>
    <n v="1"/>
    <x v="3"/>
    <x v="0"/>
    <x v="0"/>
    <n v="882"/>
    <x v="2"/>
    <x v="1"/>
    <n v="61"/>
    <x v="0"/>
    <x v="1"/>
    <x v="2"/>
    <x v="0"/>
    <x v="2"/>
    <x v="609"/>
    <n v="9148"/>
    <n v="0"/>
    <s v="Y"/>
    <x v="1"/>
    <n v="12"/>
    <x v="0"/>
    <x v="2"/>
    <n v="80"/>
    <n v="1"/>
    <n v="4"/>
    <n v="2"/>
    <x v="1"/>
    <x v="11"/>
    <n v="0"/>
    <x v="0"/>
    <x v="3"/>
    <x v="1"/>
    <x v="2"/>
    <x v="1"/>
    <n v="0"/>
  </r>
  <r>
    <x v="36"/>
    <x v="1"/>
    <x v="0"/>
    <n v="583"/>
    <x v="0"/>
    <n v="4"/>
    <x v="1"/>
    <x v="3"/>
    <x v="0"/>
    <n v="885"/>
    <x v="1"/>
    <x v="1"/>
    <n v="87"/>
    <x v="1"/>
    <x v="0"/>
    <x v="0"/>
    <x v="3"/>
    <x v="1"/>
    <x v="610"/>
    <n v="18154"/>
    <n v="1"/>
    <s v="Y"/>
    <x v="1"/>
    <n v="12"/>
    <x v="0"/>
    <x v="0"/>
    <n v="80"/>
    <n v="0"/>
    <n v="5"/>
    <n v="1"/>
    <x v="3"/>
    <x v="8"/>
    <n v="2"/>
    <x v="0"/>
    <x v="6"/>
    <x v="2"/>
    <x v="2"/>
    <x v="1"/>
    <n v="0"/>
  </r>
  <r>
    <x v="1"/>
    <x v="1"/>
    <x v="0"/>
    <n v="1418"/>
    <x v="1"/>
    <n v="1"/>
    <x v="3"/>
    <x v="4"/>
    <x v="0"/>
    <n v="887"/>
    <x v="1"/>
    <x v="0"/>
    <n v="36"/>
    <x v="0"/>
    <x v="1"/>
    <x v="1"/>
    <x v="3"/>
    <x v="1"/>
    <x v="611"/>
    <n v="10554"/>
    <n v="2"/>
    <s v="Y"/>
    <x v="1"/>
    <n v="16"/>
    <x v="0"/>
    <x v="2"/>
    <n v="80"/>
    <n v="1"/>
    <n v="7"/>
    <n v="2"/>
    <x v="1"/>
    <x v="9"/>
    <n v="2"/>
    <x v="0"/>
    <x v="3"/>
    <x v="0"/>
    <x v="2"/>
    <x v="1"/>
    <n v="0"/>
  </r>
  <r>
    <x v="17"/>
    <x v="1"/>
    <x v="2"/>
    <n v="1269"/>
    <x v="1"/>
    <n v="4"/>
    <x v="1"/>
    <x v="0"/>
    <x v="0"/>
    <n v="888"/>
    <x v="3"/>
    <x v="1"/>
    <n v="46"/>
    <x v="1"/>
    <x v="1"/>
    <x v="2"/>
    <x v="0"/>
    <x v="1"/>
    <x v="612"/>
    <n v="10778"/>
    <n v="0"/>
    <s v="Y"/>
    <x v="1"/>
    <n v="17"/>
    <x v="0"/>
    <x v="1"/>
    <n v="80"/>
    <n v="0"/>
    <n v="6"/>
    <n v="2"/>
    <x v="2"/>
    <x v="8"/>
    <n v="2"/>
    <x v="2"/>
    <x v="10"/>
    <x v="2"/>
    <x v="2"/>
    <x v="1"/>
    <n v="0"/>
  </r>
  <r>
    <x v="5"/>
    <x v="1"/>
    <x v="1"/>
    <n v="379"/>
    <x v="0"/>
    <n v="5"/>
    <x v="0"/>
    <x v="0"/>
    <x v="0"/>
    <n v="889"/>
    <x v="0"/>
    <x v="1"/>
    <n v="48"/>
    <x v="0"/>
    <x v="0"/>
    <x v="0"/>
    <x v="1"/>
    <x v="1"/>
    <x v="613"/>
    <n v="8891"/>
    <n v="1"/>
    <s v="Y"/>
    <x v="1"/>
    <n v="14"/>
    <x v="0"/>
    <x v="1"/>
    <n v="80"/>
    <n v="1"/>
    <n v="10"/>
    <n v="3"/>
    <x v="1"/>
    <x v="1"/>
    <n v="8"/>
    <x v="8"/>
    <x v="6"/>
    <x v="1"/>
    <x v="0"/>
    <x v="0"/>
    <n v="0"/>
  </r>
  <r>
    <x v="8"/>
    <x v="1"/>
    <x v="0"/>
    <n v="395"/>
    <x v="0"/>
    <n v="9"/>
    <x v="3"/>
    <x v="3"/>
    <x v="0"/>
    <n v="893"/>
    <x v="0"/>
    <x v="1"/>
    <n v="98"/>
    <x v="1"/>
    <x v="1"/>
    <x v="6"/>
    <x v="1"/>
    <x v="1"/>
    <x v="614"/>
    <n v="12102"/>
    <n v="0"/>
    <s v="Y"/>
    <x v="1"/>
    <n v="19"/>
    <x v="0"/>
    <x v="1"/>
    <n v="80"/>
    <n v="1"/>
    <n v="3"/>
    <n v="3"/>
    <x v="1"/>
    <x v="4"/>
    <n v="2"/>
    <x v="1"/>
    <x v="3"/>
    <x v="1"/>
    <x v="1"/>
    <x v="1"/>
    <n v="0"/>
  </r>
  <r>
    <x v="19"/>
    <x v="1"/>
    <x v="0"/>
    <n v="1265"/>
    <x v="1"/>
    <n v="3"/>
    <x v="3"/>
    <x v="0"/>
    <x v="0"/>
    <n v="894"/>
    <x v="1"/>
    <x v="0"/>
    <n v="95"/>
    <x v="2"/>
    <x v="0"/>
    <x v="2"/>
    <x v="0"/>
    <x v="1"/>
    <x v="615"/>
    <n v="23726"/>
    <n v="2"/>
    <s v="Y"/>
    <x v="0"/>
    <n v="13"/>
    <x v="0"/>
    <x v="2"/>
    <n v="80"/>
    <n v="1"/>
    <n v="17"/>
    <n v="1"/>
    <x v="2"/>
    <x v="8"/>
    <n v="3"/>
    <x v="1"/>
    <x v="6"/>
    <x v="0"/>
    <x v="2"/>
    <x v="0"/>
    <n v="0"/>
  </r>
  <r>
    <x v="12"/>
    <x v="1"/>
    <x v="0"/>
    <n v="1222"/>
    <x v="1"/>
    <n v="11"/>
    <x v="2"/>
    <x v="0"/>
    <x v="0"/>
    <n v="895"/>
    <x v="2"/>
    <x v="1"/>
    <n v="48"/>
    <x v="0"/>
    <x v="1"/>
    <x v="1"/>
    <x v="0"/>
    <x v="1"/>
    <x v="616"/>
    <n v="14871"/>
    <n v="3"/>
    <s v="Y"/>
    <x v="0"/>
    <n v="19"/>
    <x v="0"/>
    <x v="2"/>
    <n v="80"/>
    <n v="1"/>
    <n v="8"/>
    <n v="2"/>
    <x v="1"/>
    <x v="0"/>
    <n v="4"/>
    <x v="0"/>
    <x v="3"/>
    <x v="1"/>
    <x v="0"/>
    <x v="1"/>
    <n v="0"/>
  </r>
  <r>
    <x v="11"/>
    <x v="0"/>
    <x v="0"/>
    <n v="341"/>
    <x v="0"/>
    <n v="1"/>
    <x v="3"/>
    <x v="2"/>
    <x v="0"/>
    <n v="896"/>
    <x v="0"/>
    <x v="0"/>
    <n v="48"/>
    <x v="1"/>
    <x v="1"/>
    <x v="6"/>
    <x v="2"/>
    <x v="2"/>
    <x v="617"/>
    <n v="23522"/>
    <n v="6"/>
    <s v="Y"/>
    <x v="0"/>
    <n v="19"/>
    <x v="0"/>
    <x v="3"/>
    <n v="80"/>
    <n v="3"/>
    <n v="5"/>
    <n v="3"/>
    <x v="1"/>
    <x v="11"/>
    <n v="2"/>
    <x v="0"/>
    <x v="3"/>
    <x v="2"/>
    <x v="2"/>
    <x v="1"/>
    <n v="1"/>
  </r>
  <r>
    <x v="16"/>
    <x v="1"/>
    <x v="0"/>
    <n v="868"/>
    <x v="0"/>
    <n v="8"/>
    <x v="3"/>
    <x v="3"/>
    <x v="0"/>
    <n v="897"/>
    <x v="3"/>
    <x v="1"/>
    <n v="73"/>
    <x v="0"/>
    <x v="3"/>
    <x v="0"/>
    <x v="0"/>
    <x v="1"/>
    <x v="618"/>
    <n v="22789"/>
    <n v="5"/>
    <s v="Y"/>
    <x v="1"/>
    <n v="14"/>
    <x v="0"/>
    <x v="3"/>
    <n v="80"/>
    <n v="1"/>
    <n v="28"/>
    <n v="3"/>
    <x v="1"/>
    <x v="4"/>
    <n v="0"/>
    <x v="3"/>
    <x v="3"/>
    <x v="3"/>
    <x v="1"/>
    <x v="3"/>
    <n v="0"/>
  </r>
  <r>
    <x v="10"/>
    <x v="1"/>
    <x v="0"/>
    <n v="672"/>
    <x v="1"/>
    <n v="25"/>
    <x v="3"/>
    <x v="4"/>
    <x v="0"/>
    <n v="899"/>
    <x v="2"/>
    <x v="1"/>
    <n v="78"/>
    <x v="1"/>
    <x v="2"/>
    <x v="3"/>
    <x v="1"/>
    <x v="1"/>
    <x v="619"/>
    <n v="9129"/>
    <n v="3"/>
    <s v="Y"/>
    <x v="1"/>
    <n v="16"/>
    <x v="0"/>
    <x v="0"/>
    <n v="80"/>
    <n v="0"/>
    <n v="16"/>
    <n v="2"/>
    <x v="1"/>
    <x v="20"/>
    <n v="10"/>
    <x v="5"/>
    <x v="5"/>
    <x v="1"/>
    <x v="3"/>
    <x v="3"/>
    <n v="0"/>
  </r>
  <r>
    <x v="2"/>
    <x v="1"/>
    <x v="1"/>
    <n v="1231"/>
    <x v="0"/>
    <n v="21"/>
    <x v="0"/>
    <x v="2"/>
    <x v="0"/>
    <n v="900"/>
    <x v="1"/>
    <x v="0"/>
    <n v="54"/>
    <x v="0"/>
    <x v="1"/>
    <x v="6"/>
    <x v="0"/>
    <x v="1"/>
    <x v="620"/>
    <n v="21222"/>
    <n v="5"/>
    <s v="Y"/>
    <x v="1"/>
    <n v="15"/>
    <x v="0"/>
    <x v="2"/>
    <n v="80"/>
    <n v="1"/>
    <n v="10"/>
    <n v="3"/>
    <x v="1"/>
    <x v="8"/>
    <n v="4"/>
    <x v="0"/>
    <x v="2"/>
    <x v="1"/>
    <x v="2"/>
    <x v="1"/>
    <n v="0"/>
  </r>
  <r>
    <x v="16"/>
    <x v="1"/>
    <x v="0"/>
    <n v="102"/>
    <x v="1"/>
    <n v="23"/>
    <x v="2"/>
    <x v="0"/>
    <x v="0"/>
    <n v="901"/>
    <x v="2"/>
    <x v="0"/>
    <n v="72"/>
    <x v="0"/>
    <x v="3"/>
    <x v="7"/>
    <x v="0"/>
    <x v="0"/>
    <x v="621"/>
    <n v="20206"/>
    <n v="6"/>
    <s v="Y"/>
    <x v="1"/>
    <n v="18"/>
    <x v="0"/>
    <x v="3"/>
    <n v="80"/>
    <n v="0"/>
    <n v="33"/>
    <n v="0"/>
    <x v="1"/>
    <x v="12"/>
    <n v="9"/>
    <x v="2"/>
    <x v="5"/>
    <x v="3"/>
    <x v="3"/>
    <x v="3"/>
    <n v="0"/>
  </r>
  <r>
    <x v="23"/>
    <x v="1"/>
    <x v="1"/>
    <n v="422"/>
    <x v="1"/>
    <n v="1"/>
    <x v="3"/>
    <x v="0"/>
    <x v="0"/>
    <n v="902"/>
    <x v="2"/>
    <x v="0"/>
    <n v="33"/>
    <x v="0"/>
    <x v="0"/>
    <x v="4"/>
    <x v="0"/>
    <x v="1"/>
    <x v="622"/>
    <n v="21782"/>
    <n v="4"/>
    <s v="Y"/>
    <x v="1"/>
    <n v="13"/>
    <x v="0"/>
    <x v="2"/>
    <n v="80"/>
    <n v="1"/>
    <n v="12"/>
    <n v="2"/>
    <x v="2"/>
    <x v="8"/>
    <n v="2"/>
    <x v="3"/>
    <x v="3"/>
    <x v="0"/>
    <x v="2"/>
    <x v="0"/>
    <n v="0"/>
  </r>
  <r>
    <x v="40"/>
    <x v="1"/>
    <x v="0"/>
    <n v="249"/>
    <x v="0"/>
    <n v="2"/>
    <x v="0"/>
    <x v="3"/>
    <x v="0"/>
    <n v="903"/>
    <x v="1"/>
    <x v="0"/>
    <n v="35"/>
    <x v="0"/>
    <x v="0"/>
    <x v="0"/>
    <x v="0"/>
    <x v="1"/>
    <x v="623"/>
    <n v="17783"/>
    <n v="0"/>
    <s v="Y"/>
    <x v="0"/>
    <n v="22"/>
    <x v="1"/>
    <x v="0"/>
    <n v="80"/>
    <n v="1"/>
    <n v="8"/>
    <n v="2"/>
    <x v="1"/>
    <x v="5"/>
    <n v="6"/>
    <x v="4"/>
    <x v="1"/>
    <x v="0"/>
    <x v="0"/>
    <x v="1"/>
    <n v="0"/>
  </r>
  <r>
    <x v="2"/>
    <x v="1"/>
    <x v="2"/>
    <n v="1252"/>
    <x v="0"/>
    <n v="19"/>
    <x v="0"/>
    <x v="2"/>
    <x v="0"/>
    <n v="904"/>
    <x v="3"/>
    <x v="1"/>
    <n v="32"/>
    <x v="0"/>
    <x v="2"/>
    <x v="0"/>
    <x v="1"/>
    <x v="0"/>
    <x v="624"/>
    <n v="4814"/>
    <n v="1"/>
    <s v="Y"/>
    <x v="0"/>
    <n v="13"/>
    <x v="0"/>
    <x v="1"/>
    <n v="80"/>
    <n v="0"/>
    <n v="10"/>
    <n v="2"/>
    <x v="1"/>
    <x v="1"/>
    <n v="0"/>
    <x v="0"/>
    <x v="12"/>
    <x v="1"/>
    <x v="0"/>
    <x v="0"/>
    <n v="0"/>
  </r>
  <r>
    <x v="24"/>
    <x v="1"/>
    <x v="2"/>
    <n v="881"/>
    <x v="1"/>
    <n v="2"/>
    <x v="2"/>
    <x v="0"/>
    <x v="0"/>
    <n v="905"/>
    <x v="3"/>
    <x v="1"/>
    <n v="98"/>
    <x v="0"/>
    <x v="3"/>
    <x v="5"/>
    <x v="3"/>
    <x v="2"/>
    <x v="625"/>
    <n v="4544"/>
    <n v="1"/>
    <s v="Y"/>
    <x v="1"/>
    <n v="11"/>
    <x v="0"/>
    <x v="1"/>
    <n v="80"/>
    <n v="1"/>
    <n v="31"/>
    <n v="3"/>
    <x v="1"/>
    <x v="31"/>
    <n v="6"/>
    <x v="15"/>
    <x v="1"/>
    <x v="3"/>
    <x v="3"/>
    <x v="2"/>
    <n v="0"/>
  </r>
  <r>
    <x v="22"/>
    <x v="1"/>
    <x v="0"/>
    <n v="1383"/>
    <x v="2"/>
    <n v="2"/>
    <x v="3"/>
    <x v="0"/>
    <x v="0"/>
    <n v="909"/>
    <x v="2"/>
    <x v="0"/>
    <n v="42"/>
    <x v="1"/>
    <x v="0"/>
    <x v="8"/>
    <x v="0"/>
    <x v="1"/>
    <x v="626"/>
    <n v="7790"/>
    <n v="8"/>
    <s v="Y"/>
    <x v="1"/>
    <n v="11"/>
    <x v="0"/>
    <x v="3"/>
    <n v="80"/>
    <n v="2"/>
    <n v="13"/>
    <n v="2"/>
    <x v="1"/>
    <x v="8"/>
    <n v="4"/>
    <x v="0"/>
    <x v="10"/>
    <x v="1"/>
    <x v="2"/>
    <x v="0"/>
    <n v="0"/>
  </r>
  <r>
    <x v="3"/>
    <x v="1"/>
    <x v="0"/>
    <n v="1075"/>
    <x v="2"/>
    <n v="3"/>
    <x v="0"/>
    <x v="5"/>
    <x v="0"/>
    <n v="910"/>
    <x v="2"/>
    <x v="1"/>
    <n v="57"/>
    <x v="0"/>
    <x v="1"/>
    <x v="8"/>
    <x v="1"/>
    <x v="2"/>
    <x v="627"/>
    <n v="22650"/>
    <n v="3"/>
    <s v="Y"/>
    <x v="0"/>
    <n v="11"/>
    <x v="0"/>
    <x v="3"/>
    <n v="80"/>
    <n v="1"/>
    <n v="7"/>
    <n v="4"/>
    <x v="3"/>
    <x v="9"/>
    <n v="3"/>
    <x v="0"/>
    <x v="6"/>
    <x v="1"/>
    <x v="2"/>
    <x v="1"/>
    <n v="0"/>
  </r>
  <r>
    <x v="5"/>
    <x v="0"/>
    <x v="0"/>
    <n v="374"/>
    <x v="1"/>
    <n v="25"/>
    <x v="2"/>
    <x v="0"/>
    <x v="0"/>
    <n v="911"/>
    <x v="3"/>
    <x v="1"/>
    <n v="87"/>
    <x v="0"/>
    <x v="1"/>
    <x v="2"/>
    <x v="0"/>
    <x v="0"/>
    <x v="628"/>
    <n v="18016"/>
    <n v="1"/>
    <s v="Y"/>
    <x v="0"/>
    <n v="24"/>
    <x v="1"/>
    <x v="3"/>
    <n v="80"/>
    <n v="0"/>
    <n v="1"/>
    <n v="2"/>
    <x v="0"/>
    <x v="6"/>
    <n v="0"/>
    <x v="0"/>
    <x v="9"/>
    <x v="1"/>
    <x v="1"/>
    <x v="1"/>
    <n v="1"/>
  </r>
  <r>
    <x v="11"/>
    <x v="1"/>
    <x v="0"/>
    <n v="1086"/>
    <x v="1"/>
    <n v="7"/>
    <x v="1"/>
    <x v="2"/>
    <x v="0"/>
    <n v="912"/>
    <x v="3"/>
    <x v="0"/>
    <n v="62"/>
    <x v="1"/>
    <x v="1"/>
    <x v="2"/>
    <x v="0"/>
    <x v="2"/>
    <x v="629"/>
    <n v="6054"/>
    <n v="6"/>
    <s v="Y"/>
    <x v="1"/>
    <n v="14"/>
    <x v="0"/>
    <x v="3"/>
    <n v="80"/>
    <n v="3"/>
    <n v="8"/>
    <n v="5"/>
    <x v="1"/>
    <x v="9"/>
    <n v="3"/>
    <x v="0"/>
    <x v="6"/>
    <x v="2"/>
    <x v="2"/>
    <x v="1"/>
    <n v="0"/>
  </r>
  <r>
    <x v="20"/>
    <x v="1"/>
    <x v="0"/>
    <n v="661"/>
    <x v="1"/>
    <n v="9"/>
    <x v="0"/>
    <x v="0"/>
    <x v="0"/>
    <n v="913"/>
    <x v="0"/>
    <x v="1"/>
    <n v="61"/>
    <x v="0"/>
    <x v="1"/>
    <x v="1"/>
    <x v="3"/>
    <x v="1"/>
    <x v="594"/>
    <n v="7508"/>
    <n v="1"/>
    <s v="Y"/>
    <x v="0"/>
    <n v="13"/>
    <x v="0"/>
    <x v="1"/>
    <n v="80"/>
    <n v="0"/>
    <n v="8"/>
    <n v="0"/>
    <x v="1"/>
    <x v="3"/>
    <n v="7"/>
    <x v="4"/>
    <x v="9"/>
    <x v="0"/>
    <x v="0"/>
    <x v="1"/>
    <n v="0"/>
  </r>
  <r>
    <x v="14"/>
    <x v="1"/>
    <x v="0"/>
    <n v="821"/>
    <x v="0"/>
    <n v="5"/>
    <x v="2"/>
    <x v="2"/>
    <x v="0"/>
    <n v="916"/>
    <x v="3"/>
    <x v="1"/>
    <n v="98"/>
    <x v="0"/>
    <x v="0"/>
    <x v="0"/>
    <x v="0"/>
    <x v="0"/>
    <x v="630"/>
    <n v="24252"/>
    <n v="1"/>
    <s v="Y"/>
    <x v="1"/>
    <n v="14"/>
    <x v="0"/>
    <x v="2"/>
    <n v="80"/>
    <n v="0"/>
    <n v="4"/>
    <n v="3"/>
    <x v="1"/>
    <x v="9"/>
    <n v="2"/>
    <x v="0"/>
    <x v="3"/>
    <x v="2"/>
    <x v="2"/>
    <x v="1"/>
    <n v="0"/>
  </r>
  <r>
    <x v="34"/>
    <x v="0"/>
    <x v="1"/>
    <n v="781"/>
    <x v="1"/>
    <n v="2"/>
    <x v="1"/>
    <x v="0"/>
    <x v="0"/>
    <n v="918"/>
    <x v="2"/>
    <x v="1"/>
    <n v="57"/>
    <x v="1"/>
    <x v="1"/>
    <x v="2"/>
    <x v="0"/>
    <x v="2"/>
    <x v="631"/>
    <n v="13384"/>
    <n v="9"/>
    <s v="Y"/>
    <x v="0"/>
    <n v="14"/>
    <x v="0"/>
    <x v="1"/>
    <n v="80"/>
    <n v="1"/>
    <n v="3"/>
    <n v="3"/>
    <x v="2"/>
    <x v="6"/>
    <n v="0"/>
    <x v="0"/>
    <x v="2"/>
    <x v="3"/>
    <x v="1"/>
    <x v="1"/>
    <n v="1"/>
  </r>
  <r>
    <x v="23"/>
    <x v="1"/>
    <x v="0"/>
    <n v="177"/>
    <x v="1"/>
    <n v="8"/>
    <x v="3"/>
    <x v="0"/>
    <x v="0"/>
    <n v="920"/>
    <x v="3"/>
    <x v="0"/>
    <n v="55"/>
    <x v="0"/>
    <x v="0"/>
    <x v="3"/>
    <x v="1"/>
    <x v="2"/>
    <x v="632"/>
    <n v="23814"/>
    <n v="4"/>
    <s v="Y"/>
    <x v="1"/>
    <n v="21"/>
    <x v="1"/>
    <x v="3"/>
    <n v="80"/>
    <n v="1"/>
    <n v="4"/>
    <n v="2"/>
    <x v="3"/>
    <x v="6"/>
    <n v="0"/>
    <x v="0"/>
    <x v="2"/>
    <x v="0"/>
    <x v="1"/>
    <x v="1"/>
    <n v="0"/>
  </r>
  <r>
    <x v="35"/>
    <x v="0"/>
    <x v="0"/>
    <n v="500"/>
    <x v="0"/>
    <n v="2"/>
    <x v="3"/>
    <x v="2"/>
    <x v="0"/>
    <n v="922"/>
    <x v="1"/>
    <x v="0"/>
    <n v="49"/>
    <x v="1"/>
    <x v="1"/>
    <x v="6"/>
    <x v="2"/>
    <x v="0"/>
    <x v="633"/>
    <n v="22052"/>
    <n v="1"/>
    <s v="Y"/>
    <x v="1"/>
    <n v="13"/>
    <x v="0"/>
    <x v="1"/>
    <n v="80"/>
    <n v="0"/>
    <n v="2"/>
    <n v="3"/>
    <x v="2"/>
    <x v="4"/>
    <n v="2"/>
    <x v="0"/>
    <x v="3"/>
    <x v="2"/>
    <x v="1"/>
    <x v="1"/>
    <n v="1"/>
  </r>
  <r>
    <x v="18"/>
    <x v="0"/>
    <x v="0"/>
    <n v="1427"/>
    <x v="1"/>
    <n v="18"/>
    <x v="1"/>
    <x v="1"/>
    <x v="0"/>
    <n v="923"/>
    <x v="2"/>
    <x v="0"/>
    <n v="65"/>
    <x v="0"/>
    <x v="1"/>
    <x v="1"/>
    <x v="0"/>
    <x v="0"/>
    <x v="7"/>
    <n v="8870"/>
    <n v="1"/>
    <s v="Y"/>
    <x v="1"/>
    <n v="19"/>
    <x v="0"/>
    <x v="0"/>
    <n v="80"/>
    <n v="0"/>
    <n v="1"/>
    <n v="3"/>
    <x v="2"/>
    <x v="6"/>
    <n v="0"/>
    <x v="0"/>
    <x v="2"/>
    <x v="2"/>
    <x v="1"/>
    <x v="1"/>
    <n v="1"/>
  </r>
  <r>
    <x v="9"/>
    <x v="1"/>
    <x v="0"/>
    <n v="1425"/>
    <x v="1"/>
    <n v="14"/>
    <x v="1"/>
    <x v="0"/>
    <x v="0"/>
    <n v="924"/>
    <x v="1"/>
    <x v="1"/>
    <n v="68"/>
    <x v="0"/>
    <x v="0"/>
    <x v="4"/>
    <x v="0"/>
    <x v="1"/>
    <x v="634"/>
    <n v="4821"/>
    <n v="0"/>
    <s v="Y"/>
    <x v="0"/>
    <n v="17"/>
    <x v="0"/>
    <x v="0"/>
    <n v="80"/>
    <n v="1"/>
    <n v="17"/>
    <n v="2"/>
    <x v="2"/>
    <x v="22"/>
    <n v="8"/>
    <x v="5"/>
    <x v="7"/>
    <x v="1"/>
    <x v="3"/>
    <x v="0"/>
    <n v="0"/>
  </r>
  <r>
    <x v="40"/>
    <x v="1"/>
    <x v="0"/>
    <n v="1454"/>
    <x v="0"/>
    <n v="2"/>
    <x v="2"/>
    <x v="0"/>
    <x v="0"/>
    <n v="925"/>
    <x v="2"/>
    <x v="0"/>
    <n v="65"/>
    <x v="1"/>
    <x v="1"/>
    <x v="6"/>
    <x v="0"/>
    <x v="0"/>
    <x v="635"/>
    <n v="13137"/>
    <n v="1"/>
    <s v="Y"/>
    <x v="0"/>
    <n v="18"/>
    <x v="0"/>
    <x v="0"/>
    <n v="80"/>
    <n v="0"/>
    <n v="3"/>
    <n v="3"/>
    <x v="2"/>
    <x v="11"/>
    <n v="2"/>
    <x v="1"/>
    <x v="3"/>
    <x v="0"/>
    <x v="2"/>
    <x v="1"/>
    <n v="0"/>
  </r>
  <r>
    <x v="15"/>
    <x v="0"/>
    <x v="0"/>
    <n v="617"/>
    <x v="1"/>
    <n v="3"/>
    <x v="1"/>
    <x v="0"/>
    <x v="0"/>
    <n v="926"/>
    <x v="0"/>
    <x v="0"/>
    <n v="34"/>
    <x v="0"/>
    <x v="0"/>
    <x v="3"/>
    <x v="2"/>
    <x v="1"/>
    <x v="636"/>
    <n v="10022"/>
    <n v="0"/>
    <s v="Y"/>
    <x v="0"/>
    <n v="19"/>
    <x v="0"/>
    <x v="0"/>
    <n v="80"/>
    <n v="1"/>
    <n v="4"/>
    <n v="3"/>
    <x v="3"/>
    <x v="11"/>
    <n v="2"/>
    <x v="0"/>
    <x v="3"/>
    <x v="2"/>
    <x v="2"/>
    <x v="1"/>
    <n v="1"/>
  </r>
  <r>
    <x v="0"/>
    <x v="0"/>
    <x v="0"/>
    <n v="1085"/>
    <x v="1"/>
    <n v="2"/>
    <x v="2"/>
    <x v="0"/>
    <x v="0"/>
    <n v="927"/>
    <x v="0"/>
    <x v="0"/>
    <n v="57"/>
    <x v="3"/>
    <x v="1"/>
    <x v="2"/>
    <x v="0"/>
    <x v="2"/>
    <x v="637"/>
    <n v="17725"/>
    <n v="4"/>
    <s v="Y"/>
    <x v="0"/>
    <n v="13"/>
    <x v="0"/>
    <x v="3"/>
    <n v="80"/>
    <n v="1"/>
    <n v="10"/>
    <n v="1"/>
    <x v="2"/>
    <x v="5"/>
    <n v="7"/>
    <x v="1"/>
    <x v="2"/>
    <x v="0"/>
    <x v="0"/>
    <x v="1"/>
    <n v="1"/>
  </r>
  <r>
    <x v="14"/>
    <x v="1"/>
    <x v="0"/>
    <n v="995"/>
    <x v="1"/>
    <n v="9"/>
    <x v="3"/>
    <x v="2"/>
    <x v="0"/>
    <n v="930"/>
    <x v="1"/>
    <x v="0"/>
    <n v="77"/>
    <x v="0"/>
    <x v="1"/>
    <x v="1"/>
    <x v="2"/>
    <x v="2"/>
    <x v="638"/>
    <n v="9834"/>
    <n v="5"/>
    <s v="Y"/>
    <x v="1"/>
    <n v="18"/>
    <x v="0"/>
    <x v="2"/>
    <n v="80"/>
    <n v="1"/>
    <n v="6"/>
    <n v="2"/>
    <x v="1"/>
    <x v="4"/>
    <n v="2"/>
    <x v="3"/>
    <x v="3"/>
    <x v="2"/>
    <x v="1"/>
    <x v="1"/>
    <n v="0"/>
  </r>
  <r>
    <x v="22"/>
    <x v="0"/>
    <x v="0"/>
    <n v="1122"/>
    <x v="1"/>
    <n v="6"/>
    <x v="3"/>
    <x v="2"/>
    <x v="0"/>
    <n v="932"/>
    <x v="2"/>
    <x v="1"/>
    <n v="70"/>
    <x v="0"/>
    <x v="1"/>
    <x v="2"/>
    <x v="3"/>
    <x v="1"/>
    <x v="639"/>
    <n v="4303"/>
    <n v="7"/>
    <s v="Y"/>
    <x v="0"/>
    <n v="21"/>
    <x v="1"/>
    <x v="1"/>
    <n v="80"/>
    <n v="0"/>
    <n v="8"/>
    <n v="2"/>
    <x v="0"/>
    <x v="4"/>
    <n v="2"/>
    <x v="3"/>
    <x v="3"/>
    <x v="1"/>
    <x v="1"/>
    <x v="1"/>
    <n v="1"/>
  </r>
  <r>
    <x v="4"/>
    <x v="1"/>
    <x v="0"/>
    <n v="618"/>
    <x v="1"/>
    <n v="4"/>
    <x v="3"/>
    <x v="0"/>
    <x v="0"/>
    <n v="933"/>
    <x v="0"/>
    <x v="0"/>
    <n v="76"/>
    <x v="0"/>
    <x v="1"/>
    <x v="1"/>
    <x v="2"/>
    <x v="0"/>
    <x v="640"/>
    <n v="17808"/>
    <n v="1"/>
    <s v="Y"/>
    <x v="1"/>
    <n v="19"/>
    <x v="0"/>
    <x v="3"/>
    <n v="80"/>
    <n v="0"/>
    <n v="1"/>
    <n v="2"/>
    <x v="1"/>
    <x v="6"/>
    <n v="1"/>
    <x v="0"/>
    <x v="2"/>
    <x v="2"/>
    <x v="1"/>
    <x v="1"/>
    <n v="0"/>
  </r>
  <r>
    <x v="13"/>
    <x v="1"/>
    <x v="0"/>
    <n v="546"/>
    <x v="1"/>
    <n v="10"/>
    <x v="3"/>
    <x v="0"/>
    <x v="0"/>
    <n v="934"/>
    <x v="0"/>
    <x v="1"/>
    <n v="83"/>
    <x v="0"/>
    <x v="1"/>
    <x v="2"/>
    <x v="1"/>
    <x v="2"/>
    <x v="641"/>
    <n v="6896"/>
    <n v="1"/>
    <s v="Y"/>
    <x v="1"/>
    <n v="14"/>
    <x v="0"/>
    <x v="2"/>
    <n v="80"/>
    <n v="2"/>
    <n v="1"/>
    <n v="3"/>
    <x v="1"/>
    <x v="6"/>
    <n v="0"/>
    <x v="1"/>
    <x v="2"/>
    <x v="1"/>
    <x v="1"/>
    <x v="1"/>
    <n v="0"/>
  </r>
  <r>
    <x v="19"/>
    <x v="1"/>
    <x v="0"/>
    <n v="462"/>
    <x v="0"/>
    <n v="14"/>
    <x v="0"/>
    <x v="2"/>
    <x v="0"/>
    <n v="936"/>
    <x v="1"/>
    <x v="0"/>
    <n v="68"/>
    <x v="1"/>
    <x v="0"/>
    <x v="0"/>
    <x v="2"/>
    <x v="0"/>
    <x v="642"/>
    <n v="7824"/>
    <n v="7"/>
    <s v="Y"/>
    <x v="1"/>
    <n v="17"/>
    <x v="0"/>
    <x v="0"/>
    <n v="80"/>
    <n v="0"/>
    <n v="10"/>
    <n v="6"/>
    <x v="1"/>
    <x v="8"/>
    <n v="4"/>
    <x v="0"/>
    <x v="6"/>
    <x v="0"/>
    <x v="2"/>
    <x v="0"/>
    <n v="0"/>
  </r>
  <r>
    <x v="3"/>
    <x v="1"/>
    <x v="0"/>
    <n v="1198"/>
    <x v="1"/>
    <n v="1"/>
    <x v="2"/>
    <x v="1"/>
    <x v="0"/>
    <n v="939"/>
    <x v="1"/>
    <x v="1"/>
    <n v="100"/>
    <x v="1"/>
    <x v="1"/>
    <x v="1"/>
    <x v="3"/>
    <x v="0"/>
    <x v="643"/>
    <n v="3339"/>
    <n v="3"/>
    <s v="Y"/>
    <x v="0"/>
    <n v="11"/>
    <x v="0"/>
    <x v="2"/>
    <n v="80"/>
    <n v="0"/>
    <n v="6"/>
    <n v="1"/>
    <x v="1"/>
    <x v="11"/>
    <n v="2"/>
    <x v="0"/>
    <x v="3"/>
    <x v="1"/>
    <x v="2"/>
    <x v="1"/>
    <n v="0"/>
  </r>
  <r>
    <x v="34"/>
    <x v="1"/>
    <x v="0"/>
    <n v="1272"/>
    <x v="1"/>
    <n v="5"/>
    <x v="3"/>
    <x v="4"/>
    <x v="0"/>
    <n v="940"/>
    <x v="1"/>
    <x v="0"/>
    <n v="37"/>
    <x v="1"/>
    <x v="2"/>
    <x v="4"/>
    <x v="1"/>
    <x v="2"/>
    <x v="644"/>
    <n v="9255"/>
    <n v="2"/>
    <s v="Y"/>
    <x v="0"/>
    <n v="13"/>
    <x v="0"/>
    <x v="1"/>
    <n v="80"/>
    <n v="1"/>
    <n v="24"/>
    <n v="3"/>
    <x v="1"/>
    <x v="0"/>
    <n v="0"/>
    <x v="0"/>
    <x v="10"/>
    <x v="3"/>
    <x v="0"/>
    <x v="3"/>
    <n v="0"/>
  </r>
  <r>
    <x v="12"/>
    <x v="1"/>
    <x v="0"/>
    <n v="154"/>
    <x v="0"/>
    <n v="7"/>
    <x v="2"/>
    <x v="0"/>
    <x v="0"/>
    <n v="941"/>
    <x v="0"/>
    <x v="1"/>
    <n v="41"/>
    <x v="1"/>
    <x v="1"/>
    <x v="6"/>
    <x v="2"/>
    <x v="1"/>
    <x v="645"/>
    <n v="11737"/>
    <n v="3"/>
    <s v="Y"/>
    <x v="1"/>
    <n v="15"/>
    <x v="0"/>
    <x v="2"/>
    <n v="80"/>
    <n v="0"/>
    <n v="13"/>
    <n v="2"/>
    <x v="3"/>
    <x v="5"/>
    <n v="7"/>
    <x v="8"/>
    <x v="3"/>
    <x v="1"/>
    <x v="0"/>
    <x v="1"/>
    <n v="0"/>
  </r>
  <r>
    <x v="10"/>
    <x v="1"/>
    <x v="0"/>
    <n v="1137"/>
    <x v="1"/>
    <n v="21"/>
    <x v="1"/>
    <x v="0"/>
    <x v="0"/>
    <n v="942"/>
    <x v="2"/>
    <x v="0"/>
    <n v="51"/>
    <x v="0"/>
    <x v="0"/>
    <x v="4"/>
    <x v="0"/>
    <x v="1"/>
    <x v="55"/>
    <n v="19170"/>
    <n v="1"/>
    <s v="Y"/>
    <x v="0"/>
    <n v="25"/>
    <x v="1"/>
    <x v="1"/>
    <n v="80"/>
    <n v="1"/>
    <n v="10"/>
    <n v="2"/>
    <x v="0"/>
    <x v="1"/>
    <n v="6"/>
    <x v="0"/>
    <x v="1"/>
    <x v="1"/>
    <x v="0"/>
    <x v="1"/>
    <n v="0"/>
  </r>
  <r>
    <x v="1"/>
    <x v="1"/>
    <x v="0"/>
    <n v="527"/>
    <x v="1"/>
    <n v="8"/>
    <x v="0"/>
    <x v="1"/>
    <x v="0"/>
    <n v="944"/>
    <x v="3"/>
    <x v="0"/>
    <n v="51"/>
    <x v="0"/>
    <x v="2"/>
    <x v="2"/>
    <x v="1"/>
    <x v="1"/>
    <x v="646"/>
    <n v="22477"/>
    <n v="4"/>
    <s v="Y"/>
    <x v="1"/>
    <n v="11"/>
    <x v="0"/>
    <x v="3"/>
    <n v="80"/>
    <n v="1"/>
    <n v="29"/>
    <n v="3"/>
    <x v="2"/>
    <x v="34"/>
    <n v="9"/>
    <x v="1"/>
    <x v="1"/>
    <x v="0"/>
    <x v="3"/>
    <x v="0"/>
    <n v="0"/>
  </r>
  <r>
    <x v="26"/>
    <x v="1"/>
    <x v="0"/>
    <n v="1469"/>
    <x v="1"/>
    <n v="20"/>
    <x v="2"/>
    <x v="2"/>
    <x v="0"/>
    <n v="945"/>
    <x v="2"/>
    <x v="1"/>
    <n v="51"/>
    <x v="0"/>
    <x v="1"/>
    <x v="1"/>
    <x v="2"/>
    <x v="1"/>
    <x v="647"/>
    <n v="5543"/>
    <n v="4"/>
    <s v="Y"/>
    <x v="1"/>
    <n v="17"/>
    <x v="0"/>
    <x v="0"/>
    <n v="80"/>
    <n v="2"/>
    <n v="13"/>
    <n v="2"/>
    <x v="2"/>
    <x v="2"/>
    <n v="0"/>
    <x v="0"/>
    <x v="2"/>
    <x v="0"/>
    <x v="1"/>
    <x v="1"/>
    <n v="0"/>
  </r>
  <r>
    <x v="12"/>
    <x v="1"/>
    <x v="2"/>
    <n v="1188"/>
    <x v="0"/>
    <n v="20"/>
    <x v="0"/>
    <x v="3"/>
    <x v="0"/>
    <n v="947"/>
    <x v="2"/>
    <x v="0"/>
    <n v="45"/>
    <x v="0"/>
    <x v="0"/>
    <x v="0"/>
    <x v="2"/>
    <x v="1"/>
    <x v="648"/>
    <n v="24406"/>
    <n v="1"/>
    <s v="Y"/>
    <x v="1"/>
    <n v="13"/>
    <x v="0"/>
    <x v="1"/>
    <n v="80"/>
    <n v="1"/>
    <n v="9"/>
    <n v="2"/>
    <x v="2"/>
    <x v="7"/>
    <n v="8"/>
    <x v="0"/>
    <x v="2"/>
    <x v="1"/>
    <x v="0"/>
    <x v="0"/>
    <n v="0"/>
  </r>
  <r>
    <x v="9"/>
    <x v="1"/>
    <x v="0"/>
    <n v="188"/>
    <x v="1"/>
    <n v="7"/>
    <x v="2"/>
    <x v="1"/>
    <x v="0"/>
    <n v="949"/>
    <x v="0"/>
    <x v="1"/>
    <n v="65"/>
    <x v="0"/>
    <x v="1"/>
    <x v="1"/>
    <x v="0"/>
    <x v="0"/>
    <x v="649"/>
    <n v="23293"/>
    <n v="2"/>
    <s v="Y"/>
    <x v="1"/>
    <n v="18"/>
    <x v="0"/>
    <x v="3"/>
    <n v="80"/>
    <n v="0"/>
    <n v="8"/>
    <n v="6"/>
    <x v="1"/>
    <x v="0"/>
    <n v="2"/>
    <x v="0"/>
    <x v="9"/>
    <x v="1"/>
    <x v="0"/>
    <x v="1"/>
    <n v="0"/>
  </r>
  <r>
    <x v="8"/>
    <x v="1"/>
    <x v="0"/>
    <n v="1333"/>
    <x v="1"/>
    <n v="1"/>
    <x v="3"/>
    <x v="4"/>
    <x v="0"/>
    <n v="950"/>
    <x v="2"/>
    <x v="0"/>
    <n v="80"/>
    <x v="0"/>
    <x v="2"/>
    <x v="7"/>
    <x v="3"/>
    <x v="1"/>
    <x v="650"/>
    <n v="16292"/>
    <n v="1"/>
    <s v="Y"/>
    <x v="1"/>
    <n v="13"/>
    <x v="0"/>
    <x v="2"/>
    <n v="80"/>
    <n v="1"/>
    <n v="15"/>
    <n v="3"/>
    <x v="1"/>
    <x v="15"/>
    <n v="12"/>
    <x v="8"/>
    <x v="7"/>
    <x v="1"/>
    <x v="3"/>
    <x v="3"/>
    <n v="0"/>
  </r>
  <r>
    <x v="5"/>
    <x v="1"/>
    <x v="2"/>
    <n v="1184"/>
    <x v="1"/>
    <n v="1"/>
    <x v="3"/>
    <x v="0"/>
    <x v="0"/>
    <n v="951"/>
    <x v="1"/>
    <x v="0"/>
    <n v="70"/>
    <x v="1"/>
    <x v="1"/>
    <x v="2"/>
    <x v="1"/>
    <x v="1"/>
    <x v="651"/>
    <n v="3974"/>
    <n v="6"/>
    <s v="Y"/>
    <x v="1"/>
    <n v="20"/>
    <x v="1"/>
    <x v="3"/>
    <n v="80"/>
    <n v="0"/>
    <n v="5"/>
    <n v="3"/>
    <x v="1"/>
    <x v="11"/>
    <n v="0"/>
    <x v="0"/>
    <x v="3"/>
    <x v="1"/>
    <x v="2"/>
    <x v="1"/>
    <n v="0"/>
  </r>
  <r>
    <x v="36"/>
    <x v="0"/>
    <x v="0"/>
    <n v="867"/>
    <x v="0"/>
    <n v="19"/>
    <x v="0"/>
    <x v="3"/>
    <x v="0"/>
    <n v="952"/>
    <x v="1"/>
    <x v="1"/>
    <n v="36"/>
    <x v="1"/>
    <x v="1"/>
    <x v="6"/>
    <x v="1"/>
    <x v="1"/>
    <x v="652"/>
    <n v="18798"/>
    <n v="1"/>
    <s v="Y"/>
    <x v="0"/>
    <n v="18"/>
    <x v="0"/>
    <x v="3"/>
    <n v="80"/>
    <n v="3"/>
    <n v="1"/>
    <n v="2"/>
    <x v="1"/>
    <x v="6"/>
    <n v="0"/>
    <x v="0"/>
    <x v="2"/>
    <x v="2"/>
    <x v="1"/>
    <x v="1"/>
    <n v="1"/>
  </r>
  <r>
    <x v="32"/>
    <x v="1"/>
    <x v="0"/>
    <n v="658"/>
    <x v="0"/>
    <n v="10"/>
    <x v="2"/>
    <x v="3"/>
    <x v="0"/>
    <n v="954"/>
    <x v="3"/>
    <x v="1"/>
    <n v="67"/>
    <x v="1"/>
    <x v="2"/>
    <x v="0"/>
    <x v="1"/>
    <x v="2"/>
    <x v="653"/>
    <n v="20652"/>
    <n v="2"/>
    <s v="Y"/>
    <x v="1"/>
    <n v="12"/>
    <x v="0"/>
    <x v="2"/>
    <n v="80"/>
    <n v="1"/>
    <n v="11"/>
    <n v="2"/>
    <x v="2"/>
    <x v="6"/>
    <n v="0"/>
    <x v="0"/>
    <x v="2"/>
    <x v="0"/>
    <x v="1"/>
    <x v="0"/>
    <n v="0"/>
  </r>
  <r>
    <x v="25"/>
    <x v="1"/>
    <x v="1"/>
    <n v="1283"/>
    <x v="0"/>
    <n v="1"/>
    <x v="3"/>
    <x v="2"/>
    <x v="0"/>
    <n v="956"/>
    <x v="1"/>
    <x v="1"/>
    <n v="52"/>
    <x v="1"/>
    <x v="0"/>
    <x v="0"/>
    <x v="3"/>
    <x v="0"/>
    <x v="654"/>
    <n v="11148"/>
    <n v="1"/>
    <s v="Y"/>
    <x v="1"/>
    <n v="12"/>
    <x v="0"/>
    <x v="2"/>
    <n v="80"/>
    <n v="0"/>
    <n v="7"/>
    <n v="2"/>
    <x v="1"/>
    <x v="5"/>
    <n v="7"/>
    <x v="0"/>
    <x v="1"/>
    <x v="2"/>
    <x v="0"/>
    <x v="1"/>
    <n v="0"/>
  </r>
  <r>
    <x v="0"/>
    <x v="1"/>
    <x v="0"/>
    <n v="263"/>
    <x v="1"/>
    <n v="6"/>
    <x v="3"/>
    <x v="2"/>
    <x v="0"/>
    <n v="957"/>
    <x v="2"/>
    <x v="1"/>
    <n v="59"/>
    <x v="0"/>
    <x v="1"/>
    <x v="2"/>
    <x v="3"/>
    <x v="0"/>
    <x v="655"/>
    <n v="3119"/>
    <n v="2"/>
    <s v="Y"/>
    <x v="0"/>
    <n v="13"/>
    <x v="0"/>
    <x v="3"/>
    <n v="80"/>
    <n v="0"/>
    <n v="20"/>
    <n v="3"/>
    <x v="1"/>
    <x v="29"/>
    <n v="13"/>
    <x v="3"/>
    <x v="8"/>
    <x v="0"/>
    <x v="3"/>
    <x v="1"/>
    <n v="0"/>
  </r>
  <r>
    <x v="9"/>
    <x v="1"/>
    <x v="0"/>
    <n v="938"/>
    <x v="1"/>
    <n v="2"/>
    <x v="2"/>
    <x v="2"/>
    <x v="0"/>
    <n v="958"/>
    <x v="1"/>
    <x v="1"/>
    <n v="79"/>
    <x v="0"/>
    <x v="1"/>
    <x v="2"/>
    <x v="2"/>
    <x v="0"/>
    <x v="656"/>
    <n v="12287"/>
    <n v="4"/>
    <s v="Y"/>
    <x v="1"/>
    <n v="21"/>
    <x v="1"/>
    <x v="3"/>
    <n v="80"/>
    <n v="0"/>
    <n v="16"/>
    <n v="6"/>
    <x v="1"/>
    <x v="19"/>
    <n v="8"/>
    <x v="2"/>
    <x v="12"/>
    <x v="1"/>
    <x v="3"/>
    <x v="1"/>
    <n v="0"/>
  </r>
  <r>
    <x v="37"/>
    <x v="0"/>
    <x v="0"/>
    <n v="419"/>
    <x v="0"/>
    <n v="21"/>
    <x v="3"/>
    <x v="1"/>
    <x v="0"/>
    <n v="959"/>
    <x v="2"/>
    <x v="1"/>
    <n v="37"/>
    <x v="1"/>
    <x v="1"/>
    <x v="6"/>
    <x v="1"/>
    <x v="0"/>
    <x v="657"/>
    <n v="9947"/>
    <n v="1"/>
    <s v="Y"/>
    <x v="0"/>
    <n v="13"/>
    <x v="0"/>
    <x v="2"/>
    <n v="80"/>
    <n v="0"/>
    <n v="1"/>
    <n v="3"/>
    <x v="3"/>
    <x v="6"/>
    <n v="0"/>
    <x v="0"/>
    <x v="2"/>
    <x v="4"/>
    <x v="1"/>
    <x v="1"/>
    <n v="1"/>
  </r>
  <r>
    <x v="35"/>
    <x v="0"/>
    <x v="0"/>
    <n v="129"/>
    <x v="1"/>
    <n v="4"/>
    <x v="3"/>
    <x v="4"/>
    <x v="0"/>
    <n v="960"/>
    <x v="3"/>
    <x v="1"/>
    <n v="84"/>
    <x v="0"/>
    <x v="1"/>
    <x v="2"/>
    <x v="3"/>
    <x v="0"/>
    <x v="620"/>
    <n v="13008"/>
    <n v="1"/>
    <s v="Y"/>
    <x v="1"/>
    <n v="19"/>
    <x v="0"/>
    <x v="2"/>
    <n v="80"/>
    <n v="0"/>
    <n v="1"/>
    <n v="2"/>
    <x v="1"/>
    <x v="6"/>
    <n v="0"/>
    <x v="0"/>
    <x v="2"/>
    <x v="2"/>
    <x v="1"/>
    <x v="1"/>
    <n v="1"/>
  </r>
  <r>
    <x v="12"/>
    <x v="1"/>
    <x v="0"/>
    <n v="616"/>
    <x v="1"/>
    <n v="12"/>
    <x v="3"/>
    <x v="2"/>
    <x v="0"/>
    <n v="961"/>
    <x v="2"/>
    <x v="0"/>
    <n v="41"/>
    <x v="0"/>
    <x v="0"/>
    <x v="4"/>
    <x v="0"/>
    <x v="1"/>
    <x v="658"/>
    <n v="17369"/>
    <n v="0"/>
    <s v="Y"/>
    <x v="0"/>
    <n v="11"/>
    <x v="0"/>
    <x v="3"/>
    <n v="80"/>
    <n v="2"/>
    <n v="10"/>
    <n v="2"/>
    <x v="0"/>
    <x v="7"/>
    <n v="7"/>
    <x v="6"/>
    <x v="0"/>
    <x v="1"/>
    <x v="0"/>
    <x v="0"/>
    <n v="0"/>
  </r>
  <r>
    <x v="32"/>
    <x v="1"/>
    <x v="1"/>
    <n v="1469"/>
    <x v="1"/>
    <n v="9"/>
    <x v="2"/>
    <x v="2"/>
    <x v="0"/>
    <n v="964"/>
    <x v="2"/>
    <x v="1"/>
    <n v="35"/>
    <x v="0"/>
    <x v="1"/>
    <x v="1"/>
    <x v="1"/>
    <x v="2"/>
    <x v="659"/>
    <n v="25063"/>
    <n v="8"/>
    <s v="Y"/>
    <x v="0"/>
    <n v="14"/>
    <x v="0"/>
    <x v="1"/>
    <n v="80"/>
    <n v="1"/>
    <n v="3"/>
    <n v="2"/>
    <x v="1"/>
    <x v="6"/>
    <n v="1"/>
    <x v="0"/>
    <x v="2"/>
    <x v="0"/>
    <x v="1"/>
    <x v="1"/>
    <n v="0"/>
  </r>
  <r>
    <x v="5"/>
    <x v="1"/>
    <x v="0"/>
    <n v="498"/>
    <x v="1"/>
    <n v="3"/>
    <x v="2"/>
    <x v="2"/>
    <x v="0"/>
    <n v="966"/>
    <x v="1"/>
    <x v="0"/>
    <n v="93"/>
    <x v="0"/>
    <x v="0"/>
    <x v="3"/>
    <x v="3"/>
    <x v="1"/>
    <x v="660"/>
    <n v="13554"/>
    <n v="1"/>
    <s v="Y"/>
    <x v="1"/>
    <n v="12"/>
    <x v="0"/>
    <x v="3"/>
    <n v="80"/>
    <n v="1"/>
    <n v="8"/>
    <n v="2"/>
    <x v="3"/>
    <x v="3"/>
    <n v="7"/>
    <x v="7"/>
    <x v="6"/>
    <x v="1"/>
    <x v="0"/>
    <x v="0"/>
    <n v="0"/>
  </r>
  <r>
    <x v="9"/>
    <x v="0"/>
    <x v="0"/>
    <n v="530"/>
    <x v="0"/>
    <n v="3"/>
    <x v="1"/>
    <x v="0"/>
    <x v="0"/>
    <n v="967"/>
    <x v="1"/>
    <x v="1"/>
    <n v="51"/>
    <x v="1"/>
    <x v="2"/>
    <x v="0"/>
    <x v="0"/>
    <x v="1"/>
    <x v="661"/>
    <n v="5518"/>
    <n v="1"/>
    <s v="Y"/>
    <x v="0"/>
    <n v="11"/>
    <x v="0"/>
    <x v="0"/>
    <n v="80"/>
    <n v="1"/>
    <n v="16"/>
    <n v="6"/>
    <x v="1"/>
    <x v="22"/>
    <n v="7"/>
    <x v="2"/>
    <x v="1"/>
    <x v="1"/>
    <x v="3"/>
    <x v="3"/>
    <n v="1"/>
  </r>
  <r>
    <x v="3"/>
    <x v="1"/>
    <x v="0"/>
    <n v="1069"/>
    <x v="1"/>
    <n v="1"/>
    <x v="3"/>
    <x v="0"/>
    <x v="0"/>
    <n v="969"/>
    <x v="0"/>
    <x v="0"/>
    <n v="42"/>
    <x v="1"/>
    <x v="0"/>
    <x v="4"/>
    <x v="0"/>
    <x v="0"/>
    <x v="662"/>
    <n v="12291"/>
    <n v="0"/>
    <s v="Y"/>
    <x v="1"/>
    <n v="14"/>
    <x v="0"/>
    <x v="0"/>
    <n v="80"/>
    <n v="0"/>
    <n v="6"/>
    <n v="3"/>
    <x v="1"/>
    <x v="8"/>
    <n v="0"/>
    <x v="1"/>
    <x v="10"/>
    <x v="1"/>
    <x v="2"/>
    <x v="0"/>
    <n v="0"/>
  </r>
  <r>
    <x v="2"/>
    <x v="0"/>
    <x v="0"/>
    <n v="625"/>
    <x v="0"/>
    <n v="1"/>
    <x v="2"/>
    <x v="0"/>
    <x v="0"/>
    <n v="970"/>
    <x v="3"/>
    <x v="1"/>
    <n v="46"/>
    <x v="1"/>
    <x v="2"/>
    <x v="0"/>
    <x v="2"/>
    <x v="1"/>
    <x v="219"/>
    <n v="14922"/>
    <n v="5"/>
    <s v="Y"/>
    <x v="1"/>
    <n v="11"/>
    <x v="0"/>
    <x v="3"/>
    <n v="80"/>
    <n v="0"/>
    <n v="17"/>
    <n v="2"/>
    <x v="0"/>
    <x v="13"/>
    <n v="1"/>
    <x v="14"/>
    <x v="1"/>
    <x v="1"/>
    <x v="3"/>
    <x v="3"/>
    <n v="1"/>
  </r>
  <r>
    <x v="28"/>
    <x v="1"/>
    <x v="2"/>
    <n v="805"/>
    <x v="1"/>
    <n v="4"/>
    <x v="0"/>
    <x v="0"/>
    <x v="0"/>
    <n v="972"/>
    <x v="1"/>
    <x v="1"/>
    <n v="57"/>
    <x v="0"/>
    <x v="0"/>
    <x v="2"/>
    <x v="1"/>
    <x v="1"/>
    <x v="663"/>
    <n v="23163"/>
    <n v="1"/>
    <s v="Y"/>
    <x v="1"/>
    <n v="12"/>
    <x v="0"/>
    <x v="2"/>
    <n v="80"/>
    <n v="0"/>
    <n v="9"/>
    <n v="5"/>
    <x v="2"/>
    <x v="7"/>
    <n v="7"/>
    <x v="0"/>
    <x v="5"/>
    <x v="0"/>
    <x v="0"/>
    <x v="1"/>
    <n v="0"/>
  </r>
  <r>
    <x v="11"/>
    <x v="1"/>
    <x v="1"/>
    <n v="1404"/>
    <x v="0"/>
    <n v="20"/>
    <x v="3"/>
    <x v="4"/>
    <x v="0"/>
    <n v="974"/>
    <x v="1"/>
    <x v="0"/>
    <n v="84"/>
    <x v="0"/>
    <x v="1"/>
    <x v="6"/>
    <x v="0"/>
    <x v="1"/>
    <x v="664"/>
    <n v="18203"/>
    <n v="1"/>
    <s v="Y"/>
    <x v="1"/>
    <n v="15"/>
    <x v="0"/>
    <x v="2"/>
    <n v="80"/>
    <n v="1"/>
    <n v="3"/>
    <n v="5"/>
    <x v="1"/>
    <x v="11"/>
    <n v="1"/>
    <x v="0"/>
    <x v="3"/>
    <x v="2"/>
    <x v="2"/>
    <x v="1"/>
    <n v="0"/>
  </r>
  <r>
    <x v="10"/>
    <x v="1"/>
    <x v="0"/>
    <n v="1219"/>
    <x v="0"/>
    <n v="18"/>
    <x v="3"/>
    <x v="2"/>
    <x v="0"/>
    <n v="975"/>
    <x v="1"/>
    <x v="0"/>
    <n v="86"/>
    <x v="0"/>
    <x v="0"/>
    <x v="0"/>
    <x v="2"/>
    <x v="1"/>
    <x v="665"/>
    <n v="6179"/>
    <n v="1"/>
    <s v="Y"/>
    <x v="1"/>
    <n v="16"/>
    <x v="0"/>
    <x v="2"/>
    <n v="80"/>
    <n v="0"/>
    <n v="5"/>
    <n v="3"/>
    <x v="1"/>
    <x v="8"/>
    <n v="2"/>
    <x v="1"/>
    <x v="2"/>
    <x v="1"/>
    <x v="2"/>
    <x v="1"/>
    <n v="0"/>
  </r>
  <r>
    <x v="39"/>
    <x v="1"/>
    <x v="0"/>
    <n v="1053"/>
    <x v="1"/>
    <n v="1"/>
    <x v="0"/>
    <x v="0"/>
    <x v="0"/>
    <n v="976"/>
    <x v="2"/>
    <x v="1"/>
    <n v="70"/>
    <x v="0"/>
    <x v="3"/>
    <x v="5"/>
    <x v="0"/>
    <x v="1"/>
    <x v="666"/>
    <n v="13829"/>
    <n v="2"/>
    <s v="Y"/>
    <x v="1"/>
    <n v="15"/>
    <x v="0"/>
    <x v="2"/>
    <n v="80"/>
    <n v="1"/>
    <n v="26"/>
    <n v="2"/>
    <x v="2"/>
    <x v="7"/>
    <n v="8"/>
    <x v="4"/>
    <x v="5"/>
    <x v="3"/>
    <x v="0"/>
    <x v="2"/>
    <n v="0"/>
  </r>
  <r>
    <x v="34"/>
    <x v="0"/>
    <x v="0"/>
    <n v="289"/>
    <x v="1"/>
    <n v="2"/>
    <x v="3"/>
    <x v="4"/>
    <x v="0"/>
    <n v="977"/>
    <x v="2"/>
    <x v="1"/>
    <n v="51"/>
    <x v="0"/>
    <x v="1"/>
    <x v="1"/>
    <x v="2"/>
    <x v="0"/>
    <x v="667"/>
    <n v="26227"/>
    <n v="4"/>
    <s v="Y"/>
    <x v="1"/>
    <n v="24"/>
    <x v="1"/>
    <x v="0"/>
    <n v="80"/>
    <n v="0"/>
    <n v="7"/>
    <n v="4"/>
    <x v="1"/>
    <x v="6"/>
    <n v="0"/>
    <x v="0"/>
    <x v="2"/>
    <x v="3"/>
    <x v="1"/>
    <x v="1"/>
    <n v="1"/>
  </r>
  <r>
    <x v="16"/>
    <x v="1"/>
    <x v="0"/>
    <n v="1376"/>
    <x v="0"/>
    <n v="2"/>
    <x v="0"/>
    <x v="2"/>
    <x v="0"/>
    <n v="981"/>
    <x v="1"/>
    <x v="1"/>
    <n v="45"/>
    <x v="0"/>
    <x v="3"/>
    <x v="5"/>
    <x v="2"/>
    <x v="2"/>
    <x v="668"/>
    <n v="13938"/>
    <n v="6"/>
    <s v="Y"/>
    <x v="1"/>
    <n v="13"/>
    <x v="0"/>
    <x v="3"/>
    <n v="80"/>
    <n v="1"/>
    <n v="22"/>
    <n v="3"/>
    <x v="3"/>
    <x v="18"/>
    <n v="13"/>
    <x v="9"/>
    <x v="3"/>
    <x v="3"/>
    <x v="3"/>
    <x v="3"/>
    <n v="0"/>
  </r>
  <r>
    <x v="7"/>
    <x v="1"/>
    <x v="0"/>
    <n v="231"/>
    <x v="0"/>
    <n v="8"/>
    <x v="0"/>
    <x v="1"/>
    <x v="0"/>
    <n v="982"/>
    <x v="1"/>
    <x v="1"/>
    <n v="62"/>
    <x v="0"/>
    <x v="2"/>
    <x v="0"/>
    <x v="2"/>
    <x v="2"/>
    <x v="669"/>
    <n v="9977"/>
    <n v="5"/>
    <s v="Y"/>
    <x v="1"/>
    <n v="11"/>
    <x v="0"/>
    <x v="0"/>
    <n v="80"/>
    <n v="1"/>
    <n v="10"/>
    <n v="2"/>
    <x v="3"/>
    <x v="3"/>
    <n v="4"/>
    <x v="4"/>
    <x v="1"/>
    <x v="1"/>
    <x v="0"/>
    <x v="0"/>
    <n v="0"/>
  </r>
  <r>
    <x v="8"/>
    <x v="1"/>
    <x v="2"/>
    <n v="152"/>
    <x v="0"/>
    <n v="10"/>
    <x v="3"/>
    <x v="4"/>
    <x v="0"/>
    <n v="983"/>
    <x v="1"/>
    <x v="0"/>
    <n v="85"/>
    <x v="0"/>
    <x v="0"/>
    <x v="0"/>
    <x v="0"/>
    <x v="0"/>
    <x v="670"/>
    <n v="19899"/>
    <n v="1"/>
    <s v="Y"/>
    <x v="0"/>
    <n v="13"/>
    <x v="0"/>
    <x v="2"/>
    <n v="80"/>
    <n v="0"/>
    <n v="6"/>
    <n v="1"/>
    <x v="1"/>
    <x v="8"/>
    <n v="3"/>
    <x v="1"/>
    <x v="6"/>
    <x v="1"/>
    <x v="2"/>
    <x v="0"/>
    <n v="0"/>
  </r>
  <r>
    <x v="10"/>
    <x v="1"/>
    <x v="0"/>
    <n v="882"/>
    <x v="0"/>
    <n v="3"/>
    <x v="2"/>
    <x v="0"/>
    <x v="0"/>
    <n v="984"/>
    <x v="2"/>
    <x v="1"/>
    <n v="92"/>
    <x v="0"/>
    <x v="2"/>
    <x v="0"/>
    <x v="0"/>
    <x v="2"/>
    <x v="671"/>
    <n v="6812"/>
    <n v="6"/>
    <s v="Y"/>
    <x v="1"/>
    <n v="13"/>
    <x v="0"/>
    <x v="2"/>
    <n v="80"/>
    <n v="1"/>
    <n v="12"/>
    <n v="2"/>
    <x v="1"/>
    <x v="1"/>
    <n v="9"/>
    <x v="0"/>
    <x v="5"/>
    <x v="1"/>
    <x v="0"/>
    <x v="0"/>
    <n v="0"/>
  </r>
  <r>
    <x v="22"/>
    <x v="1"/>
    <x v="0"/>
    <n v="903"/>
    <x v="0"/>
    <n v="2"/>
    <x v="4"/>
    <x v="0"/>
    <x v="0"/>
    <n v="985"/>
    <x v="3"/>
    <x v="1"/>
    <n v="41"/>
    <x v="2"/>
    <x v="2"/>
    <x v="0"/>
    <x v="2"/>
    <x v="0"/>
    <x v="672"/>
    <n v="2560"/>
    <n v="0"/>
    <s v="Y"/>
    <x v="1"/>
    <n v="18"/>
    <x v="0"/>
    <x v="1"/>
    <n v="80"/>
    <n v="0"/>
    <n v="9"/>
    <n v="3"/>
    <x v="1"/>
    <x v="3"/>
    <n v="7"/>
    <x v="0"/>
    <x v="1"/>
    <x v="1"/>
    <x v="0"/>
    <x v="0"/>
    <n v="0"/>
  </r>
  <r>
    <x v="32"/>
    <x v="0"/>
    <x v="2"/>
    <n v="1479"/>
    <x v="0"/>
    <n v="24"/>
    <x v="3"/>
    <x v="0"/>
    <x v="0"/>
    <n v="986"/>
    <x v="0"/>
    <x v="0"/>
    <n v="100"/>
    <x v="2"/>
    <x v="3"/>
    <x v="0"/>
    <x v="1"/>
    <x v="0"/>
    <x v="673"/>
    <n v="17071"/>
    <n v="4"/>
    <s v="Y"/>
    <x v="0"/>
    <n v="16"/>
    <x v="0"/>
    <x v="1"/>
    <n v="80"/>
    <n v="0"/>
    <n v="22"/>
    <n v="2"/>
    <x v="2"/>
    <x v="6"/>
    <n v="0"/>
    <x v="0"/>
    <x v="2"/>
    <x v="0"/>
    <x v="1"/>
    <x v="3"/>
    <n v="1"/>
  </r>
  <r>
    <x v="40"/>
    <x v="1"/>
    <x v="1"/>
    <n v="1379"/>
    <x v="1"/>
    <n v="16"/>
    <x v="2"/>
    <x v="2"/>
    <x v="0"/>
    <n v="987"/>
    <x v="1"/>
    <x v="1"/>
    <n v="64"/>
    <x v="2"/>
    <x v="0"/>
    <x v="3"/>
    <x v="2"/>
    <x v="2"/>
    <x v="674"/>
    <n v="6759"/>
    <n v="1"/>
    <s v="Y"/>
    <x v="0"/>
    <n v="19"/>
    <x v="0"/>
    <x v="3"/>
    <n v="80"/>
    <n v="0"/>
    <n v="20"/>
    <n v="3"/>
    <x v="3"/>
    <x v="27"/>
    <n v="10"/>
    <x v="3"/>
    <x v="1"/>
    <x v="0"/>
    <x v="3"/>
    <x v="0"/>
    <n v="0"/>
  </r>
  <r>
    <x v="9"/>
    <x v="1"/>
    <x v="2"/>
    <n v="1229"/>
    <x v="0"/>
    <n v="8"/>
    <x v="2"/>
    <x v="4"/>
    <x v="0"/>
    <n v="990"/>
    <x v="3"/>
    <x v="1"/>
    <n v="84"/>
    <x v="0"/>
    <x v="0"/>
    <x v="0"/>
    <x v="0"/>
    <x v="2"/>
    <x v="675"/>
    <n v="25952"/>
    <n v="4"/>
    <s v="Y"/>
    <x v="1"/>
    <n v="13"/>
    <x v="0"/>
    <x v="1"/>
    <n v="80"/>
    <n v="2"/>
    <n v="12"/>
    <n v="3"/>
    <x v="1"/>
    <x v="5"/>
    <n v="7"/>
    <x v="0"/>
    <x v="1"/>
    <x v="1"/>
    <x v="0"/>
    <x v="0"/>
    <n v="0"/>
  </r>
  <r>
    <x v="12"/>
    <x v="0"/>
    <x v="2"/>
    <n v="335"/>
    <x v="1"/>
    <n v="9"/>
    <x v="0"/>
    <x v="2"/>
    <x v="0"/>
    <n v="991"/>
    <x v="1"/>
    <x v="1"/>
    <n v="46"/>
    <x v="1"/>
    <x v="1"/>
    <x v="1"/>
    <x v="3"/>
    <x v="0"/>
    <x v="676"/>
    <n v="10322"/>
    <n v="0"/>
    <s v="Y"/>
    <x v="0"/>
    <n v="22"/>
    <x v="1"/>
    <x v="0"/>
    <n v="80"/>
    <n v="0"/>
    <n v="4"/>
    <n v="0"/>
    <x v="1"/>
    <x v="11"/>
    <n v="2"/>
    <x v="1"/>
    <x v="3"/>
    <x v="1"/>
    <x v="2"/>
    <x v="1"/>
    <n v="1"/>
  </r>
  <r>
    <x v="3"/>
    <x v="1"/>
    <x v="2"/>
    <n v="722"/>
    <x v="0"/>
    <n v="17"/>
    <x v="3"/>
    <x v="0"/>
    <x v="0"/>
    <n v="992"/>
    <x v="2"/>
    <x v="1"/>
    <n v="38"/>
    <x v="0"/>
    <x v="3"/>
    <x v="5"/>
    <x v="2"/>
    <x v="0"/>
    <x v="677"/>
    <n v="20489"/>
    <n v="1"/>
    <s v="Y"/>
    <x v="1"/>
    <n v="11"/>
    <x v="0"/>
    <x v="1"/>
    <n v="80"/>
    <n v="0"/>
    <n v="10"/>
    <n v="2"/>
    <x v="1"/>
    <x v="1"/>
    <n v="8"/>
    <x v="7"/>
    <x v="2"/>
    <x v="1"/>
    <x v="0"/>
    <x v="2"/>
    <n v="0"/>
  </r>
  <r>
    <x v="11"/>
    <x v="0"/>
    <x v="0"/>
    <n v="906"/>
    <x v="1"/>
    <n v="10"/>
    <x v="3"/>
    <x v="0"/>
    <x v="0"/>
    <n v="994"/>
    <x v="2"/>
    <x v="0"/>
    <n v="92"/>
    <x v="1"/>
    <x v="1"/>
    <x v="1"/>
    <x v="3"/>
    <x v="0"/>
    <x v="639"/>
    <n v="11479"/>
    <n v="6"/>
    <s v="Y"/>
    <x v="0"/>
    <n v="20"/>
    <x v="1"/>
    <x v="3"/>
    <n v="80"/>
    <n v="0"/>
    <n v="3"/>
    <n v="5"/>
    <x v="1"/>
    <x v="2"/>
    <n v="0"/>
    <x v="0"/>
    <x v="2"/>
    <x v="2"/>
    <x v="1"/>
    <x v="1"/>
    <n v="1"/>
  </r>
  <r>
    <x v="3"/>
    <x v="1"/>
    <x v="0"/>
    <n v="461"/>
    <x v="1"/>
    <n v="13"/>
    <x v="1"/>
    <x v="0"/>
    <x v="0"/>
    <n v="995"/>
    <x v="0"/>
    <x v="0"/>
    <n v="53"/>
    <x v="0"/>
    <x v="1"/>
    <x v="1"/>
    <x v="0"/>
    <x v="0"/>
    <x v="138"/>
    <n v="17241"/>
    <n v="3"/>
    <s v="Y"/>
    <x v="1"/>
    <n v="18"/>
    <x v="0"/>
    <x v="0"/>
    <n v="80"/>
    <n v="0"/>
    <n v="5"/>
    <n v="4"/>
    <x v="1"/>
    <x v="11"/>
    <n v="2"/>
    <x v="0"/>
    <x v="3"/>
    <x v="1"/>
    <x v="2"/>
    <x v="1"/>
    <n v="0"/>
  </r>
  <r>
    <x v="28"/>
    <x v="1"/>
    <x v="0"/>
    <n v="974"/>
    <x v="1"/>
    <n v="1"/>
    <x v="2"/>
    <x v="2"/>
    <x v="0"/>
    <n v="996"/>
    <x v="2"/>
    <x v="0"/>
    <n v="91"/>
    <x v="0"/>
    <x v="1"/>
    <x v="2"/>
    <x v="0"/>
    <x v="2"/>
    <x v="678"/>
    <n v="11005"/>
    <n v="3"/>
    <s v="Y"/>
    <x v="1"/>
    <n v="14"/>
    <x v="0"/>
    <x v="1"/>
    <n v="80"/>
    <n v="2"/>
    <n v="8"/>
    <n v="2"/>
    <x v="1"/>
    <x v="8"/>
    <n v="3"/>
    <x v="0"/>
    <x v="3"/>
    <x v="0"/>
    <x v="2"/>
    <x v="1"/>
    <n v="0"/>
  </r>
  <r>
    <x v="24"/>
    <x v="1"/>
    <x v="0"/>
    <n v="1126"/>
    <x v="1"/>
    <n v="1"/>
    <x v="0"/>
    <x v="2"/>
    <x v="0"/>
    <n v="997"/>
    <x v="2"/>
    <x v="1"/>
    <n v="66"/>
    <x v="0"/>
    <x v="3"/>
    <x v="7"/>
    <x v="0"/>
    <x v="2"/>
    <x v="679"/>
    <n v="6615"/>
    <n v="9"/>
    <s v="Y"/>
    <x v="1"/>
    <n v="22"/>
    <x v="1"/>
    <x v="3"/>
    <n v="80"/>
    <n v="1"/>
    <n v="32"/>
    <n v="1"/>
    <x v="2"/>
    <x v="8"/>
    <n v="4"/>
    <x v="1"/>
    <x v="6"/>
    <x v="3"/>
    <x v="2"/>
    <x v="2"/>
    <n v="0"/>
  </r>
  <r>
    <x v="3"/>
    <x v="1"/>
    <x v="1"/>
    <n v="827"/>
    <x v="1"/>
    <n v="1"/>
    <x v="2"/>
    <x v="1"/>
    <x v="0"/>
    <n v="998"/>
    <x v="1"/>
    <x v="0"/>
    <n v="84"/>
    <x v="2"/>
    <x v="0"/>
    <x v="4"/>
    <x v="1"/>
    <x v="1"/>
    <x v="680"/>
    <n v="20161"/>
    <n v="1"/>
    <s v="Y"/>
    <x v="0"/>
    <n v="13"/>
    <x v="0"/>
    <x v="0"/>
    <n v="80"/>
    <n v="1"/>
    <n v="6"/>
    <n v="2"/>
    <x v="1"/>
    <x v="0"/>
    <n v="5"/>
    <x v="1"/>
    <x v="3"/>
    <x v="1"/>
    <x v="0"/>
    <x v="0"/>
    <n v="0"/>
  </r>
  <r>
    <x v="0"/>
    <x v="1"/>
    <x v="1"/>
    <n v="840"/>
    <x v="1"/>
    <n v="9"/>
    <x v="3"/>
    <x v="2"/>
    <x v="0"/>
    <n v="999"/>
    <x v="3"/>
    <x v="1"/>
    <n v="64"/>
    <x v="0"/>
    <x v="4"/>
    <x v="7"/>
    <x v="2"/>
    <x v="2"/>
    <x v="681"/>
    <n v="3735"/>
    <n v="2"/>
    <s v="Y"/>
    <x v="1"/>
    <n v="17"/>
    <x v="0"/>
    <x v="2"/>
    <n v="80"/>
    <n v="1"/>
    <n v="21"/>
    <n v="2"/>
    <x v="3"/>
    <x v="29"/>
    <n v="16"/>
    <x v="0"/>
    <x v="7"/>
    <x v="0"/>
    <x v="3"/>
    <x v="2"/>
    <n v="0"/>
  </r>
  <r>
    <x v="4"/>
    <x v="1"/>
    <x v="0"/>
    <n v="1134"/>
    <x v="1"/>
    <n v="16"/>
    <x v="2"/>
    <x v="4"/>
    <x v="0"/>
    <n v="1001"/>
    <x v="1"/>
    <x v="0"/>
    <n v="37"/>
    <x v="0"/>
    <x v="1"/>
    <x v="2"/>
    <x v="1"/>
    <x v="1"/>
    <x v="682"/>
    <n v="12086"/>
    <n v="9"/>
    <s v="Y"/>
    <x v="1"/>
    <n v="14"/>
    <x v="0"/>
    <x v="2"/>
    <n v="80"/>
    <n v="1"/>
    <n v="4"/>
    <n v="2"/>
    <x v="1"/>
    <x v="4"/>
    <n v="2"/>
    <x v="3"/>
    <x v="3"/>
    <x v="2"/>
    <x v="1"/>
    <x v="1"/>
    <n v="0"/>
  </r>
  <r>
    <x v="28"/>
    <x v="1"/>
    <x v="2"/>
    <n v="248"/>
    <x v="1"/>
    <n v="23"/>
    <x v="0"/>
    <x v="0"/>
    <x v="0"/>
    <n v="1002"/>
    <x v="2"/>
    <x v="1"/>
    <n v="42"/>
    <x v="0"/>
    <x v="0"/>
    <x v="2"/>
    <x v="3"/>
    <x v="1"/>
    <x v="683"/>
    <n v="14039"/>
    <n v="1"/>
    <s v="Y"/>
    <x v="0"/>
    <n v="15"/>
    <x v="0"/>
    <x v="3"/>
    <n v="80"/>
    <n v="1"/>
    <n v="9"/>
    <n v="2"/>
    <x v="1"/>
    <x v="7"/>
    <n v="8"/>
    <x v="0"/>
    <x v="5"/>
    <x v="0"/>
    <x v="0"/>
    <x v="1"/>
    <n v="0"/>
  </r>
  <r>
    <x v="40"/>
    <x v="1"/>
    <x v="0"/>
    <n v="955"/>
    <x v="0"/>
    <n v="4"/>
    <x v="0"/>
    <x v="0"/>
    <x v="0"/>
    <n v="1003"/>
    <x v="2"/>
    <x v="0"/>
    <n v="83"/>
    <x v="0"/>
    <x v="0"/>
    <x v="0"/>
    <x v="0"/>
    <x v="0"/>
    <x v="684"/>
    <n v="8571"/>
    <n v="1"/>
    <s v="Y"/>
    <x v="0"/>
    <n v="17"/>
    <x v="0"/>
    <x v="3"/>
    <n v="80"/>
    <n v="0"/>
    <n v="9"/>
    <n v="0"/>
    <x v="1"/>
    <x v="7"/>
    <n v="0"/>
    <x v="0"/>
    <x v="1"/>
    <x v="0"/>
    <x v="0"/>
    <x v="1"/>
    <n v="0"/>
  </r>
  <r>
    <x v="7"/>
    <x v="0"/>
    <x v="0"/>
    <n v="138"/>
    <x v="1"/>
    <n v="22"/>
    <x v="3"/>
    <x v="0"/>
    <x v="0"/>
    <n v="1004"/>
    <x v="3"/>
    <x v="0"/>
    <n v="48"/>
    <x v="0"/>
    <x v="1"/>
    <x v="1"/>
    <x v="2"/>
    <x v="1"/>
    <x v="685"/>
    <n v="11539"/>
    <n v="4"/>
    <s v="Y"/>
    <x v="0"/>
    <n v="11"/>
    <x v="0"/>
    <x v="2"/>
    <n v="80"/>
    <n v="0"/>
    <n v="7"/>
    <n v="2"/>
    <x v="1"/>
    <x v="8"/>
    <n v="2"/>
    <x v="0"/>
    <x v="9"/>
    <x v="1"/>
    <x v="2"/>
    <x v="1"/>
    <n v="1"/>
  </r>
  <r>
    <x v="24"/>
    <x v="1"/>
    <x v="0"/>
    <n v="939"/>
    <x v="1"/>
    <n v="24"/>
    <x v="3"/>
    <x v="0"/>
    <x v="0"/>
    <n v="1005"/>
    <x v="2"/>
    <x v="1"/>
    <n v="95"/>
    <x v="0"/>
    <x v="3"/>
    <x v="3"/>
    <x v="2"/>
    <x v="1"/>
    <x v="686"/>
    <n v="4161"/>
    <n v="3"/>
    <s v="Y"/>
    <x v="0"/>
    <n v="18"/>
    <x v="0"/>
    <x v="1"/>
    <n v="80"/>
    <n v="1"/>
    <n v="22"/>
    <n v="2"/>
    <x v="1"/>
    <x v="12"/>
    <n v="11"/>
    <x v="1"/>
    <x v="0"/>
    <x v="3"/>
    <x v="3"/>
    <x v="3"/>
    <n v="0"/>
  </r>
  <r>
    <x v="8"/>
    <x v="1"/>
    <x v="1"/>
    <n v="1391"/>
    <x v="1"/>
    <n v="10"/>
    <x v="1"/>
    <x v="2"/>
    <x v="0"/>
    <n v="1006"/>
    <x v="1"/>
    <x v="1"/>
    <n v="66"/>
    <x v="0"/>
    <x v="1"/>
    <x v="1"/>
    <x v="2"/>
    <x v="1"/>
    <x v="687"/>
    <n v="12127"/>
    <n v="0"/>
    <s v="Y"/>
    <x v="1"/>
    <n v="17"/>
    <x v="0"/>
    <x v="2"/>
    <n v="80"/>
    <n v="1"/>
    <n v="3"/>
    <n v="0"/>
    <x v="2"/>
    <x v="4"/>
    <n v="1"/>
    <x v="0"/>
    <x v="3"/>
    <x v="1"/>
    <x v="1"/>
    <x v="1"/>
    <n v="0"/>
  </r>
  <r>
    <x v="21"/>
    <x v="1"/>
    <x v="0"/>
    <n v="566"/>
    <x v="1"/>
    <n v="7"/>
    <x v="0"/>
    <x v="2"/>
    <x v="0"/>
    <n v="1007"/>
    <x v="2"/>
    <x v="1"/>
    <n v="75"/>
    <x v="0"/>
    <x v="2"/>
    <x v="3"/>
    <x v="2"/>
    <x v="2"/>
    <x v="688"/>
    <n v="24208"/>
    <n v="6"/>
    <s v="Y"/>
    <x v="1"/>
    <n v="13"/>
    <x v="0"/>
    <x v="2"/>
    <n v="80"/>
    <n v="1"/>
    <n v="13"/>
    <n v="3"/>
    <x v="1"/>
    <x v="3"/>
    <n v="7"/>
    <x v="0"/>
    <x v="1"/>
    <x v="0"/>
    <x v="0"/>
    <x v="3"/>
    <n v="0"/>
  </r>
  <r>
    <x v="17"/>
    <x v="1"/>
    <x v="0"/>
    <n v="1206"/>
    <x v="1"/>
    <n v="17"/>
    <x v="1"/>
    <x v="2"/>
    <x v="0"/>
    <n v="1009"/>
    <x v="2"/>
    <x v="0"/>
    <n v="41"/>
    <x v="1"/>
    <x v="0"/>
    <x v="3"/>
    <x v="2"/>
    <x v="2"/>
    <x v="689"/>
    <n v="24117"/>
    <n v="1"/>
    <s v="Y"/>
    <x v="1"/>
    <n v="15"/>
    <x v="0"/>
    <x v="2"/>
    <n v="80"/>
    <n v="2"/>
    <n v="5"/>
    <n v="6"/>
    <x v="1"/>
    <x v="9"/>
    <n v="2"/>
    <x v="2"/>
    <x v="3"/>
    <x v="2"/>
    <x v="2"/>
    <x v="1"/>
    <n v="0"/>
  </r>
  <r>
    <x v="10"/>
    <x v="0"/>
    <x v="0"/>
    <n v="622"/>
    <x v="1"/>
    <n v="14"/>
    <x v="2"/>
    <x v="1"/>
    <x v="0"/>
    <n v="1010"/>
    <x v="1"/>
    <x v="1"/>
    <n v="39"/>
    <x v="1"/>
    <x v="1"/>
    <x v="2"/>
    <x v="1"/>
    <x v="2"/>
    <x v="690"/>
    <n v="10074"/>
    <n v="1"/>
    <s v="Y"/>
    <x v="0"/>
    <n v="24"/>
    <x v="1"/>
    <x v="1"/>
    <n v="80"/>
    <n v="1"/>
    <n v="5"/>
    <n v="2"/>
    <x v="0"/>
    <x v="9"/>
    <n v="2"/>
    <x v="0"/>
    <x v="3"/>
    <x v="1"/>
    <x v="2"/>
    <x v="1"/>
    <n v="1"/>
  </r>
  <r>
    <x v="12"/>
    <x v="1"/>
    <x v="1"/>
    <n v="853"/>
    <x v="1"/>
    <n v="1"/>
    <x v="1"/>
    <x v="0"/>
    <x v="0"/>
    <n v="1011"/>
    <x v="1"/>
    <x v="0"/>
    <n v="96"/>
    <x v="0"/>
    <x v="0"/>
    <x v="3"/>
    <x v="3"/>
    <x v="1"/>
    <x v="691"/>
    <n v="11275"/>
    <n v="1"/>
    <s v="Y"/>
    <x v="1"/>
    <n v="12"/>
    <x v="0"/>
    <x v="3"/>
    <n v="80"/>
    <n v="1"/>
    <n v="4"/>
    <n v="1"/>
    <x v="1"/>
    <x v="9"/>
    <n v="3"/>
    <x v="0"/>
    <x v="6"/>
    <x v="1"/>
    <x v="2"/>
    <x v="1"/>
    <n v="0"/>
  </r>
  <r>
    <x v="41"/>
    <x v="1"/>
    <x v="2"/>
    <n v="287"/>
    <x v="1"/>
    <n v="5"/>
    <x v="0"/>
    <x v="0"/>
    <x v="0"/>
    <n v="1012"/>
    <x v="0"/>
    <x v="1"/>
    <n v="73"/>
    <x v="0"/>
    <x v="1"/>
    <x v="1"/>
    <x v="0"/>
    <x v="0"/>
    <x v="692"/>
    <n v="13493"/>
    <n v="1"/>
    <s v="Y"/>
    <x v="1"/>
    <n v="15"/>
    <x v="0"/>
    <x v="1"/>
    <n v="80"/>
    <n v="0"/>
    <n v="0"/>
    <n v="2"/>
    <x v="1"/>
    <x v="2"/>
    <n v="0"/>
    <x v="0"/>
    <x v="2"/>
    <x v="4"/>
    <x v="1"/>
    <x v="1"/>
    <n v="0"/>
  </r>
  <r>
    <x v="33"/>
    <x v="1"/>
    <x v="0"/>
    <n v="1441"/>
    <x v="1"/>
    <n v="17"/>
    <x v="3"/>
    <x v="4"/>
    <x v="0"/>
    <n v="1013"/>
    <x v="1"/>
    <x v="0"/>
    <n v="56"/>
    <x v="0"/>
    <x v="2"/>
    <x v="3"/>
    <x v="2"/>
    <x v="1"/>
    <x v="693"/>
    <n v="13943"/>
    <n v="8"/>
    <s v="Y"/>
    <x v="1"/>
    <n v="11"/>
    <x v="0"/>
    <x v="3"/>
    <n v="80"/>
    <n v="1"/>
    <n v="22"/>
    <n v="2"/>
    <x v="1"/>
    <x v="1"/>
    <n v="7"/>
    <x v="0"/>
    <x v="5"/>
    <x v="3"/>
    <x v="0"/>
    <x v="3"/>
    <n v="0"/>
  </r>
  <r>
    <x v="10"/>
    <x v="1"/>
    <x v="0"/>
    <n v="583"/>
    <x v="1"/>
    <n v="25"/>
    <x v="2"/>
    <x v="2"/>
    <x v="0"/>
    <n v="1014"/>
    <x v="1"/>
    <x v="0"/>
    <n v="57"/>
    <x v="0"/>
    <x v="2"/>
    <x v="4"/>
    <x v="2"/>
    <x v="2"/>
    <x v="694"/>
    <n v="6975"/>
    <n v="1"/>
    <s v="Y"/>
    <x v="0"/>
    <n v="11"/>
    <x v="0"/>
    <x v="3"/>
    <n v="80"/>
    <n v="1"/>
    <n v="16"/>
    <n v="3"/>
    <x v="2"/>
    <x v="22"/>
    <n v="10"/>
    <x v="13"/>
    <x v="9"/>
    <x v="1"/>
    <x v="3"/>
    <x v="3"/>
    <n v="0"/>
  </r>
  <r>
    <x v="7"/>
    <x v="1"/>
    <x v="0"/>
    <n v="153"/>
    <x v="1"/>
    <n v="8"/>
    <x v="0"/>
    <x v="0"/>
    <x v="0"/>
    <n v="1015"/>
    <x v="0"/>
    <x v="0"/>
    <n v="73"/>
    <x v="2"/>
    <x v="2"/>
    <x v="7"/>
    <x v="3"/>
    <x v="1"/>
    <x v="695"/>
    <n v="17802"/>
    <n v="0"/>
    <s v="Y"/>
    <x v="0"/>
    <n v="12"/>
    <x v="0"/>
    <x v="3"/>
    <n v="80"/>
    <n v="3"/>
    <n v="9"/>
    <n v="4"/>
    <x v="2"/>
    <x v="3"/>
    <n v="7"/>
    <x v="1"/>
    <x v="1"/>
    <x v="1"/>
    <x v="0"/>
    <x v="3"/>
    <n v="0"/>
  </r>
  <r>
    <x v="35"/>
    <x v="0"/>
    <x v="0"/>
    <n v="1097"/>
    <x v="1"/>
    <n v="11"/>
    <x v="3"/>
    <x v="2"/>
    <x v="0"/>
    <n v="1016"/>
    <x v="2"/>
    <x v="0"/>
    <n v="98"/>
    <x v="1"/>
    <x v="1"/>
    <x v="1"/>
    <x v="3"/>
    <x v="0"/>
    <x v="696"/>
    <n v="18275"/>
    <n v="1"/>
    <s v="Y"/>
    <x v="0"/>
    <n v="15"/>
    <x v="0"/>
    <x v="0"/>
    <n v="80"/>
    <n v="0"/>
    <n v="1"/>
    <n v="2"/>
    <x v="1"/>
    <x v="6"/>
    <n v="0"/>
    <x v="0"/>
    <x v="2"/>
    <x v="2"/>
    <x v="1"/>
    <x v="1"/>
    <n v="1"/>
  </r>
  <r>
    <x v="7"/>
    <x v="0"/>
    <x v="1"/>
    <n v="109"/>
    <x v="1"/>
    <n v="5"/>
    <x v="3"/>
    <x v="2"/>
    <x v="0"/>
    <n v="1017"/>
    <x v="0"/>
    <x v="0"/>
    <n v="60"/>
    <x v="0"/>
    <x v="1"/>
    <x v="2"/>
    <x v="1"/>
    <x v="0"/>
    <x v="697"/>
    <n v="25725"/>
    <n v="0"/>
    <s v="Y"/>
    <x v="1"/>
    <n v="17"/>
    <x v="0"/>
    <x v="0"/>
    <n v="80"/>
    <n v="0"/>
    <n v="4"/>
    <n v="3"/>
    <x v="1"/>
    <x v="11"/>
    <n v="2"/>
    <x v="1"/>
    <x v="3"/>
    <x v="1"/>
    <x v="2"/>
    <x v="1"/>
    <n v="1"/>
  </r>
  <r>
    <x v="25"/>
    <x v="1"/>
    <x v="0"/>
    <n v="1066"/>
    <x v="1"/>
    <n v="2"/>
    <x v="0"/>
    <x v="2"/>
    <x v="0"/>
    <n v="1018"/>
    <x v="2"/>
    <x v="1"/>
    <n v="32"/>
    <x v="2"/>
    <x v="0"/>
    <x v="3"/>
    <x v="0"/>
    <x v="1"/>
    <x v="698"/>
    <n v="3334"/>
    <n v="1"/>
    <s v="Y"/>
    <x v="1"/>
    <n v="12"/>
    <x v="0"/>
    <x v="2"/>
    <n v="80"/>
    <n v="0"/>
    <n v="8"/>
    <n v="2"/>
    <x v="1"/>
    <x v="3"/>
    <n v="7"/>
    <x v="1"/>
    <x v="6"/>
    <x v="2"/>
    <x v="0"/>
    <x v="0"/>
    <n v="0"/>
  </r>
  <r>
    <x v="15"/>
    <x v="1"/>
    <x v="0"/>
    <n v="217"/>
    <x v="1"/>
    <n v="8"/>
    <x v="1"/>
    <x v="0"/>
    <x v="0"/>
    <n v="1019"/>
    <x v="0"/>
    <x v="1"/>
    <n v="94"/>
    <x v="3"/>
    <x v="1"/>
    <x v="2"/>
    <x v="3"/>
    <x v="1"/>
    <x v="163"/>
    <n v="6881"/>
    <n v="1"/>
    <s v="Y"/>
    <x v="1"/>
    <n v="15"/>
    <x v="0"/>
    <x v="0"/>
    <n v="80"/>
    <n v="1"/>
    <n v="4"/>
    <n v="3"/>
    <x v="2"/>
    <x v="9"/>
    <n v="3"/>
    <x v="1"/>
    <x v="9"/>
    <x v="2"/>
    <x v="2"/>
    <x v="1"/>
    <n v="0"/>
  </r>
  <r>
    <x v="26"/>
    <x v="1"/>
    <x v="0"/>
    <n v="277"/>
    <x v="1"/>
    <n v="6"/>
    <x v="3"/>
    <x v="0"/>
    <x v="0"/>
    <n v="1022"/>
    <x v="3"/>
    <x v="1"/>
    <n v="97"/>
    <x v="1"/>
    <x v="0"/>
    <x v="4"/>
    <x v="2"/>
    <x v="0"/>
    <x v="699"/>
    <n v="13119"/>
    <n v="2"/>
    <s v="Y"/>
    <x v="1"/>
    <n v="13"/>
    <x v="0"/>
    <x v="1"/>
    <n v="80"/>
    <n v="0"/>
    <n v="19"/>
    <n v="0"/>
    <x v="1"/>
    <x v="4"/>
    <n v="2"/>
    <x v="3"/>
    <x v="3"/>
    <x v="0"/>
    <x v="1"/>
    <x v="1"/>
    <n v="0"/>
  </r>
  <r>
    <x v="26"/>
    <x v="1"/>
    <x v="0"/>
    <n v="1355"/>
    <x v="1"/>
    <n v="4"/>
    <x v="2"/>
    <x v="0"/>
    <x v="0"/>
    <n v="1024"/>
    <x v="1"/>
    <x v="1"/>
    <n v="78"/>
    <x v="1"/>
    <x v="2"/>
    <x v="4"/>
    <x v="2"/>
    <x v="0"/>
    <x v="700"/>
    <n v="22245"/>
    <n v="7"/>
    <s v="Y"/>
    <x v="1"/>
    <n v="14"/>
    <x v="0"/>
    <x v="2"/>
    <n v="80"/>
    <n v="0"/>
    <n v="27"/>
    <n v="3"/>
    <x v="1"/>
    <x v="15"/>
    <n v="11"/>
    <x v="5"/>
    <x v="5"/>
    <x v="0"/>
    <x v="3"/>
    <x v="3"/>
    <n v="0"/>
  </r>
  <r>
    <x v="0"/>
    <x v="1"/>
    <x v="0"/>
    <n v="549"/>
    <x v="1"/>
    <n v="7"/>
    <x v="0"/>
    <x v="2"/>
    <x v="0"/>
    <n v="1025"/>
    <x v="2"/>
    <x v="0"/>
    <n v="42"/>
    <x v="0"/>
    <x v="0"/>
    <x v="3"/>
    <x v="2"/>
    <x v="0"/>
    <x v="701"/>
    <n v="23371"/>
    <n v="6"/>
    <s v="Y"/>
    <x v="1"/>
    <n v="14"/>
    <x v="0"/>
    <x v="2"/>
    <n v="80"/>
    <n v="0"/>
    <n v="8"/>
    <n v="6"/>
    <x v="1"/>
    <x v="4"/>
    <n v="2"/>
    <x v="3"/>
    <x v="9"/>
    <x v="0"/>
    <x v="1"/>
    <x v="0"/>
    <n v="0"/>
  </r>
  <r>
    <x v="22"/>
    <x v="1"/>
    <x v="0"/>
    <n v="466"/>
    <x v="1"/>
    <n v="1"/>
    <x v="1"/>
    <x v="0"/>
    <x v="0"/>
    <n v="1026"/>
    <x v="2"/>
    <x v="0"/>
    <n v="65"/>
    <x v="1"/>
    <x v="3"/>
    <x v="3"/>
    <x v="0"/>
    <x v="1"/>
    <x v="702"/>
    <n v="7060"/>
    <n v="1"/>
    <s v="Y"/>
    <x v="1"/>
    <n v="16"/>
    <x v="0"/>
    <x v="3"/>
    <n v="80"/>
    <n v="1"/>
    <n v="21"/>
    <n v="3"/>
    <x v="1"/>
    <x v="17"/>
    <n v="6"/>
    <x v="14"/>
    <x v="5"/>
    <x v="1"/>
    <x v="3"/>
    <x v="3"/>
    <n v="0"/>
  </r>
  <r>
    <x v="4"/>
    <x v="1"/>
    <x v="0"/>
    <n v="1055"/>
    <x v="1"/>
    <n v="2"/>
    <x v="2"/>
    <x v="0"/>
    <x v="0"/>
    <n v="1027"/>
    <x v="3"/>
    <x v="0"/>
    <n v="47"/>
    <x v="0"/>
    <x v="0"/>
    <x v="3"/>
    <x v="0"/>
    <x v="1"/>
    <x v="703"/>
    <n v="4658"/>
    <n v="0"/>
    <s v="Y"/>
    <x v="1"/>
    <n v="18"/>
    <x v="0"/>
    <x v="2"/>
    <n v="80"/>
    <n v="1"/>
    <n v="4"/>
    <n v="2"/>
    <x v="1"/>
    <x v="11"/>
    <n v="2"/>
    <x v="3"/>
    <x v="3"/>
    <x v="2"/>
    <x v="2"/>
    <x v="1"/>
    <n v="0"/>
  </r>
  <r>
    <x v="10"/>
    <x v="1"/>
    <x v="0"/>
    <n v="802"/>
    <x v="1"/>
    <n v="10"/>
    <x v="3"/>
    <x v="1"/>
    <x v="0"/>
    <n v="1028"/>
    <x v="0"/>
    <x v="1"/>
    <n v="45"/>
    <x v="0"/>
    <x v="1"/>
    <x v="2"/>
    <x v="0"/>
    <x v="2"/>
    <x v="704"/>
    <n v="9541"/>
    <n v="1"/>
    <s v="Y"/>
    <x v="1"/>
    <n v="20"/>
    <x v="1"/>
    <x v="0"/>
    <n v="80"/>
    <n v="1"/>
    <n v="3"/>
    <n v="4"/>
    <x v="2"/>
    <x v="11"/>
    <n v="2"/>
    <x v="1"/>
    <x v="3"/>
    <x v="1"/>
    <x v="2"/>
    <x v="1"/>
    <n v="0"/>
  </r>
  <r>
    <x v="19"/>
    <x v="1"/>
    <x v="0"/>
    <n v="265"/>
    <x v="0"/>
    <n v="5"/>
    <x v="0"/>
    <x v="3"/>
    <x v="0"/>
    <n v="1029"/>
    <x v="2"/>
    <x v="1"/>
    <n v="90"/>
    <x v="0"/>
    <x v="4"/>
    <x v="5"/>
    <x v="2"/>
    <x v="1"/>
    <x v="705"/>
    <n v="7770"/>
    <n v="6"/>
    <s v="Y"/>
    <x v="1"/>
    <n v="13"/>
    <x v="0"/>
    <x v="2"/>
    <n v="80"/>
    <n v="0"/>
    <n v="21"/>
    <n v="3"/>
    <x v="3"/>
    <x v="6"/>
    <n v="0"/>
    <x v="0"/>
    <x v="2"/>
    <x v="0"/>
    <x v="1"/>
    <x v="2"/>
    <n v="0"/>
  </r>
  <r>
    <x v="24"/>
    <x v="1"/>
    <x v="0"/>
    <n v="804"/>
    <x v="1"/>
    <n v="9"/>
    <x v="3"/>
    <x v="0"/>
    <x v="0"/>
    <n v="1030"/>
    <x v="3"/>
    <x v="1"/>
    <n v="64"/>
    <x v="0"/>
    <x v="1"/>
    <x v="2"/>
    <x v="0"/>
    <x v="1"/>
    <x v="631"/>
    <n v="20165"/>
    <n v="4"/>
    <s v="Y"/>
    <x v="1"/>
    <n v="18"/>
    <x v="0"/>
    <x v="2"/>
    <n v="80"/>
    <n v="0"/>
    <n v="8"/>
    <n v="5"/>
    <x v="1"/>
    <x v="6"/>
    <n v="0"/>
    <x v="0"/>
    <x v="2"/>
    <x v="3"/>
    <x v="1"/>
    <x v="1"/>
    <n v="0"/>
  </r>
  <r>
    <x v="6"/>
    <x v="1"/>
    <x v="0"/>
    <n v="715"/>
    <x v="1"/>
    <n v="2"/>
    <x v="3"/>
    <x v="0"/>
    <x v="0"/>
    <n v="1032"/>
    <x v="1"/>
    <x v="0"/>
    <n v="69"/>
    <x v="1"/>
    <x v="3"/>
    <x v="3"/>
    <x v="0"/>
    <x v="0"/>
    <x v="706"/>
    <n v="21829"/>
    <n v="3"/>
    <s v="Y"/>
    <x v="0"/>
    <n v="13"/>
    <x v="0"/>
    <x v="0"/>
    <n v="80"/>
    <n v="0"/>
    <n v="30"/>
    <n v="4"/>
    <x v="1"/>
    <x v="8"/>
    <n v="3"/>
    <x v="5"/>
    <x v="6"/>
    <x v="3"/>
    <x v="2"/>
    <x v="3"/>
    <n v="0"/>
  </r>
  <r>
    <x v="2"/>
    <x v="0"/>
    <x v="0"/>
    <n v="1141"/>
    <x v="1"/>
    <n v="11"/>
    <x v="0"/>
    <x v="2"/>
    <x v="0"/>
    <n v="1033"/>
    <x v="3"/>
    <x v="0"/>
    <n v="61"/>
    <x v="3"/>
    <x v="0"/>
    <x v="4"/>
    <x v="1"/>
    <x v="1"/>
    <x v="707"/>
    <n v="14382"/>
    <n v="5"/>
    <s v="Y"/>
    <x v="1"/>
    <n v="15"/>
    <x v="0"/>
    <x v="0"/>
    <n v="80"/>
    <n v="0"/>
    <n v="15"/>
    <n v="2"/>
    <x v="0"/>
    <x v="6"/>
    <n v="0"/>
    <x v="0"/>
    <x v="2"/>
    <x v="1"/>
    <x v="1"/>
    <x v="1"/>
    <n v="1"/>
  </r>
  <r>
    <x v="27"/>
    <x v="1"/>
    <x v="1"/>
    <n v="135"/>
    <x v="1"/>
    <n v="18"/>
    <x v="2"/>
    <x v="2"/>
    <x v="0"/>
    <n v="1034"/>
    <x v="1"/>
    <x v="1"/>
    <n v="62"/>
    <x v="0"/>
    <x v="0"/>
    <x v="4"/>
    <x v="1"/>
    <x v="1"/>
    <x v="708"/>
    <n v="12992"/>
    <n v="3"/>
    <s v="Y"/>
    <x v="0"/>
    <n v="14"/>
    <x v="0"/>
    <x v="1"/>
    <n v="80"/>
    <n v="2"/>
    <n v="17"/>
    <n v="3"/>
    <x v="1"/>
    <x v="3"/>
    <n v="7"/>
    <x v="7"/>
    <x v="1"/>
    <x v="3"/>
    <x v="0"/>
    <x v="0"/>
    <n v="0"/>
  </r>
  <r>
    <x v="0"/>
    <x v="1"/>
    <x v="2"/>
    <n v="247"/>
    <x v="1"/>
    <n v="7"/>
    <x v="1"/>
    <x v="0"/>
    <x v="0"/>
    <n v="1035"/>
    <x v="0"/>
    <x v="0"/>
    <n v="55"/>
    <x v="3"/>
    <x v="4"/>
    <x v="7"/>
    <x v="2"/>
    <x v="2"/>
    <x v="709"/>
    <n v="20284"/>
    <n v="1"/>
    <s v="Y"/>
    <x v="1"/>
    <n v="22"/>
    <x v="1"/>
    <x v="2"/>
    <n v="80"/>
    <n v="2"/>
    <n v="21"/>
    <n v="3"/>
    <x v="1"/>
    <x v="17"/>
    <n v="16"/>
    <x v="8"/>
    <x v="13"/>
    <x v="0"/>
    <x v="3"/>
    <x v="2"/>
    <n v="0"/>
  </r>
  <r>
    <x v="8"/>
    <x v="1"/>
    <x v="0"/>
    <n v="1035"/>
    <x v="0"/>
    <n v="3"/>
    <x v="2"/>
    <x v="0"/>
    <x v="0"/>
    <n v="1036"/>
    <x v="0"/>
    <x v="1"/>
    <n v="42"/>
    <x v="0"/>
    <x v="0"/>
    <x v="0"/>
    <x v="0"/>
    <x v="0"/>
    <x v="710"/>
    <n v="4981"/>
    <n v="8"/>
    <s v="Y"/>
    <x v="0"/>
    <n v="12"/>
    <x v="0"/>
    <x v="3"/>
    <n v="80"/>
    <n v="0"/>
    <n v="19"/>
    <n v="1"/>
    <x v="1"/>
    <x v="6"/>
    <n v="0"/>
    <x v="0"/>
    <x v="2"/>
    <x v="1"/>
    <x v="1"/>
    <x v="0"/>
    <n v="0"/>
  </r>
  <r>
    <x v="25"/>
    <x v="0"/>
    <x v="2"/>
    <n v="265"/>
    <x v="0"/>
    <n v="29"/>
    <x v="0"/>
    <x v="2"/>
    <x v="0"/>
    <n v="1037"/>
    <x v="0"/>
    <x v="1"/>
    <n v="79"/>
    <x v="3"/>
    <x v="0"/>
    <x v="0"/>
    <x v="3"/>
    <x v="0"/>
    <x v="711"/>
    <n v="21813"/>
    <n v="8"/>
    <s v="Y"/>
    <x v="1"/>
    <n v="18"/>
    <x v="0"/>
    <x v="1"/>
    <n v="80"/>
    <n v="0"/>
    <n v="7"/>
    <n v="6"/>
    <x v="1"/>
    <x v="4"/>
    <n v="2"/>
    <x v="3"/>
    <x v="3"/>
    <x v="2"/>
    <x v="1"/>
    <x v="1"/>
    <n v="1"/>
  </r>
  <r>
    <x v="39"/>
    <x v="0"/>
    <x v="0"/>
    <n v="266"/>
    <x v="0"/>
    <n v="2"/>
    <x v="1"/>
    <x v="3"/>
    <x v="0"/>
    <n v="1038"/>
    <x v="3"/>
    <x v="0"/>
    <n v="57"/>
    <x v="3"/>
    <x v="4"/>
    <x v="5"/>
    <x v="0"/>
    <x v="1"/>
    <x v="712"/>
    <n v="25846"/>
    <n v="1"/>
    <s v="Y"/>
    <x v="1"/>
    <n v="15"/>
    <x v="0"/>
    <x v="1"/>
    <n v="80"/>
    <n v="1"/>
    <n v="33"/>
    <n v="3"/>
    <x v="1"/>
    <x v="32"/>
    <n v="14"/>
    <x v="7"/>
    <x v="12"/>
    <x v="3"/>
    <x v="3"/>
    <x v="2"/>
    <n v="1"/>
  </r>
  <r>
    <x v="20"/>
    <x v="1"/>
    <x v="0"/>
    <n v="1448"/>
    <x v="0"/>
    <n v="28"/>
    <x v="3"/>
    <x v="2"/>
    <x v="0"/>
    <n v="1039"/>
    <x v="2"/>
    <x v="0"/>
    <n v="53"/>
    <x v="2"/>
    <x v="3"/>
    <x v="0"/>
    <x v="0"/>
    <x v="1"/>
    <x v="713"/>
    <n v="11737"/>
    <n v="3"/>
    <s v="Y"/>
    <x v="0"/>
    <n v="18"/>
    <x v="0"/>
    <x v="3"/>
    <n v="80"/>
    <n v="1"/>
    <n v="23"/>
    <n v="2"/>
    <x v="1"/>
    <x v="12"/>
    <n v="11"/>
    <x v="14"/>
    <x v="7"/>
    <x v="0"/>
    <x v="3"/>
    <x v="3"/>
    <n v="0"/>
  </r>
  <r>
    <x v="24"/>
    <x v="1"/>
    <x v="2"/>
    <n v="145"/>
    <x v="0"/>
    <n v="1"/>
    <x v="3"/>
    <x v="0"/>
    <x v="0"/>
    <n v="1040"/>
    <x v="2"/>
    <x v="0"/>
    <n v="95"/>
    <x v="0"/>
    <x v="0"/>
    <x v="0"/>
    <x v="2"/>
    <x v="1"/>
    <x v="136"/>
    <n v="24920"/>
    <n v="0"/>
    <s v="Y"/>
    <x v="1"/>
    <n v="12"/>
    <x v="0"/>
    <x v="0"/>
    <n v="80"/>
    <n v="1"/>
    <n v="19"/>
    <n v="3"/>
    <x v="1"/>
    <x v="29"/>
    <n v="7"/>
    <x v="0"/>
    <x v="15"/>
    <x v="3"/>
    <x v="3"/>
    <x v="0"/>
    <n v="0"/>
  </r>
  <r>
    <x v="9"/>
    <x v="0"/>
    <x v="0"/>
    <n v="885"/>
    <x v="1"/>
    <n v="16"/>
    <x v="2"/>
    <x v="0"/>
    <x v="0"/>
    <n v="1042"/>
    <x v="1"/>
    <x v="0"/>
    <n v="43"/>
    <x v="2"/>
    <x v="1"/>
    <x v="2"/>
    <x v="3"/>
    <x v="0"/>
    <x v="714"/>
    <n v="8269"/>
    <n v="1"/>
    <s v="Y"/>
    <x v="1"/>
    <n v="16"/>
    <x v="0"/>
    <x v="3"/>
    <n v="80"/>
    <n v="0"/>
    <n v="18"/>
    <n v="1"/>
    <x v="1"/>
    <x v="18"/>
    <n v="13"/>
    <x v="9"/>
    <x v="17"/>
    <x v="1"/>
    <x v="3"/>
    <x v="1"/>
    <n v="1"/>
  </r>
  <r>
    <x v="22"/>
    <x v="1"/>
    <x v="1"/>
    <n v="945"/>
    <x v="1"/>
    <n v="22"/>
    <x v="3"/>
    <x v="2"/>
    <x v="0"/>
    <n v="1043"/>
    <x v="2"/>
    <x v="0"/>
    <n v="82"/>
    <x v="0"/>
    <x v="2"/>
    <x v="3"/>
    <x v="3"/>
    <x v="0"/>
    <x v="715"/>
    <n v="5083"/>
    <n v="1"/>
    <s v="Y"/>
    <x v="0"/>
    <n v="13"/>
    <x v="0"/>
    <x v="3"/>
    <n v="80"/>
    <n v="0"/>
    <n v="21"/>
    <n v="2"/>
    <x v="1"/>
    <x v="17"/>
    <n v="6"/>
    <x v="3"/>
    <x v="5"/>
    <x v="1"/>
    <x v="3"/>
    <x v="3"/>
    <n v="0"/>
  </r>
  <r>
    <x v="3"/>
    <x v="1"/>
    <x v="2"/>
    <n v="1038"/>
    <x v="0"/>
    <n v="8"/>
    <x v="1"/>
    <x v="0"/>
    <x v="0"/>
    <n v="1044"/>
    <x v="0"/>
    <x v="0"/>
    <n v="88"/>
    <x v="1"/>
    <x v="1"/>
    <x v="6"/>
    <x v="0"/>
    <x v="0"/>
    <x v="531"/>
    <n v="21437"/>
    <n v="0"/>
    <s v="Y"/>
    <x v="1"/>
    <n v="19"/>
    <x v="0"/>
    <x v="1"/>
    <n v="80"/>
    <n v="0"/>
    <n v="3"/>
    <n v="2"/>
    <x v="2"/>
    <x v="4"/>
    <n v="2"/>
    <x v="3"/>
    <x v="3"/>
    <x v="1"/>
    <x v="1"/>
    <x v="1"/>
    <n v="0"/>
  </r>
  <r>
    <x v="28"/>
    <x v="1"/>
    <x v="0"/>
    <n v="1234"/>
    <x v="0"/>
    <n v="11"/>
    <x v="0"/>
    <x v="0"/>
    <x v="0"/>
    <n v="1045"/>
    <x v="2"/>
    <x v="0"/>
    <n v="90"/>
    <x v="0"/>
    <x v="3"/>
    <x v="5"/>
    <x v="0"/>
    <x v="1"/>
    <x v="716"/>
    <n v="5404"/>
    <n v="3"/>
    <s v="Y"/>
    <x v="1"/>
    <n v="13"/>
    <x v="0"/>
    <x v="2"/>
    <n v="80"/>
    <n v="1"/>
    <n v="26"/>
    <n v="4"/>
    <x v="3"/>
    <x v="7"/>
    <n v="3"/>
    <x v="1"/>
    <x v="9"/>
    <x v="0"/>
    <x v="0"/>
    <x v="2"/>
    <n v="0"/>
  </r>
  <r>
    <x v="5"/>
    <x v="1"/>
    <x v="2"/>
    <n v="1109"/>
    <x v="1"/>
    <n v="29"/>
    <x v="2"/>
    <x v="2"/>
    <x v="0"/>
    <n v="1046"/>
    <x v="2"/>
    <x v="0"/>
    <n v="69"/>
    <x v="0"/>
    <x v="1"/>
    <x v="2"/>
    <x v="2"/>
    <x v="0"/>
    <x v="717"/>
    <n v="11135"/>
    <n v="9"/>
    <s v="Y"/>
    <x v="1"/>
    <n v="12"/>
    <x v="0"/>
    <x v="2"/>
    <n v="80"/>
    <n v="0"/>
    <n v="10"/>
    <n v="2"/>
    <x v="1"/>
    <x v="3"/>
    <n v="7"/>
    <x v="4"/>
    <x v="1"/>
    <x v="1"/>
    <x v="0"/>
    <x v="1"/>
    <n v="0"/>
  </r>
  <r>
    <x v="13"/>
    <x v="1"/>
    <x v="0"/>
    <n v="216"/>
    <x v="0"/>
    <n v="1"/>
    <x v="2"/>
    <x v="3"/>
    <x v="0"/>
    <n v="1047"/>
    <x v="0"/>
    <x v="1"/>
    <n v="75"/>
    <x v="2"/>
    <x v="0"/>
    <x v="0"/>
    <x v="0"/>
    <x v="2"/>
    <x v="718"/>
    <n v="12278"/>
    <n v="0"/>
    <s v="Y"/>
    <x v="1"/>
    <n v="11"/>
    <x v="0"/>
    <x v="1"/>
    <n v="80"/>
    <n v="1"/>
    <n v="16"/>
    <n v="2"/>
    <x v="2"/>
    <x v="15"/>
    <n v="1"/>
    <x v="0"/>
    <x v="12"/>
    <x v="1"/>
    <x v="3"/>
    <x v="0"/>
    <n v="0"/>
  </r>
  <r>
    <x v="6"/>
    <x v="1"/>
    <x v="0"/>
    <n v="1089"/>
    <x v="0"/>
    <n v="1"/>
    <x v="0"/>
    <x v="4"/>
    <x v="0"/>
    <n v="1048"/>
    <x v="0"/>
    <x v="1"/>
    <n v="66"/>
    <x v="0"/>
    <x v="2"/>
    <x v="5"/>
    <x v="0"/>
    <x v="1"/>
    <x v="719"/>
    <n v="11038"/>
    <n v="3"/>
    <s v="Y"/>
    <x v="0"/>
    <n v="14"/>
    <x v="0"/>
    <x v="3"/>
    <n v="80"/>
    <n v="1"/>
    <n v="14"/>
    <n v="1"/>
    <x v="0"/>
    <x v="0"/>
    <n v="4"/>
    <x v="0"/>
    <x v="10"/>
    <x v="3"/>
    <x v="0"/>
    <x v="3"/>
    <n v="0"/>
  </r>
  <r>
    <x v="28"/>
    <x v="1"/>
    <x v="0"/>
    <n v="788"/>
    <x v="2"/>
    <n v="24"/>
    <x v="2"/>
    <x v="2"/>
    <x v="0"/>
    <n v="1049"/>
    <x v="0"/>
    <x v="1"/>
    <n v="36"/>
    <x v="0"/>
    <x v="1"/>
    <x v="8"/>
    <x v="1"/>
    <x v="0"/>
    <x v="221"/>
    <n v="8318"/>
    <n v="1"/>
    <s v="Y"/>
    <x v="1"/>
    <n v="16"/>
    <x v="0"/>
    <x v="0"/>
    <n v="80"/>
    <n v="0"/>
    <n v="6"/>
    <n v="3"/>
    <x v="1"/>
    <x v="0"/>
    <n v="3"/>
    <x v="0"/>
    <x v="10"/>
    <x v="0"/>
    <x v="0"/>
    <x v="1"/>
    <n v="0"/>
  </r>
  <r>
    <x v="16"/>
    <x v="1"/>
    <x v="1"/>
    <n v="124"/>
    <x v="0"/>
    <n v="2"/>
    <x v="3"/>
    <x v="3"/>
    <x v="0"/>
    <n v="1050"/>
    <x v="1"/>
    <x v="0"/>
    <n v="38"/>
    <x v="1"/>
    <x v="2"/>
    <x v="0"/>
    <x v="1"/>
    <x v="1"/>
    <x v="720"/>
    <n v="23537"/>
    <n v="2"/>
    <s v="Y"/>
    <x v="1"/>
    <n v="12"/>
    <x v="0"/>
    <x v="0"/>
    <n v="80"/>
    <n v="1"/>
    <n v="30"/>
    <n v="2"/>
    <x v="1"/>
    <x v="15"/>
    <n v="7"/>
    <x v="7"/>
    <x v="11"/>
    <x v="3"/>
    <x v="3"/>
    <x v="0"/>
    <n v="0"/>
  </r>
  <r>
    <x v="9"/>
    <x v="0"/>
    <x v="0"/>
    <n v="660"/>
    <x v="1"/>
    <n v="15"/>
    <x v="3"/>
    <x v="1"/>
    <x v="0"/>
    <n v="1052"/>
    <x v="3"/>
    <x v="1"/>
    <n v="81"/>
    <x v="0"/>
    <x v="0"/>
    <x v="2"/>
    <x v="2"/>
    <x v="2"/>
    <x v="721"/>
    <n v="7858"/>
    <n v="7"/>
    <s v="Y"/>
    <x v="1"/>
    <n v="14"/>
    <x v="0"/>
    <x v="2"/>
    <n v="80"/>
    <n v="1"/>
    <n v="9"/>
    <n v="3"/>
    <x v="2"/>
    <x v="6"/>
    <n v="0"/>
    <x v="0"/>
    <x v="2"/>
    <x v="1"/>
    <x v="1"/>
    <x v="1"/>
    <n v="1"/>
  </r>
  <r>
    <x v="25"/>
    <x v="0"/>
    <x v="1"/>
    <n v="342"/>
    <x v="1"/>
    <n v="2"/>
    <x v="3"/>
    <x v="0"/>
    <x v="0"/>
    <n v="1053"/>
    <x v="3"/>
    <x v="1"/>
    <n v="57"/>
    <x v="0"/>
    <x v="1"/>
    <x v="1"/>
    <x v="3"/>
    <x v="1"/>
    <x v="96"/>
    <n v="15346"/>
    <n v="6"/>
    <s v="Y"/>
    <x v="0"/>
    <n v="14"/>
    <x v="0"/>
    <x v="2"/>
    <n v="80"/>
    <n v="1"/>
    <n v="6"/>
    <n v="2"/>
    <x v="1"/>
    <x v="11"/>
    <n v="2"/>
    <x v="1"/>
    <x v="3"/>
    <x v="2"/>
    <x v="2"/>
    <x v="1"/>
    <n v="1"/>
  </r>
  <r>
    <x v="13"/>
    <x v="1"/>
    <x v="0"/>
    <n v="1333"/>
    <x v="0"/>
    <n v="10"/>
    <x v="2"/>
    <x v="0"/>
    <x v="0"/>
    <n v="1055"/>
    <x v="1"/>
    <x v="0"/>
    <n v="87"/>
    <x v="0"/>
    <x v="1"/>
    <x v="6"/>
    <x v="2"/>
    <x v="1"/>
    <x v="722"/>
    <n v="18410"/>
    <n v="1"/>
    <s v="Y"/>
    <x v="0"/>
    <n v="19"/>
    <x v="0"/>
    <x v="1"/>
    <n v="80"/>
    <n v="1"/>
    <n v="1"/>
    <n v="2"/>
    <x v="1"/>
    <x v="6"/>
    <n v="1"/>
    <x v="0"/>
    <x v="2"/>
    <x v="1"/>
    <x v="1"/>
    <x v="1"/>
    <n v="0"/>
  </r>
  <r>
    <x v="14"/>
    <x v="1"/>
    <x v="0"/>
    <n v="1144"/>
    <x v="0"/>
    <n v="10"/>
    <x v="1"/>
    <x v="2"/>
    <x v="0"/>
    <n v="1056"/>
    <x v="2"/>
    <x v="1"/>
    <n v="74"/>
    <x v="0"/>
    <x v="1"/>
    <x v="6"/>
    <x v="1"/>
    <x v="1"/>
    <x v="723"/>
    <n v="23384"/>
    <n v="1"/>
    <s v="Y"/>
    <x v="1"/>
    <n v="22"/>
    <x v="1"/>
    <x v="2"/>
    <n v="80"/>
    <n v="0"/>
    <n v="1"/>
    <n v="5"/>
    <x v="1"/>
    <x v="6"/>
    <n v="0"/>
    <x v="0"/>
    <x v="2"/>
    <x v="2"/>
    <x v="1"/>
    <x v="1"/>
    <n v="0"/>
  </r>
  <r>
    <x v="8"/>
    <x v="1"/>
    <x v="1"/>
    <n v="1186"/>
    <x v="1"/>
    <n v="3"/>
    <x v="2"/>
    <x v="1"/>
    <x v="0"/>
    <n v="1060"/>
    <x v="1"/>
    <x v="1"/>
    <n v="44"/>
    <x v="0"/>
    <x v="1"/>
    <x v="1"/>
    <x v="2"/>
    <x v="1"/>
    <x v="724"/>
    <n v="2997"/>
    <n v="3"/>
    <s v="Y"/>
    <x v="1"/>
    <n v="16"/>
    <x v="0"/>
    <x v="0"/>
    <n v="80"/>
    <n v="1"/>
    <n v="8"/>
    <n v="2"/>
    <x v="1"/>
    <x v="4"/>
    <n v="2"/>
    <x v="3"/>
    <x v="3"/>
    <x v="1"/>
    <x v="1"/>
    <x v="1"/>
    <n v="0"/>
  </r>
  <r>
    <x v="24"/>
    <x v="1"/>
    <x v="0"/>
    <n v="1464"/>
    <x v="1"/>
    <n v="2"/>
    <x v="2"/>
    <x v="2"/>
    <x v="0"/>
    <n v="1061"/>
    <x v="0"/>
    <x v="1"/>
    <n v="62"/>
    <x v="0"/>
    <x v="4"/>
    <x v="7"/>
    <x v="2"/>
    <x v="1"/>
    <x v="725"/>
    <n v="12853"/>
    <n v="2"/>
    <s v="Y"/>
    <x v="0"/>
    <n v="11"/>
    <x v="0"/>
    <x v="1"/>
    <n v="80"/>
    <n v="1"/>
    <n v="29"/>
    <n v="2"/>
    <x v="2"/>
    <x v="3"/>
    <n v="1"/>
    <x v="4"/>
    <x v="1"/>
    <x v="3"/>
    <x v="0"/>
    <x v="2"/>
    <n v="0"/>
  </r>
  <r>
    <x v="2"/>
    <x v="1"/>
    <x v="0"/>
    <n v="124"/>
    <x v="1"/>
    <n v="3"/>
    <x v="3"/>
    <x v="1"/>
    <x v="0"/>
    <n v="1062"/>
    <x v="2"/>
    <x v="0"/>
    <n v="35"/>
    <x v="0"/>
    <x v="0"/>
    <x v="4"/>
    <x v="1"/>
    <x v="0"/>
    <x v="726"/>
    <n v="13848"/>
    <n v="3"/>
    <s v="Y"/>
    <x v="1"/>
    <n v="15"/>
    <x v="0"/>
    <x v="0"/>
    <n v="80"/>
    <n v="0"/>
    <n v="8"/>
    <n v="3"/>
    <x v="2"/>
    <x v="9"/>
    <n v="3"/>
    <x v="0"/>
    <x v="9"/>
    <x v="1"/>
    <x v="2"/>
    <x v="1"/>
    <n v="0"/>
  </r>
  <r>
    <x v="32"/>
    <x v="1"/>
    <x v="0"/>
    <n v="300"/>
    <x v="0"/>
    <n v="26"/>
    <x v="3"/>
    <x v="3"/>
    <x v="0"/>
    <n v="1066"/>
    <x v="1"/>
    <x v="1"/>
    <n v="74"/>
    <x v="0"/>
    <x v="0"/>
    <x v="0"/>
    <x v="3"/>
    <x v="1"/>
    <x v="727"/>
    <n v="22217"/>
    <n v="1"/>
    <s v="Y"/>
    <x v="1"/>
    <n v="14"/>
    <x v="0"/>
    <x v="2"/>
    <n v="80"/>
    <n v="1"/>
    <n v="8"/>
    <n v="3"/>
    <x v="2"/>
    <x v="5"/>
    <n v="7"/>
    <x v="4"/>
    <x v="0"/>
    <x v="0"/>
    <x v="0"/>
    <x v="0"/>
    <n v="0"/>
  </r>
  <r>
    <x v="25"/>
    <x v="1"/>
    <x v="1"/>
    <n v="921"/>
    <x v="1"/>
    <n v="1"/>
    <x v="1"/>
    <x v="2"/>
    <x v="0"/>
    <n v="1068"/>
    <x v="3"/>
    <x v="0"/>
    <n v="66"/>
    <x v="1"/>
    <x v="1"/>
    <x v="1"/>
    <x v="2"/>
    <x v="2"/>
    <x v="728"/>
    <n v="25265"/>
    <n v="1"/>
    <s v="Y"/>
    <x v="1"/>
    <n v="13"/>
    <x v="0"/>
    <x v="3"/>
    <n v="80"/>
    <n v="2"/>
    <n v="5"/>
    <n v="5"/>
    <x v="1"/>
    <x v="8"/>
    <n v="3"/>
    <x v="1"/>
    <x v="6"/>
    <x v="2"/>
    <x v="2"/>
    <x v="1"/>
    <n v="0"/>
  </r>
  <r>
    <x v="21"/>
    <x v="1"/>
    <x v="0"/>
    <n v="430"/>
    <x v="1"/>
    <n v="1"/>
    <x v="2"/>
    <x v="2"/>
    <x v="0"/>
    <n v="1069"/>
    <x v="2"/>
    <x v="1"/>
    <n v="40"/>
    <x v="0"/>
    <x v="4"/>
    <x v="7"/>
    <x v="0"/>
    <x v="2"/>
    <x v="729"/>
    <n v="21445"/>
    <n v="9"/>
    <s v="Y"/>
    <x v="1"/>
    <n v="17"/>
    <x v="0"/>
    <x v="1"/>
    <n v="80"/>
    <n v="2"/>
    <n v="23"/>
    <n v="0"/>
    <x v="1"/>
    <x v="4"/>
    <n v="2"/>
    <x v="3"/>
    <x v="3"/>
    <x v="0"/>
    <x v="1"/>
    <x v="2"/>
    <n v="0"/>
  </r>
  <r>
    <x v="33"/>
    <x v="1"/>
    <x v="0"/>
    <n v="1082"/>
    <x v="0"/>
    <n v="2"/>
    <x v="2"/>
    <x v="0"/>
    <x v="0"/>
    <n v="1070"/>
    <x v="1"/>
    <x v="0"/>
    <n v="41"/>
    <x v="1"/>
    <x v="2"/>
    <x v="0"/>
    <x v="2"/>
    <x v="1"/>
    <x v="730"/>
    <n v="8392"/>
    <n v="6"/>
    <s v="Y"/>
    <x v="1"/>
    <n v="11"/>
    <x v="0"/>
    <x v="2"/>
    <n v="80"/>
    <n v="1"/>
    <n v="13"/>
    <n v="4"/>
    <x v="1"/>
    <x v="7"/>
    <n v="4"/>
    <x v="4"/>
    <x v="2"/>
    <x v="3"/>
    <x v="0"/>
    <x v="3"/>
    <n v="0"/>
  </r>
  <r>
    <x v="29"/>
    <x v="1"/>
    <x v="1"/>
    <n v="1240"/>
    <x v="1"/>
    <n v="9"/>
    <x v="3"/>
    <x v="2"/>
    <x v="0"/>
    <n v="1071"/>
    <x v="3"/>
    <x v="0"/>
    <n v="63"/>
    <x v="0"/>
    <x v="1"/>
    <x v="1"/>
    <x v="2"/>
    <x v="1"/>
    <x v="131"/>
    <n v="12154"/>
    <n v="2"/>
    <s v="Y"/>
    <x v="1"/>
    <n v="19"/>
    <x v="0"/>
    <x v="2"/>
    <n v="80"/>
    <n v="1"/>
    <n v="18"/>
    <n v="4"/>
    <x v="1"/>
    <x v="8"/>
    <n v="4"/>
    <x v="0"/>
    <x v="6"/>
    <x v="3"/>
    <x v="2"/>
    <x v="1"/>
    <n v="0"/>
  </r>
  <r>
    <x v="9"/>
    <x v="1"/>
    <x v="0"/>
    <n v="796"/>
    <x v="1"/>
    <n v="12"/>
    <x v="4"/>
    <x v="2"/>
    <x v="0"/>
    <n v="1073"/>
    <x v="2"/>
    <x v="0"/>
    <n v="51"/>
    <x v="1"/>
    <x v="2"/>
    <x v="3"/>
    <x v="0"/>
    <x v="0"/>
    <x v="731"/>
    <n v="15669"/>
    <n v="0"/>
    <s v="Y"/>
    <x v="1"/>
    <n v="11"/>
    <x v="0"/>
    <x v="2"/>
    <n v="80"/>
    <n v="0"/>
    <n v="15"/>
    <n v="2"/>
    <x v="2"/>
    <x v="13"/>
    <n v="8"/>
    <x v="4"/>
    <x v="5"/>
    <x v="1"/>
    <x v="3"/>
    <x v="0"/>
    <n v="0"/>
  </r>
  <r>
    <x v="27"/>
    <x v="1"/>
    <x v="2"/>
    <n v="444"/>
    <x v="1"/>
    <n v="2"/>
    <x v="1"/>
    <x v="2"/>
    <x v="0"/>
    <n v="1074"/>
    <x v="1"/>
    <x v="1"/>
    <n v="40"/>
    <x v="1"/>
    <x v="3"/>
    <x v="5"/>
    <x v="3"/>
    <x v="0"/>
    <x v="732"/>
    <n v="17323"/>
    <n v="7"/>
    <s v="Y"/>
    <x v="1"/>
    <n v="15"/>
    <x v="0"/>
    <x v="2"/>
    <n v="80"/>
    <n v="0"/>
    <n v="31"/>
    <n v="3"/>
    <x v="3"/>
    <x v="7"/>
    <n v="7"/>
    <x v="7"/>
    <x v="3"/>
    <x v="3"/>
    <x v="0"/>
    <x v="2"/>
    <n v="0"/>
  </r>
  <r>
    <x v="23"/>
    <x v="1"/>
    <x v="0"/>
    <n v="415"/>
    <x v="0"/>
    <n v="25"/>
    <x v="3"/>
    <x v="2"/>
    <x v="0"/>
    <n v="1076"/>
    <x v="1"/>
    <x v="1"/>
    <n v="79"/>
    <x v="1"/>
    <x v="2"/>
    <x v="0"/>
    <x v="0"/>
    <x v="2"/>
    <x v="733"/>
    <n v="5268"/>
    <n v="5"/>
    <s v="Y"/>
    <x v="1"/>
    <n v="13"/>
    <x v="0"/>
    <x v="3"/>
    <n v="80"/>
    <n v="1"/>
    <n v="18"/>
    <n v="5"/>
    <x v="1"/>
    <x v="6"/>
    <n v="0"/>
    <x v="0"/>
    <x v="2"/>
    <x v="0"/>
    <x v="1"/>
    <x v="3"/>
    <n v="0"/>
  </r>
  <r>
    <x v="35"/>
    <x v="0"/>
    <x v="1"/>
    <n v="769"/>
    <x v="0"/>
    <n v="9"/>
    <x v="3"/>
    <x v="3"/>
    <x v="0"/>
    <n v="1077"/>
    <x v="2"/>
    <x v="0"/>
    <n v="54"/>
    <x v="0"/>
    <x v="1"/>
    <x v="6"/>
    <x v="0"/>
    <x v="0"/>
    <x v="157"/>
    <n v="17205"/>
    <n v="1"/>
    <s v="Y"/>
    <x v="0"/>
    <n v="14"/>
    <x v="0"/>
    <x v="2"/>
    <n v="80"/>
    <n v="0"/>
    <n v="2"/>
    <n v="3"/>
    <x v="1"/>
    <x v="4"/>
    <n v="2"/>
    <x v="0"/>
    <x v="3"/>
    <x v="2"/>
    <x v="1"/>
    <x v="1"/>
    <n v="1"/>
  </r>
  <r>
    <x v="18"/>
    <x v="0"/>
    <x v="0"/>
    <n v="1334"/>
    <x v="1"/>
    <n v="10"/>
    <x v="3"/>
    <x v="0"/>
    <x v="0"/>
    <n v="1079"/>
    <x v="1"/>
    <x v="0"/>
    <n v="36"/>
    <x v="1"/>
    <x v="1"/>
    <x v="2"/>
    <x v="3"/>
    <x v="0"/>
    <x v="734"/>
    <n v="17258"/>
    <n v="1"/>
    <s v="Y"/>
    <x v="1"/>
    <n v="13"/>
    <x v="0"/>
    <x v="0"/>
    <n v="80"/>
    <n v="0"/>
    <n v="1"/>
    <n v="6"/>
    <x v="2"/>
    <x v="6"/>
    <n v="0"/>
    <x v="1"/>
    <x v="2"/>
    <x v="2"/>
    <x v="1"/>
    <x v="1"/>
    <n v="1"/>
  </r>
  <r>
    <x v="21"/>
    <x v="1"/>
    <x v="0"/>
    <n v="1003"/>
    <x v="1"/>
    <n v="8"/>
    <x v="2"/>
    <x v="0"/>
    <x v="0"/>
    <n v="1080"/>
    <x v="2"/>
    <x v="0"/>
    <n v="74"/>
    <x v="1"/>
    <x v="0"/>
    <x v="1"/>
    <x v="3"/>
    <x v="2"/>
    <x v="735"/>
    <n v="21029"/>
    <n v="8"/>
    <s v="Y"/>
    <x v="0"/>
    <n v="23"/>
    <x v="1"/>
    <x v="0"/>
    <n v="80"/>
    <n v="3"/>
    <n v="19"/>
    <n v="2"/>
    <x v="1"/>
    <x v="22"/>
    <n v="13"/>
    <x v="1"/>
    <x v="1"/>
    <x v="0"/>
    <x v="3"/>
    <x v="1"/>
    <n v="0"/>
  </r>
  <r>
    <x v="31"/>
    <x v="0"/>
    <x v="0"/>
    <n v="1323"/>
    <x v="1"/>
    <n v="4"/>
    <x v="2"/>
    <x v="0"/>
    <x v="0"/>
    <n v="1081"/>
    <x v="3"/>
    <x v="1"/>
    <n v="34"/>
    <x v="0"/>
    <x v="1"/>
    <x v="1"/>
    <x v="2"/>
    <x v="1"/>
    <x v="736"/>
    <n v="10332"/>
    <n v="9"/>
    <s v="Y"/>
    <x v="0"/>
    <n v="12"/>
    <x v="0"/>
    <x v="3"/>
    <n v="80"/>
    <n v="3"/>
    <n v="18"/>
    <n v="2"/>
    <x v="3"/>
    <x v="1"/>
    <n v="0"/>
    <x v="3"/>
    <x v="1"/>
    <x v="3"/>
    <x v="0"/>
    <x v="1"/>
    <n v="1"/>
  </r>
  <r>
    <x v="14"/>
    <x v="0"/>
    <x v="2"/>
    <n v="1366"/>
    <x v="1"/>
    <n v="24"/>
    <x v="0"/>
    <x v="4"/>
    <x v="0"/>
    <n v="1082"/>
    <x v="0"/>
    <x v="1"/>
    <n v="72"/>
    <x v="1"/>
    <x v="2"/>
    <x v="4"/>
    <x v="3"/>
    <x v="0"/>
    <x v="737"/>
    <n v="12355"/>
    <n v="1"/>
    <s v="Y"/>
    <x v="1"/>
    <n v="12"/>
    <x v="0"/>
    <x v="0"/>
    <n v="80"/>
    <n v="0"/>
    <n v="10"/>
    <n v="2"/>
    <x v="2"/>
    <x v="1"/>
    <n v="7"/>
    <x v="1"/>
    <x v="12"/>
    <x v="2"/>
    <x v="0"/>
    <x v="0"/>
    <n v="1"/>
  </r>
  <r>
    <x v="25"/>
    <x v="1"/>
    <x v="0"/>
    <n v="192"/>
    <x v="1"/>
    <n v="1"/>
    <x v="0"/>
    <x v="2"/>
    <x v="0"/>
    <n v="1083"/>
    <x v="3"/>
    <x v="1"/>
    <n v="59"/>
    <x v="1"/>
    <x v="1"/>
    <x v="2"/>
    <x v="3"/>
    <x v="1"/>
    <x v="738"/>
    <n v="11141"/>
    <n v="1"/>
    <s v="Y"/>
    <x v="1"/>
    <n v="16"/>
    <x v="0"/>
    <x v="0"/>
    <n v="80"/>
    <n v="2"/>
    <n v="6"/>
    <n v="2"/>
    <x v="1"/>
    <x v="8"/>
    <n v="3"/>
    <x v="1"/>
    <x v="6"/>
    <x v="2"/>
    <x v="2"/>
    <x v="1"/>
    <n v="0"/>
  </r>
  <r>
    <x v="7"/>
    <x v="1"/>
    <x v="0"/>
    <n v="1176"/>
    <x v="1"/>
    <n v="20"/>
    <x v="3"/>
    <x v="1"/>
    <x v="0"/>
    <n v="1084"/>
    <x v="1"/>
    <x v="1"/>
    <n v="85"/>
    <x v="0"/>
    <x v="0"/>
    <x v="3"/>
    <x v="3"/>
    <x v="1"/>
    <x v="739"/>
    <n v="9096"/>
    <n v="0"/>
    <s v="Y"/>
    <x v="1"/>
    <n v="15"/>
    <x v="0"/>
    <x v="3"/>
    <n v="80"/>
    <n v="1"/>
    <n v="7"/>
    <n v="1"/>
    <x v="2"/>
    <x v="0"/>
    <n v="2"/>
    <x v="0"/>
    <x v="3"/>
    <x v="1"/>
    <x v="0"/>
    <x v="0"/>
    <n v="0"/>
  </r>
  <r>
    <x v="0"/>
    <x v="1"/>
    <x v="0"/>
    <n v="509"/>
    <x v="1"/>
    <n v="7"/>
    <x v="0"/>
    <x v="4"/>
    <x v="0"/>
    <n v="1085"/>
    <x v="0"/>
    <x v="0"/>
    <n v="43"/>
    <x v="2"/>
    <x v="1"/>
    <x v="1"/>
    <x v="2"/>
    <x v="1"/>
    <x v="740"/>
    <n v="18863"/>
    <n v="1"/>
    <s v="Y"/>
    <x v="1"/>
    <n v="13"/>
    <x v="0"/>
    <x v="3"/>
    <n v="80"/>
    <n v="0"/>
    <n v="10"/>
    <n v="3"/>
    <x v="1"/>
    <x v="1"/>
    <n v="6"/>
    <x v="0"/>
    <x v="5"/>
    <x v="0"/>
    <x v="0"/>
    <x v="1"/>
    <n v="0"/>
  </r>
  <r>
    <x v="8"/>
    <x v="1"/>
    <x v="0"/>
    <n v="330"/>
    <x v="1"/>
    <n v="17"/>
    <x v="1"/>
    <x v="0"/>
    <x v="0"/>
    <n v="1088"/>
    <x v="1"/>
    <x v="0"/>
    <n v="65"/>
    <x v="1"/>
    <x v="2"/>
    <x v="4"/>
    <x v="2"/>
    <x v="1"/>
    <x v="741"/>
    <n v="24608"/>
    <n v="0"/>
    <s v="Y"/>
    <x v="1"/>
    <n v="18"/>
    <x v="0"/>
    <x v="0"/>
    <n v="80"/>
    <n v="1"/>
    <n v="20"/>
    <n v="4"/>
    <x v="2"/>
    <x v="27"/>
    <n v="9"/>
    <x v="1"/>
    <x v="12"/>
    <x v="1"/>
    <x v="3"/>
    <x v="0"/>
    <n v="0"/>
  </r>
  <r>
    <x v="32"/>
    <x v="1"/>
    <x v="0"/>
    <n v="1492"/>
    <x v="1"/>
    <n v="20"/>
    <x v="2"/>
    <x v="4"/>
    <x v="0"/>
    <n v="1092"/>
    <x v="3"/>
    <x v="1"/>
    <n v="61"/>
    <x v="0"/>
    <x v="2"/>
    <x v="4"/>
    <x v="0"/>
    <x v="1"/>
    <x v="742"/>
    <n v="26542"/>
    <n v="4"/>
    <s v="Y"/>
    <x v="1"/>
    <n v="20"/>
    <x v="1"/>
    <x v="1"/>
    <n v="80"/>
    <n v="1"/>
    <n v="14"/>
    <n v="6"/>
    <x v="1"/>
    <x v="19"/>
    <n v="10"/>
    <x v="14"/>
    <x v="9"/>
    <x v="0"/>
    <x v="3"/>
    <x v="3"/>
    <n v="0"/>
  </r>
  <r>
    <x v="4"/>
    <x v="1"/>
    <x v="2"/>
    <n v="1277"/>
    <x v="1"/>
    <n v="8"/>
    <x v="4"/>
    <x v="0"/>
    <x v="0"/>
    <n v="1094"/>
    <x v="3"/>
    <x v="1"/>
    <n v="87"/>
    <x v="3"/>
    <x v="1"/>
    <x v="2"/>
    <x v="2"/>
    <x v="1"/>
    <x v="743"/>
    <n v="5869"/>
    <n v="1"/>
    <s v="Y"/>
    <x v="1"/>
    <n v="19"/>
    <x v="0"/>
    <x v="1"/>
    <n v="80"/>
    <n v="3"/>
    <n v="3"/>
    <n v="4"/>
    <x v="1"/>
    <x v="11"/>
    <n v="2"/>
    <x v="1"/>
    <x v="3"/>
    <x v="2"/>
    <x v="2"/>
    <x v="1"/>
    <n v="0"/>
  </r>
  <r>
    <x v="27"/>
    <x v="1"/>
    <x v="1"/>
    <n v="1091"/>
    <x v="1"/>
    <n v="2"/>
    <x v="1"/>
    <x v="0"/>
    <x v="0"/>
    <n v="1096"/>
    <x v="2"/>
    <x v="1"/>
    <n v="65"/>
    <x v="0"/>
    <x v="2"/>
    <x v="3"/>
    <x v="1"/>
    <x v="1"/>
    <x v="744"/>
    <n v="15813"/>
    <n v="3"/>
    <s v="Y"/>
    <x v="1"/>
    <n v="18"/>
    <x v="0"/>
    <x v="2"/>
    <n v="80"/>
    <n v="1"/>
    <n v="23"/>
    <n v="4"/>
    <x v="1"/>
    <x v="11"/>
    <n v="2"/>
    <x v="1"/>
    <x v="3"/>
    <x v="3"/>
    <x v="2"/>
    <x v="3"/>
    <n v="0"/>
  </r>
  <r>
    <x v="14"/>
    <x v="1"/>
    <x v="0"/>
    <n v="857"/>
    <x v="1"/>
    <n v="10"/>
    <x v="3"/>
    <x v="1"/>
    <x v="0"/>
    <n v="1097"/>
    <x v="1"/>
    <x v="0"/>
    <n v="59"/>
    <x v="0"/>
    <x v="0"/>
    <x v="1"/>
    <x v="2"/>
    <x v="0"/>
    <x v="745"/>
    <n v="7909"/>
    <n v="3"/>
    <s v="Y"/>
    <x v="1"/>
    <n v="13"/>
    <x v="0"/>
    <x v="1"/>
    <n v="80"/>
    <n v="0"/>
    <n v="10"/>
    <n v="4"/>
    <x v="3"/>
    <x v="3"/>
    <n v="7"/>
    <x v="1"/>
    <x v="1"/>
    <x v="2"/>
    <x v="0"/>
    <x v="1"/>
    <n v="0"/>
  </r>
  <r>
    <x v="20"/>
    <x v="0"/>
    <x v="0"/>
    <n v="1376"/>
    <x v="2"/>
    <n v="1"/>
    <x v="0"/>
    <x v="2"/>
    <x v="0"/>
    <n v="1098"/>
    <x v="0"/>
    <x v="1"/>
    <n v="91"/>
    <x v="1"/>
    <x v="2"/>
    <x v="8"/>
    <x v="3"/>
    <x v="1"/>
    <x v="746"/>
    <n v="2326"/>
    <n v="9"/>
    <s v="Y"/>
    <x v="1"/>
    <n v="14"/>
    <x v="0"/>
    <x v="1"/>
    <n v="80"/>
    <n v="1"/>
    <n v="24"/>
    <n v="1"/>
    <x v="1"/>
    <x v="23"/>
    <n v="6"/>
    <x v="2"/>
    <x v="4"/>
    <x v="0"/>
    <x v="3"/>
    <x v="3"/>
    <n v="1"/>
  </r>
  <r>
    <x v="3"/>
    <x v="1"/>
    <x v="0"/>
    <n v="654"/>
    <x v="1"/>
    <n v="5"/>
    <x v="3"/>
    <x v="0"/>
    <x v="0"/>
    <n v="1099"/>
    <x v="2"/>
    <x v="1"/>
    <n v="34"/>
    <x v="1"/>
    <x v="2"/>
    <x v="4"/>
    <x v="0"/>
    <x v="2"/>
    <x v="747"/>
    <n v="21214"/>
    <n v="4"/>
    <s v="Y"/>
    <x v="1"/>
    <n v="15"/>
    <x v="0"/>
    <x v="3"/>
    <n v="80"/>
    <n v="1"/>
    <n v="9"/>
    <n v="2"/>
    <x v="1"/>
    <x v="11"/>
    <n v="2"/>
    <x v="1"/>
    <x v="3"/>
    <x v="1"/>
    <x v="2"/>
    <x v="0"/>
    <n v="0"/>
  </r>
  <r>
    <x v="10"/>
    <x v="0"/>
    <x v="0"/>
    <n v="1204"/>
    <x v="0"/>
    <n v="4"/>
    <x v="3"/>
    <x v="4"/>
    <x v="0"/>
    <n v="1100"/>
    <x v="2"/>
    <x v="1"/>
    <n v="86"/>
    <x v="0"/>
    <x v="2"/>
    <x v="0"/>
    <x v="3"/>
    <x v="0"/>
    <x v="748"/>
    <n v="10333"/>
    <n v="0"/>
    <s v="Y"/>
    <x v="0"/>
    <n v="22"/>
    <x v="1"/>
    <x v="0"/>
    <n v="80"/>
    <n v="0"/>
    <n v="9"/>
    <n v="2"/>
    <x v="1"/>
    <x v="3"/>
    <n v="7"/>
    <x v="5"/>
    <x v="1"/>
    <x v="1"/>
    <x v="0"/>
    <x v="0"/>
    <n v="1"/>
  </r>
  <r>
    <x v="3"/>
    <x v="0"/>
    <x v="1"/>
    <n v="827"/>
    <x v="1"/>
    <n v="29"/>
    <x v="2"/>
    <x v="2"/>
    <x v="0"/>
    <n v="1101"/>
    <x v="3"/>
    <x v="0"/>
    <n v="54"/>
    <x v="1"/>
    <x v="0"/>
    <x v="1"/>
    <x v="2"/>
    <x v="0"/>
    <x v="749"/>
    <n v="3129"/>
    <n v="1"/>
    <s v="Y"/>
    <x v="1"/>
    <n v="22"/>
    <x v="1"/>
    <x v="2"/>
    <n v="80"/>
    <n v="0"/>
    <n v="14"/>
    <n v="4"/>
    <x v="1"/>
    <x v="20"/>
    <n v="7"/>
    <x v="2"/>
    <x v="5"/>
    <x v="1"/>
    <x v="3"/>
    <x v="1"/>
    <n v="1"/>
  </r>
  <r>
    <x v="14"/>
    <x v="1"/>
    <x v="0"/>
    <n v="895"/>
    <x v="1"/>
    <n v="15"/>
    <x v="0"/>
    <x v="0"/>
    <x v="0"/>
    <n v="1102"/>
    <x v="3"/>
    <x v="1"/>
    <n v="50"/>
    <x v="0"/>
    <x v="1"/>
    <x v="2"/>
    <x v="2"/>
    <x v="2"/>
    <x v="750"/>
    <n v="22482"/>
    <n v="1"/>
    <s v="Y"/>
    <x v="1"/>
    <n v="16"/>
    <x v="0"/>
    <x v="1"/>
    <n v="80"/>
    <n v="1"/>
    <n v="4"/>
    <n v="5"/>
    <x v="2"/>
    <x v="9"/>
    <n v="2"/>
    <x v="3"/>
    <x v="3"/>
    <x v="2"/>
    <x v="2"/>
    <x v="1"/>
    <n v="0"/>
  </r>
  <r>
    <x v="13"/>
    <x v="1"/>
    <x v="1"/>
    <n v="618"/>
    <x v="1"/>
    <n v="3"/>
    <x v="1"/>
    <x v="0"/>
    <x v="0"/>
    <n v="1103"/>
    <x v="3"/>
    <x v="1"/>
    <n v="45"/>
    <x v="0"/>
    <x v="0"/>
    <x v="4"/>
    <x v="0"/>
    <x v="0"/>
    <x v="751"/>
    <n v="22266"/>
    <n v="0"/>
    <s v="Y"/>
    <x v="1"/>
    <n v="17"/>
    <x v="0"/>
    <x v="3"/>
    <n v="80"/>
    <n v="0"/>
    <n v="7"/>
    <n v="1"/>
    <x v="2"/>
    <x v="0"/>
    <n v="2"/>
    <x v="0"/>
    <x v="10"/>
    <x v="1"/>
    <x v="0"/>
    <x v="0"/>
    <n v="0"/>
  </r>
  <r>
    <x v="2"/>
    <x v="1"/>
    <x v="0"/>
    <n v="309"/>
    <x v="0"/>
    <n v="10"/>
    <x v="2"/>
    <x v="0"/>
    <x v="0"/>
    <n v="1105"/>
    <x v="2"/>
    <x v="0"/>
    <n v="88"/>
    <x v="1"/>
    <x v="0"/>
    <x v="0"/>
    <x v="0"/>
    <x v="2"/>
    <x v="752"/>
    <n v="24223"/>
    <n v="2"/>
    <s v="Y"/>
    <x v="0"/>
    <n v="14"/>
    <x v="0"/>
    <x v="3"/>
    <n v="80"/>
    <n v="3"/>
    <n v="8"/>
    <n v="5"/>
    <x v="1"/>
    <x v="6"/>
    <n v="0"/>
    <x v="0"/>
    <x v="2"/>
    <x v="1"/>
    <x v="1"/>
    <x v="0"/>
    <n v="0"/>
  </r>
  <r>
    <x v="36"/>
    <x v="0"/>
    <x v="0"/>
    <n v="1219"/>
    <x v="1"/>
    <n v="4"/>
    <x v="1"/>
    <x v="4"/>
    <x v="0"/>
    <n v="1106"/>
    <x v="2"/>
    <x v="1"/>
    <n v="32"/>
    <x v="0"/>
    <x v="1"/>
    <x v="2"/>
    <x v="0"/>
    <x v="1"/>
    <x v="753"/>
    <n v="4605"/>
    <n v="1"/>
    <s v="Y"/>
    <x v="0"/>
    <n v="15"/>
    <x v="0"/>
    <x v="2"/>
    <n v="80"/>
    <n v="1"/>
    <n v="7"/>
    <n v="3"/>
    <x v="3"/>
    <x v="5"/>
    <n v="7"/>
    <x v="8"/>
    <x v="4"/>
    <x v="2"/>
    <x v="0"/>
    <x v="1"/>
    <n v="1"/>
  </r>
  <r>
    <x v="25"/>
    <x v="0"/>
    <x v="0"/>
    <n v="1330"/>
    <x v="1"/>
    <n v="21"/>
    <x v="3"/>
    <x v="2"/>
    <x v="0"/>
    <n v="1107"/>
    <x v="3"/>
    <x v="1"/>
    <n v="37"/>
    <x v="0"/>
    <x v="1"/>
    <x v="2"/>
    <x v="2"/>
    <x v="2"/>
    <x v="638"/>
    <n v="19373"/>
    <n v="1"/>
    <s v="Y"/>
    <x v="1"/>
    <n v="20"/>
    <x v="1"/>
    <x v="3"/>
    <n v="80"/>
    <n v="1"/>
    <n v="1"/>
    <n v="0"/>
    <x v="2"/>
    <x v="6"/>
    <n v="1"/>
    <x v="0"/>
    <x v="2"/>
    <x v="2"/>
    <x v="1"/>
    <x v="1"/>
    <n v="1"/>
  </r>
  <r>
    <x v="3"/>
    <x v="0"/>
    <x v="0"/>
    <n v="1017"/>
    <x v="1"/>
    <n v="25"/>
    <x v="3"/>
    <x v="2"/>
    <x v="0"/>
    <n v="1108"/>
    <x v="3"/>
    <x v="1"/>
    <n v="55"/>
    <x v="1"/>
    <x v="1"/>
    <x v="1"/>
    <x v="1"/>
    <x v="0"/>
    <x v="754"/>
    <n v="2993"/>
    <n v="4"/>
    <s v="Y"/>
    <x v="0"/>
    <n v="20"/>
    <x v="1"/>
    <x v="2"/>
    <n v="80"/>
    <n v="0"/>
    <n v="5"/>
    <n v="0"/>
    <x v="1"/>
    <x v="4"/>
    <n v="2"/>
    <x v="3"/>
    <x v="3"/>
    <x v="1"/>
    <x v="1"/>
    <x v="1"/>
    <n v="1"/>
  </r>
  <r>
    <x v="19"/>
    <x v="1"/>
    <x v="0"/>
    <n v="469"/>
    <x v="1"/>
    <n v="2"/>
    <x v="0"/>
    <x v="2"/>
    <x v="0"/>
    <n v="1109"/>
    <x v="2"/>
    <x v="1"/>
    <n v="35"/>
    <x v="0"/>
    <x v="3"/>
    <x v="5"/>
    <x v="3"/>
    <x v="1"/>
    <x v="755"/>
    <n v="14399"/>
    <n v="0"/>
    <s v="Y"/>
    <x v="1"/>
    <n v="17"/>
    <x v="0"/>
    <x v="1"/>
    <n v="80"/>
    <n v="1"/>
    <n v="23"/>
    <n v="3"/>
    <x v="1"/>
    <x v="14"/>
    <n v="6"/>
    <x v="11"/>
    <x v="1"/>
    <x v="0"/>
    <x v="3"/>
    <x v="2"/>
    <n v="0"/>
  </r>
  <r>
    <x v="14"/>
    <x v="0"/>
    <x v="1"/>
    <n v="1009"/>
    <x v="1"/>
    <n v="1"/>
    <x v="3"/>
    <x v="2"/>
    <x v="0"/>
    <n v="1111"/>
    <x v="3"/>
    <x v="1"/>
    <n v="45"/>
    <x v="1"/>
    <x v="1"/>
    <x v="2"/>
    <x v="1"/>
    <x v="2"/>
    <x v="756"/>
    <n v="7160"/>
    <n v="1"/>
    <s v="Y"/>
    <x v="1"/>
    <n v="15"/>
    <x v="0"/>
    <x v="0"/>
    <n v="80"/>
    <n v="2"/>
    <n v="1"/>
    <n v="2"/>
    <x v="1"/>
    <x v="6"/>
    <n v="0"/>
    <x v="0"/>
    <x v="2"/>
    <x v="2"/>
    <x v="1"/>
    <x v="1"/>
    <n v="1"/>
  </r>
  <r>
    <x v="24"/>
    <x v="0"/>
    <x v="1"/>
    <n v="959"/>
    <x v="0"/>
    <n v="1"/>
    <x v="2"/>
    <x v="1"/>
    <x v="0"/>
    <n v="1113"/>
    <x v="2"/>
    <x v="1"/>
    <n v="81"/>
    <x v="0"/>
    <x v="0"/>
    <x v="0"/>
    <x v="2"/>
    <x v="0"/>
    <x v="757"/>
    <n v="17251"/>
    <n v="3"/>
    <s v="Y"/>
    <x v="0"/>
    <n v="14"/>
    <x v="0"/>
    <x v="1"/>
    <n v="80"/>
    <n v="0"/>
    <n v="5"/>
    <n v="4"/>
    <x v="1"/>
    <x v="2"/>
    <n v="0"/>
    <x v="0"/>
    <x v="2"/>
    <x v="3"/>
    <x v="1"/>
    <x v="1"/>
    <n v="1"/>
  </r>
  <r>
    <x v="3"/>
    <x v="1"/>
    <x v="1"/>
    <n v="970"/>
    <x v="0"/>
    <n v="7"/>
    <x v="3"/>
    <x v="0"/>
    <x v="0"/>
    <n v="1114"/>
    <x v="2"/>
    <x v="0"/>
    <n v="30"/>
    <x v="0"/>
    <x v="0"/>
    <x v="0"/>
    <x v="1"/>
    <x v="1"/>
    <x v="758"/>
    <n v="13401"/>
    <n v="0"/>
    <s v="Y"/>
    <x v="1"/>
    <n v="17"/>
    <x v="0"/>
    <x v="3"/>
    <n v="80"/>
    <n v="1"/>
    <n v="4"/>
    <n v="3"/>
    <x v="1"/>
    <x v="11"/>
    <n v="2"/>
    <x v="0"/>
    <x v="3"/>
    <x v="1"/>
    <x v="2"/>
    <x v="1"/>
    <n v="0"/>
  </r>
  <r>
    <x v="13"/>
    <x v="1"/>
    <x v="2"/>
    <n v="697"/>
    <x v="1"/>
    <n v="3"/>
    <x v="2"/>
    <x v="0"/>
    <x v="0"/>
    <n v="1115"/>
    <x v="1"/>
    <x v="1"/>
    <n v="40"/>
    <x v="1"/>
    <x v="1"/>
    <x v="1"/>
    <x v="0"/>
    <x v="1"/>
    <x v="759"/>
    <n v="22478"/>
    <n v="3"/>
    <s v="Y"/>
    <x v="1"/>
    <n v="17"/>
    <x v="0"/>
    <x v="1"/>
    <n v="80"/>
    <n v="3"/>
    <n v="6"/>
    <n v="2"/>
    <x v="1"/>
    <x v="2"/>
    <n v="0"/>
    <x v="0"/>
    <x v="2"/>
    <x v="1"/>
    <x v="1"/>
    <x v="1"/>
    <n v="0"/>
  </r>
  <r>
    <x v="26"/>
    <x v="1"/>
    <x v="2"/>
    <n v="1262"/>
    <x v="1"/>
    <n v="1"/>
    <x v="2"/>
    <x v="2"/>
    <x v="0"/>
    <n v="1116"/>
    <x v="3"/>
    <x v="1"/>
    <n v="35"/>
    <x v="2"/>
    <x v="3"/>
    <x v="5"/>
    <x v="0"/>
    <x v="0"/>
    <x v="760"/>
    <n v="16154"/>
    <n v="2"/>
    <s v="Y"/>
    <x v="1"/>
    <n v="22"/>
    <x v="1"/>
    <x v="3"/>
    <n v="80"/>
    <n v="0"/>
    <n v="27"/>
    <n v="3"/>
    <x v="2"/>
    <x v="8"/>
    <n v="4"/>
    <x v="3"/>
    <x v="9"/>
    <x v="0"/>
    <x v="2"/>
    <x v="2"/>
    <n v="0"/>
  </r>
  <r>
    <x v="28"/>
    <x v="1"/>
    <x v="2"/>
    <n v="1050"/>
    <x v="0"/>
    <n v="9"/>
    <x v="2"/>
    <x v="0"/>
    <x v="0"/>
    <n v="1117"/>
    <x v="0"/>
    <x v="0"/>
    <n v="65"/>
    <x v="1"/>
    <x v="0"/>
    <x v="0"/>
    <x v="2"/>
    <x v="1"/>
    <x v="761"/>
    <n v="17970"/>
    <n v="1"/>
    <s v="Y"/>
    <x v="1"/>
    <n v="13"/>
    <x v="0"/>
    <x v="1"/>
    <n v="80"/>
    <n v="1"/>
    <n v="15"/>
    <n v="2"/>
    <x v="1"/>
    <x v="15"/>
    <n v="10"/>
    <x v="5"/>
    <x v="11"/>
    <x v="0"/>
    <x v="3"/>
    <x v="0"/>
    <n v="0"/>
  </r>
  <r>
    <x v="39"/>
    <x v="1"/>
    <x v="0"/>
    <n v="994"/>
    <x v="1"/>
    <n v="7"/>
    <x v="2"/>
    <x v="0"/>
    <x v="0"/>
    <n v="1118"/>
    <x v="0"/>
    <x v="1"/>
    <n v="87"/>
    <x v="0"/>
    <x v="2"/>
    <x v="4"/>
    <x v="1"/>
    <x v="0"/>
    <x v="762"/>
    <n v="15322"/>
    <n v="7"/>
    <s v="Y"/>
    <x v="1"/>
    <n v="19"/>
    <x v="0"/>
    <x v="1"/>
    <n v="80"/>
    <n v="0"/>
    <n v="18"/>
    <n v="4"/>
    <x v="1"/>
    <x v="3"/>
    <n v="6"/>
    <x v="5"/>
    <x v="2"/>
    <x v="3"/>
    <x v="0"/>
    <x v="3"/>
    <n v="0"/>
  </r>
  <r>
    <x v="8"/>
    <x v="1"/>
    <x v="0"/>
    <n v="770"/>
    <x v="0"/>
    <n v="10"/>
    <x v="2"/>
    <x v="3"/>
    <x v="0"/>
    <n v="1119"/>
    <x v="1"/>
    <x v="1"/>
    <n v="73"/>
    <x v="1"/>
    <x v="2"/>
    <x v="0"/>
    <x v="2"/>
    <x v="2"/>
    <x v="763"/>
    <n v="5569"/>
    <n v="0"/>
    <s v="Y"/>
    <x v="0"/>
    <n v="14"/>
    <x v="0"/>
    <x v="2"/>
    <n v="80"/>
    <n v="2"/>
    <n v="9"/>
    <n v="2"/>
    <x v="1"/>
    <x v="3"/>
    <n v="7"/>
    <x v="3"/>
    <x v="1"/>
    <x v="1"/>
    <x v="0"/>
    <x v="0"/>
    <n v="0"/>
  </r>
  <r>
    <x v="11"/>
    <x v="1"/>
    <x v="0"/>
    <n v="1107"/>
    <x v="1"/>
    <n v="28"/>
    <x v="2"/>
    <x v="0"/>
    <x v="0"/>
    <n v="1120"/>
    <x v="1"/>
    <x v="0"/>
    <n v="93"/>
    <x v="0"/>
    <x v="1"/>
    <x v="1"/>
    <x v="0"/>
    <x v="2"/>
    <x v="764"/>
    <n v="26968"/>
    <n v="4"/>
    <s v="Y"/>
    <x v="1"/>
    <n v="22"/>
    <x v="1"/>
    <x v="0"/>
    <n v="80"/>
    <n v="1"/>
    <n v="11"/>
    <n v="1"/>
    <x v="1"/>
    <x v="5"/>
    <n v="5"/>
    <x v="1"/>
    <x v="1"/>
    <x v="2"/>
    <x v="0"/>
    <x v="1"/>
    <n v="0"/>
  </r>
  <r>
    <x v="14"/>
    <x v="1"/>
    <x v="0"/>
    <n v="950"/>
    <x v="1"/>
    <n v="3"/>
    <x v="3"/>
    <x v="2"/>
    <x v="0"/>
    <n v="1121"/>
    <x v="2"/>
    <x v="0"/>
    <n v="93"/>
    <x v="0"/>
    <x v="2"/>
    <x v="3"/>
    <x v="1"/>
    <x v="2"/>
    <x v="765"/>
    <n v="8039"/>
    <n v="0"/>
    <s v="Y"/>
    <x v="1"/>
    <n v="17"/>
    <x v="0"/>
    <x v="2"/>
    <n v="80"/>
    <n v="3"/>
    <n v="10"/>
    <n v="3"/>
    <x v="2"/>
    <x v="7"/>
    <n v="7"/>
    <x v="1"/>
    <x v="1"/>
    <x v="2"/>
    <x v="0"/>
    <x v="0"/>
    <n v="0"/>
  </r>
  <r>
    <x v="21"/>
    <x v="1"/>
    <x v="0"/>
    <n v="406"/>
    <x v="0"/>
    <n v="3"/>
    <x v="1"/>
    <x v="3"/>
    <x v="0"/>
    <n v="1124"/>
    <x v="3"/>
    <x v="1"/>
    <n v="52"/>
    <x v="0"/>
    <x v="3"/>
    <x v="5"/>
    <x v="2"/>
    <x v="1"/>
    <x v="766"/>
    <n v="15596"/>
    <n v="3"/>
    <s v="Y"/>
    <x v="1"/>
    <n v="12"/>
    <x v="0"/>
    <x v="1"/>
    <n v="80"/>
    <n v="1"/>
    <n v="23"/>
    <n v="3"/>
    <x v="1"/>
    <x v="12"/>
    <n v="9"/>
    <x v="5"/>
    <x v="12"/>
    <x v="0"/>
    <x v="3"/>
    <x v="2"/>
    <n v="0"/>
  </r>
  <r>
    <x v="8"/>
    <x v="1"/>
    <x v="0"/>
    <n v="130"/>
    <x v="0"/>
    <n v="2"/>
    <x v="0"/>
    <x v="3"/>
    <x v="0"/>
    <n v="1125"/>
    <x v="2"/>
    <x v="1"/>
    <n v="32"/>
    <x v="0"/>
    <x v="2"/>
    <x v="0"/>
    <x v="1"/>
    <x v="0"/>
    <x v="767"/>
    <n v="20619"/>
    <n v="7"/>
    <s v="Y"/>
    <x v="1"/>
    <n v="16"/>
    <x v="0"/>
    <x v="3"/>
    <n v="80"/>
    <n v="0"/>
    <n v="10"/>
    <n v="2"/>
    <x v="1"/>
    <x v="6"/>
    <n v="0"/>
    <x v="0"/>
    <x v="2"/>
    <x v="1"/>
    <x v="1"/>
    <x v="0"/>
    <n v="0"/>
  </r>
  <r>
    <x v="23"/>
    <x v="1"/>
    <x v="1"/>
    <n v="1082"/>
    <x v="1"/>
    <n v="27"/>
    <x v="3"/>
    <x v="0"/>
    <x v="0"/>
    <n v="1126"/>
    <x v="1"/>
    <x v="0"/>
    <n v="83"/>
    <x v="0"/>
    <x v="2"/>
    <x v="3"/>
    <x v="3"/>
    <x v="1"/>
    <x v="768"/>
    <n v="11535"/>
    <n v="8"/>
    <s v="Y"/>
    <x v="1"/>
    <n v="11"/>
    <x v="0"/>
    <x v="3"/>
    <n v="80"/>
    <n v="1"/>
    <n v="18"/>
    <n v="1"/>
    <x v="1"/>
    <x v="3"/>
    <n v="7"/>
    <x v="0"/>
    <x v="9"/>
    <x v="0"/>
    <x v="0"/>
    <x v="3"/>
    <n v="0"/>
  </r>
  <r>
    <x v="22"/>
    <x v="0"/>
    <x v="1"/>
    <n v="203"/>
    <x v="1"/>
    <n v="2"/>
    <x v="3"/>
    <x v="0"/>
    <x v="0"/>
    <n v="1127"/>
    <x v="3"/>
    <x v="1"/>
    <n v="84"/>
    <x v="0"/>
    <x v="3"/>
    <x v="4"/>
    <x v="0"/>
    <x v="2"/>
    <x v="769"/>
    <n v="13547"/>
    <n v="7"/>
    <s v="Y"/>
    <x v="1"/>
    <n v="11"/>
    <x v="0"/>
    <x v="1"/>
    <n v="80"/>
    <n v="3"/>
    <n v="21"/>
    <n v="4"/>
    <x v="1"/>
    <x v="29"/>
    <n v="7"/>
    <x v="14"/>
    <x v="0"/>
    <x v="1"/>
    <x v="3"/>
    <x v="3"/>
    <n v="1"/>
  </r>
  <r>
    <x v="32"/>
    <x v="1"/>
    <x v="0"/>
    <n v="1308"/>
    <x v="1"/>
    <n v="14"/>
    <x v="3"/>
    <x v="2"/>
    <x v="0"/>
    <n v="1128"/>
    <x v="1"/>
    <x v="1"/>
    <n v="44"/>
    <x v="1"/>
    <x v="4"/>
    <x v="7"/>
    <x v="2"/>
    <x v="0"/>
    <x v="770"/>
    <n v="17544"/>
    <n v="1"/>
    <s v="Y"/>
    <x v="1"/>
    <n v="14"/>
    <x v="0"/>
    <x v="0"/>
    <n v="80"/>
    <n v="0"/>
    <n v="21"/>
    <n v="2"/>
    <x v="3"/>
    <x v="23"/>
    <n v="7"/>
    <x v="5"/>
    <x v="12"/>
    <x v="0"/>
    <x v="3"/>
    <x v="2"/>
    <n v="0"/>
  </r>
  <r>
    <x v="18"/>
    <x v="1"/>
    <x v="0"/>
    <n v="984"/>
    <x v="1"/>
    <n v="1"/>
    <x v="1"/>
    <x v="4"/>
    <x v="0"/>
    <n v="1131"/>
    <x v="2"/>
    <x v="0"/>
    <n v="70"/>
    <x v="1"/>
    <x v="1"/>
    <x v="1"/>
    <x v="1"/>
    <x v="0"/>
    <x v="266"/>
    <n v="25326"/>
    <n v="1"/>
    <s v="Y"/>
    <x v="0"/>
    <n v="11"/>
    <x v="0"/>
    <x v="3"/>
    <n v="80"/>
    <n v="0"/>
    <n v="2"/>
    <n v="6"/>
    <x v="3"/>
    <x v="4"/>
    <n v="2"/>
    <x v="3"/>
    <x v="3"/>
    <x v="2"/>
    <x v="1"/>
    <x v="1"/>
    <n v="0"/>
  </r>
  <r>
    <x v="22"/>
    <x v="1"/>
    <x v="2"/>
    <n v="439"/>
    <x v="1"/>
    <n v="9"/>
    <x v="3"/>
    <x v="0"/>
    <x v="0"/>
    <n v="1132"/>
    <x v="1"/>
    <x v="1"/>
    <n v="70"/>
    <x v="0"/>
    <x v="0"/>
    <x v="2"/>
    <x v="1"/>
    <x v="0"/>
    <x v="771"/>
    <n v="8770"/>
    <n v="9"/>
    <s v="Y"/>
    <x v="1"/>
    <n v="15"/>
    <x v="0"/>
    <x v="3"/>
    <n v="80"/>
    <n v="0"/>
    <n v="9"/>
    <n v="2"/>
    <x v="2"/>
    <x v="8"/>
    <n v="4"/>
    <x v="0"/>
    <x v="6"/>
    <x v="1"/>
    <x v="2"/>
    <x v="0"/>
    <n v="0"/>
  </r>
  <r>
    <x v="9"/>
    <x v="1"/>
    <x v="2"/>
    <n v="217"/>
    <x v="1"/>
    <n v="18"/>
    <x v="2"/>
    <x v="0"/>
    <x v="0"/>
    <n v="1133"/>
    <x v="3"/>
    <x v="1"/>
    <n v="78"/>
    <x v="0"/>
    <x v="0"/>
    <x v="3"/>
    <x v="0"/>
    <x v="0"/>
    <x v="772"/>
    <n v="23238"/>
    <n v="2"/>
    <s v="Y"/>
    <x v="1"/>
    <n v="20"/>
    <x v="1"/>
    <x v="0"/>
    <n v="80"/>
    <n v="0"/>
    <n v="18"/>
    <n v="0"/>
    <x v="1"/>
    <x v="19"/>
    <n v="9"/>
    <x v="0"/>
    <x v="12"/>
    <x v="1"/>
    <x v="3"/>
    <x v="0"/>
    <n v="0"/>
  </r>
  <r>
    <x v="12"/>
    <x v="1"/>
    <x v="1"/>
    <n v="793"/>
    <x v="0"/>
    <n v="20"/>
    <x v="3"/>
    <x v="0"/>
    <x v="0"/>
    <n v="1135"/>
    <x v="1"/>
    <x v="1"/>
    <n v="67"/>
    <x v="2"/>
    <x v="1"/>
    <x v="6"/>
    <x v="0"/>
    <x v="1"/>
    <x v="773"/>
    <n v="21981"/>
    <n v="0"/>
    <s v="Y"/>
    <x v="1"/>
    <n v="12"/>
    <x v="0"/>
    <x v="0"/>
    <n v="80"/>
    <n v="1"/>
    <n v="3"/>
    <n v="4"/>
    <x v="1"/>
    <x v="4"/>
    <n v="2"/>
    <x v="3"/>
    <x v="3"/>
    <x v="1"/>
    <x v="1"/>
    <x v="1"/>
    <n v="0"/>
  </r>
  <r>
    <x v="14"/>
    <x v="1"/>
    <x v="0"/>
    <n v="1451"/>
    <x v="1"/>
    <n v="2"/>
    <x v="1"/>
    <x v="0"/>
    <x v="0"/>
    <n v="1136"/>
    <x v="3"/>
    <x v="1"/>
    <n v="67"/>
    <x v="1"/>
    <x v="1"/>
    <x v="1"/>
    <x v="1"/>
    <x v="1"/>
    <x v="774"/>
    <n v="19911"/>
    <n v="0"/>
    <s v="Y"/>
    <x v="1"/>
    <n v="17"/>
    <x v="0"/>
    <x v="0"/>
    <n v="80"/>
    <n v="0"/>
    <n v="6"/>
    <n v="2"/>
    <x v="0"/>
    <x v="8"/>
    <n v="3"/>
    <x v="0"/>
    <x v="10"/>
    <x v="2"/>
    <x v="2"/>
    <x v="1"/>
    <n v="0"/>
  </r>
  <r>
    <x v="10"/>
    <x v="1"/>
    <x v="1"/>
    <n v="1182"/>
    <x v="0"/>
    <n v="11"/>
    <x v="0"/>
    <x v="3"/>
    <x v="0"/>
    <n v="1137"/>
    <x v="2"/>
    <x v="1"/>
    <n v="54"/>
    <x v="0"/>
    <x v="0"/>
    <x v="0"/>
    <x v="0"/>
    <x v="2"/>
    <x v="775"/>
    <n v="18500"/>
    <n v="1"/>
    <s v="Y"/>
    <x v="1"/>
    <n v="11"/>
    <x v="0"/>
    <x v="1"/>
    <n v="80"/>
    <n v="1"/>
    <n v="5"/>
    <n v="3"/>
    <x v="1"/>
    <x v="8"/>
    <n v="2"/>
    <x v="0"/>
    <x v="3"/>
    <x v="1"/>
    <x v="2"/>
    <x v="1"/>
    <n v="0"/>
  </r>
  <r>
    <x v="1"/>
    <x v="1"/>
    <x v="0"/>
    <n v="174"/>
    <x v="0"/>
    <n v="8"/>
    <x v="2"/>
    <x v="4"/>
    <x v="0"/>
    <n v="1138"/>
    <x v="2"/>
    <x v="1"/>
    <n v="56"/>
    <x v="1"/>
    <x v="3"/>
    <x v="0"/>
    <x v="1"/>
    <x v="1"/>
    <x v="776"/>
    <n v="11879"/>
    <n v="6"/>
    <s v="Y"/>
    <x v="1"/>
    <n v="17"/>
    <x v="0"/>
    <x v="2"/>
    <n v="80"/>
    <n v="1"/>
    <n v="22"/>
    <n v="3"/>
    <x v="1"/>
    <x v="7"/>
    <n v="8"/>
    <x v="3"/>
    <x v="6"/>
    <x v="0"/>
    <x v="0"/>
    <x v="3"/>
    <n v="0"/>
  </r>
  <r>
    <x v="13"/>
    <x v="1"/>
    <x v="1"/>
    <n v="1003"/>
    <x v="1"/>
    <n v="2"/>
    <x v="0"/>
    <x v="0"/>
    <x v="0"/>
    <n v="1140"/>
    <x v="2"/>
    <x v="1"/>
    <n v="95"/>
    <x v="0"/>
    <x v="0"/>
    <x v="3"/>
    <x v="2"/>
    <x v="0"/>
    <x v="777"/>
    <n v="15834"/>
    <n v="2"/>
    <s v="Y"/>
    <x v="1"/>
    <n v="11"/>
    <x v="0"/>
    <x v="1"/>
    <n v="80"/>
    <n v="0"/>
    <n v="5"/>
    <n v="3"/>
    <x v="2"/>
    <x v="11"/>
    <n v="2"/>
    <x v="0"/>
    <x v="3"/>
    <x v="1"/>
    <x v="2"/>
    <x v="1"/>
    <n v="0"/>
  </r>
  <r>
    <x v="11"/>
    <x v="1"/>
    <x v="1"/>
    <n v="490"/>
    <x v="1"/>
    <n v="10"/>
    <x v="3"/>
    <x v="0"/>
    <x v="0"/>
    <n v="1143"/>
    <x v="2"/>
    <x v="0"/>
    <n v="61"/>
    <x v="0"/>
    <x v="1"/>
    <x v="1"/>
    <x v="1"/>
    <x v="2"/>
    <x v="778"/>
    <n v="17940"/>
    <n v="0"/>
    <s v="Y"/>
    <x v="1"/>
    <n v="14"/>
    <x v="0"/>
    <x v="1"/>
    <n v="80"/>
    <n v="2"/>
    <n v="8"/>
    <n v="2"/>
    <x v="2"/>
    <x v="5"/>
    <n v="5"/>
    <x v="1"/>
    <x v="9"/>
    <x v="2"/>
    <x v="0"/>
    <x v="1"/>
    <n v="0"/>
  </r>
  <r>
    <x v="19"/>
    <x v="1"/>
    <x v="0"/>
    <n v="188"/>
    <x v="1"/>
    <n v="29"/>
    <x v="3"/>
    <x v="2"/>
    <x v="0"/>
    <n v="1148"/>
    <x v="0"/>
    <x v="1"/>
    <n v="56"/>
    <x v="3"/>
    <x v="0"/>
    <x v="2"/>
    <x v="0"/>
    <x v="0"/>
    <x v="779"/>
    <n v="9558"/>
    <n v="4"/>
    <s v="Y"/>
    <x v="1"/>
    <n v="19"/>
    <x v="0"/>
    <x v="0"/>
    <n v="80"/>
    <n v="0"/>
    <n v="16"/>
    <n v="3"/>
    <x v="1"/>
    <x v="6"/>
    <n v="0"/>
    <x v="0"/>
    <x v="2"/>
    <x v="0"/>
    <x v="1"/>
    <x v="1"/>
    <n v="0"/>
  </r>
  <r>
    <x v="11"/>
    <x v="1"/>
    <x v="0"/>
    <n v="718"/>
    <x v="1"/>
    <n v="8"/>
    <x v="1"/>
    <x v="2"/>
    <x v="0"/>
    <n v="1150"/>
    <x v="0"/>
    <x v="1"/>
    <n v="79"/>
    <x v="1"/>
    <x v="0"/>
    <x v="3"/>
    <x v="0"/>
    <x v="1"/>
    <x v="780"/>
    <n v="17689"/>
    <n v="1"/>
    <s v="Y"/>
    <x v="0"/>
    <n v="15"/>
    <x v="0"/>
    <x v="3"/>
    <n v="80"/>
    <n v="1"/>
    <n v="10"/>
    <n v="2"/>
    <x v="2"/>
    <x v="1"/>
    <n v="7"/>
    <x v="1"/>
    <x v="3"/>
    <x v="2"/>
    <x v="0"/>
    <x v="0"/>
    <n v="0"/>
  </r>
  <r>
    <x v="8"/>
    <x v="1"/>
    <x v="0"/>
    <n v="433"/>
    <x v="2"/>
    <n v="1"/>
    <x v="3"/>
    <x v="5"/>
    <x v="0"/>
    <n v="1152"/>
    <x v="1"/>
    <x v="1"/>
    <n v="37"/>
    <x v="2"/>
    <x v="1"/>
    <x v="8"/>
    <x v="2"/>
    <x v="1"/>
    <x v="781"/>
    <n v="6004"/>
    <n v="1"/>
    <s v="Y"/>
    <x v="1"/>
    <n v="13"/>
    <x v="0"/>
    <x v="1"/>
    <n v="80"/>
    <n v="1"/>
    <n v="7"/>
    <n v="2"/>
    <x v="3"/>
    <x v="5"/>
    <n v="6"/>
    <x v="8"/>
    <x v="2"/>
    <x v="1"/>
    <x v="0"/>
    <x v="1"/>
    <n v="0"/>
  </r>
  <r>
    <x v="14"/>
    <x v="1"/>
    <x v="1"/>
    <n v="773"/>
    <x v="1"/>
    <n v="6"/>
    <x v="3"/>
    <x v="0"/>
    <x v="0"/>
    <n v="1154"/>
    <x v="1"/>
    <x v="1"/>
    <n v="39"/>
    <x v="1"/>
    <x v="1"/>
    <x v="1"/>
    <x v="2"/>
    <x v="2"/>
    <x v="68"/>
    <n v="22088"/>
    <n v="1"/>
    <s v="Y"/>
    <x v="0"/>
    <n v="14"/>
    <x v="0"/>
    <x v="1"/>
    <n v="80"/>
    <n v="1"/>
    <n v="3"/>
    <n v="2"/>
    <x v="1"/>
    <x v="11"/>
    <n v="1"/>
    <x v="0"/>
    <x v="3"/>
    <x v="2"/>
    <x v="2"/>
    <x v="1"/>
    <n v="0"/>
  </r>
  <r>
    <x v="41"/>
    <x v="0"/>
    <x v="2"/>
    <n v="247"/>
    <x v="1"/>
    <n v="8"/>
    <x v="1"/>
    <x v="2"/>
    <x v="0"/>
    <n v="1156"/>
    <x v="1"/>
    <x v="1"/>
    <n v="80"/>
    <x v="0"/>
    <x v="1"/>
    <x v="2"/>
    <x v="2"/>
    <x v="0"/>
    <x v="782"/>
    <n v="13556"/>
    <n v="1"/>
    <s v="Y"/>
    <x v="1"/>
    <n v="12"/>
    <x v="0"/>
    <x v="1"/>
    <n v="80"/>
    <n v="0"/>
    <n v="0"/>
    <n v="0"/>
    <x v="1"/>
    <x v="2"/>
    <n v="0"/>
    <x v="0"/>
    <x v="2"/>
    <x v="4"/>
    <x v="1"/>
    <x v="1"/>
    <n v="1"/>
  </r>
  <r>
    <x v="3"/>
    <x v="0"/>
    <x v="0"/>
    <n v="603"/>
    <x v="0"/>
    <n v="9"/>
    <x v="2"/>
    <x v="3"/>
    <x v="0"/>
    <n v="1157"/>
    <x v="3"/>
    <x v="0"/>
    <n v="77"/>
    <x v="0"/>
    <x v="0"/>
    <x v="0"/>
    <x v="3"/>
    <x v="0"/>
    <x v="783"/>
    <n v="18385"/>
    <n v="0"/>
    <s v="Y"/>
    <x v="0"/>
    <n v="17"/>
    <x v="0"/>
    <x v="0"/>
    <n v="80"/>
    <n v="0"/>
    <n v="6"/>
    <n v="3"/>
    <x v="1"/>
    <x v="8"/>
    <n v="2"/>
    <x v="0"/>
    <x v="6"/>
    <x v="1"/>
    <x v="2"/>
    <x v="0"/>
    <n v="1"/>
  </r>
  <r>
    <x v="0"/>
    <x v="1"/>
    <x v="0"/>
    <n v="167"/>
    <x v="1"/>
    <n v="12"/>
    <x v="2"/>
    <x v="0"/>
    <x v="0"/>
    <n v="1158"/>
    <x v="0"/>
    <x v="1"/>
    <n v="46"/>
    <x v="0"/>
    <x v="1"/>
    <x v="2"/>
    <x v="0"/>
    <x v="1"/>
    <x v="784"/>
    <n v="9051"/>
    <n v="3"/>
    <s v="Y"/>
    <x v="0"/>
    <n v="11"/>
    <x v="0"/>
    <x v="0"/>
    <n v="80"/>
    <n v="1"/>
    <n v="6"/>
    <n v="4"/>
    <x v="1"/>
    <x v="6"/>
    <n v="0"/>
    <x v="0"/>
    <x v="2"/>
    <x v="0"/>
    <x v="1"/>
    <x v="1"/>
    <n v="0"/>
  </r>
  <r>
    <x v="12"/>
    <x v="0"/>
    <x v="1"/>
    <n v="874"/>
    <x v="1"/>
    <n v="15"/>
    <x v="3"/>
    <x v="2"/>
    <x v="0"/>
    <n v="1160"/>
    <x v="1"/>
    <x v="1"/>
    <n v="72"/>
    <x v="0"/>
    <x v="1"/>
    <x v="2"/>
    <x v="2"/>
    <x v="1"/>
    <x v="353"/>
    <n v="6233"/>
    <n v="1"/>
    <s v="Y"/>
    <x v="1"/>
    <n v="12"/>
    <x v="0"/>
    <x v="3"/>
    <n v="80"/>
    <n v="1"/>
    <n v="2"/>
    <n v="5"/>
    <x v="2"/>
    <x v="4"/>
    <n v="2"/>
    <x v="3"/>
    <x v="3"/>
    <x v="1"/>
    <x v="1"/>
    <x v="1"/>
    <n v="1"/>
  </r>
  <r>
    <x v="2"/>
    <x v="1"/>
    <x v="0"/>
    <n v="367"/>
    <x v="1"/>
    <n v="25"/>
    <x v="0"/>
    <x v="2"/>
    <x v="0"/>
    <n v="1161"/>
    <x v="1"/>
    <x v="0"/>
    <n v="52"/>
    <x v="1"/>
    <x v="0"/>
    <x v="4"/>
    <x v="0"/>
    <x v="2"/>
    <x v="785"/>
    <n v="17171"/>
    <n v="7"/>
    <s v="Y"/>
    <x v="1"/>
    <n v="13"/>
    <x v="0"/>
    <x v="3"/>
    <n v="80"/>
    <n v="2"/>
    <n v="9"/>
    <n v="2"/>
    <x v="1"/>
    <x v="0"/>
    <n v="2"/>
    <x v="1"/>
    <x v="6"/>
    <x v="1"/>
    <x v="0"/>
    <x v="0"/>
    <n v="0"/>
  </r>
  <r>
    <x v="4"/>
    <x v="1"/>
    <x v="0"/>
    <n v="199"/>
    <x v="1"/>
    <n v="6"/>
    <x v="3"/>
    <x v="0"/>
    <x v="0"/>
    <n v="1162"/>
    <x v="2"/>
    <x v="1"/>
    <n v="55"/>
    <x v="1"/>
    <x v="1"/>
    <x v="1"/>
    <x v="2"/>
    <x v="1"/>
    <x v="786"/>
    <n v="7950"/>
    <n v="1"/>
    <s v="Y"/>
    <x v="1"/>
    <n v="13"/>
    <x v="0"/>
    <x v="3"/>
    <n v="80"/>
    <n v="1"/>
    <n v="4"/>
    <n v="0"/>
    <x v="1"/>
    <x v="9"/>
    <n v="2"/>
    <x v="3"/>
    <x v="3"/>
    <x v="2"/>
    <x v="2"/>
    <x v="1"/>
    <n v="0"/>
  </r>
  <r>
    <x v="13"/>
    <x v="1"/>
    <x v="0"/>
    <n v="1400"/>
    <x v="0"/>
    <n v="9"/>
    <x v="1"/>
    <x v="0"/>
    <x v="0"/>
    <n v="1163"/>
    <x v="0"/>
    <x v="0"/>
    <n v="70"/>
    <x v="0"/>
    <x v="0"/>
    <x v="0"/>
    <x v="2"/>
    <x v="1"/>
    <x v="787"/>
    <n v="5829"/>
    <n v="1"/>
    <s v="Y"/>
    <x v="1"/>
    <n v="20"/>
    <x v="1"/>
    <x v="0"/>
    <n v="80"/>
    <n v="0"/>
    <n v="6"/>
    <n v="3"/>
    <x v="2"/>
    <x v="0"/>
    <n v="5"/>
    <x v="1"/>
    <x v="6"/>
    <x v="1"/>
    <x v="0"/>
    <x v="0"/>
    <n v="0"/>
  </r>
  <r>
    <x v="10"/>
    <x v="1"/>
    <x v="0"/>
    <n v="528"/>
    <x v="2"/>
    <n v="8"/>
    <x v="2"/>
    <x v="4"/>
    <x v="0"/>
    <n v="1164"/>
    <x v="1"/>
    <x v="1"/>
    <n v="100"/>
    <x v="0"/>
    <x v="1"/>
    <x v="8"/>
    <x v="2"/>
    <x v="0"/>
    <x v="788"/>
    <n v="7108"/>
    <n v="1"/>
    <s v="Y"/>
    <x v="1"/>
    <n v="17"/>
    <x v="0"/>
    <x v="2"/>
    <n v="80"/>
    <n v="0"/>
    <n v="6"/>
    <n v="2"/>
    <x v="0"/>
    <x v="8"/>
    <n v="4"/>
    <x v="1"/>
    <x v="10"/>
    <x v="1"/>
    <x v="2"/>
    <x v="1"/>
    <n v="0"/>
  </r>
  <r>
    <x v="11"/>
    <x v="0"/>
    <x v="0"/>
    <n v="408"/>
    <x v="0"/>
    <n v="23"/>
    <x v="1"/>
    <x v="0"/>
    <x v="0"/>
    <n v="1165"/>
    <x v="2"/>
    <x v="0"/>
    <n v="45"/>
    <x v="1"/>
    <x v="2"/>
    <x v="0"/>
    <x v="3"/>
    <x v="1"/>
    <x v="789"/>
    <n v="11162"/>
    <n v="1"/>
    <s v="Y"/>
    <x v="1"/>
    <n v="13"/>
    <x v="0"/>
    <x v="0"/>
    <n v="80"/>
    <n v="1"/>
    <n v="11"/>
    <n v="3"/>
    <x v="0"/>
    <x v="19"/>
    <n v="8"/>
    <x v="2"/>
    <x v="13"/>
    <x v="2"/>
    <x v="3"/>
    <x v="0"/>
    <n v="1"/>
  </r>
  <r>
    <x v="32"/>
    <x v="1"/>
    <x v="1"/>
    <n v="593"/>
    <x v="1"/>
    <n v="9"/>
    <x v="2"/>
    <x v="2"/>
    <x v="0"/>
    <n v="1166"/>
    <x v="0"/>
    <x v="0"/>
    <n v="88"/>
    <x v="0"/>
    <x v="2"/>
    <x v="7"/>
    <x v="2"/>
    <x v="0"/>
    <x v="790"/>
    <n v="13782"/>
    <n v="9"/>
    <s v="Y"/>
    <x v="1"/>
    <n v="17"/>
    <x v="0"/>
    <x v="3"/>
    <n v="80"/>
    <n v="0"/>
    <n v="20"/>
    <n v="3"/>
    <x v="2"/>
    <x v="29"/>
    <n v="7"/>
    <x v="3"/>
    <x v="15"/>
    <x v="0"/>
    <x v="3"/>
    <x v="3"/>
    <n v="0"/>
  </r>
  <r>
    <x v="19"/>
    <x v="0"/>
    <x v="1"/>
    <n v="481"/>
    <x v="0"/>
    <n v="12"/>
    <x v="3"/>
    <x v="0"/>
    <x v="0"/>
    <n v="1167"/>
    <x v="1"/>
    <x v="1"/>
    <n v="44"/>
    <x v="0"/>
    <x v="3"/>
    <x v="0"/>
    <x v="3"/>
    <x v="0"/>
    <x v="791"/>
    <n v="2447"/>
    <n v="0"/>
    <s v="Y"/>
    <x v="0"/>
    <n v="12"/>
    <x v="0"/>
    <x v="2"/>
    <n v="80"/>
    <n v="0"/>
    <n v="22"/>
    <n v="2"/>
    <x v="2"/>
    <x v="17"/>
    <n v="9"/>
    <x v="11"/>
    <x v="17"/>
    <x v="0"/>
    <x v="3"/>
    <x v="3"/>
    <n v="1"/>
  </r>
  <r>
    <x v="19"/>
    <x v="1"/>
    <x v="0"/>
    <n v="647"/>
    <x v="0"/>
    <n v="4"/>
    <x v="2"/>
    <x v="3"/>
    <x v="0"/>
    <n v="1171"/>
    <x v="0"/>
    <x v="1"/>
    <n v="45"/>
    <x v="0"/>
    <x v="0"/>
    <x v="0"/>
    <x v="3"/>
    <x v="0"/>
    <x v="792"/>
    <n v="2253"/>
    <n v="7"/>
    <s v="Y"/>
    <x v="1"/>
    <n v="13"/>
    <x v="0"/>
    <x v="1"/>
    <n v="80"/>
    <n v="0"/>
    <n v="9"/>
    <n v="3"/>
    <x v="3"/>
    <x v="0"/>
    <n v="4"/>
    <x v="1"/>
    <x v="0"/>
    <x v="0"/>
    <x v="0"/>
    <x v="0"/>
    <n v="0"/>
  </r>
  <r>
    <x v="10"/>
    <x v="1"/>
    <x v="0"/>
    <n v="982"/>
    <x v="1"/>
    <n v="1"/>
    <x v="2"/>
    <x v="2"/>
    <x v="0"/>
    <n v="1172"/>
    <x v="2"/>
    <x v="1"/>
    <n v="58"/>
    <x v="1"/>
    <x v="1"/>
    <x v="2"/>
    <x v="2"/>
    <x v="1"/>
    <x v="384"/>
    <n v="16340"/>
    <n v="6"/>
    <s v="Y"/>
    <x v="1"/>
    <n v="12"/>
    <x v="0"/>
    <x v="2"/>
    <n v="80"/>
    <n v="1"/>
    <n v="10"/>
    <n v="2"/>
    <x v="1"/>
    <x v="3"/>
    <n v="0"/>
    <x v="1"/>
    <x v="1"/>
    <x v="1"/>
    <x v="0"/>
    <x v="1"/>
    <n v="0"/>
  </r>
  <r>
    <x v="17"/>
    <x v="1"/>
    <x v="0"/>
    <n v="477"/>
    <x v="1"/>
    <n v="24"/>
    <x v="3"/>
    <x v="2"/>
    <x v="0"/>
    <n v="1173"/>
    <x v="2"/>
    <x v="1"/>
    <n v="49"/>
    <x v="0"/>
    <x v="1"/>
    <x v="2"/>
    <x v="1"/>
    <x v="0"/>
    <x v="793"/>
    <n v="6409"/>
    <n v="8"/>
    <s v="Y"/>
    <x v="1"/>
    <n v="22"/>
    <x v="1"/>
    <x v="1"/>
    <n v="80"/>
    <n v="0"/>
    <n v="6"/>
    <n v="2"/>
    <x v="1"/>
    <x v="9"/>
    <n v="3"/>
    <x v="1"/>
    <x v="3"/>
    <x v="2"/>
    <x v="2"/>
    <x v="1"/>
    <n v="0"/>
  </r>
  <r>
    <x v="14"/>
    <x v="0"/>
    <x v="0"/>
    <n v="1485"/>
    <x v="1"/>
    <n v="12"/>
    <x v="1"/>
    <x v="0"/>
    <x v="0"/>
    <n v="1175"/>
    <x v="1"/>
    <x v="0"/>
    <n v="79"/>
    <x v="0"/>
    <x v="1"/>
    <x v="2"/>
    <x v="0"/>
    <x v="1"/>
    <x v="605"/>
    <n v="22955"/>
    <n v="1"/>
    <s v="Y"/>
    <x v="0"/>
    <n v="11"/>
    <x v="0"/>
    <x v="1"/>
    <n v="80"/>
    <n v="0"/>
    <n v="1"/>
    <n v="4"/>
    <x v="2"/>
    <x v="6"/>
    <n v="1"/>
    <x v="0"/>
    <x v="2"/>
    <x v="2"/>
    <x v="1"/>
    <x v="1"/>
    <n v="1"/>
  </r>
  <r>
    <x v="25"/>
    <x v="1"/>
    <x v="0"/>
    <n v="1384"/>
    <x v="1"/>
    <n v="3"/>
    <x v="2"/>
    <x v="2"/>
    <x v="0"/>
    <n v="1177"/>
    <x v="3"/>
    <x v="1"/>
    <n v="82"/>
    <x v="2"/>
    <x v="1"/>
    <x v="2"/>
    <x v="0"/>
    <x v="1"/>
    <x v="794"/>
    <n v="13421"/>
    <n v="1"/>
    <s v="Y"/>
    <x v="1"/>
    <n v="22"/>
    <x v="1"/>
    <x v="2"/>
    <n v="80"/>
    <n v="1"/>
    <n v="8"/>
    <n v="2"/>
    <x v="1"/>
    <x v="3"/>
    <n v="7"/>
    <x v="0"/>
    <x v="1"/>
    <x v="2"/>
    <x v="0"/>
    <x v="1"/>
    <n v="0"/>
  </r>
  <r>
    <x v="7"/>
    <x v="1"/>
    <x v="0"/>
    <n v="852"/>
    <x v="0"/>
    <n v="10"/>
    <x v="3"/>
    <x v="3"/>
    <x v="0"/>
    <n v="1179"/>
    <x v="1"/>
    <x v="1"/>
    <n v="72"/>
    <x v="1"/>
    <x v="0"/>
    <x v="0"/>
    <x v="2"/>
    <x v="1"/>
    <x v="795"/>
    <n v="2706"/>
    <n v="1"/>
    <s v="Y"/>
    <x v="1"/>
    <n v="18"/>
    <x v="0"/>
    <x v="0"/>
    <n v="80"/>
    <n v="1"/>
    <n v="10"/>
    <n v="3"/>
    <x v="1"/>
    <x v="1"/>
    <n v="3"/>
    <x v="1"/>
    <x v="10"/>
    <x v="1"/>
    <x v="0"/>
    <x v="0"/>
    <n v="0"/>
  </r>
  <r>
    <x v="32"/>
    <x v="1"/>
    <x v="1"/>
    <n v="902"/>
    <x v="1"/>
    <n v="26"/>
    <x v="0"/>
    <x v="2"/>
    <x v="0"/>
    <n v="1180"/>
    <x v="1"/>
    <x v="0"/>
    <n v="92"/>
    <x v="1"/>
    <x v="0"/>
    <x v="1"/>
    <x v="0"/>
    <x v="1"/>
    <x v="796"/>
    <n v="21203"/>
    <n v="3"/>
    <s v="Y"/>
    <x v="0"/>
    <n v="13"/>
    <x v="0"/>
    <x v="1"/>
    <n v="80"/>
    <n v="1"/>
    <n v="16"/>
    <n v="3"/>
    <x v="0"/>
    <x v="6"/>
    <n v="1"/>
    <x v="0"/>
    <x v="2"/>
    <x v="0"/>
    <x v="1"/>
    <x v="1"/>
    <n v="0"/>
  </r>
  <r>
    <x v="10"/>
    <x v="1"/>
    <x v="0"/>
    <n v="819"/>
    <x v="1"/>
    <n v="2"/>
    <x v="3"/>
    <x v="0"/>
    <x v="0"/>
    <n v="1182"/>
    <x v="1"/>
    <x v="1"/>
    <n v="44"/>
    <x v="1"/>
    <x v="2"/>
    <x v="3"/>
    <x v="1"/>
    <x v="2"/>
    <x v="797"/>
    <n v="19588"/>
    <n v="2"/>
    <s v="Y"/>
    <x v="1"/>
    <n v="18"/>
    <x v="0"/>
    <x v="2"/>
    <n v="80"/>
    <n v="1"/>
    <n v="15"/>
    <n v="2"/>
    <x v="3"/>
    <x v="5"/>
    <n v="7"/>
    <x v="7"/>
    <x v="10"/>
    <x v="1"/>
    <x v="0"/>
    <x v="3"/>
    <n v="0"/>
  </r>
  <r>
    <x v="13"/>
    <x v="1"/>
    <x v="1"/>
    <n v="669"/>
    <x v="1"/>
    <n v="1"/>
    <x v="3"/>
    <x v="2"/>
    <x v="0"/>
    <n v="1184"/>
    <x v="2"/>
    <x v="1"/>
    <n v="97"/>
    <x v="1"/>
    <x v="0"/>
    <x v="4"/>
    <x v="3"/>
    <x v="0"/>
    <x v="798"/>
    <n v="25755"/>
    <n v="0"/>
    <s v="Y"/>
    <x v="1"/>
    <n v="20"/>
    <x v="1"/>
    <x v="3"/>
    <n v="80"/>
    <n v="0"/>
    <n v="14"/>
    <n v="3"/>
    <x v="1"/>
    <x v="20"/>
    <n v="9"/>
    <x v="5"/>
    <x v="12"/>
    <x v="1"/>
    <x v="3"/>
    <x v="0"/>
    <n v="0"/>
  </r>
  <r>
    <x v="10"/>
    <x v="1"/>
    <x v="1"/>
    <n v="636"/>
    <x v="1"/>
    <n v="4"/>
    <x v="2"/>
    <x v="1"/>
    <x v="0"/>
    <n v="1185"/>
    <x v="2"/>
    <x v="1"/>
    <n v="47"/>
    <x v="1"/>
    <x v="1"/>
    <x v="2"/>
    <x v="0"/>
    <x v="1"/>
    <x v="799"/>
    <n v="26537"/>
    <n v="1"/>
    <s v="Y"/>
    <x v="1"/>
    <n v="13"/>
    <x v="0"/>
    <x v="2"/>
    <n v="80"/>
    <n v="1"/>
    <n v="2"/>
    <n v="2"/>
    <x v="3"/>
    <x v="4"/>
    <n v="2"/>
    <x v="3"/>
    <x v="3"/>
    <x v="1"/>
    <x v="1"/>
    <x v="1"/>
    <n v="0"/>
  </r>
  <r>
    <x v="23"/>
    <x v="0"/>
    <x v="0"/>
    <n v="1372"/>
    <x v="0"/>
    <n v="9"/>
    <x v="3"/>
    <x v="3"/>
    <x v="0"/>
    <n v="1188"/>
    <x v="3"/>
    <x v="0"/>
    <n v="85"/>
    <x v="3"/>
    <x v="0"/>
    <x v="0"/>
    <x v="2"/>
    <x v="0"/>
    <x v="800"/>
    <n v="9489"/>
    <n v="8"/>
    <s v="Y"/>
    <x v="1"/>
    <n v="13"/>
    <x v="0"/>
    <x v="2"/>
    <n v="80"/>
    <n v="0"/>
    <n v="7"/>
    <n v="2"/>
    <x v="2"/>
    <x v="9"/>
    <n v="3"/>
    <x v="1"/>
    <x v="6"/>
    <x v="0"/>
    <x v="2"/>
    <x v="0"/>
    <n v="1"/>
  </r>
  <r>
    <x v="5"/>
    <x v="1"/>
    <x v="2"/>
    <n v="862"/>
    <x v="0"/>
    <n v="2"/>
    <x v="1"/>
    <x v="0"/>
    <x v="0"/>
    <n v="1190"/>
    <x v="1"/>
    <x v="0"/>
    <n v="76"/>
    <x v="0"/>
    <x v="1"/>
    <x v="6"/>
    <x v="3"/>
    <x v="2"/>
    <x v="801"/>
    <n v="14947"/>
    <n v="1"/>
    <s v="Y"/>
    <x v="1"/>
    <n v="12"/>
    <x v="0"/>
    <x v="3"/>
    <n v="80"/>
    <n v="3"/>
    <n v="1"/>
    <n v="3"/>
    <x v="1"/>
    <x v="6"/>
    <n v="0"/>
    <x v="0"/>
    <x v="2"/>
    <x v="1"/>
    <x v="1"/>
    <x v="1"/>
    <n v="0"/>
  </r>
  <r>
    <x v="29"/>
    <x v="1"/>
    <x v="0"/>
    <n v="718"/>
    <x v="1"/>
    <n v="4"/>
    <x v="2"/>
    <x v="4"/>
    <x v="0"/>
    <n v="1191"/>
    <x v="2"/>
    <x v="0"/>
    <n v="92"/>
    <x v="0"/>
    <x v="4"/>
    <x v="5"/>
    <x v="3"/>
    <x v="2"/>
    <x v="802"/>
    <n v="18575"/>
    <n v="4"/>
    <s v="Y"/>
    <x v="1"/>
    <n v="13"/>
    <x v="0"/>
    <x v="1"/>
    <n v="80"/>
    <n v="1"/>
    <n v="28"/>
    <n v="2"/>
    <x v="1"/>
    <x v="8"/>
    <n v="2"/>
    <x v="5"/>
    <x v="3"/>
    <x v="3"/>
    <x v="2"/>
    <x v="2"/>
    <n v="0"/>
  </r>
  <r>
    <x v="11"/>
    <x v="1"/>
    <x v="0"/>
    <n v="1401"/>
    <x v="1"/>
    <n v="6"/>
    <x v="1"/>
    <x v="2"/>
    <x v="0"/>
    <n v="1192"/>
    <x v="0"/>
    <x v="0"/>
    <n v="54"/>
    <x v="0"/>
    <x v="1"/>
    <x v="2"/>
    <x v="0"/>
    <x v="1"/>
    <x v="803"/>
    <n v="26342"/>
    <n v="1"/>
    <s v="Y"/>
    <x v="1"/>
    <n v="13"/>
    <x v="0"/>
    <x v="0"/>
    <n v="80"/>
    <n v="1"/>
    <n v="10"/>
    <n v="5"/>
    <x v="1"/>
    <x v="1"/>
    <n v="8"/>
    <x v="0"/>
    <x v="5"/>
    <x v="2"/>
    <x v="0"/>
    <x v="1"/>
    <n v="0"/>
  </r>
  <r>
    <x v="37"/>
    <x v="1"/>
    <x v="0"/>
    <n v="645"/>
    <x v="1"/>
    <n v="9"/>
    <x v="0"/>
    <x v="0"/>
    <x v="0"/>
    <n v="1193"/>
    <x v="1"/>
    <x v="1"/>
    <n v="54"/>
    <x v="0"/>
    <x v="1"/>
    <x v="1"/>
    <x v="3"/>
    <x v="0"/>
    <x v="804"/>
    <n v="7172"/>
    <n v="1"/>
    <s v="Y"/>
    <x v="1"/>
    <n v="25"/>
    <x v="1"/>
    <x v="3"/>
    <n v="80"/>
    <n v="0"/>
    <n v="1"/>
    <n v="4"/>
    <x v="1"/>
    <x v="6"/>
    <n v="1"/>
    <x v="0"/>
    <x v="2"/>
    <x v="4"/>
    <x v="1"/>
    <x v="1"/>
    <n v="0"/>
  </r>
  <r>
    <x v="28"/>
    <x v="1"/>
    <x v="0"/>
    <n v="1457"/>
    <x v="1"/>
    <n v="7"/>
    <x v="3"/>
    <x v="2"/>
    <x v="0"/>
    <n v="1195"/>
    <x v="3"/>
    <x v="0"/>
    <n v="83"/>
    <x v="0"/>
    <x v="1"/>
    <x v="1"/>
    <x v="2"/>
    <x v="1"/>
    <x v="805"/>
    <n v="20100"/>
    <n v="4"/>
    <s v="Y"/>
    <x v="0"/>
    <n v="19"/>
    <x v="0"/>
    <x v="3"/>
    <n v="80"/>
    <n v="1"/>
    <n v="7"/>
    <n v="2"/>
    <x v="2"/>
    <x v="11"/>
    <n v="2"/>
    <x v="0"/>
    <x v="3"/>
    <x v="0"/>
    <x v="2"/>
    <x v="1"/>
    <n v="0"/>
  </r>
  <r>
    <x v="2"/>
    <x v="1"/>
    <x v="0"/>
    <n v="977"/>
    <x v="1"/>
    <n v="1"/>
    <x v="3"/>
    <x v="0"/>
    <x v="0"/>
    <n v="1196"/>
    <x v="2"/>
    <x v="0"/>
    <n v="56"/>
    <x v="1"/>
    <x v="0"/>
    <x v="3"/>
    <x v="0"/>
    <x v="1"/>
    <x v="806"/>
    <n v="9961"/>
    <n v="1"/>
    <s v="Y"/>
    <x v="1"/>
    <n v="13"/>
    <x v="0"/>
    <x v="2"/>
    <n v="80"/>
    <n v="1"/>
    <n v="14"/>
    <n v="2"/>
    <x v="2"/>
    <x v="13"/>
    <n v="8"/>
    <x v="2"/>
    <x v="7"/>
    <x v="1"/>
    <x v="3"/>
    <x v="0"/>
    <n v="0"/>
  </r>
  <r>
    <x v="35"/>
    <x v="1"/>
    <x v="0"/>
    <n v="805"/>
    <x v="1"/>
    <n v="3"/>
    <x v="3"/>
    <x v="0"/>
    <x v="0"/>
    <n v="1198"/>
    <x v="3"/>
    <x v="1"/>
    <n v="87"/>
    <x v="1"/>
    <x v="1"/>
    <x v="2"/>
    <x v="2"/>
    <x v="0"/>
    <x v="807"/>
    <n v="12828"/>
    <n v="1"/>
    <s v="Y"/>
    <x v="1"/>
    <n v="12"/>
    <x v="0"/>
    <x v="0"/>
    <n v="80"/>
    <n v="0"/>
    <n v="2"/>
    <n v="2"/>
    <x v="2"/>
    <x v="4"/>
    <n v="2"/>
    <x v="1"/>
    <x v="3"/>
    <x v="2"/>
    <x v="1"/>
    <x v="1"/>
    <n v="0"/>
  </r>
  <r>
    <x v="20"/>
    <x v="0"/>
    <x v="0"/>
    <n v="1097"/>
    <x v="1"/>
    <n v="10"/>
    <x v="2"/>
    <x v="0"/>
    <x v="0"/>
    <n v="1200"/>
    <x v="1"/>
    <x v="1"/>
    <n v="96"/>
    <x v="0"/>
    <x v="1"/>
    <x v="1"/>
    <x v="2"/>
    <x v="0"/>
    <x v="808"/>
    <n v="10826"/>
    <n v="1"/>
    <s v="Y"/>
    <x v="0"/>
    <n v="11"/>
    <x v="0"/>
    <x v="3"/>
    <n v="80"/>
    <n v="0"/>
    <n v="6"/>
    <n v="4"/>
    <x v="1"/>
    <x v="0"/>
    <n v="4"/>
    <x v="0"/>
    <x v="3"/>
    <x v="0"/>
    <x v="0"/>
    <x v="1"/>
    <n v="1"/>
  </r>
  <r>
    <x v="16"/>
    <x v="1"/>
    <x v="0"/>
    <n v="1223"/>
    <x v="1"/>
    <n v="7"/>
    <x v="0"/>
    <x v="2"/>
    <x v="0"/>
    <n v="1201"/>
    <x v="2"/>
    <x v="0"/>
    <n v="50"/>
    <x v="0"/>
    <x v="4"/>
    <x v="5"/>
    <x v="2"/>
    <x v="2"/>
    <x v="809"/>
    <n v="18640"/>
    <n v="3"/>
    <s v="Y"/>
    <x v="1"/>
    <n v="18"/>
    <x v="0"/>
    <x v="2"/>
    <n v="80"/>
    <n v="1"/>
    <n v="26"/>
    <n v="6"/>
    <x v="1"/>
    <x v="5"/>
    <n v="7"/>
    <x v="5"/>
    <x v="1"/>
    <x v="3"/>
    <x v="0"/>
    <x v="2"/>
    <n v="0"/>
  </r>
  <r>
    <x v="11"/>
    <x v="1"/>
    <x v="0"/>
    <n v="942"/>
    <x v="1"/>
    <n v="15"/>
    <x v="1"/>
    <x v="0"/>
    <x v="0"/>
    <n v="1202"/>
    <x v="0"/>
    <x v="0"/>
    <n v="69"/>
    <x v="3"/>
    <x v="1"/>
    <x v="1"/>
    <x v="0"/>
    <x v="1"/>
    <x v="810"/>
    <n v="26933"/>
    <n v="0"/>
    <s v="Y"/>
    <x v="0"/>
    <n v="18"/>
    <x v="0"/>
    <x v="0"/>
    <n v="80"/>
    <n v="1"/>
    <n v="6"/>
    <n v="2"/>
    <x v="2"/>
    <x v="8"/>
    <n v="4"/>
    <x v="1"/>
    <x v="6"/>
    <x v="2"/>
    <x v="2"/>
    <x v="1"/>
    <n v="0"/>
  </r>
  <r>
    <x v="15"/>
    <x v="0"/>
    <x v="1"/>
    <n v="1256"/>
    <x v="1"/>
    <n v="3"/>
    <x v="2"/>
    <x v="0"/>
    <x v="0"/>
    <n v="1203"/>
    <x v="1"/>
    <x v="1"/>
    <n v="48"/>
    <x v="1"/>
    <x v="1"/>
    <x v="1"/>
    <x v="0"/>
    <x v="1"/>
    <x v="811"/>
    <n v="4223"/>
    <n v="0"/>
    <s v="Y"/>
    <x v="0"/>
    <n v="11"/>
    <x v="0"/>
    <x v="2"/>
    <n v="80"/>
    <n v="1"/>
    <n v="1"/>
    <n v="5"/>
    <x v="1"/>
    <x v="2"/>
    <n v="0"/>
    <x v="0"/>
    <x v="2"/>
    <x v="2"/>
    <x v="1"/>
    <x v="1"/>
    <n v="1"/>
  </r>
  <r>
    <x v="21"/>
    <x v="1"/>
    <x v="0"/>
    <n v="1402"/>
    <x v="0"/>
    <n v="2"/>
    <x v="3"/>
    <x v="3"/>
    <x v="0"/>
    <n v="1204"/>
    <x v="1"/>
    <x v="0"/>
    <n v="69"/>
    <x v="0"/>
    <x v="3"/>
    <x v="5"/>
    <x v="3"/>
    <x v="1"/>
    <x v="812"/>
    <n v="24097"/>
    <n v="8"/>
    <s v="Y"/>
    <x v="1"/>
    <n v="23"/>
    <x v="1"/>
    <x v="0"/>
    <n v="80"/>
    <n v="0"/>
    <n v="28"/>
    <n v="2"/>
    <x v="1"/>
    <x v="34"/>
    <n v="15"/>
    <x v="9"/>
    <x v="12"/>
    <x v="0"/>
    <x v="3"/>
    <x v="2"/>
    <n v="0"/>
  </r>
  <r>
    <x v="20"/>
    <x v="1"/>
    <x v="2"/>
    <n v="111"/>
    <x v="1"/>
    <n v="17"/>
    <x v="3"/>
    <x v="0"/>
    <x v="0"/>
    <n v="1206"/>
    <x v="2"/>
    <x v="1"/>
    <n v="74"/>
    <x v="3"/>
    <x v="1"/>
    <x v="1"/>
    <x v="2"/>
    <x v="0"/>
    <x v="813"/>
    <n v="4279"/>
    <n v="2"/>
    <s v="Y"/>
    <x v="1"/>
    <n v="13"/>
    <x v="0"/>
    <x v="1"/>
    <n v="80"/>
    <n v="0"/>
    <n v="6"/>
    <n v="3"/>
    <x v="1"/>
    <x v="2"/>
    <n v="0"/>
    <x v="0"/>
    <x v="2"/>
    <x v="0"/>
    <x v="1"/>
    <x v="1"/>
    <n v="0"/>
  </r>
  <r>
    <x v="3"/>
    <x v="1"/>
    <x v="0"/>
    <n v="147"/>
    <x v="2"/>
    <n v="2"/>
    <x v="3"/>
    <x v="5"/>
    <x v="0"/>
    <n v="1207"/>
    <x v="0"/>
    <x v="1"/>
    <n v="99"/>
    <x v="0"/>
    <x v="1"/>
    <x v="8"/>
    <x v="2"/>
    <x v="1"/>
    <x v="814"/>
    <n v="8429"/>
    <n v="1"/>
    <s v="Y"/>
    <x v="1"/>
    <n v="13"/>
    <x v="0"/>
    <x v="1"/>
    <n v="80"/>
    <n v="1"/>
    <n v="5"/>
    <n v="2"/>
    <x v="1"/>
    <x v="8"/>
    <n v="4"/>
    <x v="1"/>
    <x v="10"/>
    <x v="1"/>
    <x v="2"/>
    <x v="1"/>
    <n v="0"/>
  </r>
  <r>
    <x v="0"/>
    <x v="0"/>
    <x v="2"/>
    <n v="906"/>
    <x v="1"/>
    <n v="5"/>
    <x v="0"/>
    <x v="0"/>
    <x v="0"/>
    <n v="1210"/>
    <x v="3"/>
    <x v="1"/>
    <n v="95"/>
    <x v="1"/>
    <x v="1"/>
    <x v="1"/>
    <x v="3"/>
    <x v="2"/>
    <x v="815"/>
    <n v="20293"/>
    <n v="6"/>
    <s v="Y"/>
    <x v="1"/>
    <n v="17"/>
    <x v="0"/>
    <x v="0"/>
    <n v="80"/>
    <n v="1"/>
    <n v="5"/>
    <n v="2"/>
    <x v="0"/>
    <x v="6"/>
    <n v="0"/>
    <x v="0"/>
    <x v="2"/>
    <x v="0"/>
    <x v="1"/>
    <x v="1"/>
    <n v="1"/>
  </r>
  <r>
    <x v="7"/>
    <x v="1"/>
    <x v="0"/>
    <n v="1329"/>
    <x v="0"/>
    <n v="29"/>
    <x v="2"/>
    <x v="0"/>
    <x v="0"/>
    <n v="1211"/>
    <x v="1"/>
    <x v="1"/>
    <n v="61"/>
    <x v="0"/>
    <x v="0"/>
    <x v="0"/>
    <x v="3"/>
    <x v="2"/>
    <x v="816"/>
    <n v="13192"/>
    <n v="8"/>
    <s v="Y"/>
    <x v="1"/>
    <n v="19"/>
    <x v="0"/>
    <x v="3"/>
    <n v="80"/>
    <n v="3"/>
    <n v="8"/>
    <n v="3"/>
    <x v="1"/>
    <x v="9"/>
    <n v="3"/>
    <x v="0"/>
    <x v="6"/>
    <x v="1"/>
    <x v="2"/>
    <x v="1"/>
    <n v="0"/>
  </r>
  <r>
    <x v="32"/>
    <x v="1"/>
    <x v="1"/>
    <n v="1184"/>
    <x v="0"/>
    <n v="2"/>
    <x v="2"/>
    <x v="2"/>
    <x v="0"/>
    <n v="1212"/>
    <x v="0"/>
    <x v="1"/>
    <n v="62"/>
    <x v="0"/>
    <x v="0"/>
    <x v="0"/>
    <x v="1"/>
    <x v="1"/>
    <x v="817"/>
    <n v="25440"/>
    <n v="5"/>
    <s v="Y"/>
    <x v="1"/>
    <n v="12"/>
    <x v="0"/>
    <x v="1"/>
    <n v="80"/>
    <n v="3"/>
    <n v="5"/>
    <n v="2"/>
    <x v="1"/>
    <x v="2"/>
    <n v="0"/>
    <x v="0"/>
    <x v="2"/>
    <x v="0"/>
    <x v="1"/>
    <x v="1"/>
    <n v="0"/>
  </r>
  <r>
    <x v="24"/>
    <x v="1"/>
    <x v="1"/>
    <n v="1421"/>
    <x v="1"/>
    <n v="2"/>
    <x v="3"/>
    <x v="2"/>
    <x v="0"/>
    <n v="1215"/>
    <x v="2"/>
    <x v="0"/>
    <n v="30"/>
    <x v="0"/>
    <x v="3"/>
    <x v="5"/>
    <x v="3"/>
    <x v="1"/>
    <x v="818"/>
    <n v="9490"/>
    <n v="2"/>
    <s v="Y"/>
    <x v="1"/>
    <n v="22"/>
    <x v="1"/>
    <x v="3"/>
    <n v="80"/>
    <n v="1"/>
    <n v="32"/>
    <n v="3"/>
    <x v="1"/>
    <x v="4"/>
    <n v="2"/>
    <x v="3"/>
    <x v="3"/>
    <x v="3"/>
    <x v="1"/>
    <x v="2"/>
    <n v="0"/>
  </r>
  <r>
    <x v="14"/>
    <x v="1"/>
    <x v="0"/>
    <n v="1179"/>
    <x v="1"/>
    <n v="19"/>
    <x v="2"/>
    <x v="2"/>
    <x v="0"/>
    <n v="1216"/>
    <x v="2"/>
    <x v="1"/>
    <n v="78"/>
    <x v="1"/>
    <x v="1"/>
    <x v="2"/>
    <x v="3"/>
    <x v="1"/>
    <x v="819"/>
    <n v="12449"/>
    <n v="1"/>
    <s v="Y"/>
    <x v="1"/>
    <n v="12"/>
    <x v="0"/>
    <x v="3"/>
    <n v="80"/>
    <n v="3"/>
    <n v="6"/>
    <n v="2"/>
    <x v="1"/>
    <x v="0"/>
    <n v="5"/>
    <x v="2"/>
    <x v="6"/>
    <x v="2"/>
    <x v="0"/>
    <x v="1"/>
    <n v="0"/>
  </r>
  <r>
    <x v="21"/>
    <x v="1"/>
    <x v="0"/>
    <n v="1450"/>
    <x v="1"/>
    <n v="15"/>
    <x v="0"/>
    <x v="0"/>
    <x v="0"/>
    <n v="1217"/>
    <x v="2"/>
    <x v="1"/>
    <n v="52"/>
    <x v="0"/>
    <x v="4"/>
    <x v="7"/>
    <x v="1"/>
    <x v="1"/>
    <x v="820"/>
    <n v="10849"/>
    <n v="5"/>
    <s v="Y"/>
    <x v="1"/>
    <n v="11"/>
    <x v="0"/>
    <x v="0"/>
    <n v="80"/>
    <n v="1"/>
    <n v="25"/>
    <n v="2"/>
    <x v="1"/>
    <x v="9"/>
    <n v="2"/>
    <x v="0"/>
    <x v="6"/>
    <x v="0"/>
    <x v="2"/>
    <x v="2"/>
    <n v="0"/>
  </r>
  <r>
    <x v="10"/>
    <x v="1"/>
    <x v="0"/>
    <n v="1361"/>
    <x v="0"/>
    <n v="17"/>
    <x v="2"/>
    <x v="0"/>
    <x v="0"/>
    <n v="1218"/>
    <x v="1"/>
    <x v="1"/>
    <n v="94"/>
    <x v="0"/>
    <x v="0"/>
    <x v="0"/>
    <x v="3"/>
    <x v="1"/>
    <x v="821"/>
    <n v="21026"/>
    <n v="3"/>
    <s v="Y"/>
    <x v="0"/>
    <n v="15"/>
    <x v="0"/>
    <x v="1"/>
    <n v="80"/>
    <n v="3"/>
    <n v="15"/>
    <n v="2"/>
    <x v="1"/>
    <x v="5"/>
    <n v="7"/>
    <x v="1"/>
    <x v="1"/>
    <x v="1"/>
    <x v="0"/>
    <x v="0"/>
    <n v="0"/>
  </r>
  <r>
    <x v="17"/>
    <x v="0"/>
    <x v="0"/>
    <n v="984"/>
    <x v="1"/>
    <n v="17"/>
    <x v="0"/>
    <x v="0"/>
    <x v="0"/>
    <n v="1219"/>
    <x v="2"/>
    <x v="0"/>
    <n v="97"/>
    <x v="0"/>
    <x v="1"/>
    <x v="2"/>
    <x v="1"/>
    <x v="1"/>
    <x v="822"/>
    <n v="3372"/>
    <n v="1"/>
    <s v="Y"/>
    <x v="1"/>
    <n v="13"/>
    <x v="0"/>
    <x v="0"/>
    <n v="80"/>
    <n v="1"/>
    <n v="1"/>
    <n v="3"/>
    <x v="0"/>
    <x v="6"/>
    <n v="0"/>
    <x v="0"/>
    <x v="2"/>
    <x v="2"/>
    <x v="1"/>
    <x v="1"/>
    <n v="1"/>
  </r>
  <r>
    <x v="3"/>
    <x v="1"/>
    <x v="1"/>
    <n v="1146"/>
    <x v="0"/>
    <n v="25"/>
    <x v="3"/>
    <x v="2"/>
    <x v="0"/>
    <n v="1220"/>
    <x v="0"/>
    <x v="0"/>
    <n v="82"/>
    <x v="0"/>
    <x v="0"/>
    <x v="0"/>
    <x v="2"/>
    <x v="1"/>
    <x v="823"/>
    <n v="4905"/>
    <n v="1"/>
    <s v="Y"/>
    <x v="1"/>
    <n v="12"/>
    <x v="0"/>
    <x v="0"/>
    <n v="80"/>
    <n v="1"/>
    <n v="10"/>
    <n v="3"/>
    <x v="2"/>
    <x v="1"/>
    <n v="7"/>
    <x v="0"/>
    <x v="9"/>
    <x v="1"/>
    <x v="0"/>
    <x v="1"/>
    <n v="0"/>
  </r>
  <r>
    <x v="9"/>
    <x v="1"/>
    <x v="0"/>
    <n v="917"/>
    <x v="1"/>
    <n v="6"/>
    <x v="2"/>
    <x v="0"/>
    <x v="0"/>
    <n v="1221"/>
    <x v="1"/>
    <x v="1"/>
    <n v="60"/>
    <x v="3"/>
    <x v="1"/>
    <x v="2"/>
    <x v="2"/>
    <x v="2"/>
    <x v="199"/>
    <n v="6865"/>
    <n v="1"/>
    <s v="Y"/>
    <x v="1"/>
    <n v="14"/>
    <x v="0"/>
    <x v="3"/>
    <n v="80"/>
    <n v="1"/>
    <n v="7"/>
    <n v="4"/>
    <x v="1"/>
    <x v="5"/>
    <n v="7"/>
    <x v="1"/>
    <x v="1"/>
    <x v="1"/>
    <x v="0"/>
    <x v="1"/>
    <n v="0"/>
  </r>
  <r>
    <x v="7"/>
    <x v="1"/>
    <x v="0"/>
    <n v="853"/>
    <x v="1"/>
    <n v="7"/>
    <x v="2"/>
    <x v="0"/>
    <x v="0"/>
    <n v="1224"/>
    <x v="1"/>
    <x v="1"/>
    <n v="49"/>
    <x v="0"/>
    <x v="0"/>
    <x v="2"/>
    <x v="2"/>
    <x v="2"/>
    <x v="824"/>
    <n v="11309"/>
    <n v="1"/>
    <s v="Y"/>
    <x v="1"/>
    <n v="13"/>
    <x v="0"/>
    <x v="0"/>
    <n v="80"/>
    <n v="3"/>
    <n v="10"/>
    <n v="4"/>
    <x v="2"/>
    <x v="1"/>
    <n v="7"/>
    <x v="6"/>
    <x v="12"/>
    <x v="1"/>
    <x v="0"/>
    <x v="1"/>
    <n v="0"/>
  </r>
  <r>
    <x v="20"/>
    <x v="1"/>
    <x v="0"/>
    <n v="200"/>
    <x v="1"/>
    <n v="29"/>
    <x v="2"/>
    <x v="1"/>
    <x v="0"/>
    <n v="1225"/>
    <x v="2"/>
    <x v="1"/>
    <n v="32"/>
    <x v="0"/>
    <x v="0"/>
    <x v="1"/>
    <x v="0"/>
    <x v="0"/>
    <x v="825"/>
    <n v="7744"/>
    <n v="1"/>
    <s v="Y"/>
    <x v="1"/>
    <n v="25"/>
    <x v="1"/>
    <x v="2"/>
    <n v="80"/>
    <n v="0"/>
    <n v="20"/>
    <n v="3"/>
    <x v="1"/>
    <x v="23"/>
    <n v="11"/>
    <x v="11"/>
    <x v="8"/>
    <x v="0"/>
    <x v="3"/>
    <x v="1"/>
    <n v="0"/>
  </r>
  <r>
    <x v="35"/>
    <x v="1"/>
    <x v="0"/>
    <n v="654"/>
    <x v="0"/>
    <n v="21"/>
    <x v="3"/>
    <x v="3"/>
    <x v="0"/>
    <n v="1226"/>
    <x v="1"/>
    <x v="1"/>
    <n v="43"/>
    <x v="2"/>
    <x v="1"/>
    <x v="6"/>
    <x v="0"/>
    <x v="0"/>
    <x v="826"/>
    <n v="5050"/>
    <n v="1"/>
    <s v="Y"/>
    <x v="1"/>
    <n v="17"/>
    <x v="0"/>
    <x v="1"/>
    <n v="80"/>
    <n v="0"/>
    <n v="2"/>
    <n v="2"/>
    <x v="1"/>
    <x v="4"/>
    <n v="1"/>
    <x v="3"/>
    <x v="3"/>
    <x v="2"/>
    <x v="1"/>
    <x v="1"/>
    <n v="0"/>
  </r>
  <r>
    <x v="21"/>
    <x v="1"/>
    <x v="0"/>
    <n v="150"/>
    <x v="1"/>
    <n v="2"/>
    <x v="2"/>
    <x v="4"/>
    <x v="0"/>
    <n v="1228"/>
    <x v="2"/>
    <x v="1"/>
    <n v="60"/>
    <x v="0"/>
    <x v="0"/>
    <x v="3"/>
    <x v="0"/>
    <x v="2"/>
    <x v="827"/>
    <n v="17433"/>
    <n v="2"/>
    <s v="Y"/>
    <x v="1"/>
    <n v="11"/>
    <x v="0"/>
    <x v="3"/>
    <n v="80"/>
    <n v="1"/>
    <n v="12"/>
    <n v="3"/>
    <x v="2"/>
    <x v="0"/>
    <n v="3"/>
    <x v="1"/>
    <x v="10"/>
    <x v="0"/>
    <x v="0"/>
    <x v="0"/>
    <n v="0"/>
  </r>
  <r>
    <x v="19"/>
    <x v="1"/>
    <x v="2"/>
    <n v="179"/>
    <x v="2"/>
    <n v="2"/>
    <x v="4"/>
    <x v="2"/>
    <x v="0"/>
    <n v="1231"/>
    <x v="2"/>
    <x v="1"/>
    <n v="79"/>
    <x v="2"/>
    <x v="0"/>
    <x v="8"/>
    <x v="3"/>
    <x v="1"/>
    <x v="458"/>
    <n v="12858"/>
    <n v="7"/>
    <s v="Y"/>
    <x v="1"/>
    <n v="16"/>
    <x v="0"/>
    <x v="0"/>
    <n v="80"/>
    <n v="1"/>
    <n v="10"/>
    <n v="3"/>
    <x v="3"/>
    <x v="9"/>
    <n v="3"/>
    <x v="0"/>
    <x v="6"/>
    <x v="0"/>
    <x v="2"/>
    <x v="0"/>
    <n v="0"/>
  </r>
  <r>
    <x v="42"/>
    <x v="1"/>
    <x v="0"/>
    <n v="696"/>
    <x v="0"/>
    <n v="7"/>
    <x v="2"/>
    <x v="3"/>
    <x v="0"/>
    <n v="1233"/>
    <x v="0"/>
    <x v="1"/>
    <n v="52"/>
    <x v="2"/>
    <x v="0"/>
    <x v="0"/>
    <x v="0"/>
    <x v="2"/>
    <x v="828"/>
    <n v="10893"/>
    <n v="0"/>
    <s v="Y"/>
    <x v="0"/>
    <n v="18"/>
    <x v="0"/>
    <x v="2"/>
    <n v="80"/>
    <n v="1"/>
    <n v="12"/>
    <n v="3"/>
    <x v="1"/>
    <x v="19"/>
    <n v="7"/>
    <x v="1"/>
    <x v="12"/>
    <x v="3"/>
    <x v="3"/>
    <x v="0"/>
    <n v="0"/>
  </r>
  <r>
    <x v="5"/>
    <x v="1"/>
    <x v="1"/>
    <n v="116"/>
    <x v="1"/>
    <n v="13"/>
    <x v="3"/>
    <x v="1"/>
    <x v="0"/>
    <n v="1234"/>
    <x v="1"/>
    <x v="0"/>
    <n v="77"/>
    <x v="1"/>
    <x v="1"/>
    <x v="2"/>
    <x v="1"/>
    <x v="1"/>
    <x v="714"/>
    <n v="7331"/>
    <n v="1"/>
    <s v="Y"/>
    <x v="1"/>
    <n v="20"/>
    <x v="1"/>
    <x v="3"/>
    <n v="80"/>
    <n v="1"/>
    <n v="2"/>
    <n v="2"/>
    <x v="1"/>
    <x v="4"/>
    <n v="2"/>
    <x v="3"/>
    <x v="3"/>
    <x v="1"/>
    <x v="1"/>
    <x v="1"/>
    <n v="0"/>
  </r>
  <r>
    <x v="5"/>
    <x v="1"/>
    <x v="1"/>
    <n v="1316"/>
    <x v="1"/>
    <n v="2"/>
    <x v="0"/>
    <x v="0"/>
    <x v="0"/>
    <n v="1235"/>
    <x v="2"/>
    <x v="0"/>
    <n v="38"/>
    <x v="0"/>
    <x v="0"/>
    <x v="1"/>
    <x v="2"/>
    <x v="0"/>
    <x v="829"/>
    <n v="2338"/>
    <n v="4"/>
    <s v="Y"/>
    <x v="0"/>
    <n v="14"/>
    <x v="0"/>
    <x v="1"/>
    <n v="80"/>
    <n v="0"/>
    <n v="10"/>
    <n v="2"/>
    <x v="1"/>
    <x v="3"/>
    <n v="7"/>
    <x v="0"/>
    <x v="1"/>
    <x v="1"/>
    <x v="0"/>
    <x v="1"/>
    <n v="0"/>
  </r>
  <r>
    <x v="9"/>
    <x v="1"/>
    <x v="0"/>
    <n v="363"/>
    <x v="1"/>
    <n v="1"/>
    <x v="3"/>
    <x v="4"/>
    <x v="0"/>
    <n v="1237"/>
    <x v="1"/>
    <x v="0"/>
    <n v="77"/>
    <x v="3"/>
    <x v="2"/>
    <x v="3"/>
    <x v="3"/>
    <x v="2"/>
    <x v="830"/>
    <n v="4235"/>
    <n v="2"/>
    <s v="Y"/>
    <x v="0"/>
    <n v="21"/>
    <x v="1"/>
    <x v="3"/>
    <n v="80"/>
    <n v="1"/>
    <n v="17"/>
    <n v="2"/>
    <x v="1"/>
    <x v="5"/>
    <n v="7"/>
    <x v="4"/>
    <x v="1"/>
    <x v="1"/>
    <x v="0"/>
    <x v="3"/>
    <n v="0"/>
  </r>
  <r>
    <x v="3"/>
    <x v="1"/>
    <x v="0"/>
    <n v="117"/>
    <x v="1"/>
    <n v="9"/>
    <x v="3"/>
    <x v="2"/>
    <x v="0"/>
    <n v="1238"/>
    <x v="3"/>
    <x v="1"/>
    <n v="60"/>
    <x v="0"/>
    <x v="1"/>
    <x v="1"/>
    <x v="0"/>
    <x v="1"/>
    <x v="831"/>
    <n v="6311"/>
    <n v="0"/>
    <s v="Y"/>
    <x v="1"/>
    <n v="13"/>
    <x v="0"/>
    <x v="2"/>
    <n v="80"/>
    <n v="1"/>
    <n v="15"/>
    <n v="5"/>
    <x v="1"/>
    <x v="13"/>
    <n v="10"/>
    <x v="5"/>
    <x v="13"/>
    <x v="1"/>
    <x v="3"/>
    <x v="1"/>
    <n v="0"/>
  </r>
  <r>
    <x v="32"/>
    <x v="1"/>
    <x v="0"/>
    <n v="107"/>
    <x v="0"/>
    <n v="10"/>
    <x v="3"/>
    <x v="4"/>
    <x v="0"/>
    <n v="1239"/>
    <x v="0"/>
    <x v="0"/>
    <n v="84"/>
    <x v="1"/>
    <x v="0"/>
    <x v="0"/>
    <x v="1"/>
    <x v="2"/>
    <x v="832"/>
    <n v="11591"/>
    <n v="7"/>
    <s v="Y"/>
    <x v="1"/>
    <n v="12"/>
    <x v="0"/>
    <x v="2"/>
    <n v="80"/>
    <n v="1"/>
    <n v="7"/>
    <n v="2"/>
    <x v="3"/>
    <x v="8"/>
    <n v="1"/>
    <x v="1"/>
    <x v="6"/>
    <x v="0"/>
    <x v="2"/>
    <x v="0"/>
    <n v="0"/>
  </r>
  <r>
    <x v="36"/>
    <x v="1"/>
    <x v="0"/>
    <n v="1356"/>
    <x v="0"/>
    <n v="10"/>
    <x v="2"/>
    <x v="0"/>
    <x v="0"/>
    <n v="1240"/>
    <x v="1"/>
    <x v="1"/>
    <n v="57"/>
    <x v="0"/>
    <x v="0"/>
    <x v="0"/>
    <x v="0"/>
    <x v="0"/>
    <x v="833"/>
    <n v="20623"/>
    <n v="0"/>
    <s v="Y"/>
    <x v="1"/>
    <n v="14"/>
    <x v="0"/>
    <x v="2"/>
    <n v="80"/>
    <n v="0"/>
    <n v="5"/>
    <n v="4"/>
    <x v="1"/>
    <x v="9"/>
    <n v="3"/>
    <x v="1"/>
    <x v="9"/>
    <x v="2"/>
    <x v="2"/>
    <x v="1"/>
    <n v="0"/>
  </r>
  <r>
    <x v="7"/>
    <x v="1"/>
    <x v="0"/>
    <n v="1465"/>
    <x v="1"/>
    <n v="1"/>
    <x v="3"/>
    <x v="2"/>
    <x v="0"/>
    <n v="1241"/>
    <x v="2"/>
    <x v="1"/>
    <n v="63"/>
    <x v="0"/>
    <x v="1"/>
    <x v="1"/>
    <x v="1"/>
    <x v="1"/>
    <x v="834"/>
    <n v="9369"/>
    <n v="0"/>
    <s v="Y"/>
    <x v="0"/>
    <n v="21"/>
    <x v="1"/>
    <x v="0"/>
    <n v="80"/>
    <n v="1"/>
    <n v="12"/>
    <n v="2"/>
    <x v="1"/>
    <x v="19"/>
    <n v="9"/>
    <x v="8"/>
    <x v="1"/>
    <x v="1"/>
    <x v="3"/>
    <x v="1"/>
    <n v="0"/>
  </r>
  <r>
    <x v="19"/>
    <x v="1"/>
    <x v="1"/>
    <n v="458"/>
    <x v="1"/>
    <n v="26"/>
    <x v="4"/>
    <x v="2"/>
    <x v="0"/>
    <n v="1242"/>
    <x v="3"/>
    <x v="0"/>
    <n v="60"/>
    <x v="0"/>
    <x v="2"/>
    <x v="7"/>
    <x v="3"/>
    <x v="1"/>
    <x v="835"/>
    <n v="23281"/>
    <n v="3"/>
    <s v="Y"/>
    <x v="0"/>
    <n v="17"/>
    <x v="0"/>
    <x v="3"/>
    <n v="80"/>
    <n v="0"/>
    <n v="20"/>
    <n v="6"/>
    <x v="1"/>
    <x v="6"/>
    <n v="0"/>
    <x v="0"/>
    <x v="2"/>
    <x v="0"/>
    <x v="1"/>
    <x v="3"/>
    <n v="0"/>
  </r>
  <r>
    <x v="10"/>
    <x v="1"/>
    <x v="2"/>
    <n v="1212"/>
    <x v="0"/>
    <n v="8"/>
    <x v="0"/>
    <x v="3"/>
    <x v="0"/>
    <n v="1243"/>
    <x v="1"/>
    <x v="0"/>
    <n v="78"/>
    <x v="1"/>
    <x v="2"/>
    <x v="0"/>
    <x v="0"/>
    <x v="1"/>
    <x v="836"/>
    <n v="13755"/>
    <n v="4"/>
    <s v="Y"/>
    <x v="0"/>
    <n v="11"/>
    <x v="0"/>
    <x v="2"/>
    <n v="80"/>
    <n v="1"/>
    <n v="16"/>
    <n v="6"/>
    <x v="2"/>
    <x v="20"/>
    <n v="2"/>
    <x v="5"/>
    <x v="11"/>
    <x v="1"/>
    <x v="3"/>
    <x v="3"/>
    <n v="0"/>
  </r>
  <r>
    <x v="4"/>
    <x v="1"/>
    <x v="0"/>
    <n v="1103"/>
    <x v="1"/>
    <n v="14"/>
    <x v="3"/>
    <x v="0"/>
    <x v="0"/>
    <n v="1244"/>
    <x v="3"/>
    <x v="1"/>
    <n v="42"/>
    <x v="0"/>
    <x v="1"/>
    <x v="1"/>
    <x v="3"/>
    <x v="1"/>
    <x v="837"/>
    <n v="14377"/>
    <n v="1"/>
    <s v="Y"/>
    <x v="0"/>
    <n v="14"/>
    <x v="0"/>
    <x v="1"/>
    <n v="80"/>
    <n v="2"/>
    <n v="9"/>
    <n v="3"/>
    <x v="2"/>
    <x v="7"/>
    <n v="7"/>
    <x v="7"/>
    <x v="5"/>
    <x v="2"/>
    <x v="0"/>
    <x v="1"/>
    <n v="0"/>
  </r>
  <r>
    <x v="33"/>
    <x v="1"/>
    <x v="1"/>
    <n v="966"/>
    <x v="1"/>
    <n v="1"/>
    <x v="2"/>
    <x v="0"/>
    <x v="0"/>
    <n v="1245"/>
    <x v="2"/>
    <x v="0"/>
    <n v="53"/>
    <x v="0"/>
    <x v="2"/>
    <x v="3"/>
    <x v="2"/>
    <x v="2"/>
    <x v="838"/>
    <n v="9659"/>
    <n v="7"/>
    <s v="Y"/>
    <x v="1"/>
    <n v="17"/>
    <x v="0"/>
    <x v="0"/>
    <n v="80"/>
    <n v="1"/>
    <n v="33"/>
    <n v="2"/>
    <x v="0"/>
    <x v="8"/>
    <n v="4"/>
    <x v="1"/>
    <x v="10"/>
    <x v="3"/>
    <x v="2"/>
    <x v="3"/>
    <n v="0"/>
  </r>
  <r>
    <x v="20"/>
    <x v="1"/>
    <x v="0"/>
    <n v="1117"/>
    <x v="1"/>
    <n v="2"/>
    <x v="1"/>
    <x v="0"/>
    <x v="0"/>
    <n v="1246"/>
    <x v="3"/>
    <x v="0"/>
    <n v="72"/>
    <x v="2"/>
    <x v="1"/>
    <x v="1"/>
    <x v="0"/>
    <x v="1"/>
    <x v="839"/>
    <n v="19982"/>
    <n v="1"/>
    <s v="Y"/>
    <x v="1"/>
    <n v="13"/>
    <x v="0"/>
    <x v="1"/>
    <n v="80"/>
    <n v="1"/>
    <n v="10"/>
    <n v="5"/>
    <x v="1"/>
    <x v="1"/>
    <n v="5"/>
    <x v="4"/>
    <x v="1"/>
    <x v="0"/>
    <x v="0"/>
    <x v="1"/>
    <n v="0"/>
  </r>
  <r>
    <x v="37"/>
    <x v="0"/>
    <x v="2"/>
    <n v="504"/>
    <x v="1"/>
    <n v="10"/>
    <x v="3"/>
    <x v="2"/>
    <x v="0"/>
    <n v="1248"/>
    <x v="3"/>
    <x v="0"/>
    <n v="96"/>
    <x v="1"/>
    <x v="1"/>
    <x v="1"/>
    <x v="1"/>
    <x v="0"/>
    <x v="840"/>
    <n v="6148"/>
    <n v="1"/>
    <s v="Y"/>
    <x v="0"/>
    <n v="25"/>
    <x v="1"/>
    <x v="2"/>
    <n v="80"/>
    <n v="0"/>
    <n v="1"/>
    <n v="2"/>
    <x v="3"/>
    <x v="6"/>
    <n v="1"/>
    <x v="0"/>
    <x v="2"/>
    <x v="4"/>
    <x v="1"/>
    <x v="1"/>
    <n v="1"/>
  </r>
  <r>
    <x v="11"/>
    <x v="1"/>
    <x v="0"/>
    <n v="1010"/>
    <x v="1"/>
    <n v="1"/>
    <x v="3"/>
    <x v="0"/>
    <x v="0"/>
    <n v="1249"/>
    <x v="3"/>
    <x v="0"/>
    <n v="97"/>
    <x v="0"/>
    <x v="1"/>
    <x v="1"/>
    <x v="0"/>
    <x v="2"/>
    <x v="841"/>
    <n v="5598"/>
    <n v="1"/>
    <s v="Y"/>
    <x v="1"/>
    <n v="15"/>
    <x v="0"/>
    <x v="0"/>
    <n v="80"/>
    <n v="3"/>
    <n v="3"/>
    <n v="5"/>
    <x v="1"/>
    <x v="11"/>
    <n v="2"/>
    <x v="1"/>
    <x v="3"/>
    <x v="2"/>
    <x v="2"/>
    <x v="1"/>
    <n v="0"/>
  </r>
  <r>
    <x v="33"/>
    <x v="1"/>
    <x v="0"/>
    <n v="685"/>
    <x v="1"/>
    <n v="3"/>
    <x v="3"/>
    <x v="0"/>
    <x v="0"/>
    <n v="1250"/>
    <x v="2"/>
    <x v="1"/>
    <n v="85"/>
    <x v="0"/>
    <x v="3"/>
    <x v="7"/>
    <x v="0"/>
    <x v="1"/>
    <x v="842"/>
    <n v="23474"/>
    <n v="3"/>
    <s v="Y"/>
    <x v="1"/>
    <n v="14"/>
    <x v="0"/>
    <x v="0"/>
    <n v="80"/>
    <n v="0"/>
    <n v="36"/>
    <n v="2"/>
    <x v="1"/>
    <x v="1"/>
    <n v="9"/>
    <x v="0"/>
    <x v="12"/>
    <x v="3"/>
    <x v="0"/>
    <x v="2"/>
    <n v="0"/>
  </r>
  <r>
    <x v="12"/>
    <x v="1"/>
    <x v="0"/>
    <n v="1332"/>
    <x v="1"/>
    <n v="11"/>
    <x v="0"/>
    <x v="2"/>
    <x v="0"/>
    <n v="1251"/>
    <x v="1"/>
    <x v="1"/>
    <n v="80"/>
    <x v="0"/>
    <x v="0"/>
    <x v="4"/>
    <x v="3"/>
    <x v="1"/>
    <x v="843"/>
    <n v="17089"/>
    <n v="1"/>
    <s v="Y"/>
    <x v="0"/>
    <n v="12"/>
    <x v="0"/>
    <x v="1"/>
    <n v="80"/>
    <n v="0"/>
    <n v="6"/>
    <n v="2"/>
    <x v="2"/>
    <x v="0"/>
    <n v="5"/>
    <x v="0"/>
    <x v="9"/>
    <x v="1"/>
    <x v="0"/>
    <x v="0"/>
    <n v="0"/>
  </r>
  <r>
    <x v="12"/>
    <x v="1"/>
    <x v="0"/>
    <n v="1062"/>
    <x v="1"/>
    <n v="24"/>
    <x v="3"/>
    <x v="2"/>
    <x v="0"/>
    <n v="1252"/>
    <x v="1"/>
    <x v="0"/>
    <n v="96"/>
    <x v="1"/>
    <x v="0"/>
    <x v="4"/>
    <x v="3"/>
    <x v="0"/>
    <x v="844"/>
    <n v="17198"/>
    <n v="1"/>
    <s v="Y"/>
    <x v="1"/>
    <n v="19"/>
    <x v="0"/>
    <x v="2"/>
    <n v="80"/>
    <n v="0"/>
    <n v="10"/>
    <n v="2"/>
    <x v="1"/>
    <x v="1"/>
    <n v="9"/>
    <x v="1"/>
    <x v="5"/>
    <x v="1"/>
    <x v="0"/>
    <x v="0"/>
    <n v="0"/>
  </r>
  <r>
    <x v="6"/>
    <x v="1"/>
    <x v="0"/>
    <n v="326"/>
    <x v="0"/>
    <n v="3"/>
    <x v="3"/>
    <x v="0"/>
    <x v="0"/>
    <n v="1254"/>
    <x v="1"/>
    <x v="0"/>
    <n v="48"/>
    <x v="1"/>
    <x v="0"/>
    <x v="0"/>
    <x v="0"/>
    <x v="0"/>
    <x v="845"/>
    <n v="16490"/>
    <n v="5"/>
    <s v="Y"/>
    <x v="1"/>
    <n v="17"/>
    <x v="0"/>
    <x v="1"/>
    <n v="80"/>
    <n v="0"/>
    <n v="13"/>
    <n v="2"/>
    <x v="1"/>
    <x v="0"/>
    <n v="1"/>
    <x v="0"/>
    <x v="0"/>
    <x v="3"/>
    <x v="0"/>
    <x v="0"/>
    <n v="0"/>
  </r>
  <r>
    <x v="23"/>
    <x v="1"/>
    <x v="0"/>
    <n v="920"/>
    <x v="1"/>
    <n v="3"/>
    <x v="3"/>
    <x v="0"/>
    <x v="0"/>
    <n v="1255"/>
    <x v="1"/>
    <x v="1"/>
    <n v="96"/>
    <x v="3"/>
    <x v="4"/>
    <x v="7"/>
    <x v="0"/>
    <x v="1"/>
    <x v="846"/>
    <n v="18625"/>
    <n v="3"/>
    <s v="Y"/>
    <x v="1"/>
    <n v="14"/>
    <x v="0"/>
    <x v="2"/>
    <n v="80"/>
    <n v="1"/>
    <n v="25"/>
    <n v="2"/>
    <x v="1"/>
    <x v="3"/>
    <n v="7"/>
    <x v="0"/>
    <x v="1"/>
    <x v="0"/>
    <x v="0"/>
    <x v="2"/>
    <n v="0"/>
  </r>
  <r>
    <x v="1"/>
    <x v="1"/>
    <x v="0"/>
    <n v="1098"/>
    <x v="1"/>
    <n v="4"/>
    <x v="0"/>
    <x v="2"/>
    <x v="0"/>
    <n v="1256"/>
    <x v="3"/>
    <x v="1"/>
    <n v="85"/>
    <x v="1"/>
    <x v="4"/>
    <x v="5"/>
    <x v="2"/>
    <x v="1"/>
    <x v="847"/>
    <n v="12124"/>
    <n v="2"/>
    <s v="Y"/>
    <x v="1"/>
    <n v="13"/>
    <x v="0"/>
    <x v="3"/>
    <n v="80"/>
    <n v="1"/>
    <n v="23"/>
    <n v="2"/>
    <x v="3"/>
    <x v="6"/>
    <n v="0"/>
    <x v="0"/>
    <x v="2"/>
    <x v="0"/>
    <x v="1"/>
    <x v="2"/>
    <n v="0"/>
  </r>
  <r>
    <x v="9"/>
    <x v="1"/>
    <x v="1"/>
    <n v="469"/>
    <x v="1"/>
    <n v="3"/>
    <x v="3"/>
    <x v="4"/>
    <x v="0"/>
    <n v="1257"/>
    <x v="1"/>
    <x v="1"/>
    <n v="46"/>
    <x v="0"/>
    <x v="1"/>
    <x v="1"/>
    <x v="1"/>
    <x v="1"/>
    <x v="848"/>
    <n v="9256"/>
    <n v="1"/>
    <s v="Y"/>
    <x v="1"/>
    <n v="12"/>
    <x v="0"/>
    <x v="3"/>
    <n v="80"/>
    <n v="0"/>
    <n v="12"/>
    <n v="2"/>
    <x v="2"/>
    <x v="19"/>
    <n v="10"/>
    <x v="0"/>
    <x v="1"/>
    <x v="1"/>
    <x v="3"/>
    <x v="1"/>
    <n v="0"/>
  </r>
  <r>
    <x v="26"/>
    <x v="1"/>
    <x v="0"/>
    <n v="969"/>
    <x v="1"/>
    <n v="2"/>
    <x v="0"/>
    <x v="4"/>
    <x v="0"/>
    <n v="1258"/>
    <x v="2"/>
    <x v="1"/>
    <n v="76"/>
    <x v="2"/>
    <x v="1"/>
    <x v="2"/>
    <x v="1"/>
    <x v="0"/>
    <x v="594"/>
    <n v="16620"/>
    <n v="5"/>
    <s v="Y"/>
    <x v="1"/>
    <n v="11"/>
    <x v="0"/>
    <x v="3"/>
    <n v="80"/>
    <n v="0"/>
    <n v="7"/>
    <n v="4"/>
    <x v="2"/>
    <x v="6"/>
    <n v="0"/>
    <x v="0"/>
    <x v="2"/>
    <x v="0"/>
    <x v="1"/>
    <x v="1"/>
    <n v="0"/>
  </r>
  <r>
    <x v="4"/>
    <x v="1"/>
    <x v="0"/>
    <n v="1167"/>
    <x v="1"/>
    <n v="4"/>
    <x v="0"/>
    <x v="0"/>
    <x v="0"/>
    <n v="1259"/>
    <x v="3"/>
    <x v="1"/>
    <n v="76"/>
    <x v="0"/>
    <x v="1"/>
    <x v="1"/>
    <x v="2"/>
    <x v="2"/>
    <x v="849"/>
    <n v="3208"/>
    <n v="1"/>
    <s v="Y"/>
    <x v="1"/>
    <n v="11"/>
    <x v="0"/>
    <x v="2"/>
    <n v="80"/>
    <n v="3"/>
    <n v="5"/>
    <n v="2"/>
    <x v="1"/>
    <x v="8"/>
    <n v="3"/>
    <x v="0"/>
    <x v="6"/>
    <x v="2"/>
    <x v="2"/>
    <x v="1"/>
    <n v="0"/>
  </r>
  <r>
    <x v="11"/>
    <x v="1"/>
    <x v="0"/>
    <n v="1329"/>
    <x v="1"/>
    <n v="7"/>
    <x v="3"/>
    <x v="0"/>
    <x v="0"/>
    <n v="1260"/>
    <x v="1"/>
    <x v="1"/>
    <n v="82"/>
    <x v="0"/>
    <x v="0"/>
    <x v="4"/>
    <x v="0"/>
    <x v="2"/>
    <x v="850"/>
    <n v="4204"/>
    <n v="1"/>
    <s v="Y"/>
    <x v="0"/>
    <n v="11"/>
    <x v="0"/>
    <x v="2"/>
    <n v="80"/>
    <n v="2"/>
    <n v="6"/>
    <n v="2"/>
    <x v="1"/>
    <x v="0"/>
    <n v="0"/>
    <x v="1"/>
    <x v="2"/>
    <x v="2"/>
    <x v="0"/>
    <x v="0"/>
    <n v="0"/>
  </r>
  <r>
    <x v="26"/>
    <x v="1"/>
    <x v="0"/>
    <n v="715"/>
    <x v="1"/>
    <n v="1"/>
    <x v="3"/>
    <x v="0"/>
    <x v="0"/>
    <n v="1263"/>
    <x v="2"/>
    <x v="1"/>
    <n v="76"/>
    <x v="1"/>
    <x v="4"/>
    <x v="7"/>
    <x v="0"/>
    <x v="0"/>
    <x v="851"/>
    <n v="8733"/>
    <n v="6"/>
    <s v="Y"/>
    <x v="1"/>
    <n v="12"/>
    <x v="0"/>
    <x v="3"/>
    <n v="80"/>
    <n v="0"/>
    <n v="25"/>
    <n v="3"/>
    <x v="3"/>
    <x v="6"/>
    <n v="0"/>
    <x v="0"/>
    <x v="2"/>
    <x v="0"/>
    <x v="1"/>
    <x v="2"/>
    <n v="0"/>
  </r>
  <r>
    <x v="11"/>
    <x v="1"/>
    <x v="0"/>
    <n v="694"/>
    <x v="1"/>
    <n v="1"/>
    <x v="3"/>
    <x v="0"/>
    <x v="0"/>
    <n v="1264"/>
    <x v="2"/>
    <x v="0"/>
    <n v="87"/>
    <x v="1"/>
    <x v="3"/>
    <x v="7"/>
    <x v="0"/>
    <x v="2"/>
    <x v="852"/>
    <n v="3423"/>
    <n v="3"/>
    <s v="Y"/>
    <x v="1"/>
    <n v="14"/>
    <x v="0"/>
    <x v="2"/>
    <n v="80"/>
    <n v="2"/>
    <n v="9"/>
    <n v="2"/>
    <x v="2"/>
    <x v="5"/>
    <n v="7"/>
    <x v="1"/>
    <x v="1"/>
    <x v="2"/>
    <x v="0"/>
    <x v="2"/>
    <n v="0"/>
  </r>
  <r>
    <x v="13"/>
    <x v="1"/>
    <x v="0"/>
    <n v="1320"/>
    <x v="1"/>
    <n v="20"/>
    <x v="3"/>
    <x v="4"/>
    <x v="0"/>
    <n v="1265"/>
    <x v="1"/>
    <x v="0"/>
    <n v="89"/>
    <x v="2"/>
    <x v="1"/>
    <x v="1"/>
    <x v="2"/>
    <x v="1"/>
    <x v="853"/>
    <n v="21643"/>
    <n v="0"/>
    <s v="Y"/>
    <x v="1"/>
    <n v="17"/>
    <x v="0"/>
    <x v="1"/>
    <n v="80"/>
    <n v="0"/>
    <n v="2"/>
    <n v="5"/>
    <x v="2"/>
    <x v="6"/>
    <n v="0"/>
    <x v="0"/>
    <x v="2"/>
    <x v="1"/>
    <x v="1"/>
    <x v="1"/>
    <n v="0"/>
  </r>
  <r>
    <x v="20"/>
    <x v="1"/>
    <x v="0"/>
    <n v="1099"/>
    <x v="0"/>
    <n v="5"/>
    <x v="3"/>
    <x v="3"/>
    <x v="0"/>
    <n v="1267"/>
    <x v="0"/>
    <x v="1"/>
    <n v="88"/>
    <x v="0"/>
    <x v="4"/>
    <x v="5"/>
    <x v="1"/>
    <x v="1"/>
    <x v="854"/>
    <n v="8751"/>
    <n v="7"/>
    <s v="Y"/>
    <x v="1"/>
    <n v="11"/>
    <x v="0"/>
    <x v="3"/>
    <n v="80"/>
    <n v="1"/>
    <n v="26"/>
    <n v="5"/>
    <x v="1"/>
    <x v="14"/>
    <n v="9"/>
    <x v="2"/>
    <x v="13"/>
    <x v="0"/>
    <x v="3"/>
    <x v="2"/>
    <n v="0"/>
  </r>
  <r>
    <x v="3"/>
    <x v="1"/>
    <x v="0"/>
    <n v="536"/>
    <x v="0"/>
    <n v="10"/>
    <x v="4"/>
    <x v="3"/>
    <x v="0"/>
    <n v="1268"/>
    <x v="2"/>
    <x v="1"/>
    <n v="82"/>
    <x v="2"/>
    <x v="2"/>
    <x v="0"/>
    <x v="2"/>
    <x v="2"/>
    <x v="855"/>
    <n v="21708"/>
    <n v="0"/>
    <s v="Y"/>
    <x v="0"/>
    <n v="14"/>
    <x v="0"/>
    <x v="1"/>
    <n v="80"/>
    <n v="2"/>
    <n v="10"/>
    <n v="3"/>
    <x v="1"/>
    <x v="7"/>
    <n v="8"/>
    <x v="0"/>
    <x v="5"/>
    <x v="1"/>
    <x v="0"/>
    <x v="0"/>
    <n v="0"/>
  </r>
  <r>
    <x v="37"/>
    <x v="1"/>
    <x v="0"/>
    <n v="265"/>
    <x v="1"/>
    <n v="25"/>
    <x v="3"/>
    <x v="0"/>
    <x v="0"/>
    <n v="1269"/>
    <x v="0"/>
    <x v="0"/>
    <n v="57"/>
    <x v="2"/>
    <x v="1"/>
    <x v="1"/>
    <x v="0"/>
    <x v="0"/>
    <x v="856"/>
    <n v="21221"/>
    <n v="1"/>
    <s v="Y"/>
    <x v="0"/>
    <n v="12"/>
    <x v="0"/>
    <x v="1"/>
    <n v="80"/>
    <n v="0"/>
    <n v="1"/>
    <n v="2"/>
    <x v="1"/>
    <x v="6"/>
    <n v="0"/>
    <x v="0"/>
    <x v="9"/>
    <x v="4"/>
    <x v="1"/>
    <x v="1"/>
    <n v="0"/>
  </r>
  <r>
    <x v="30"/>
    <x v="1"/>
    <x v="0"/>
    <n v="373"/>
    <x v="1"/>
    <n v="1"/>
    <x v="0"/>
    <x v="0"/>
    <x v="0"/>
    <n v="1270"/>
    <x v="2"/>
    <x v="1"/>
    <n v="47"/>
    <x v="0"/>
    <x v="1"/>
    <x v="1"/>
    <x v="2"/>
    <x v="1"/>
    <x v="857"/>
    <n v="16901"/>
    <n v="1"/>
    <s v="Y"/>
    <x v="1"/>
    <n v="22"/>
    <x v="1"/>
    <x v="1"/>
    <n v="80"/>
    <n v="1"/>
    <n v="1"/>
    <n v="2"/>
    <x v="1"/>
    <x v="6"/>
    <n v="0"/>
    <x v="0"/>
    <x v="9"/>
    <x v="2"/>
    <x v="1"/>
    <x v="1"/>
    <n v="0"/>
  </r>
  <r>
    <x v="36"/>
    <x v="0"/>
    <x v="1"/>
    <n v="599"/>
    <x v="0"/>
    <n v="24"/>
    <x v="1"/>
    <x v="0"/>
    <x v="0"/>
    <n v="1273"/>
    <x v="1"/>
    <x v="1"/>
    <n v="73"/>
    <x v="3"/>
    <x v="1"/>
    <x v="6"/>
    <x v="0"/>
    <x v="0"/>
    <x v="858"/>
    <n v="8040"/>
    <n v="1"/>
    <s v="Y"/>
    <x v="0"/>
    <n v="14"/>
    <x v="0"/>
    <x v="1"/>
    <n v="80"/>
    <n v="0"/>
    <n v="1"/>
    <n v="4"/>
    <x v="1"/>
    <x v="6"/>
    <n v="0"/>
    <x v="1"/>
    <x v="2"/>
    <x v="2"/>
    <x v="1"/>
    <x v="1"/>
    <n v="1"/>
  </r>
  <r>
    <x v="25"/>
    <x v="1"/>
    <x v="0"/>
    <n v="583"/>
    <x v="1"/>
    <n v="4"/>
    <x v="0"/>
    <x v="0"/>
    <x v="0"/>
    <n v="1275"/>
    <x v="1"/>
    <x v="1"/>
    <n v="53"/>
    <x v="0"/>
    <x v="1"/>
    <x v="1"/>
    <x v="0"/>
    <x v="0"/>
    <x v="859"/>
    <n v="9973"/>
    <n v="1"/>
    <s v="Y"/>
    <x v="0"/>
    <n v="20"/>
    <x v="1"/>
    <x v="2"/>
    <n v="80"/>
    <n v="0"/>
    <n v="8"/>
    <n v="2"/>
    <x v="2"/>
    <x v="3"/>
    <n v="5"/>
    <x v="3"/>
    <x v="3"/>
    <x v="2"/>
    <x v="0"/>
    <x v="1"/>
    <n v="0"/>
  </r>
  <r>
    <x v="28"/>
    <x v="0"/>
    <x v="0"/>
    <n v="1449"/>
    <x v="0"/>
    <n v="2"/>
    <x v="3"/>
    <x v="3"/>
    <x v="0"/>
    <n v="1277"/>
    <x v="3"/>
    <x v="0"/>
    <n v="94"/>
    <x v="3"/>
    <x v="4"/>
    <x v="5"/>
    <x v="1"/>
    <x v="0"/>
    <x v="860"/>
    <n v="2493"/>
    <n v="2"/>
    <s v="Y"/>
    <x v="0"/>
    <n v="16"/>
    <x v="0"/>
    <x v="0"/>
    <n v="80"/>
    <n v="0"/>
    <n v="26"/>
    <n v="2"/>
    <x v="1"/>
    <x v="25"/>
    <n v="10"/>
    <x v="1"/>
    <x v="7"/>
    <x v="0"/>
    <x v="3"/>
    <x v="2"/>
    <n v="1"/>
  </r>
  <r>
    <x v="27"/>
    <x v="1"/>
    <x v="2"/>
    <n v="177"/>
    <x v="1"/>
    <n v="8"/>
    <x v="1"/>
    <x v="2"/>
    <x v="0"/>
    <n v="1278"/>
    <x v="2"/>
    <x v="1"/>
    <n v="37"/>
    <x v="1"/>
    <x v="3"/>
    <x v="4"/>
    <x v="1"/>
    <x v="2"/>
    <x v="861"/>
    <n v="25592"/>
    <n v="1"/>
    <s v="Y"/>
    <x v="0"/>
    <n v="15"/>
    <x v="0"/>
    <x v="1"/>
    <n v="80"/>
    <n v="1"/>
    <n v="34"/>
    <n v="3"/>
    <x v="1"/>
    <x v="26"/>
    <n v="9"/>
    <x v="9"/>
    <x v="2"/>
    <x v="3"/>
    <x v="3"/>
    <x v="3"/>
    <n v="0"/>
  </r>
  <r>
    <x v="18"/>
    <x v="0"/>
    <x v="1"/>
    <n v="251"/>
    <x v="1"/>
    <n v="10"/>
    <x v="0"/>
    <x v="0"/>
    <x v="0"/>
    <n v="1279"/>
    <x v="3"/>
    <x v="0"/>
    <n v="45"/>
    <x v="1"/>
    <x v="1"/>
    <x v="2"/>
    <x v="2"/>
    <x v="0"/>
    <x v="862"/>
    <n v="25308"/>
    <n v="1"/>
    <s v="Y"/>
    <x v="1"/>
    <n v="20"/>
    <x v="1"/>
    <x v="3"/>
    <n v="80"/>
    <n v="0"/>
    <n v="2"/>
    <n v="2"/>
    <x v="0"/>
    <x v="4"/>
    <n v="2"/>
    <x v="3"/>
    <x v="3"/>
    <x v="2"/>
    <x v="1"/>
    <x v="1"/>
    <n v="1"/>
  </r>
  <r>
    <x v="21"/>
    <x v="1"/>
    <x v="0"/>
    <n v="168"/>
    <x v="0"/>
    <n v="4"/>
    <x v="0"/>
    <x v="3"/>
    <x v="0"/>
    <n v="1280"/>
    <x v="2"/>
    <x v="0"/>
    <n v="33"/>
    <x v="1"/>
    <x v="4"/>
    <x v="5"/>
    <x v="1"/>
    <x v="1"/>
    <x v="863"/>
    <n v="9946"/>
    <n v="2"/>
    <s v="Y"/>
    <x v="1"/>
    <n v="14"/>
    <x v="0"/>
    <x v="3"/>
    <n v="80"/>
    <n v="1"/>
    <n v="26"/>
    <n v="2"/>
    <x v="1"/>
    <x v="19"/>
    <n v="4"/>
    <x v="0"/>
    <x v="5"/>
    <x v="0"/>
    <x v="3"/>
    <x v="2"/>
    <n v="0"/>
  </r>
  <r>
    <x v="13"/>
    <x v="1"/>
    <x v="0"/>
    <n v="131"/>
    <x v="0"/>
    <n v="2"/>
    <x v="3"/>
    <x v="3"/>
    <x v="0"/>
    <n v="1281"/>
    <x v="1"/>
    <x v="0"/>
    <n v="86"/>
    <x v="0"/>
    <x v="0"/>
    <x v="0"/>
    <x v="3"/>
    <x v="0"/>
    <x v="864"/>
    <n v="6039"/>
    <n v="0"/>
    <s v="Y"/>
    <x v="0"/>
    <n v="12"/>
    <x v="0"/>
    <x v="1"/>
    <n v="80"/>
    <n v="0"/>
    <n v="4"/>
    <n v="3"/>
    <x v="1"/>
    <x v="11"/>
    <n v="2"/>
    <x v="0"/>
    <x v="3"/>
    <x v="1"/>
    <x v="2"/>
    <x v="1"/>
    <n v="0"/>
  </r>
  <r>
    <x v="31"/>
    <x v="1"/>
    <x v="1"/>
    <n v="237"/>
    <x v="0"/>
    <n v="9"/>
    <x v="3"/>
    <x v="0"/>
    <x v="0"/>
    <n v="1282"/>
    <x v="2"/>
    <x v="1"/>
    <n v="83"/>
    <x v="0"/>
    <x v="4"/>
    <x v="5"/>
    <x v="1"/>
    <x v="2"/>
    <x v="865"/>
    <n v="19196"/>
    <n v="4"/>
    <s v="Y"/>
    <x v="0"/>
    <n v="24"/>
    <x v="1"/>
    <x v="0"/>
    <n v="80"/>
    <n v="1"/>
    <n v="31"/>
    <n v="5"/>
    <x v="2"/>
    <x v="30"/>
    <n v="10"/>
    <x v="14"/>
    <x v="13"/>
    <x v="3"/>
    <x v="3"/>
    <x v="2"/>
    <n v="0"/>
  </r>
  <r>
    <x v="6"/>
    <x v="1"/>
    <x v="0"/>
    <n v="1429"/>
    <x v="1"/>
    <n v="18"/>
    <x v="2"/>
    <x v="2"/>
    <x v="0"/>
    <n v="1283"/>
    <x v="2"/>
    <x v="1"/>
    <n v="67"/>
    <x v="0"/>
    <x v="2"/>
    <x v="3"/>
    <x v="0"/>
    <x v="0"/>
    <x v="866"/>
    <n v="20002"/>
    <n v="6"/>
    <s v="Y"/>
    <x v="1"/>
    <n v="12"/>
    <x v="0"/>
    <x v="1"/>
    <n v="80"/>
    <n v="0"/>
    <n v="25"/>
    <n v="6"/>
    <x v="2"/>
    <x v="7"/>
    <n v="7"/>
    <x v="8"/>
    <x v="10"/>
    <x v="3"/>
    <x v="0"/>
    <x v="3"/>
    <n v="0"/>
  </r>
  <r>
    <x v="13"/>
    <x v="1"/>
    <x v="1"/>
    <n v="135"/>
    <x v="1"/>
    <n v="19"/>
    <x v="3"/>
    <x v="2"/>
    <x v="0"/>
    <n v="1285"/>
    <x v="1"/>
    <x v="0"/>
    <n v="46"/>
    <x v="0"/>
    <x v="0"/>
    <x v="2"/>
    <x v="1"/>
    <x v="2"/>
    <x v="867"/>
    <n v="22534"/>
    <n v="4"/>
    <s v="Y"/>
    <x v="1"/>
    <n v="13"/>
    <x v="0"/>
    <x v="3"/>
    <n v="80"/>
    <n v="2"/>
    <n v="15"/>
    <n v="2"/>
    <x v="3"/>
    <x v="19"/>
    <n v="8"/>
    <x v="8"/>
    <x v="13"/>
    <x v="1"/>
    <x v="3"/>
    <x v="1"/>
    <n v="0"/>
  </r>
  <r>
    <x v="14"/>
    <x v="1"/>
    <x v="1"/>
    <n v="791"/>
    <x v="1"/>
    <n v="1"/>
    <x v="2"/>
    <x v="2"/>
    <x v="0"/>
    <n v="1286"/>
    <x v="2"/>
    <x v="1"/>
    <n v="44"/>
    <x v="0"/>
    <x v="1"/>
    <x v="2"/>
    <x v="2"/>
    <x v="0"/>
    <x v="868"/>
    <n v="6842"/>
    <n v="0"/>
    <s v="Y"/>
    <x v="0"/>
    <n v="11"/>
    <x v="0"/>
    <x v="3"/>
    <n v="80"/>
    <n v="0"/>
    <n v="5"/>
    <n v="2"/>
    <x v="2"/>
    <x v="9"/>
    <n v="2"/>
    <x v="0"/>
    <x v="3"/>
    <x v="2"/>
    <x v="2"/>
    <x v="1"/>
    <n v="0"/>
  </r>
  <r>
    <x v="20"/>
    <x v="1"/>
    <x v="0"/>
    <n v="1199"/>
    <x v="1"/>
    <n v="4"/>
    <x v="0"/>
    <x v="0"/>
    <x v="0"/>
    <n v="1288"/>
    <x v="1"/>
    <x v="1"/>
    <n v="92"/>
    <x v="2"/>
    <x v="4"/>
    <x v="5"/>
    <x v="3"/>
    <x v="2"/>
    <x v="869"/>
    <n v="17477"/>
    <n v="1"/>
    <s v="Y"/>
    <x v="1"/>
    <n v="14"/>
    <x v="0"/>
    <x v="1"/>
    <n v="80"/>
    <n v="2"/>
    <n v="26"/>
    <n v="4"/>
    <x v="2"/>
    <x v="10"/>
    <n v="9"/>
    <x v="15"/>
    <x v="15"/>
    <x v="0"/>
    <x v="3"/>
    <x v="2"/>
    <n v="0"/>
  </r>
  <r>
    <x v="13"/>
    <x v="1"/>
    <x v="1"/>
    <n v="648"/>
    <x v="2"/>
    <n v="11"/>
    <x v="3"/>
    <x v="0"/>
    <x v="0"/>
    <n v="1289"/>
    <x v="1"/>
    <x v="1"/>
    <n v="56"/>
    <x v="1"/>
    <x v="0"/>
    <x v="8"/>
    <x v="1"/>
    <x v="1"/>
    <x v="870"/>
    <n v="21833"/>
    <n v="4"/>
    <s v="Y"/>
    <x v="1"/>
    <n v="11"/>
    <x v="0"/>
    <x v="1"/>
    <n v="80"/>
    <n v="2"/>
    <n v="14"/>
    <n v="5"/>
    <x v="3"/>
    <x v="1"/>
    <n v="9"/>
    <x v="1"/>
    <x v="5"/>
    <x v="1"/>
    <x v="0"/>
    <x v="1"/>
    <n v="0"/>
  </r>
  <r>
    <x v="10"/>
    <x v="1"/>
    <x v="0"/>
    <n v="735"/>
    <x v="1"/>
    <n v="6"/>
    <x v="1"/>
    <x v="0"/>
    <x v="0"/>
    <n v="1291"/>
    <x v="1"/>
    <x v="1"/>
    <n v="66"/>
    <x v="0"/>
    <x v="1"/>
    <x v="1"/>
    <x v="2"/>
    <x v="1"/>
    <x v="871"/>
    <n v="6020"/>
    <n v="0"/>
    <s v="Y"/>
    <x v="0"/>
    <n v="14"/>
    <x v="0"/>
    <x v="1"/>
    <n v="80"/>
    <n v="0"/>
    <n v="4"/>
    <n v="3"/>
    <x v="1"/>
    <x v="11"/>
    <n v="2"/>
    <x v="3"/>
    <x v="3"/>
    <x v="1"/>
    <x v="2"/>
    <x v="1"/>
    <n v="0"/>
  </r>
  <r>
    <x v="19"/>
    <x v="1"/>
    <x v="0"/>
    <n v="603"/>
    <x v="1"/>
    <n v="7"/>
    <x v="2"/>
    <x v="2"/>
    <x v="0"/>
    <n v="1292"/>
    <x v="0"/>
    <x v="0"/>
    <n v="78"/>
    <x v="2"/>
    <x v="0"/>
    <x v="1"/>
    <x v="1"/>
    <x v="1"/>
    <x v="872"/>
    <n v="5628"/>
    <n v="6"/>
    <s v="Y"/>
    <x v="0"/>
    <n v="16"/>
    <x v="0"/>
    <x v="1"/>
    <n v="80"/>
    <n v="0"/>
    <n v="18"/>
    <n v="2"/>
    <x v="1"/>
    <x v="6"/>
    <n v="0"/>
    <x v="0"/>
    <x v="2"/>
    <x v="0"/>
    <x v="1"/>
    <x v="1"/>
    <n v="0"/>
  </r>
  <r>
    <x v="23"/>
    <x v="1"/>
    <x v="0"/>
    <n v="531"/>
    <x v="0"/>
    <n v="4"/>
    <x v="2"/>
    <x v="3"/>
    <x v="0"/>
    <n v="1293"/>
    <x v="2"/>
    <x v="0"/>
    <n v="56"/>
    <x v="1"/>
    <x v="2"/>
    <x v="0"/>
    <x v="0"/>
    <x v="0"/>
    <x v="873"/>
    <n v="20364"/>
    <n v="3"/>
    <s v="Y"/>
    <x v="1"/>
    <n v="14"/>
    <x v="0"/>
    <x v="1"/>
    <n v="80"/>
    <n v="0"/>
    <n v="23"/>
    <n v="3"/>
    <x v="3"/>
    <x v="17"/>
    <n v="7"/>
    <x v="9"/>
    <x v="8"/>
    <x v="0"/>
    <x v="3"/>
    <x v="3"/>
    <n v="0"/>
  </r>
  <r>
    <x v="9"/>
    <x v="1"/>
    <x v="0"/>
    <n v="429"/>
    <x v="1"/>
    <n v="2"/>
    <x v="2"/>
    <x v="0"/>
    <x v="0"/>
    <n v="1294"/>
    <x v="1"/>
    <x v="0"/>
    <n v="53"/>
    <x v="0"/>
    <x v="0"/>
    <x v="3"/>
    <x v="1"/>
    <x v="0"/>
    <x v="874"/>
    <n v="2323"/>
    <n v="9"/>
    <s v="Y"/>
    <x v="0"/>
    <n v="11"/>
    <x v="0"/>
    <x v="1"/>
    <n v="80"/>
    <n v="0"/>
    <n v="18"/>
    <n v="2"/>
    <x v="1"/>
    <x v="22"/>
    <n v="14"/>
    <x v="8"/>
    <x v="11"/>
    <x v="1"/>
    <x v="3"/>
    <x v="0"/>
    <n v="0"/>
  </r>
  <r>
    <x v="20"/>
    <x v="0"/>
    <x v="0"/>
    <n v="621"/>
    <x v="1"/>
    <n v="15"/>
    <x v="3"/>
    <x v="2"/>
    <x v="0"/>
    <n v="1295"/>
    <x v="3"/>
    <x v="0"/>
    <n v="73"/>
    <x v="0"/>
    <x v="2"/>
    <x v="4"/>
    <x v="0"/>
    <x v="1"/>
    <x v="875"/>
    <n v="14075"/>
    <n v="1"/>
    <s v="Y"/>
    <x v="1"/>
    <n v="11"/>
    <x v="0"/>
    <x v="1"/>
    <n v="80"/>
    <n v="1"/>
    <n v="10"/>
    <n v="2"/>
    <x v="1"/>
    <x v="1"/>
    <n v="7"/>
    <x v="0"/>
    <x v="0"/>
    <x v="0"/>
    <x v="0"/>
    <x v="0"/>
    <n v="1"/>
  </r>
  <r>
    <x v="14"/>
    <x v="1"/>
    <x v="1"/>
    <n v="193"/>
    <x v="1"/>
    <n v="2"/>
    <x v="3"/>
    <x v="0"/>
    <x v="0"/>
    <n v="1296"/>
    <x v="2"/>
    <x v="1"/>
    <n v="52"/>
    <x v="1"/>
    <x v="1"/>
    <x v="2"/>
    <x v="0"/>
    <x v="1"/>
    <x v="876"/>
    <n v="14222"/>
    <n v="1"/>
    <s v="Y"/>
    <x v="0"/>
    <n v="12"/>
    <x v="0"/>
    <x v="2"/>
    <n v="80"/>
    <n v="1"/>
    <n v="2"/>
    <n v="2"/>
    <x v="1"/>
    <x v="4"/>
    <n v="2"/>
    <x v="3"/>
    <x v="3"/>
    <x v="2"/>
    <x v="1"/>
    <x v="1"/>
    <n v="0"/>
  </r>
  <r>
    <x v="31"/>
    <x v="1"/>
    <x v="1"/>
    <n v="968"/>
    <x v="1"/>
    <n v="6"/>
    <x v="0"/>
    <x v="2"/>
    <x v="0"/>
    <n v="1297"/>
    <x v="0"/>
    <x v="0"/>
    <n v="40"/>
    <x v="1"/>
    <x v="1"/>
    <x v="2"/>
    <x v="2"/>
    <x v="0"/>
    <x v="877"/>
    <n v="4257"/>
    <n v="0"/>
    <s v="Y"/>
    <x v="1"/>
    <n v="14"/>
    <x v="0"/>
    <x v="2"/>
    <n v="80"/>
    <n v="0"/>
    <n v="8"/>
    <n v="6"/>
    <x v="2"/>
    <x v="5"/>
    <n v="0"/>
    <x v="4"/>
    <x v="1"/>
    <x v="3"/>
    <x v="0"/>
    <x v="1"/>
    <n v="0"/>
  </r>
  <r>
    <x v="7"/>
    <x v="1"/>
    <x v="2"/>
    <n v="879"/>
    <x v="1"/>
    <n v="9"/>
    <x v="0"/>
    <x v="2"/>
    <x v="0"/>
    <n v="1298"/>
    <x v="1"/>
    <x v="0"/>
    <n v="72"/>
    <x v="0"/>
    <x v="0"/>
    <x v="3"/>
    <x v="2"/>
    <x v="0"/>
    <x v="878"/>
    <n v="12858"/>
    <n v="7"/>
    <s v="Y"/>
    <x v="0"/>
    <n v="18"/>
    <x v="0"/>
    <x v="3"/>
    <n v="80"/>
    <n v="0"/>
    <n v="10"/>
    <n v="3"/>
    <x v="1"/>
    <x v="3"/>
    <n v="4"/>
    <x v="1"/>
    <x v="1"/>
    <x v="1"/>
    <x v="0"/>
    <x v="1"/>
    <n v="0"/>
  </r>
  <r>
    <x v="11"/>
    <x v="0"/>
    <x v="0"/>
    <n v="806"/>
    <x v="1"/>
    <n v="7"/>
    <x v="3"/>
    <x v="4"/>
    <x v="0"/>
    <n v="1299"/>
    <x v="0"/>
    <x v="0"/>
    <n v="39"/>
    <x v="0"/>
    <x v="1"/>
    <x v="2"/>
    <x v="2"/>
    <x v="2"/>
    <x v="879"/>
    <n v="17285"/>
    <n v="3"/>
    <s v="Y"/>
    <x v="0"/>
    <n v="13"/>
    <x v="0"/>
    <x v="0"/>
    <n v="80"/>
    <n v="2"/>
    <n v="10"/>
    <n v="2"/>
    <x v="1"/>
    <x v="5"/>
    <n v="7"/>
    <x v="4"/>
    <x v="1"/>
    <x v="2"/>
    <x v="0"/>
    <x v="1"/>
    <n v="1"/>
  </r>
  <r>
    <x v="14"/>
    <x v="1"/>
    <x v="0"/>
    <n v="640"/>
    <x v="1"/>
    <n v="1"/>
    <x v="3"/>
    <x v="4"/>
    <x v="0"/>
    <n v="1301"/>
    <x v="2"/>
    <x v="1"/>
    <n v="84"/>
    <x v="0"/>
    <x v="1"/>
    <x v="1"/>
    <x v="3"/>
    <x v="0"/>
    <x v="880"/>
    <n v="4732"/>
    <n v="2"/>
    <s v="Y"/>
    <x v="1"/>
    <n v="11"/>
    <x v="0"/>
    <x v="2"/>
    <n v="80"/>
    <n v="0"/>
    <n v="5"/>
    <n v="2"/>
    <x v="2"/>
    <x v="11"/>
    <n v="2"/>
    <x v="1"/>
    <x v="3"/>
    <x v="2"/>
    <x v="2"/>
    <x v="1"/>
    <n v="0"/>
  </r>
  <r>
    <x v="36"/>
    <x v="1"/>
    <x v="0"/>
    <n v="266"/>
    <x v="1"/>
    <n v="1"/>
    <x v="3"/>
    <x v="2"/>
    <x v="0"/>
    <n v="1303"/>
    <x v="2"/>
    <x v="0"/>
    <n v="40"/>
    <x v="0"/>
    <x v="1"/>
    <x v="1"/>
    <x v="1"/>
    <x v="0"/>
    <x v="461"/>
    <n v="18830"/>
    <n v="1"/>
    <s v="Y"/>
    <x v="1"/>
    <n v="18"/>
    <x v="0"/>
    <x v="1"/>
    <n v="80"/>
    <n v="0"/>
    <n v="2"/>
    <n v="3"/>
    <x v="2"/>
    <x v="4"/>
    <n v="2"/>
    <x v="3"/>
    <x v="9"/>
    <x v="2"/>
    <x v="1"/>
    <x v="1"/>
    <n v="0"/>
  </r>
  <r>
    <x v="5"/>
    <x v="1"/>
    <x v="0"/>
    <n v="604"/>
    <x v="0"/>
    <n v="8"/>
    <x v="3"/>
    <x v="2"/>
    <x v="0"/>
    <n v="1304"/>
    <x v="1"/>
    <x v="1"/>
    <n v="56"/>
    <x v="2"/>
    <x v="0"/>
    <x v="0"/>
    <x v="0"/>
    <x v="1"/>
    <x v="881"/>
    <n v="11693"/>
    <n v="1"/>
    <s v="Y"/>
    <x v="1"/>
    <n v="15"/>
    <x v="0"/>
    <x v="3"/>
    <n v="80"/>
    <n v="2"/>
    <n v="10"/>
    <n v="4"/>
    <x v="3"/>
    <x v="1"/>
    <n v="7"/>
    <x v="0"/>
    <x v="5"/>
    <x v="1"/>
    <x v="0"/>
    <x v="0"/>
    <n v="0"/>
  </r>
  <r>
    <x v="28"/>
    <x v="1"/>
    <x v="1"/>
    <n v="364"/>
    <x v="1"/>
    <n v="25"/>
    <x v="3"/>
    <x v="2"/>
    <x v="0"/>
    <n v="1306"/>
    <x v="0"/>
    <x v="0"/>
    <n v="83"/>
    <x v="0"/>
    <x v="4"/>
    <x v="5"/>
    <x v="1"/>
    <x v="0"/>
    <x v="882"/>
    <n v="13035"/>
    <n v="3"/>
    <s v="Y"/>
    <x v="1"/>
    <n v="22"/>
    <x v="1"/>
    <x v="3"/>
    <n v="80"/>
    <n v="0"/>
    <n v="22"/>
    <n v="4"/>
    <x v="1"/>
    <x v="2"/>
    <n v="0"/>
    <x v="0"/>
    <x v="2"/>
    <x v="0"/>
    <x v="1"/>
    <x v="2"/>
    <n v="0"/>
  </r>
  <r>
    <x v="22"/>
    <x v="1"/>
    <x v="0"/>
    <n v="412"/>
    <x v="1"/>
    <n v="13"/>
    <x v="2"/>
    <x v="2"/>
    <x v="0"/>
    <n v="1307"/>
    <x v="1"/>
    <x v="0"/>
    <n v="94"/>
    <x v="1"/>
    <x v="3"/>
    <x v="5"/>
    <x v="1"/>
    <x v="2"/>
    <x v="883"/>
    <n v="17334"/>
    <n v="6"/>
    <s v="Y"/>
    <x v="0"/>
    <n v="13"/>
    <x v="0"/>
    <x v="1"/>
    <n v="80"/>
    <n v="2"/>
    <n v="21"/>
    <n v="4"/>
    <x v="1"/>
    <x v="27"/>
    <n v="9"/>
    <x v="9"/>
    <x v="3"/>
    <x v="1"/>
    <x v="3"/>
    <x v="2"/>
    <n v="0"/>
  </r>
  <r>
    <x v="34"/>
    <x v="1"/>
    <x v="0"/>
    <n v="848"/>
    <x v="1"/>
    <n v="23"/>
    <x v="2"/>
    <x v="0"/>
    <x v="0"/>
    <n v="1308"/>
    <x v="3"/>
    <x v="1"/>
    <n v="88"/>
    <x v="0"/>
    <x v="1"/>
    <x v="1"/>
    <x v="2"/>
    <x v="2"/>
    <x v="872"/>
    <n v="26076"/>
    <n v="1"/>
    <s v="Y"/>
    <x v="1"/>
    <n v="12"/>
    <x v="0"/>
    <x v="1"/>
    <n v="80"/>
    <n v="2"/>
    <n v="2"/>
    <n v="3"/>
    <x v="1"/>
    <x v="4"/>
    <n v="2"/>
    <x v="3"/>
    <x v="3"/>
    <x v="3"/>
    <x v="1"/>
    <x v="1"/>
    <n v="0"/>
  </r>
  <r>
    <x v="5"/>
    <x v="0"/>
    <x v="0"/>
    <n v="1089"/>
    <x v="1"/>
    <n v="7"/>
    <x v="0"/>
    <x v="0"/>
    <x v="0"/>
    <n v="1309"/>
    <x v="2"/>
    <x v="1"/>
    <n v="79"/>
    <x v="0"/>
    <x v="0"/>
    <x v="2"/>
    <x v="2"/>
    <x v="1"/>
    <x v="884"/>
    <n v="22845"/>
    <n v="1"/>
    <s v="Y"/>
    <x v="1"/>
    <n v="18"/>
    <x v="0"/>
    <x v="0"/>
    <n v="80"/>
    <n v="1"/>
    <n v="10"/>
    <n v="3"/>
    <x v="1"/>
    <x v="1"/>
    <n v="4"/>
    <x v="1"/>
    <x v="9"/>
    <x v="1"/>
    <x v="0"/>
    <x v="1"/>
    <n v="1"/>
  </r>
  <r>
    <x v="22"/>
    <x v="0"/>
    <x v="0"/>
    <n v="360"/>
    <x v="1"/>
    <n v="23"/>
    <x v="3"/>
    <x v="2"/>
    <x v="0"/>
    <n v="1310"/>
    <x v="1"/>
    <x v="1"/>
    <n v="93"/>
    <x v="0"/>
    <x v="1"/>
    <x v="1"/>
    <x v="3"/>
    <x v="0"/>
    <x v="885"/>
    <n v="22154"/>
    <n v="0"/>
    <s v="Y"/>
    <x v="1"/>
    <n v="13"/>
    <x v="0"/>
    <x v="0"/>
    <n v="80"/>
    <n v="0"/>
    <n v="6"/>
    <n v="2"/>
    <x v="1"/>
    <x v="8"/>
    <n v="2"/>
    <x v="0"/>
    <x v="6"/>
    <x v="1"/>
    <x v="2"/>
    <x v="1"/>
    <n v="1"/>
  </r>
  <r>
    <x v="7"/>
    <x v="1"/>
    <x v="0"/>
    <n v="1138"/>
    <x v="1"/>
    <n v="6"/>
    <x v="3"/>
    <x v="4"/>
    <x v="0"/>
    <n v="1311"/>
    <x v="3"/>
    <x v="0"/>
    <n v="48"/>
    <x v="1"/>
    <x v="0"/>
    <x v="2"/>
    <x v="0"/>
    <x v="1"/>
    <x v="886"/>
    <n v="23631"/>
    <n v="0"/>
    <s v="Y"/>
    <x v="1"/>
    <n v="12"/>
    <x v="0"/>
    <x v="0"/>
    <n v="80"/>
    <n v="1"/>
    <n v="10"/>
    <n v="6"/>
    <x v="1"/>
    <x v="7"/>
    <n v="2"/>
    <x v="7"/>
    <x v="1"/>
    <x v="1"/>
    <x v="0"/>
    <x v="1"/>
    <n v="0"/>
  </r>
  <r>
    <x v="9"/>
    <x v="1"/>
    <x v="0"/>
    <n v="325"/>
    <x v="1"/>
    <n v="10"/>
    <x v="2"/>
    <x v="4"/>
    <x v="0"/>
    <n v="1312"/>
    <x v="2"/>
    <x v="0"/>
    <n v="63"/>
    <x v="0"/>
    <x v="2"/>
    <x v="4"/>
    <x v="2"/>
    <x v="1"/>
    <x v="887"/>
    <n v="5747"/>
    <n v="3"/>
    <s v="Y"/>
    <x v="1"/>
    <n v="12"/>
    <x v="0"/>
    <x v="0"/>
    <n v="80"/>
    <n v="0"/>
    <n v="10"/>
    <n v="0"/>
    <x v="1"/>
    <x v="5"/>
    <n v="7"/>
    <x v="1"/>
    <x v="1"/>
    <x v="1"/>
    <x v="0"/>
    <x v="0"/>
    <n v="0"/>
  </r>
  <r>
    <x v="21"/>
    <x v="1"/>
    <x v="0"/>
    <n v="991"/>
    <x v="2"/>
    <n v="1"/>
    <x v="0"/>
    <x v="0"/>
    <x v="0"/>
    <n v="1314"/>
    <x v="2"/>
    <x v="0"/>
    <n v="44"/>
    <x v="0"/>
    <x v="1"/>
    <x v="8"/>
    <x v="3"/>
    <x v="0"/>
    <x v="888"/>
    <n v="22957"/>
    <n v="6"/>
    <s v="Y"/>
    <x v="1"/>
    <n v="12"/>
    <x v="0"/>
    <x v="3"/>
    <n v="80"/>
    <n v="0"/>
    <n v="10"/>
    <n v="3"/>
    <x v="3"/>
    <x v="5"/>
    <n v="6"/>
    <x v="8"/>
    <x v="1"/>
    <x v="0"/>
    <x v="0"/>
    <x v="1"/>
    <n v="0"/>
  </r>
  <r>
    <x v="14"/>
    <x v="1"/>
    <x v="2"/>
    <n v="1476"/>
    <x v="1"/>
    <n v="1"/>
    <x v="3"/>
    <x v="0"/>
    <x v="0"/>
    <n v="1315"/>
    <x v="1"/>
    <x v="0"/>
    <n v="55"/>
    <x v="3"/>
    <x v="0"/>
    <x v="2"/>
    <x v="0"/>
    <x v="1"/>
    <x v="889"/>
    <n v="16392"/>
    <n v="0"/>
    <s v="Y"/>
    <x v="1"/>
    <n v="11"/>
    <x v="0"/>
    <x v="0"/>
    <n v="80"/>
    <n v="3"/>
    <n v="10"/>
    <n v="6"/>
    <x v="1"/>
    <x v="7"/>
    <n v="8"/>
    <x v="4"/>
    <x v="0"/>
    <x v="2"/>
    <x v="0"/>
    <x v="0"/>
    <n v="0"/>
  </r>
  <r>
    <x v="24"/>
    <x v="1"/>
    <x v="0"/>
    <n v="1322"/>
    <x v="1"/>
    <n v="28"/>
    <x v="3"/>
    <x v="0"/>
    <x v="0"/>
    <n v="1317"/>
    <x v="2"/>
    <x v="0"/>
    <n v="43"/>
    <x v="0"/>
    <x v="3"/>
    <x v="7"/>
    <x v="3"/>
    <x v="1"/>
    <x v="890"/>
    <n v="22422"/>
    <n v="4"/>
    <s v="Y"/>
    <x v="0"/>
    <n v="11"/>
    <x v="0"/>
    <x v="2"/>
    <n v="80"/>
    <n v="0"/>
    <n v="25"/>
    <n v="2"/>
    <x v="1"/>
    <x v="11"/>
    <n v="2"/>
    <x v="1"/>
    <x v="3"/>
    <x v="3"/>
    <x v="2"/>
    <x v="2"/>
    <n v="0"/>
  </r>
  <r>
    <x v="32"/>
    <x v="0"/>
    <x v="0"/>
    <n v="299"/>
    <x v="0"/>
    <n v="25"/>
    <x v="2"/>
    <x v="3"/>
    <x v="0"/>
    <n v="1318"/>
    <x v="2"/>
    <x v="1"/>
    <n v="57"/>
    <x v="1"/>
    <x v="2"/>
    <x v="0"/>
    <x v="1"/>
    <x v="0"/>
    <x v="891"/>
    <n v="17235"/>
    <n v="2"/>
    <s v="Y"/>
    <x v="0"/>
    <n v="12"/>
    <x v="0"/>
    <x v="3"/>
    <n v="80"/>
    <n v="0"/>
    <n v="9"/>
    <n v="2"/>
    <x v="1"/>
    <x v="8"/>
    <n v="4"/>
    <x v="1"/>
    <x v="2"/>
    <x v="0"/>
    <x v="2"/>
    <x v="0"/>
    <n v="1"/>
  </r>
  <r>
    <x v="39"/>
    <x v="0"/>
    <x v="0"/>
    <n v="1030"/>
    <x v="0"/>
    <n v="5"/>
    <x v="3"/>
    <x v="0"/>
    <x v="0"/>
    <n v="1319"/>
    <x v="0"/>
    <x v="1"/>
    <n v="64"/>
    <x v="0"/>
    <x v="2"/>
    <x v="0"/>
    <x v="1"/>
    <x v="0"/>
    <x v="892"/>
    <n v="21534"/>
    <n v="9"/>
    <s v="Y"/>
    <x v="0"/>
    <n v="19"/>
    <x v="0"/>
    <x v="3"/>
    <n v="80"/>
    <n v="0"/>
    <n v="10"/>
    <n v="2"/>
    <x v="2"/>
    <x v="3"/>
    <n v="7"/>
    <x v="4"/>
    <x v="1"/>
    <x v="3"/>
    <x v="0"/>
    <x v="0"/>
    <n v="1"/>
  </r>
  <r>
    <x v="7"/>
    <x v="1"/>
    <x v="0"/>
    <n v="634"/>
    <x v="1"/>
    <n v="17"/>
    <x v="2"/>
    <x v="2"/>
    <x v="0"/>
    <n v="1321"/>
    <x v="0"/>
    <x v="0"/>
    <n v="95"/>
    <x v="0"/>
    <x v="2"/>
    <x v="5"/>
    <x v="3"/>
    <x v="1"/>
    <x v="893"/>
    <n v="25927"/>
    <n v="1"/>
    <s v="Y"/>
    <x v="0"/>
    <n v="23"/>
    <x v="1"/>
    <x v="1"/>
    <n v="80"/>
    <n v="2"/>
    <n v="9"/>
    <n v="2"/>
    <x v="1"/>
    <x v="7"/>
    <n v="1"/>
    <x v="0"/>
    <x v="5"/>
    <x v="1"/>
    <x v="0"/>
    <x v="3"/>
    <n v="0"/>
  </r>
  <r>
    <x v="22"/>
    <x v="1"/>
    <x v="0"/>
    <n v="524"/>
    <x v="1"/>
    <n v="18"/>
    <x v="0"/>
    <x v="0"/>
    <x v="0"/>
    <n v="1322"/>
    <x v="3"/>
    <x v="1"/>
    <n v="32"/>
    <x v="0"/>
    <x v="0"/>
    <x v="3"/>
    <x v="2"/>
    <x v="0"/>
    <x v="894"/>
    <n v="13352"/>
    <n v="0"/>
    <s v="Y"/>
    <x v="1"/>
    <n v="11"/>
    <x v="0"/>
    <x v="0"/>
    <n v="80"/>
    <n v="0"/>
    <n v="9"/>
    <n v="6"/>
    <x v="1"/>
    <x v="3"/>
    <n v="7"/>
    <x v="1"/>
    <x v="1"/>
    <x v="1"/>
    <x v="0"/>
    <x v="1"/>
    <n v="0"/>
  </r>
  <r>
    <x v="12"/>
    <x v="1"/>
    <x v="2"/>
    <n v="587"/>
    <x v="0"/>
    <n v="2"/>
    <x v="2"/>
    <x v="0"/>
    <x v="0"/>
    <n v="1324"/>
    <x v="2"/>
    <x v="0"/>
    <n v="57"/>
    <x v="0"/>
    <x v="2"/>
    <x v="0"/>
    <x v="2"/>
    <x v="2"/>
    <x v="895"/>
    <n v="8935"/>
    <n v="1"/>
    <s v="Y"/>
    <x v="0"/>
    <n v="19"/>
    <x v="0"/>
    <x v="0"/>
    <n v="80"/>
    <n v="1"/>
    <n v="10"/>
    <n v="5"/>
    <x v="2"/>
    <x v="1"/>
    <n v="8"/>
    <x v="10"/>
    <x v="4"/>
    <x v="1"/>
    <x v="0"/>
    <x v="0"/>
    <n v="0"/>
  </r>
  <r>
    <x v="0"/>
    <x v="1"/>
    <x v="2"/>
    <n v="256"/>
    <x v="0"/>
    <n v="10"/>
    <x v="0"/>
    <x v="2"/>
    <x v="0"/>
    <n v="1329"/>
    <x v="1"/>
    <x v="1"/>
    <n v="40"/>
    <x v="3"/>
    <x v="0"/>
    <x v="0"/>
    <x v="1"/>
    <x v="0"/>
    <x v="896"/>
    <n v="22074"/>
    <n v="1"/>
    <s v="Y"/>
    <x v="1"/>
    <n v="13"/>
    <x v="0"/>
    <x v="0"/>
    <n v="80"/>
    <n v="0"/>
    <n v="19"/>
    <n v="4"/>
    <x v="1"/>
    <x v="27"/>
    <n v="2"/>
    <x v="14"/>
    <x v="12"/>
    <x v="0"/>
    <x v="3"/>
    <x v="0"/>
    <n v="0"/>
  </r>
  <r>
    <x v="12"/>
    <x v="0"/>
    <x v="1"/>
    <n v="1060"/>
    <x v="0"/>
    <n v="1"/>
    <x v="3"/>
    <x v="0"/>
    <x v="0"/>
    <n v="1331"/>
    <x v="2"/>
    <x v="0"/>
    <n v="54"/>
    <x v="0"/>
    <x v="1"/>
    <x v="6"/>
    <x v="1"/>
    <x v="0"/>
    <x v="897"/>
    <n v="8319"/>
    <n v="1"/>
    <s v="Y"/>
    <x v="0"/>
    <n v="11"/>
    <x v="0"/>
    <x v="0"/>
    <n v="80"/>
    <n v="0"/>
    <n v="3"/>
    <n v="2"/>
    <x v="3"/>
    <x v="11"/>
    <n v="2"/>
    <x v="3"/>
    <x v="3"/>
    <x v="1"/>
    <x v="2"/>
    <x v="1"/>
    <n v="1"/>
  </r>
  <r>
    <x v="20"/>
    <x v="0"/>
    <x v="0"/>
    <n v="935"/>
    <x v="1"/>
    <n v="3"/>
    <x v="3"/>
    <x v="0"/>
    <x v="0"/>
    <n v="1333"/>
    <x v="3"/>
    <x v="1"/>
    <n v="89"/>
    <x v="0"/>
    <x v="1"/>
    <x v="2"/>
    <x v="3"/>
    <x v="1"/>
    <x v="898"/>
    <n v="14669"/>
    <n v="4"/>
    <s v="Y"/>
    <x v="1"/>
    <n v="12"/>
    <x v="0"/>
    <x v="3"/>
    <n v="80"/>
    <n v="0"/>
    <n v="10"/>
    <n v="4"/>
    <x v="3"/>
    <x v="11"/>
    <n v="2"/>
    <x v="1"/>
    <x v="3"/>
    <x v="0"/>
    <x v="2"/>
    <x v="1"/>
    <n v="1"/>
  </r>
  <r>
    <x v="19"/>
    <x v="1"/>
    <x v="2"/>
    <n v="495"/>
    <x v="1"/>
    <n v="2"/>
    <x v="1"/>
    <x v="0"/>
    <x v="0"/>
    <n v="1334"/>
    <x v="1"/>
    <x v="1"/>
    <n v="37"/>
    <x v="0"/>
    <x v="3"/>
    <x v="5"/>
    <x v="2"/>
    <x v="1"/>
    <x v="417"/>
    <n v="26582"/>
    <n v="0"/>
    <s v="Y"/>
    <x v="0"/>
    <n v="13"/>
    <x v="0"/>
    <x v="1"/>
    <n v="80"/>
    <n v="0"/>
    <n v="21"/>
    <n v="3"/>
    <x v="2"/>
    <x v="23"/>
    <n v="8"/>
    <x v="3"/>
    <x v="13"/>
    <x v="0"/>
    <x v="3"/>
    <x v="2"/>
    <n v="0"/>
  </r>
  <r>
    <x v="27"/>
    <x v="1"/>
    <x v="0"/>
    <n v="282"/>
    <x v="1"/>
    <n v="2"/>
    <x v="0"/>
    <x v="2"/>
    <x v="0"/>
    <n v="1336"/>
    <x v="2"/>
    <x v="0"/>
    <n v="58"/>
    <x v="3"/>
    <x v="4"/>
    <x v="5"/>
    <x v="2"/>
    <x v="1"/>
    <x v="899"/>
    <n v="6992"/>
    <n v="4"/>
    <s v="Y"/>
    <x v="1"/>
    <n v="14"/>
    <x v="0"/>
    <x v="1"/>
    <n v="80"/>
    <n v="1"/>
    <n v="23"/>
    <n v="5"/>
    <x v="1"/>
    <x v="27"/>
    <n v="9"/>
    <x v="10"/>
    <x v="7"/>
    <x v="3"/>
    <x v="3"/>
    <x v="2"/>
    <n v="0"/>
  </r>
  <r>
    <x v="29"/>
    <x v="1"/>
    <x v="0"/>
    <n v="206"/>
    <x v="2"/>
    <n v="8"/>
    <x v="2"/>
    <x v="0"/>
    <x v="0"/>
    <n v="1338"/>
    <x v="2"/>
    <x v="1"/>
    <n v="99"/>
    <x v="0"/>
    <x v="4"/>
    <x v="5"/>
    <x v="1"/>
    <x v="0"/>
    <x v="900"/>
    <n v="4022"/>
    <n v="6"/>
    <s v="Y"/>
    <x v="1"/>
    <n v="14"/>
    <x v="0"/>
    <x v="0"/>
    <n v="80"/>
    <n v="0"/>
    <n v="36"/>
    <n v="4"/>
    <x v="1"/>
    <x v="5"/>
    <n v="3"/>
    <x v="4"/>
    <x v="1"/>
    <x v="3"/>
    <x v="0"/>
    <x v="2"/>
    <n v="0"/>
  </r>
  <r>
    <x v="32"/>
    <x v="1"/>
    <x v="2"/>
    <n v="458"/>
    <x v="1"/>
    <n v="16"/>
    <x v="0"/>
    <x v="0"/>
    <x v="0"/>
    <n v="1340"/>
    <x v="1"/>
    <x v="1"/>
    <n v="74"/>
    <x v="0"/>
    <x v="1"/>
    <x v="1"/>
    <x v="2"/>
    <x v="2"/>
    <x v="901"/>
    <n v="8532"/>
    <n v="9"/>
    <s v="Y"/>
    <x v="1"/>
    <n v="16"/>
    <x v="0"/>
    <x v="2"/>
    <n v="80"/>
    <n v="1"/>
    <n v="6"/>
    <n v="0"/>
    <x v="1"/>
    <x v="9"/>
    <n v="2"/>
    <x v="0"/>
    <x v="2"/>
    <x v="0"/>
    <x v="2"/>
    <x v="1"/>
    <n v="0"/>
  </r>
  <r>
    <x v="13"/>
    <x v="1"/>
    <x v="0"/>
    <n v="943"/>
    <x v="1"/>
    <n v="9"/>
    <x v="3"/>
    <x v="0"/>
    <x v="0"/>
    <n v="1344"/>
    <x v="2"/>
    <x v="1"/>
    <n v="86"/>
    <x v="0"/>
    <x v="2"/>
    <x v="4"/>
    <x v="0"/>
    <x v="2"/>
    <x v="902"/>
    <n v="5494"/>
    <n v="0"/>
    <s v="Y"/>
    <x v="1"/>
    <n v="11"/>
    <x v="0"/>
    <x v="1"/>
    <n v="80"/>
    <n v="1"/>
    <n v="10"/>
    <n v="0"/>
    <x v="2"/>
    <x v="7"/>
    <n v="7"/>
    <x v="1"/>
    <x v="4"/>
    <x v="1"/>
    <x v="0"/>
    <x v="0"/>
    <n v="0"/>
  </r>
  <r>
    <x v="32"/>
    <x v="1"/>
    <x v="0"/>
    <n v="523"/>
    <x v="1"/>
    <n v="2"/>
    <x v="3"/>
    <x v="0"/>
    <x v="0"/>
    <n v="1346"/>
    <x v="1"/>
    <x v="1"/>
    <n v="98"/>
    <x v="0"/>
    <x v="0"/>
    <x v="1"/>
    <x v="0"/>
    <x v="0"/>
    <x v="903"/>
    <n v="22455"/>
    <n v="1"/>
    <s v="Y"/>
    <x v="1"/>
    <n v="13"/>
    <x v="0"/>
    <x v="3"/>
    <n v="80"/>
    <n v="0"/>
    <n v="9"/>
    <n v="4"/>
    <x v="1"/>
    <x v="7"/>
    <n v="8"/>
    <x v="6"/>
    <x v="5"/>
    <x v="0"/>
    <x v="0"/>
    <x v="1"/>
    <n v="0"/>
  </r>
  <r>
    <x v="0"/>
    <x v="1"/>
    <x v="1"/>
    <n v="1018"/>
    <x v="0"/>
    <n v="1"/>
    <x v="3"/>
    <x v="3"/>
    <x v="0"/>
    <n v="1349"/>
    <x v="1"/>
    <x v="0"/>
    <n v="66"/>
    <x v="0"/>
    <x v="0"/>
    <x v="0"/>
    <x v="3"/>
    <x v="2"/>
    <x v="904"/>
    <n v="4297"/>
    <n v="0"/>
    <s v="Y"/>
    <x v="1"/>
    <n v="17"/>
    <x v="0"/>
    <x v="1"/>
    <n v="80"/>
    <n v="1"/>
    <n v="10"/>
    <n v="2"/>
    <x v="1"/>
    <x v="7"/>
    <n v="3"/>
    <x v="1"/>
    <x v="1"/>
    <x v="0"/>
    <x v="0"/>
    <x v="1"/>
    <n v="0"/>
  </r>
  <r>
    <x v="10"/>
    <x v="1"/>
    <x v="1"/>
    <n v="482"/>
    <x v="1"/>
    <n v="4"/>
    <x v="2"/>
    <x v="0"/>
    <x v="0"/>
    <n v="1350"/>
    <x v="1"/>
    <x v="1"/>
    <n v="87"/>
    <x v="0"/>
    <x v="0"/>
    <x v="1"/>
    <x v="2"/>
    <x v="0"/>
    <x v="905"/>
    <n v="2690"/>
    <n v="1"/>
    <s v="Y"/>
    <x v="0"/>
    <n v="11"/>
    <x v="0"/>
    <x v="2"/>
    <n v="80"/>
    <n v="0"/>
    <n v="9"/>
    <n v="3"/>
    <x v="1"/>
    <x v="7"/>
    <n v="6"/>
    <x v="1"/>
    <x v="9"/>
    <x v="1"/>
    <x v="0"/>
    <x v="1"/>
    <n v="0"/>
  </r>
  <r>
    <x v="31"/>
    <x v="1"/>
    <x v="0"/>
    <n v="770"/>
    <x v="2"/>
    <n v="5"/>
    <x v="3"/>
    <x v="0"/>
    <x v="0"/>
    <n v="1352"/>
    <x v="1"/>
    <x v="1"/>
    <n v="84"/>
    <x v="0"/>
    <x v="3"/>
    <x v="5"/>
    <x v="1"/>
    <x v="2"/>
    <x v="906"/>
    <n v="17588"/>
    <n v="1"/>
    <s v="Y"/>
    <x v="0"/>
    <n v="11"/>
    <x v="0"/>
    <x v="2"/>
    <n v="80"/>
    <n v="1"/>
    <n v="33"/>
    <n v="2"/>
    <x v="1"/>
    <x v="26"/>
    <n v="9"/>
    <x v="0"/>
    <x v="13"/>
    <x v="3"/>
    <x v="3"/>
    <x v="3"/>
    <n v="0"/>
  </r>
  <r>
    <x v="8"/>
    <x v="1"/>
    <x v="0"/>
    <n v="1009"/>
    <x v="0"/>
    <n v="2"/>
    <x v="0"/>
    <x v="0"/>
    <x v="0"/>
    <n v="1355"/>
    <x v="0"/>
    <x v="0"/>
    <n v="31"/>
    <x v="0"/>
    <x v="0"/>
    <x v="0"/>
    <x v="3"/>
    <x v="2"/>
    <x v="907"/>
    <n v="19461"/>
    <n v="3"/>
    <s v="Y"/>
    <x v="1"/>
    <n v="15"/>
    <x v="0"/>
    <x v="1"/>
    <n v="80"/>
    <n v="1"/>
    <n v="11"/>
    <n v="3"/>
    <x v="1"/>
    <x v="5"/>
    <n v="7"/>
    <x v="1"/>
    <x v="1"/>
    <x v="1"/>
    <x v="0"/>
    <x v="0"/>
    <n v="0"/>
  </r>
  <r>
    <x v="13"/>
    <x v="1"/>
    <x v="0"/>
    <n v="507"/>
    <x v="0"/>
    <n v="15"/>
    <x v="0"/>
    <x v="2"/>
    <x v="0"/>
    <n v="1356"/>
    <x v="1"/>
    <x v="0"/>
    <n v="66"/>
    <x v="0"/>
    <x v="0"/>
    <x v="0"/>
    <x v="3"/>
    <x v="0"/>
    <x v="908"/>
    <n v="23553"/>
    <n v="1"/>
    <s v="Y"/>
    <x v="1"/>
    <n v="12"/>
    <x v="0"/>
    <x v="1"/>
    <n v="80"/>
    <n v="0"/>
    <n v="10"/>
    <n v="6"/>
    <x v="3"/>
    <x v="1"/>
    <n v="8"/>
    <x v="10"/>
    <x v="4"/>
    <x v="1"/>
    <x v="0"/>
    <x v="0"/>
    <n v="0"/>
  </r>
  <r>
    <x v="36"/>
    <x v="1"/>
    <x v="0"/>
    <n v="882"/>
    <x v="1"/>
    <n v="19"/>
    <x v="1"/>
    <x v="2"/>
    <x v="0"/>
    <n v="1358"/>
    <x v="2"/>
    <x v="1"/>
    <n v="67"/>
    <x v="0"/>
    <x v="1"/>
    <x v="2"/>
    <x v="0"/>
    <x v="1"/>
    <x v="909"/>
    <n v="9075"/>
    <n v="3"/>
    <s v="Y"/>
    <x v="1"/>
    <n v="11"/>
    <x v="0"/>
    <x v="3"/>
    <n v="80"/>
    <n v="3"/>
    <n v="7"/>
    <n v="6"/>
    <x v="2"/>
    <x v="11"/>
    <n v="2"/>
    <x v="1"/>
    <x v="3"/>
    <x v="2"/>
    <x v="2"/>
    <x v="1"/>
    <n v="0"/>
  </r>
  <r>
    <x v="34"/>
    <x v="0"/>
    <x v="0"/>
    <n v="601"/>
    <x v="1"/>
    <n v="7"/>
    <x v="2"/>
    <x v="2"/>
    <x v="0"/>
    <n v="1360"/>
    <x v="1"/>
    <x v="0"/>
    <n v="53"/>
    <x v="1"/>
    <x v="2"/>
    <x v="3"/>
    <x v="3"/>
    <x v="1"/>
    <x v="910"/>
    <n v="12023"/>
    <n v="7"/>
    <s v="Y"/>
    <x v="0"/>
    <n v="14"/>
    <x v="0"/>
    <x v="1"/>
    <n v="80"/>
    <n v="0"/>
    <n v="31"/>
    <n v="0"/>
    <x v="2"/>
    <x v="1"/>
    <n v="9"/>
    <x v="8"/>
    <x v="12"/>
    <x v="3"/>
    <x v="0"/>
    <x v="3"/>
    <n v="1"/>
  </r>
  <r>
    <x v="32"/>
    <x v="1"/>
    <x v="0"/>
    <n v="329"/>
    <x v="1"/>
    <n v="1"/>
    <x v="2"/>
    <x v="0"/>
    <x v="0"/>
    <n v="1361"/>
    <x v="0"/>
    <x v="1"/>
    <n v="88"/>
    <x v="0"/>
    <x v="1"/>
    <x v="2"/>
    <x v="1"/>
    <x v="1"/>
    <x v="911"/>
    <n v="6762"/>
    <n v="3"/>
    <s v="Y"/>
    <x v="1"/>
    <n v="22"/>
    <x v="1"/>
    <x v="3"/>
    <n v="80"/>
    <n v="1"/>
    <n v="7"/>
    <n v="3"/>
    <x v="1"/>
    <x v="9"/>
    <n v="2"/>
    <x v="0"/>
    <x v="6"/>
    <x v="0"/>
    <x v="2"/>
    <x v="1"/>
    <n v="0"/>
  </r>
  <r>
    <x v="9"/>
    <x v="1"/>
    <x v="1"/>
    <n v="607"/>
    <x v="0"/>
    <n v="7"/>
    <x v="3"/>
    <x v="3"/>
    <x v="0"/>
    <n v="1362"/>
    <x v="3"/>
    <x v="0"/>
    <n v="83"/>
    <x v="2"/>
    <x v="0"/>
    <x v="0"/>
    <x v="3"/>
    <x v="1"/>
    <x v="912"/>
    <n v="2261"/>
    <n v="2"/>
    <s v="Y"/>
    <x v="1"/>
    <n v="16"/>
    <x v="0"/>
    <x v="1"/>
    <n v="80"/>
    <n v="1"/>
    <n v="17"/>
    <n v="2"/>
    <x v="2"/>
    <x v="15"/>
    <n v="7"/>
    <x v="7"/>
    <x v="15"/>
    <x v="1"/>
    <x v="3"/>
    <x v="1"/>
    <n v="0"/>
  </r>
  <r>
    <x v="26"/>
    <x v="1"/>
    <x v="0"/>
    <n v="855"/>
    <x v="1"/>
    <n v="4"/>
    <x v="3"/>
    <x v="0"/>
    <x v="0"/>
    <n v="1363"/>
    <x v="2"/>
    <x v="1"/>
    <n v="54"/>
    <x v="0"/>
    <x v="2"/>
    <x v="3"/>
    <x v="0"/>
    <x v="0"/>
    <x v="913"/>
    <n v="18706"/>
    <n v="1"/>
    <s v="Y"/>
    <x v="1"/>
    <n v="11"/>
    <x v="0"/>
    <x v="3"/>
    <n v="80"/>
    <n v="0"/>
    <n v="11"/>
    <n v="2"/>
    <x v="1"/>
    <x v="1"/>
    <n v="9"/>
    <x v="0"/>
    <x v="5"/>
    <x v="0"/>
    <x v="0"/>
    <x v="0"/>
    <n v="0"/>
  </r>
  <r>
    <x v="4"/>
    <x v="1"/>
    <x v="0"/>
    <n v="1291"/>
    <x v="0"/>
    <n v="11"/>
    <x v="3"/>
    <x v="2"/>
    <x v="0"/>
    <n v="1364"/>
    <x v="1"/>
    <x v="0"/>
    <n v="98"/>
    <x v="2"/>
    <x v="1"/>
    <x v="6"/>
    <x v="0"/>
    <x v="1"/>
    <x v="914"/>
    <n v="6527"/>
    <n v="8"/>
    <s v="Y"/>
    <x v="1"/>
    <n v="14"/>
    <x v="0"/>
    <x v="2"/>
    <n v="80"/>
    <n v="1"/>
    <n v="5"/>
    <n v="4"/>
    <x v="1"/>
    <x v="6"/>
    <n v="0"/>
    <x v="0"/>
    <x v="2"/>
    <x v="2"/>
    <x v="1"/>
    <x v="1"/>
    <n v="0"/>
  </r>
  <r>
    <x v="31"/>
    <x v="1"/>
    <x v="0"/>
    <n v="1405"/>
    <x v="1"/>
    <n v="11"/>
    <x v="0"/>
    <x v="4"/>
    <x v="0"/>
    <n v="1367"/>
    <x v="2"/>
    <x v="0"/>
    <n v="82"/>
    <x v="1"/>
    <x v="3"/>
    <x v="3"/>
    <x v="1"/>
    <x v="0"/>
    <x v="915"/>
    <n v="24439"/>
    <n v="3"/>
    <s v="Y"/>
    <x v="1"/>
    <n v="16"/>
    <x v="0"/>
    <x v="2"/>
    <n v="80"/>
    <n v="0"/>
    <n v="29"/>
    <n v="1"/>
    <x v="2"/>
    <x v="8"/>
    <n v="2"/>
    <x v="0"/>
    <x v="6"/>
    <x v="3"/>
    <x v="2"/>
    <x v="3"/>
    <n v="0"/>
  </r>
  <r>
    <x v="41"/>
    <x v="1"/>
    <x v="2"/>
    <n v="1124"/>
    <x v="1"/>
    <n v="1"/>
    <x v="3"/>
    <x v="0"/>
    <x v="0"/>
    <n v="1368"/>
    <x v="2"/>
    <x v="0"/>
    <n v="97"/>
    <x v="0"/>
    <x v="1"/>
    <x v="2"/>
    <x v="0"/>
    <x v="0"/>
    <x v="916"/>
    <n v="19305"/>
    <n v="1"/>
    <s v="Y"/>
    <x v="1"/>
    <n v="15"/>
    <x v="0"/>
    <x v="3"/>
    <n v="80"/>
    <n v="0"/>
    <n v="0"/>
    <n v="5"/>
    <x v="3"/>
    <x v="2"/>
    <n v="0"/>
    <x v="0"/>
    <x v="2"/>
    <x v="4"/>
    <x v="1"/>
    <x v="1"/>
    <n v="0"/>
  </r>
  <r>
    <x v="10"/>
    <x v="1"/>
    <x v="0"/>
    <n v="817"/>
    <x v="1"/>
    <n v="1"/>
    <x v="3"/>
    <x v="2"/>
    <x v="0"/>
    <n v="1369"/>
    <x v="2"/>
    <x v="0"/>
    <n v="60"/>
    <x v="1"/>
    <x v="0"/>
    <x v="2"/>
    <x v="0"/>
    <x v="1"/>
    <x v="917"/>
    <n v="10846"/>
    <n v="0"/>
    <s v="Y"/>
    <x v="1"/>
    <n v="12"/>
    <x v="0"/>
    <x v="2"/>
    <n v="80"/>
    <n v="1"/>
    <n v="10"/>
    <n v="0"/>
    <x v="1"/>
    <x v="7"/>
    <n v="7"/>
    <x v="0"/>
    <x v="2"/>
    <x v="1"/>
    <x v="0"/>
    <x v="0"/>
    <n v="0"/>
  </r>
  <r>
    <x v="4"/>
    <x v="1"/>
    <x v="1"/>
    <n v="793"/>
    <x v="0"/>
    <n v="2"/>
    <x v="1"/>
    <x v="0"/>
    <x v="0"/>
    <n v="1371"/>
    <x v="2"/>
    <x v="1"/>
    <n v="43"/>
    <x v="3"/>
    <x v="0"/>
    <x v="0"/>
    <x v="0"/>
    <x v="0"/>
    <x v="918"/>
    <n v="20392"/>
    <n v="3"/>
    <s v="Y"/>
    <x v="1"/>
    <n v="20"/>
    <x v="1"/>
    <x v="2"/>
    <n v="80"/>
    <n v="0"/>
    <n v="8"/>
    <n v="3"/>
    <x v="1"/>
    <x v="0"/>
    <n v="2"/>
    <x v="0"/>
    <x v="2"/>
    <x v="2"/>
    <x v="0"/>
    <x v="0"/>
    <n v="0"/>
  </r>
  <r>
    <x v="27"/>
    <x v="0"/>
    <x v="0"/>
    <n v="267"/>
    <x v="0"/>
    <n v="13"/>
    <x v="2"/>
    <x v="3"/>
    <x v="0"/>
    <n v="1372"/>
    <x v="3"/>
    <x v="1"/>
    <n v="85"/>
    <x v="2"/>
    <x v="3"/>
    <x v="0"/>
    <x v="2"/>
    <x v="0"/>
    <x v="919"/>
    <n v="9277"/>
    <n v="6"/>
    <s v="Y"/>
    <x v="0"/>
    <n v="17"/>
    <x v="0"/>
    <x v="3"/>
    <n v="80"/>
    <n v="0"/>
    <n v="24"/>
    <n v="2"/>
    <x v="2"/>
    <x v="27"/>
    <n v="7"/>
    <x v="2"/>
    <x v="5"/>
    <x v="3"/>
    <x v="3"/>
    <x v="3"/>
    <n v="1"/>
  </r>
  <r>
    <x v="29"/>
    <x v="1"/>
    <x v="0"/>
    <n v="1369"/>
    <x v="1"/>
    <n v="23"/>
    <x v="3"/>
    <x v="0"/>
    <x v="0"/>
    <n v="1373"/>
    <x v="2"/>
    <x v="1"/>
    <n v="68"/>
    <x v="0"/>
    <x v="3"/>
    <x v="3"/>
    <x v="1"/>
    <x v="1"/>
    <x v="920"/>
    <n v="18235"/>
    <n v="4"/>
    <s v="Y"/>
    <x v="0"/>
    <n v="12"/>
    <x v="0"/>
    <x v="0"/>
    <n v="80"/>
    <n v="1"/>
    <n v="33"/>
    <n v="0"/>
    <x v="1"/>
    <x v="27"/>
    <n v="16"/>
    <x v="9"/>
    <x v="12"/>
    <x v="3"/>
    <x v="3"/>
    <x v="3"/>
    <n v="0"/>
  </r>
  <r>
    <x v="13"/>
    <x v="1"/>
    <x v="2"/>
    <n v="999"/>
    <x v="1"/>
    <n v="26"/>
    <x v="1"/>
    <x v="4"/>
    <x v="0"/>
    <n v="1374"/>
    <x v="3"/>
    <x v="0"/>
    <n v="92"/>
    <x v="1"/>
    <x v="1"/>
    <x v="1"/>
    <x v="2"/>
    <x v="2"/>
    <x v="921"/>
    <n v="15891"/>
    <n v="1"/>
    <s v="Y"/>
    <x v="1"/>
    <n v="20"/>
    <x v="1"/>
    <x v="3"/>
    <n v="80"/>
    <n v="3"/>
    <n v="5"/>
    <n v="2"/>
    <x v="1"/>
    <x v="8"/>
    <n v="4"/>
    <x v="0"/>
    <x v="2"/>
    <x v="1"/>
    <x v="2"/>
    <x v="1"/>
    <n v="0"/>
  </r>
  <r>
    <x v="32"/>
    <x v="1"/>
    <x v="0"/>
    <n v="1202"/>
    <x v="1"/>
    <n v="2"/>
    <x v="1"/>
    <x v="2"/>
    <x v="0"/>
    <n v="1375"/>
    <x v="0"/>
    <x v="0"/>
    <n v="89"/>
    <x v="2"/>
    <x v="0"/>
    <x v="4"/>
    <x v="2"/>
    <x v="2"/>
    <x v="922"/>
    <n v="13888"/>
    <n v="5"/>
    <s v="Y"/>
    <x v="1"/>
    <n v="20"/>
    <x v="1"/>
    <x v="2"/>
    <n v="80"/>
    <n v="3"/>
    <n v="15"/>
    <n v="0"/>
    <x v="1"/>
    <x v="12"/>
    <n v="11"/>
    <x v="14"/>
    <x v="5"/>
    <x v="0"/>
    <x v="3"/>
    <x v="0"/>
    <n v="0"/>
  </r>
  <r>
    <x v="13"/>
    <x v="1"/>
    <x v="0"/>
    <n v="285"/>
    <x v="1"/>
    <n v="29"/>
    <x v="3"/>
    <x v="2"/>
    <x v="0"/>
    <n v="1377"/>
    <x v="0"/>
    <x v="1"/>
    <n v="86"/>
    <x v="0"/>
    <x v="0"/>
    <x v="2"/>
    <x v="2"/>
    <x v="1"/>
    <x v="923"/>
    <n v="17491"/>
    <n v="4"/>
    <s v="Y"/>
    <x v="1"/>
    <n v="13"/>
    <x v="0"/>
    <x v="0"/>
    <n v="80"/>
    <n v="2"/>
    <n v="10"/>
    <n v="1"/>
    <x v="1"/>
    <x v="3"/>
    <n v="7"/>
    <x v="4"/>
    <x v="1"/>
    <x v="1"/>
    <x v="0"/>
    <x v="0"/>
    <n v="0"/>
  </r>
  <r>
    <x v="12"/>
    <x v="0"/>
    <x v="1"/>
    <n v="703"/>
    <x v="0"/>
    <n v="2"/>
    <x v="3"/>
    <x v="0"/>
    <x v="0"/>
    <n v="1379"/>
    <x v="1"/>
    <x v="0"/>
    <n v="90"/>
    <x v="1"/>
    <x v="1"/>
    <x v="6"/>
    <x v="0"/>
    <x v="0"/>
    <x v="924"/>
    <n v="11882"/>
    <n v="7"/>
    <s v="Y"/>
    <x v="1"/>
    <n v="14"/>
    <x v="0"/>
    <x v="3"/>
    <n v="80"/>
    <n v="0"/>
    <n v="3"/>
    <n v="3"/>
    <x v="3"/>
    <x v="6"/>
    <n v="0"/>
    <x v="0"/>
    <x v="2"/>
    <x v="1"/>
    <x v="1"/>
    <x v="1"/>
    <n v="1"/>
  </r>
  <r>
    <x v="10"/>
    <x v="0"/>
    <x v="1"/>
    <n v="662"/>
    <x v="0"/>
    <n v="18"/>
    <x v="2"/>
    <x v="3"/>
    <x v="0"/>
    <n v="1380"/>
    <x v="2"/>
    <x v="0"/>
    <n v="67"/>
    <x v="0"/>
    <x v="0"/>
    <x v="0"/>
    <x v="2"/>
    <x v="1"/>
    <x v="925"/>
    <n v="23288"/>
    <n v="0"/>
    <s v="Y"/>
    <x v="0"/>
    <n v="18"/>
    <x v="0"/>
    <x v="3"/>
    <n v="80"/>
    <n v="1"/>
    <n v="5"/>
    <n v="0"/>
    <x v="2"/>
    <x v="9"/>
    <n v="2"/>
    <x v="2"/>
    <x v="3"/>
    <x v="1"/>
    <x v="2"/>
    <x v="1"/>
    <n v="1"/>
  </r>
  <r>
    <x v="8"/>
    <x v="1"/>
    <x v="1"/>
    <n v="693"/>
    <x v="1"/>
    <n v="7"/>
    <x v="3"/>
    <x v="0"/>
    <x v="0"/>
    <n v="1382"/>
    <x v="2"/>
    <x v="1"/>
    <n v="57"/>
    <x v="2"/>
    <x v="1"/>
    <x v="1"/>
    <x v="2"/>
    <x v="2"/>
    <x v="353"/>
    <n v="15748"/>
    <n v="1"/>
    <s v="Y"/>
    <x v="1"/>
    <n v="11"/>
    <x v="0"/>
    <x v="1"/>
    <n v="80"/>
    <n v="3"/>
    <n v="4"/>
    <n v="2"/>
    <x v="1"/>
    <x v="9"/>
    <n v="2"/>
    <x v="0"/>
    <x v="6"/>
    <x v="1"/>
    <x v="2"/>
    <x v="1"/>
    <n v="0"/>
  </r>
  <r>
    <x v="13"/>
    <x v="1"/>
    <x v="0"/>
    <n v="404"/>
    <x v="1"/>
    <n v="2"/>
    <x v="2"/>
    <x v="4"/>
    <x v="0"/>
    <n v="1383"/>
    <x v="1"/>
    <x v="0"/>
    <n v="98"/>
    <x v="0"/>
    <x v="0"/>
    <x v="4"/>
    <x v="0"/>
    <x v="0"/>
    <x v="926"/>
    <n v="6163"/>
    <n v="1"/>
    <s v="Y"/>
    <x v="1"/>
    <n v="11"/>
    <x v="0"/>
    <x v="1"/>
    <n v="80"/>
    <n v="0"/>
    <n v="14"/>
    <n v="2"/>
    <x v="3"/>
    <x v="13"/>
    <n v="11"/>
    <x v="5"/>
    <x v="7"/>
    <x v="1"/>
    <x v="3"/>
    <x v="0"/>
    <n v="0"/>
  </r>
  <r>
    <x v="14"/>
    <x v="1"/>
    <x v="0"/>
    <n v="736"/>
    <x v="0"/>
    <n v="26"/>
    <x v="3"/>
    <x v="0"/>
    <x v="0"/>
    <n v="1387"/>
    <x v="1"/>
    <x v="1"/>
    <n v="48"/>
    <x v="1"/>
    <x v="0"/>
    <x v="0"/>
    <x v="3"/>
    <x v="1"/>
    <x v="927"/>
    <n v="24232"/>
    <n v="1"/>
    <s v="Y"/>
    <x v="1"/>
    <n v="11"/>
    <x v="0"/>
    <x v="3"/>
    <n v="80"/>
    <n v="1"/>
    <n v="5"/>
    <n v="0"/>
    <x v="1"/>
    <x v="8"/>
    <n v="3"/>
    <x v="0"/>
    <x v="10"/>
    <x v="2"/>
    <x v="2"/>
    <x v="1"/>
    <n v="0"/>
  </r>
  <r>
    <x v="12"/>
    <x v="0"/>
    <x v="0"/>
    <n v="330"/>
    <x v="1"/>
    <n v="22"/>
    <x v="2"/>
    <x v="2"/>
    <x v="0"/>
    <n v="1389"/>
    <x v="2"/>
    <x v="1"/>
    <n v="98"/>
    <x v="0"/>
    <x v="0"/>
    <x v="3"/>
    <x v="2"/>
    <x v="1"/>
    <x v="928"/>
    <n v="21057"/>
    <n v="1"/>
    <s v="Y"/>
    <x v="0"/>
    <n v="15"/>
    <x v="0"/>
    <x v="1"/>
    <n v="80"/>
    <n v="2"/>
    <n v="10"/>
    <n v="3"/>
    <x v="2"/>
    <x v="1"/>
    <n v="2"/>
    <x v="7"/>
    <x v="1"/>
    <x v="1"/>
    <x v="0"/>
    <x v="0"/>
    <n v="1"/>
  </r>
  <r>
    <x v="22"/>
    <x v="1"/>
    <x v="0"/>
    <n v="1498"/>
    <x v="0"/>
    <n v="21"/>
    <x v="2"/>
    <x v="0"/>
    <x v="0"/>
    <n v="1390"/>
    <x v="3"/>
    <x v="1"/>
    <n v="44"/>
    <x v="1"/>
    <x v="0"/>
    <x v="0"/>
    <x v="0"/>
    <x v="1"/>
    <x v="929"/>
    <n v="3567"/>
    <n v="3"/>
    <s v="Y"/>
    <x v="0"/>
    <n v="12"/>
    <x v="0"/>
    <x v="1"/>
    <n v="80"/>
    <n v="2"/>
    <n v="8"/>
    <n v="2"/>
    <x v="3"/>
    <x v="8"/>
    <n v="4"/>
    <x v="1"/>
    <x v="10"/>
    <x v="1"/>
    <x v="2"/>
    <x v="0"/>
    <n v="0"/>
  </r>
  <r>
    <x v="31"/>
    <x v="1"/>
    <x v="1"/>
    <n v="541"/>
    <x v="0"/>
    <n v="2"/>
    <x v="3"/>
    <x v="3"/>
    <x v="0"/>
    <n v="1391"/>
    <x v="0"/>
    <x v="1"/>
    <n v="52"/>
    <x v="0"/>
    <x v="2"/>
    <x v="0"/>
    <x v="1"/>
    <x v="1"/>
    <x v="930"/>
    <n v="15395"/>
    <n v="2"/>
    <s v="Y"/>
    <x v="1"/>
    <n v="11"/>
    <x v="0"/>
    <x v="2"/>
    <n v="80"/>
    <n v="0"/>
    <n v="14"/>
    <n v="5"/>
    <x v="1"/>
    <x v="9"/>
    <n v="2"/>
    <x v="2"/>
    <x v="3"/>
    <x v="3"/>
    <x v="2"/>
    <x v="3"/>
    <n v="0"/>
  </r>
  <r>
    <x v="0"/>
    <x v="1"/>
    <x v="1"/>
    <n v="1200"/>
    <x v="1"/>
    <n v="22"/>
    <x v="3"/>
    <x v="0"/>
    <x v="0"/>
    <n v="1392"/>
    <x v="2"/>
    <x v="0"/>
    <n v="75"/>
    <x v="0"/>
    <x v="0"/>
    <x v="1"/>
    <x v="0"/>
    <x v="2"/>
    <x v="931"/>
    <n v="13953"/>
    <n v="3"/>
    <s v="Y"/>
    <x v="0"/>
    <n v="14"/>
    <x v="0"/>
    <x v="0"/>
    <n v="80"/>
    <n v="2"/>
    <n v="12"/>
    <n v="4"/>
    <x v="2"/>
    <x v="0"/>
    <n v="2"/>
    <x v="2"/>
    <x v="6"/>
    <x v="0"/>
    <x v="0"/>
    <x v="0"/>
    <n v="0"/>
  </r>
  <r>
    <x v="2"/>
    <x v="1"/>
    <x v="0"/>
    <n v="1439"/>
    <x v="1"/>
    <n v="4"/>
    <x v="1"/>
    <x v="0"/>
    <x v="0"/>
    <n v="1394"/>
    <x v="1"/>
    <x v="1"/>
    <n v="54"/>
    <x v="0"/>
    <x v="1"/>
    <x v="1"/>
    <x v="2"/>
    <x v="1"/>
    <x v="932"/>
    <n v="5182"/>
    <n v="7"/>
    <s v="Y"/>
    <x v="0"/>
    <n v="15"/>
    <x v="0"/>
    <x v="1"/>
    <n v="80"/>
    <n v="0"/>
    <n v="8"/>
    <n v="2"/>
    <x v="1"/>
    <x v="0"/>
    <n v="4"/>
    <x v="1"/>
    <x v="6"/>
    <x v="1"/>
    <x v="0"/>
    <x v="1"/>
    <n v="0"/>
  </r>
  <r>
    <x v="3"/>
    <x v="1"/>
    <x v="1"/>
    <n v="1111"/>
    <x v="0"/>
    <n v="5"/>
    <x v="1"/>
    <x v="0"/>
    <x v="0"/>
    <n v="1395"/>
    <x v="0"/>
    <x v="1"/>
    <n v="61"/>
    <x v="0"/>
    <x v="0"/>
    <x v="0"/>
    <x v="0"/>
    <x v="1"/>
    <x v="933"/>
    <n v="19293"/>
    <n v="6"/>
    <s v="Y"/>
    <x v="1"/>
    <n v="13"/>
    <x v="0"/>
    <x v="0"/>
    <n v="80"/>
    <n v="0"/>
    <n v="8"/>
    <n v="2"/>
    <x v="3"/>
    <x v="8"/>
    <n v="4"/>
    <x v="1"/>
    <x v="3"/>
    <x v="1"/>
    <x v="2"/>
    <x v="0"/>
    <n v="0"/>
  </r>
  <r>
    <x v="5"/>
    <x v="1"/>
    <x v="0"/>
    <n v="499"/>
    <x v="0"/>
    <n v="2"/>
    <x v="1"/>
    <x v="3"/>
    <x v="0"/>
    <n v="1396"/>
    <x v="1"/>
    <x v="1"/>
    <n v="36"/>
    <x v="0"/>
    <x v="0"/>
    <x v="0"/>
    <x v="1"/>
    <x v="1"/>
    <x v="934"/>
    <n v="20497"/>
    <n v="0"/>
    <s v="Y"/>
    <x v="0"/>
    <n v="13"/>
    <x v="0"/>
    <x v="0"/>
    <n v="80"/>
    <n v="3"/>
    <n v="4"/>
    <n v="3"/>
    <x v="2"/>
    <x v="11"/>
    <n v="2"/>
    <x v="1"/>
    <x v="3"/>
    <x v="1"/>
    <x v="2"/>
    <x v="1"/>
    <n v="0"/>
  </r>
  <r>
    <x v="22"/>
    <x v="1"/>
    <x v="2"/>
    <n v="1485"/>
    <x v="1"/>
    <n v="25"/>
    <x v="0"/>
    <x v="0"/>
    <x v="0"/>
    <n v="1397"/>
    <x v="1"/>
    <x v="1"/>
    <n v="71"/>
    <x v="0"/>
    <x v="2"/>
    <x v="4"/>
    <x v="2"/>
    <x v="1"/>
    <x v="935"/>
    <n v="3449"/>
    <n v="3"/>
    <s v="Y"/>
    <x v="1"/>
    <n v="21"/>
    <x v="1"/>
    <x v="2"/>
    <n v="80"/>
    <n v="1"/>
    <n v="13"/>
    <n v="2"/>
    <x v="1"/>
    <x v="0"/>
    <n v="4"/>
    <x v="0"/>
    <x v="0"/>
    <x v="1"/>
    <x v="0"/>
    <x v="3"/>
    <n v="0"/>
  </r>
  <r>
    <x v="36"/>
    <x v="1"/>
    <x v="0"/>
    <n v="1372"/>
    <x v="0"/>
    <n v="18"/>
    <x v="1"/>
    <x v="0"/>
    <x v="0"/>
    <n v="1399"/>
    <x v="3"/>
    <x v="1"/>
    <n v="93"/>
    <x v="2"/>
    <x v="0"/>
    <x v="0"/>
    <x v="2"/>
    <x v="1"/>
    <x v="936"/>
    <n v="12477"/>
    <n v="2"/>
    <s v="Y"/>
    <x v="1"/>
    <n v="11"/>
    <x v="0"/>
    <x v="2"/>
    <n v="80"/>
    <n v="0"/>
    <n v="6"/>
    <n v="3"/>
    <x v="2"/>
    <x v="11"/>
    <n v="2"/>
    <x v="1"/>
    <x v="3"/>
    <x v="2"/>
    <x v="2"/>
    <x v="0"/>
    <n v="0"/>
  </r>
  <r>
    <x v="39"/>
    <x v="1"/>
    <x v="1"/>
    <n v="322"/>
    <x v="1"/>
    <n v="28"/>
    <x v="0"/>
    <x v="2"/>
    <x v="0"/>
    <n v="1401"/>
    <x v="2"/>
    <x v="0"/>
    <n v="59"/>
    <x v="2"/>
    <x v="3"/>
    <x v="3"/>
    <x v="2"/>
    <x v="1"/>
    <x v="937"/>
    <n v="9731"/>
    <n v="2"/>
    <s v="Y"/>
    <x v="0"/>
    <n v="11"/>
    <x v="0"/>
    <x v="2"/>
    <n v="80"/>
    <n v="1"/>
    <n v="24"/>
    <n v="3"/>
    <x v="2"/>
    <x v="8"/>
    <n v="3"/>
    <x v="0"/>
    <x v="3"/>
    <x v="3"/>
    <x v="2"/>
    <x v="3"/>
    <n v="0"/>
  </r>
  <r>
    <x v="23"/>
    <x v="1"/>
    <x v="0"/>
    <n v="930"/>
    <x v="1"/>
    <n v="6"/>
    <x v="3"/>
    <x v="2"/>
    <x v="0"/>
    <n v="1402"/>
    <x v="3"/>
    <x v="0"/>
    <n v="73"/>
    <x v="1"/>
    <x v="0"/>
    <x v="1"/>
    <x v="2"/>
    <x v="0"/>
    <x v="938"/>
    <n v="20003"/>
    <n v="1"/>
    <s v="Y"/>
    <x v="0"/>
    <n v="14"/>
    <x v="0"/>
    <x v="0"/>
    <n v="80"/>
    <n v="0"/>
    <n v="20"/>
    <n v="3"/>
    <x v="0"/>
    <x v="23"/>
    <n v="7"/>
    <x v="1"/>
    <x v="5"/>
    <x v="0"/>
    <x v="3"/>
    <x v="1"/>
    <n v="0"/>
  </r>
  <r>
    <x v="4"/>
    <x v="1"/>
    <x v="0"/>
    <n v="205"/>
    <x v="0"/>
    <n v="10"/>
    <x v="3"/>
    <x v="3"/>
    <x v="0"/>
    <n v="1403"/>
    <x v="2"/>
    <x v="0"/>
    <n v="98"/>
    <x v="1"/>
    <x v="0"/>
    <x v="0"/>
    <x v="0"/>
    <x v="1"/>
    <x v="939"/>
    <n v="7100"/>
    <n v="1"/>
    <s v="Y"/>
    <x v="0"/>
    <n v="11"/>
    <x v="0"/>
    <x v="1"/>
    <n v="80"/>
    <n v="0"/>
    <n v="6"/>
    <n v="3"/>
    <x v="1"/>
    <x v="0"/>
    <n v="2"/>
    <x v="5"/>
    <x v="10"/>
    <x v="2"/>
    <x v="0"/>
    <x v="0"/>
    <n v="0"/>
  </r>
  <r>
    <x v="4"/>
    <x v="0"/>
    <x v="0"/>
    <n v="135"/>
    <x v="1"/>
    <n v="17"/>
    <x v="2"/>
    <x v="0"/>
    <x v="0"/>
    <n v="1405"/>
    <x v="2"/>
    <x v="0"/>
    <n v="51"/>
    <x v="0"/>
    <x v="1"/>
    <x v="1"/>
    <x v="2"/>
    <x v="0"/>
    <x v="940"/>
    <n v="25681"/>
    <n v="1"/>
    <s v="Y"/>
    <x v="0"/>
    <n v="13"/>
    <x v="0"/>
    <x v="1"/>
    <n v="80"/>
    <n v="0"/>
    <n v="8"/>
    <n v="2"/>
    <x v="1"/>
    <x v="3"/>
    <n v="2"/>
    <x v="4"/>
    <x v="1"/>
    <x v="2"/>
    <x v="0"/>
    <x v="1"/>
    <n v="1"/>
  </r>
  <r>
    <x v="25"/>
    <x v="1"/>
    <x v="0"/>
    <n v="683"/>
    <x v="1"/>
    <n v="2"/>
    <x v="1"/>
    <x v="2"/>
    <x v="0"/>
    <n v="1407"/>
    <x v="3"/>
    <x v="1"/>
    <n v="36"/>
    <x v="1"/>
    <x v="1"/>
    <x v="1"/>
    <x v="0"/>
    <x v="0"/>
    <x v="885"/>
    <n v="4050"/>
    <n v="0"/>
    <s v="Y"/>
    <x v="1"/>
    <n v="12"/>
    <x v="0"/>
    <x v="1"/>
    <n v="80"/>
    <n v="0"/>
    <n v="5"/>
    <n v="2"/>
    <x v="1"/>
    <x v="9"/>
    <n v="3"/>
    <x v="1"/>
    <x v="9"/>
    <x v="2"/>
    <x v="2"/>
    <x v="1"/>
    <n v="0"/>
  </r>
  <r>
    <x v="19"/>
    <x v="1"/>
    <x v="0"/>
    <n v="1147"/>
    <x v="2"/>
    <n v="10"/>
    <x v="3"/>
    <x v="5"/>
    <x v="0"/>
    <n v="1408"/>
    <x v="1"/>
    <x v="0"/>
    <n v="31"/>
    <x v="0"/>
    <x v="3"/>
    <x v="5"/>
    <x v="3"/>
    <x v="1"/>
    <x v="941"/>
    <n v="16616"/>
    <n v="0"/>
    <s v="Y"/>
    <x v="1"/>
    <n v="14"/>
    <x v="0"/>
    <x v="3"/>
    <n v="80"/>
    <n v="1"/>
    <n v="21"/>
    <n v="5"/>
    <x v="1"/>
    <x v="23"/>
    <n v="7"/>
    <x v="0"/>
    <x v="12"/>
    <x v="0"/>
    <x v="3"/>
    <x v="2"/>
    <n v="0"/>
  </r>
  <r>
    <x v="39"/>
    <x v="1"/>
    <x v="0"/>
    <n v="258"/>
    <x v="1"/>
    <n v="8"/>
    <x v="2"/>
    <x v="1"/>
    <x v="0"/>
    <n v="1409"/>
    <x v="1"/>
    <x v="0"/>
    <n v="54"/>
    <x v="0"/>
    <x v="1"/>
    <x v="2"/>
    <x v="3"/>
    <x v="1"/>
    <x v="942"/>
    <n v="17363"/>
    <n v="9"/>
    <s v="Y"/>
    <x v="1"/>
    <n v="13"/>
    <x v="0"/>
    <x v="3"/>
    <n v="80"/>
    <n v="0"/>
    <n v="12"/>
    <n v="2"/>
    <x v="0"/>
    <x v="8"/>
    <n v="4"/>
    <x v="0"/>
    <x v="10"/>
    <x v="3"/>
    <x v="2"/>
    <x v="1"/>
    <n v="0"/>
  </r>
  <r>
    <x v="2"/>
    <x v="1"/>
    <x v="0"/>
    <n v="1462"/>
    <x v="1"/>
    <n v="11"/>
    <x v="3"/>
    <x v="2"/>
    <x v="0"/>
    <n v="1411"/>
    <x v="3"/>
    <x v="0"/>
    <n v="94"/>
    <x v="0"/>
    <x v="1"/>
    <x v="2"/>
    <x v="2"/>
    <x v="0"/>
    <x v="943"/>
    <n v="19106"/>
    <n v="4"/>
    <s v="Y"/>
    <x v="1"/>
    <n v="18"/>
    <x v="0"/>
    <x v="0"/>
    <n v="80"/>
    <n v="0"/>
    <n v="8"/>
    <n v="6"/>
    <x v="1"/>
    <x v="11"/>
    <n v="2"/>
    <x v="0"/>
    <x v="3"/>
    <x v="1"/>
    <x v="2"/>
    <x v="1"/>
    <n v="0"/>
  </r>
  <r>
    <x v="10"/>
    <x v="1"/>
    <x v="1"/>
    <n v="200"/>
    <x v="1"/>
    <n v="18"/>
    <x v="0"/>
    <x v="0"/>
    <x v="0"/>
    <n v="1412"/>
    <x v="1"/>
    <x v="1"/>
    <n v="60"/>
    <x v="0"/>
    <x v="2"/>
    <x v="3"/>
    <x v="0"/>
    <x v="0"/>
    <x v="944"/>
    <n v="19944"/>
    <n v="2"/>
    <s v="Y"/>
    <x v="1"/>
    <n v="11"/>
    <x v="0"/>
    <x v="3"/>
    <n v="80"/>
    <n v="0"/>
    <n v="10"/>
    <n v="2"/>
    <x v="1"/>
    <x v="4"/>
    <n v="2"/>
    <x v="3"/>
    <x v="3"/>
    <x v="1"/>
    <x v="1"/>
    <x v="0"/>
    <n v="0"/>
  </r>
  <r>
    <x v="36"/>
    <x v="1"/>
    <x v="0"/>
    <n v="949"/>
    <x v="1"/>
    <n v="1"/>
    <x v="3"/>
    <x v="4"/>
    <x v="0"/>
    <n v="1415"/>
    <x v="3"/>
    <x v="1"/>
    <n v="81"/>
    <x v="0"/>
    <x v="1"/>
    <x v="2"/>
    <x v="0"/>
    <x v="1"/>
    <x v="945"/>
    <n v="4910"/>
    <n v="4"/>
    <s v="Y"/>
    <x v="1"/>
    <n v="11"/>
    <x v="0"/>
    <x v="2"/>
    <n v="80"/>
    <n v="1"/>
    <n v="7"/>
    <n v="2"/>
    <x v="2"/>
    <x v="11"/>
    <n v="2"/>
    <x v="0"/>
    <x v="3"/>
    <x v="2"/>
    <x v="2"/>
    <x v="1"/>
    <n v="0"/>
  </r>
  <r>
    <x v="25"/>
    <x v="1"/>
    <x v="0"/>
    <n v="652"/>
    <x v="1"/>
    <n v="7"/>
    <x v="3"/>
    <x v="1"/>
    <x v="0"/>
    <n v="1417"/>
    <x v="1"/>
    <x v="1"/>
    <n v="100"/>
    <x v="2"/>
    <x v="1"/>
    <x v="2"/>
    <x v="3"/>
    <x v="0"/>
    <x v="946"/>
    <n v="23577"/>
    <n v="0"/>
    <s v="Y"/>
    <x v="1"/>
    <n v="12"/>
    <x v="0"/>
    <x v="1"/>
    <n v="80"/>
    <n v="0"/>
    <n v="8"/>
    <n v="2"/>
    <x v="1"/>
    <x v="5"/>
    <n v="7"/>
    <x v="0"/>
    <x v="1"/>
    <x v="2"/>
    <x v="0"/>
    <x v="1"/>
    <n v="0"/>
  </r>
  <r>
    <x v="11"/>
    <x v="1"/>
    <x v="0"/>
    <n v="332"/>
    <x v="2"/>
    <n v="17"/>
    <x v="3"/>
    <x v="1"/>
    <x v="0"/>
    <n v="1419"/>
    <x v="0"/>
    <x v="1"/>
    <n v="51"/>
    <x v="1"/>
    <x v="2"/>
    <x v="8"/>
    <x v="3"/>
    <x v="0"/>
    <x v="947"/>
    <n v="9769"/>
    <n v="1"/>
    <s v="Y"/>
    <x v="1"/>
    <n v="13"/>
    <x v="0"/>
    <x v="0"/>
    <n v="80"/>
    <n v="0"/>
    <n v="10"/>
    <n v="3"/>
    <x v="2"/>
    <x v="1"/>
    <n v="9"/>
    <x v="0"/>
    <x v="12"/>
    <x v="2"/>
    <x v="0"/>
    <x v="0"/>
    <n v="0"/>
  </r>
  <r>
    <x v="1"/>
    <x v="0"/>
    <x v="1"/>
    <n v="1475"/>
    <x v="1"/>
    <n v="28"/>
    <x v="0"/>
    <x v="0"/>
    <x v="0"/>
    <n v="1420"/>
    <x v="3"/>
    <x v="1"/>
    <n v="97"/>
    <x v="1"/>
    <x v="0"/>
    <x v="2"/>
    <x v="3"/>
    <x v="0"/>
    <x v="948"/>
    <n v="22710"/>
    <n v="3"/>
    <s v="Y"/>
    <x v="1"/>
    <n v="20"/>
    <x v="1"/>
    <x v="0"/>
    <n v="80"/>
    <n v="0"/>
    <n v="20"/>
    <n v="2"/>
    <x v="1"/>
    <x v="9"/>
    <n v="3"/>
    <x v="1"/>
    <x v="6"/>
    <x v="0"/>
    <x v="2"/>
    <x v="1"/>
    <n v="1"/>
  </r>
  <r>
    <x v="11"/>
    <x v="0"/>
    <x v="1"/>
    <n v="337"/>
    <x v="1"/>
    <n v="14"/>
    <x v="1"/>
    <x v="1"/>
    <x v="0"/>
    <n v="1421"/>
    <x v="1"/>
    <x v="0"/>
    <n v="84"/>
    <x v="0"/>
    <x v="2"/>
    <x v="4"/>
    <x v="0"/>
    <x v="0"/>
    <x v="949"/>
    <n v="22930"/>
    <n v="0"/>
    <s v="Y"/>
    <x v="0"/>
    <n v="12"/>
    <x v="0"/>
    <x v="0"/>
    <n v="80"/>
    <n v="0"/>
    <n v="9"/>
    <n v="1"/>
    <x v="1"/>
    <x v="3"/>
    <n v="7"/>
    <x v="4"/>
    <x v="1"/>
    <x v="2"/>
    <x v="0"/>
    <x v="0"/>
    <n v="1"/>
  </r>
  <r>
    <x v="33"/>
    <x v="1"/>
    <x v="0"/>
    <n v="971"/>
    <x v="1"/>
    <n v="1"/>
    <x v="3"/>
    <x v="2"/>
    <x v="0"/>
    <n v="1422"/>
    <x v="2"/>
    <x v="0"/>
    <n v="54"/>
    <x v="0"/>
    <x v="3"/>
    <x v="7"/>
    <x v="0"/>
    <x v="0"/>
    <x v="109"/>
    <n v="5652"/>
    <n v="6"/>
    <s v="Y"/>
    <x v="1"/>
    <n v="19"/>
    <x v="0"/>
    <x v="1"/>
    <n v="80"/>
    <n v="0"/>
    <n v="29"/>
    <n v="3"/>
    <x v="2"/>
    <x v="23"/>
    <n v="7"/>
    <x v="12"/>
    <x v="1"/>
    <x v="3"/>
    <x v="3"/>
    <x v="2"/>
    <n v="0"/>
  </r>
  <r>
    <x v="34"/>
    <x v="1"/>
    <x v="0"/>
    <n v="1055"/>
    <x v="1"/>
    <n v="1"/>
    <x v="3"/>
    <x v="2"/>
    <x v="0"/>
    <n v="1423"/>
    <x v="2"/>
    <x v="0"/>
    <n v="76"/>
    <x v="0"/>
    <x v="4"/>
    <x v="7"/>
    <x v="3"/>
    <x v="1"/>
    <x v="950"/>
    <n v="22456"/>
    <n v="3"/>
    <s v="Y"/>
    <x v="0"/>
    <n v="21"/>
    <x v="1"/>
    <x v="3"/>
    <n v="80"/>
    <n v="1"/>
    <n v="32"/>
    <n v="3"/>
    <x v="1"/>
    <x v="7"/>
    <n v="8"/>
    <x v="1"/>
    <x v="0"/>
    <x v="3"/>
    <x v="0"/>
    <x v="2"/>
    <n v="0"/>
  </r>
  <r>
    <x v="27"/>
    <x v="1"/>
    <x v="0"/>
    <n v="1136"/>
    <x v="1"/>
    <n v="1"/>
    <x v="2"/>
    <x v="2"/>
    <x v="0"/>
    <n v="1424"/>
    <x v="0"/>
    <x v="1"/>
    <n v="81"/>
    <x v="2"/>
    <x v="3"/>
    <x v="7"/>
    <x v="0"/>
    <x v="2"/>
    <x v="951"/>
    <n v="12414"/>
    <n v="2"/>
    <s v="Y"/>
    <x v="1"/>
    <n v="13"/>
    <x v="0"/>
    <x v="1"/>
    <n v="80"/>
    <n v="2"/>
    <n v="31"/>
    <n v="4"/>
    <x v="3"/>
    <x v="5"/>
    <n v="7"/>
    <x v="0"/>
    <x v="2"/>
    <x v="3"/>
    <x v="0"/>
    <x v="3"/>
    <n v="0"/>
  </r>
  <r>
    <x v="9"/>
    <x v="1"/>
    <x v="0"/>
    <n v="1174"/>
    <x v="0"/>
    <n v="3"/>
    <x v="2"/>
    <x v="3"/>
    <x v="0"/>
    <n v="1425"/>
    <x v="3"/>
    <x v="0"/>
    <n v="99"/>
    <x v="0"/>
    <x v="0"/>
    <x v="0"/>
    <x v="1"/>
    <x v="0"/>
    <x v="952"/>
    <n v="20763"/>
    <n v="3"/>
    <s v="Y"/>
    <x v="0"/>
    <n v="16"/>
    <x v="0"/>
    <x v="1"/>
    <n v="80"/>
    <n v="0"/>
    <n v="15"/>
    <n v="3"/>
    <x v="1"/>
    <x v="8"/>
    <n v="4"/>
    <x v="0"/>
    <x v="9"/>
    <x v="1"/>
    <x v="2"/>
    <x v="0"/>
    <n v="0"/>
  </r>
  <r>
    <x v="12"/>
    <x v="0"/>
    <x v="1"/>
    <n v="667"/>
    <x v="0"/>
    <n v="1"/>
    <x v="2"/>
    <x v="0"/>
    <x v="0"/>
    <n v="1427"/>
    <x v="0"/>
    <x v="0"/>
    <n v="50"/>
    <x v="3"/>
    <x v="1"/>
    <x v="6"/>
    <x v="2"/>
    <x v="0"/>
    <x v="953"/>
    <n v="16154"/>
    <n v="1"/>
    <s v="Y"/>
    <x v="1"/>
    <n v="12"/>
    <x v="0"/>
    <x v="2"/>
    <n v="80"/>
    <n v="0"/>
    <n v="1"/>
    <n v="3"/>
    <x v="1"/>
    <x v="6"/>
    <n v="0"/>
    <x v="0"/>
    <x v="2"/>
    <x v="1"/>
    <x v="1"/>
    <x v="1"/>
    <n v="1"/>
  </r>
  <r>
    <x v="7"/>
    <x v="1"/>
    <x v="0"/>
    <n v="855"/>
    <x v="0"/>
    <n v="7"/>
    <x v="2"/>
    <x v="3"/>
    <x v="0"/>
    <n v="1428"/>
    <x v="2"/>
    <x v="0"/>
    <n v="73"/>
    <x v="0"/>
    <x v="0"/>
    <x v="0"/>
    <x v="3"/>
    <x v="2"/>
    <x v="586"/>
    <n v="12761"/>
    <n v="7"/>
    <s v="Y"/>
    <x v="1"/>
    <n v="14"/>
    <x v="0"/>
    <x v="2"/>
    <n v="80"/>
    <n v="2"/>
    <n v="8"/>
    <n v="3"/>
    <x v="1"/>
    <x v="11"/>
    <n v="2"/>
    <x v="0"/>
    <x v="3"/>
    <x v="1"/>
    <x v="2"/>
    <x v="1"/>
    <n v="0"/>
  </r>
  <r>
    <x v="12"/>
    <x v="1"/>
    <x v="0"/>
    <n v="182"/>
    <x v="1"/>
    <n v="8"/>
    <x v="4"/>
    <x v="0"/>
    <x v="0"/>
    <n v="1430"/>
    <x v="3"/>
    <x v="0"/>
    <n v="93"/>
    <x v="0"/>
    <x v="3"/>
    <x v="7"/>
    <x v="1"/>
    <x v="0"/>
    <x v="954"/>
    <n v="8847"/>
    <n v="3"/>
    <s v="Y"/>
    <x v="1"/>
    <n v="11"/>
    <x v="0"/>
    <x v="3"/>
    <n v="80"/>
    <n v="0"/>
    <n v="9"/>
    <n v="3"/>
    <x v="3"/>
    <x v="11"/>
    <n v="2"/>
    <x v="1"/>
    <x v="2"/>
    <x v="1"/>
    <x v="2"/>
    <x v="2"/>
    <n v="0"/>
  </r>
  <r>
    <x v="13"/>
    <x v="1"/>
    <x v="1"/>
    <n v="560"/>
    <x v="1"/>
    <n v="1"/>
    <x v="2"/>
    <x v="1"/>
    <x v="0"/>
    <n v="1431"/>
    <x v="2"/>
    <x v="1"/>
    <n v="91"/>
    <x v="0"/>
    <x v="1"/>
    <x v="1"/>
    <x v="3"/>
    <x v="2"/>
    <x v="932"/>
    <n v="20284"/>
    <n v="5"/>
    <s v="Y"/>
    <x v="1"/>
    <n v="14"/>
    <x v="0"/>
    <x v="3"/>
    <n v="80"/>
    <n v="2"/>
    <n v="10"/>
    <n v="2"/>
    <x v="1"/>
    <x v="9"/>
    <n v="3"/>
    <x v="1"/>
    <x v="6"/>
    <x v="1"/>
    <x v="2"/>
    <x v="1"/>
    <n v="0"/>
  </r>
  <r>
    <x v="12"/>
    <x v="0"/>
    <x v="0"/>
    <n v="202"/>
    <x v="1"/>
    <n v="8"/>
    <x v="3"/>
    <x v="0"/>
    <x v="0"/>
    <n v="1433"/>
    <x v="3"/>
    <x v="0"/>
    <n v="34"/>
    <x v="1"/>
    <x v="1"/>
    <x v="1"/>
    <x v="1"/>
    <x v="0"/>
    <x v="955"/>
    <n v="22262"/>
    <n v="1"/>
    <s v="Y"/>
    <x v="1"/>
    <n v="12"/>
    <x v="0"/>
    <x v="3"/>
    <n v="80"/>
    <n v="0"/>
    <n v="1"/>
    <n v="3"/>
    <x v="3"/>
    <x v="6"/>
    <n v="0"/>
    <x v="0"/>
    <x v="2"/>
    <x v="1"/>
    <x v="1"/>
    <x v="1"/>
    <n v="1"/>
  </r>
  <r>
    <x v="4"/>
    <x v="1"/>
    <x v="0"/>
    <n v="1377"/>
    <x v="1"/>
    <n v="11"/>
    <x v="1"/>
    <x v="0"/>
    <x v="0"/>
    <n v="1434"/>
    <x v="0"/>
    <x v="1"/>
    <n v="91"/>
    <x v="0"/>
    <x v="1"/>
    <x v="2"/>
    <x v="3"/>
    <x v="1"/>
    <x v="956"/>
    <n v="7679"/>
    <n v="0"/>
    <s v="Y"/>
    <x v="1"/>
    <n v="14"/>
    <x v="0"/>
    <x v="2"/>
    <n v="80"/>
    <n v="0"/>
    <n v="6"/>
    <n v="3"/>
    <x v="3"/>
    <x v="8"/>
    <n v="0"/>
    <x v="1"/>
    <x v="10"/>
    <x v="2"/>
    <x v="2"/>
    <x v="1"/>
    <n v="0"/>
  </r>
  <r>
    <x v="9"/>
    <x v="1"/>
    <x v="0"/>
    <n v="172"/>
    <x v="1"/>
    <n v="4"/>
    <x v="2"/>
    <x v="0"/>
    <x v="0"/>
    <n v="1435"/>
    <x v="3"/>
    <x v="1"/>
    <n v="37"/>
    <x v="1"/>
    <x v="0"/>
    <x v="2"/>
    <x v="0"/>
    <x v="0"/>
    <x v="957"/>
    <n v="22604"/>
    <n v="1"/>
    <s v="Y"/>
    <x v="1"/>
    <n v="16"/>
    <x v="0"/>
    <x v="3"/>
    <n v="80"/>
    <n v="0"/>
    <n v="10"/>
    <n v="2"/>
    <x v="2"/>
    <x v="1"/>
    <n v="4"/>
    <x v="1"/>
    <x v="5"/>
    <x v="1"/>
    <x v="0"/>
    <x v="0"/>
    <n v="0"/>
  </r>
  <r>
    <x v="9"/>
    <x v="1"/>
    <x v="0"/>
    <n v="329"/>
    <x v="0"/>
    <n v="16"/>
    <x v="2"/>
    <x v="3"/>
    <x v="0"/>
    <n v="1436"/>
    <x v="1"/>
    <x v="0"/>
    <n v="98"/>
    <x v="1"/>
    <x v="0"/>
    <x v="0"/>
    <x v="3"/>
    <x v="1"/>
    <x v="958"/>
    <n v="13494"/>
    <n v="4"/>
    <s v="Y"/>
    <x v="1"/>
    <n v="13"/>
    <x v="0"/>
    <x v="0"/>
    <n v="80"/>
    <n v="2"/>
    <n v="11"/>
    <n v="3"/>
    <x v="2"/>
    <x v="11"/>
    <n v="2"/>
    <x v="0"/>
    <x v="3"/>
    <x v="1"/>
    <x v="2"/>
    <x v="0"/>
    <n v="0"/>
  </r>
  <r>
    <x v="40"/>
    <x v="1"/>
    <x v="0"/>
    <n v="465"/>
    <x v="1"/>
    <n v="1"/>
    <x v="3"/>
    <x v="4"/>
    <x v="0"/>
    <n v="1438"/>
    <x v="3"/>
    <x v="1"/>
    <n v="74"/>
    <x v="0"/>
    <x v="1"/>
    <x v="1"/>
    <x v="0"/>
    <x v="1"/>
    <x v="959"/>
    <n v="10205"/>
    <n v="7"/>
    <s v="Y"/>
    <x v="1"/>
    <n v="12"/>
    <x v="0"/>
    <x v="3"/>
    <n v="80"/>
    <n v="1"/>
    <n v="17"/>
    <n v="2"/>
    <x v="2"/>
    <x v="0"/>
    <n v="5"/>
    <x v="1"/>
    <x v="3"/>
    <x v="0"/>
    <x v="0"/>
    <x v="1"/>
    <n v="0"/>
  </r>
  <r>
    <x v="36"/>
    <x v="0"/>
    <x v="0"/>
    <n v="383"/>
    <x v="0"/>
    <n v="9"/>
    <x v="0"/>
    <x v="0"/>
    <x v="0"/>
    <n v="1439"/>
    <x v="3"/>
    <x v="1"/>
    <n v="68"/>
    <x v="1"/>
    <x v="1"/>
    <x v="6"/>
    <x v="3"/>
    <x v="1"/>
    <x v="960"/>
    <n v="15182"/>
    <n v="3"/>
    <s v="Y"/>
    <x v="1"/>
    <n v="12"/>
    <x v="0"/>
    <x v="0"/>
    <n v="80"/>
    <n v="0"/>
    <n v="6"/>
    <n v="2"/>
    <x v="1"/>
    <x v="11"/>
    <n v="2"/>
    <x v="3"/>
    <x v="3"/>
    <x v="2"/>
    <x v="2"/>
    <x v="1"/>
    <n v="1"/>
  </r>
  <r>
    <x v="2"/>
    <x v="1"/>
    <x v="2"/>
    <n v="1413"/>
    <x v="1"/>
    <n v="5"/>
    <x v="0"/>
    <x v="4"/>
    <x v="0"/>
    <n v="1440"/>
    <x v="1"/>
    <x v="1"/>
    <n v="84"/>
    <x v="2"/>
    <x v="1"/>
    <x v="2"/>
    <x v="2"/>
    <x v="0"/>
    <x v="961"/>
    <n v="25470"/>
    <n v="0"/>
    <s v="Y"/>
    <x v="1"/>
    <n v="14"/>
    <x v="0"/>
    <x v="0"/>
    <n v="80"/>
    <n v="0"/>
    <n v="7"/>
    <n v="2"/>
    <x v="0"/>
    <x v="0"/>
    <n v="5"/>
    <x v="1"/>
    <x v="6"/>
    <x v="1"/>
    <x v="0"/>
    <x v="1"/>
    <n v="0"/>
  </r>
  <r>
    <x v="29"/>
    <x v="1"/>
    <x v="0"/>
    <n v="1255"/>
    <x v="1"/>
    <n v="1"/>
    <x v="0"/>
    <x v="0"/>
    <x v="0"/>
    <n v="1441"/>
    <x v="3"/>
    <x v="0"/>
    <n v="90"/>
    <x v="0"/>
    <x v="1"/>
    <x v="1"/>
    <x v="3"/>
    <x v="1"/>
    <x v="962"/>
    <n v="10494"/>
    <n v="2"/>
    <s v="Y"/>
    <x v="1"/>
    <n v="22"/>
    <x v="1"/>
    <x v="1"/>
    <n v="80"/>
    <n v="1"/>
    <n v="5"/>
    <n v="3"/>
    <x v="3"/>
    <x v="11"/>
    <n v="2"/>
    <x v="1"/>
    <x v="2"/>
    <x v="3"/>
    <x v="2"/>
    <x v="1"/>
    <n v="0"/>
  </r>
  <r>
    <x v="40"/>
    <x v="1"/>
    <x v="0"/>
    <n v="359"/>
    <x v="1"/>
    <n v="2"/>
    <x v="2"/>
    <x v="2"/>
    <x v="0"/>
    <n v="1443"/>
    <x v="3"/>
    <x v="0"/>
    <n v="82"/>
    <x v="0"/>
    <x v="3"/>
    <x v="7"/>
    <x v="2"/>
    <x v="1"/>
    <x v="963"/>
    <n v="26703"/>
    <n v="3"/>
    <s v="Y"/>
    <x v="1"/>
    <n v="19"/>
    <x v="0"/>
    <x v="2"/>
    <n v="80"/>
    <n v="2"/>
    <n v="26"/>
    <n v="2"/>
    <x v="3"/>
    <x v="23"/>
    <n v="17"/>
    <x v="8"/>
    <x v="4"/>
    <x v="0"/>
    <x v="3"/>
    <x v="2"/>
    <n v="0"/>
  </r>
  <r>
    <x v="17"/>
    <x v="1"/>
    <x v="0"/>
    <n v="1476"/>
    <x v="0"/>
    <n v="4"/>
    <x v="1"/>
    <x v="2"/>
    <x v="0"/>
    <n v="1445"/>
    <x v="2"/>
    <x v="0"/>
    <n v="42"/>
    <x v="0"/>
    <x v="0"/>
    <x v="0"/>
    <x v="2"/>
    <x v="1"/>
    <x v="964"/>
    <n v="15211"/>
    <n v="1"/>
    <s v="Y"/>
    <x v="0"/>
    <n v="12"/>
    <x v="0"/>
    <x v="3"/>
    <n v="80"/>
    <n v="2"/>
    <n v="5"/>
    <n v="3"/>
    <x v="1"/>
    <x v="8"/>
    <n v="4"/>
    <x v="0"/>
    <x v="6"/>
    <x v="2"/>
    <x v="2"/>
    <x v="1"/>
    <n v="0"/>
  </r>
  <r>
    <x v="5"/>
    <x v="1"/>
    <x v="0"/>
    <n v="601"/>
    <x v="0"/>
    <n v="7"/>
    <x v="4"/>
    <x v="3"/>
    <x v="0"/>
    <n v="1446"/>
    <x v="2"/>
    <x v="1"/>
    <n v="97"/>
    <x v="0"/>
    <x v="0"/>
    <x v="0"/>
    <x v="0"/>
    <x v="1"/>
    <x v="965"/>
    <n v="23343"/>
    <n v="4"/>
    <s v="Y"/>
    <x v="1"/>
    <n v="12"/>
    <x v="0"/>
    <x v="3"/>
    <n v="80"/>
    <n v="1"/>
    <n v="7"/>
    <n v="3"/>
    <x v="2"/>
    <x v="9"/>
    <n v="3"/>
    <x v="0"/>
    <x v="6"/>
    <x v="1"/>
    <x v="2"/>
    <x v="0"/>
    <n v="0"/>
  </r>
  <r>
    <x v="13"/>
    <x v="1"/>
    <x v="0"/>
    <n v="401"/>
    <x v="1"/>
    <n v="1"/>
    <x v="3"/>
    <x v="0"/>
    <x v="0"/>
    <n v="1447"/>
    <x v="2"/>
    <x v="0"/>
    <n v="86"/>
    <x v="1"/>
    <x v="1"/>
    <x v="2"/>
    <x v="1"/>
    <x v="1"/>
    <x v="635"/>
    <n v="3708"/>
    <n v="5"/>
    <s v="Y"/>
    <x v="1"/>
    <n v="17"/>
    <x v="0"/>
    <x v="0"/>
    <n v="80"/>
    <n v="1"/>
    <n v="7"/>
    <n v="2"/>
    <x v="2"/>
    <x v="8"/>
    <n v="4"/>
    <x v="0"/>
    <x v="3"/>
    <x v="1"/>
    <x v="2"/>
    <x v="1"/>
    <n v="0"/>
  </r>
  <r>
    <x v="0"/>
    <x v="1"/>
    <x v="0"/>
    <n v="1283"/>
    <x v="1"/>
    <n v="5"/>
    <x v="4"/>
    <x v="2"/>
    <x v="0"/>
    <n v="1448"/>
    <x v="0"/>
    <x v="1"/>
    <n v="90"/>
    <x v="2"/>
    <x v="1"/>
    <x v="1"/>
    <x v="2"/>
    <x v="1"/>
    <x v="459"/>
    <n v="5561"/>
    <n v="2"/>
    <s v="Y"/>
    <x v="0"/>
    <n v="12"/>
    <x v="0"/>
    <x v="0"/>
    <n v="80"/>
    <n v="0"/>
    <n v="7"/>
    <n v="5"/>
    <x v="2"/>
    <x v="9"/>
    <n v="2"/>
    <x v="0"/>
    <x v="6"/>
    <x v="0"/>
    <x v="2"/>
    <x v="1"/>
    <n v="0"/>
  </r>
  <r>
    <x v="32"/>
    <x v="1"/>
    <x v="2"/>
    <n v="663"/>
    <x v="1"/>
    <n v="9"/>
    <x v="2"/>
    <x v="1"/>
    <x v="0"/>
    <n v="1449"/>
    <x v="1"/>
    <x v="1"/>
    <n v="81"/>
    <x v="0"/>
    <x v="0"/>
    <x v="2"/>
    <x v="2"/>
    <x v="2"/>
    <x v="966"/>
    <n v="23099"/>
    <n v="3"/>
    <s v="Y"/>
    <x v="1"/>
    <n v="11"/>
    <x v="0"/>
    <x v="3"/>
    <n v="80"/>
    <n v="2"/>
    <n v="11"/>
    <n v="2"/>
    <x v="3"/>
    <x v="3"/>
    <n v="7"/>
    <x v="0"/>
    <x v="1"/>
    <x v="0"/>
    <x v="0"/>
    <x v="1"/>
    <n v="0"/>
  </r>
  <r>
    <x v="12"/>
    <x v="1"/>
    <x v="0"/>
    <n v="326"/>
    <x v="0"/>
    <n v="8"/>
    <x v="0"/>
    <x v="0"/>
    <x v="0"/>
    <n v="1453"/>
    <x v="3"/>
    <x v="1"/>
    <n v="31"/>
    <x v="0"/>
    <x v="2"/>
    <x v="0"/>
    <x v="0"/>
    <x v="2"/>
    <x v="967"/>
    <n v="8386"/>
    <n v="1"/>
    <s v="Y"/>
    <x v="1"/>
    <n v="18"/>
    <x v="0"/>
    <x v="0"/>
    <n v="80"/>
    <n v="1"/>
    <n v="13"/>
    <n v="5"/>
    <x v="1"/>
    <x v="20"/>
    <n v="7"/>
    <x v="10"/>
    <x v="12"/>
    <x v="1"/>
    <x v="3"/>
    <x v="3"/>
    <n v="0"/>
  </r>
  <r>
    <x v="21"/>
    <x v="0"/>
    <x v="0"/>
    <n v="377"/>
    <x v="0"/>
    <n v="9"/>
    <x v="3"/>
    <x v="3"/>
    <x v="0"/>
    <n v="1457"/>
    <x v="3"/>
    <x v="1"/>
    <n v="52"/>
    <x v="0"/>
    <x v="2"/>
    <x v="0"/>
    <x v="0"/>
    <x v="2"/>
    <x v="61"/>
    <n v="15986"/>
    <n v="4"/>
    <s v="Y"/>
    <x v="1"/>
    <n v="11"/>
    <x v="0"/>
    <x v="0"/>
    <n v="80"/>
    <n v="1"/>
    <n v="28"/>
    <n v="1"/>
    <x v="3"/>
    <x v="5"/>
    <n v="7"/>
    <x v="5"/>
    <x v="6"/>
    <x v="0"/>
    <x v="0"/>
    <x v="3"/>
    <n v="1"/>
  </r>
  <r>
    <x v="22"/>
    <x v="0"/>
    <x v="2"/>
    <n v="592"/>
    <x v="1"/>
    <n v="2"/>
    <x v="3"/>
    <x v="0"/>
    <x v="0"/>
    <n v="1458"/>
    <x v="3"/>
    <x v="0"/>
    <n v="54"/>
    <x v="1"/>
    <x v="1"/>
    <x v="2"/>
    <x v="3"/>
    <x v="0"/>
    <x v="968"/>
    <n v="17181"/>
    <n v="2"/>
    <s v="Y"/>
    <x v="0"/>
    <n v="23"/>
    <x v="1"/>
    <x v="2"/>
    <n v="80"/>
    <n v="0"/>
    <n v="11"/>
    <n v="2"/>
    <x v="3"/>
    <x v="6"/>
    <n v="0"/>
    <x v="0"/>
    <x v="2"/>
    <x v="1"/>
    <x v="1"/>
    <x v="1"/>
    <n v="1"/>
  </r>
  <r>
    <x v="12"/>
    <x v="0"/>
    <x v="1"/>
    <n v="1445"/>
    <x v="1"/>
    <n v="1"/>
    <x v="4"/>
    <x v="0"/>
    <x v="0"/>
    <n v="1459"/>
    <x v="1"/>
    <x v="0"/>
    <n v="100"/>
    <x v="2"/>
    <x v="2"/>
    <x v="3"/>
    <x v="1"/>
    <x v="0"/>
    <x v="969"/>
    <n v="8931"/>
    <n v="1"/>
    <s v="Y"/>
    <x v="1"/>
    <n v="11"/>
    <x v="0"/>
    <x v="0"/>
    <n v="80"/>
    <n v="0"/>
    <n v="10"/>
    <n v="2"/>
    <x v="1"/>
    <x v="1"/>
    <n v="8"/>
    <x v="5"/>
    <x v="1"/>
    <x v="1"/>
    <x v="0"/>
    <x v="0"/>
    <n v="1"/>
  </r>
  <r>
    <x v="28"/>
    <x v="1"/>
    <x v="0"/>
    <n v="1038"/>
    <x v="1"/>
    <n v="20"/>
    <x v="3"/>
    <x v="2"/>
    <x v="0"/>
    <n v="1460"/>
    <x v="0"/>
    <x v="1"/>
    <n v="95"/>
    <x v="3"/>
    <x v="2"/>
    <x v="4"/>
    <x v="3"/>
    <x v="2"/>
    <x v="970"/>
    <n v="19863"/>
    <n v="2"/>
    <s v="Y"/>
    <x v="0"/>
    <n v="18"/>
    <x v="0"/>
    <x v="2"/>
    <n v="80"/>
    <n v="1"/>
    <n v="24"/>
    <n v="2"/>
    <x v="1"/>
    <x v="5"/>
    <n v="7"/>
    <x v="0"/>
    <x v="1"/>
    <x v="0"/>
    <x v="0"/>
    <x v="3"/>
    <n v="0"/>
  </r>
  <r>
    <x v="12"/>
    <x v="1"/>
    <x v="0"/>
    <n v="1398"/>
    <x v="2"/>
    <n v="8"/>
    <x v="0"/>
    <x v="2"/>
    <x v="0"/>
    <n v="1461"/>
    <x v="2"/>
    <x v="0"/>
    <n v="96"/>
    <x v="2"/>
    <x v="1"/>
    <x v="8"/>
    <x v="1"/>
    <x v="0"/>
    <x v="971"/>
    <n v="24609"/>
    <n v="9"/>
    <s v="Y"/>
    <x v="1"/>
    <n v="18"/>
    <x v="0"/>
    <x v="1"/>
    <n v="80"/>
    <n v="0"/>
    <n v="8"/>
    <n v="3"/>
    <x v="1"/>
    <x v="11"/>
    <n v="2"/>
    <x v="0"/>
    <x v="3"/>
    <x v="1"/>
    <x v="2"/>
    <x v="1"/>
    <n v="0"/>
  </r>
  <r>
    <x v="12"/>
    <x v="0"/>
    <x v="1"/>
    <n v="523"/>
    <x v="1"/>
    <n v="2"/>
    <x v="3"/>
    <x v="0"/>
    <x v="0"/>
    <n v="1464"/>
    <x v="0"/>
    <x v="1"/>
    <n v="94"/>
    <x v="0"/>
    <x v="1"/>
    <x v="2"/>
    <x v="0"/>
    <x v="1"/>
    <x v="972"/>
    <n v="21081"/>
    <n v="6"/>
    <s v="Y"/>
    <x v="0"/>
    <n v="13"/>
    <x v="0"/>
    <x v="3"/>
    <n v="80"/>
    <n v="1"/>
    <n v="7"/>
    <n v="2"/>
    <x v="0"/>
    <x v="4"/>
    <n v="2"/>
    <x v="3"/>
    <x v="3"/>
    <x v="1"/>
    <x v="1"/>
    <x v="1"/>
    <n v="1"/>
  </r>
  <r>
    <x v="28"/>
    <x v="1"/>
    <x v="0"/>
    <n v="1448"/>
    <x v="1"/>
    <n v="29"/>
    <x v="3"/>
    <x v="4"/>
    <x v="0"/>
    <n v="1465"/>
    <x v="0"/>
    <x v="1"/>
    <n v="55"/>
    <x v="0"/>
    <x v="2"/>
    <x v="3"/>
    <x v="0"/>
    <x v="1"/>
    <x v="973"/>
    <n v="14720"/>
    <n v="4"/>
    <s v="Y"/>
    <x v="0"/>
    <n v="18"/>
    <x v="0"/>
    <x v="1"/>
    <n v="80"/>
    <n v="2"/>
    <n v="10"/>
    <n v="4"/>
    <x v="3"/>
    <x v="11"/>
    <n v="1"/>
    <x v="1"/>
    <x v="3"/>
    <x v="0"/>
    <x v="2"/>
    <x v="0"/>
    <n v="0"/>
  </r>
  <r>
    <x v="26"/>
    <x v="1"/>
    <x v="0"/>
    <n v="1221"/>
    <x v="0"/>
    <n v="7"/>
    <x v="3"/>
    <x v="3"/>
    <x v="0"/>
    <n v="1466"/>
    <x v="1"/>
    <x v="1"/>
    <n v="96"/>
    <x v="0"/>
    <x v="0"/>
    <x v="0"/>
    <x v="3"/>
    <x v="2"/>
    <x v="974"/>
    <n v="24795"/>
    <n v="4"/>
    <s v="Y"/>
    <x v="1"/>
    <n v="11"/>
    <x v="0"/>
    <x v="0"/>
    <n v="80"/>
    <n v="3"/>
    <n v="15"/>
    <n v="3"/>
    <x v="1"/>
    <x v="4"/>
    <n v="2"/>
    <x v="3"/>
    <x v="3"/>
    <x v="0"/>
    <x v="1"/>
    <x v="0"/>
    <n v="0"/>
  </r>
  <r>
    <x v="13"/>
    <x v="0"/>
    <x v="0"/>
    <n v="1107"/>
    <x v="2"/>
    <n v="9"/>
    <x v="2"/>
    <x v="4"/>
    <x v="0"/>
    <n v="1467"/>
    <x v="3"/>
    <x v="0"/>
    <n v="52"/>
    <x v="0"/>
    <x v="1"/>
    <x v="8"/>
    <x v="2"/>
    <x v="1"/>
    <x v="975"/>
    <n v="3072"/>
    <n v="1"/>
    <s v="Y"/>
    <x v="1"/>
    <n v="15"/>
    <x v="0"/>
    <x v="1"/>
    <n v="80"/>
    <n v="0"/>
    <n v="2"/>
    <n v="0"/>
    <x v="1"/>
    <x v="4"/>
    <n v="2"/>
    <x v="3"/>
    <x v="3"/>
    <x v="1"/>
    <x v="1"/>
    <x v="1"/>
    <n v="1"/>
  </r>
  <r>
    <x v="32"/>
    <x v="1"/>
    <x v="2"/>
    <n v="218"/>
    <x v="1"/>
    <n v="8"/>
    <x v="1"/>
    <x v="2"/>
    <x v="0"/>
    <n v="1468"/>
    <x v="2"/>
    <x v="1"/>
    <n v="55"/>
    <x v="1"/>
    <x v="2"/>
    <x v="7"/>
    <x v="1"/>
    <x v="2"/>
    <x v="976"/>
    <n v="25178"/>
    <n v="2"/>
    <s v="Y"/>
    <x v="1"/>
    <n v="11"/>
    <x v="0"/>
    <x v="3"/>
    <n v="80"/>
    <n v="1"/>
    <n v="16"/>
    <n v="5"/>
    <x v="1"/>
    <x v="7"/>
    <n v="8"/>
    <x v="5"/>
    <x v="5"/>
    <x v="0"/>
    <x v="0"/>
    <x v="3"/>
    <n v="0"/>
  </r>
  <r>
    <x v="14"/>
    <x v="1"/>
    <x v="0"/>
    <n v="866"/>
    <x v="0"/>
    <n v="5"/>
    <x v="3"/>
    <x v="2"/>
    <x v="0"/>
    <n v="1469"/>
    <x v="2"/>
    <x v="1"/>
    <n v="84"/>
    <x v="0"/>
    <x v="0"/>
    <x v="0"/>
    <x v="3"/>
    <x v="0"/>
    <x v="977"/>
    <n v="23490"/>
    <n v="0"/>
    <s v="Y"/>
    <x v="1"/>
    <n v="18"/>
    <x v="0"/>
    <x v="1"/>
    <n v="80"/>
    <n v="0"/>
    <n v="6"/>
    <n v="4"/>
    <x v="1"/>
    <x v="8"/>
    <n v="4"/>
    <x v="1"/>
    <x v="6"/>
    <x v="2"/>
    <x v="2"/>
    <x v="0"/>
    <n v="0"/>
  </r>
  <r>
    <x v="20"/>
    <x v="1"/>
    <x v="2"/>
    <n v="981"/>
    <x v="1"/>
    <n v="5"/>
    <x v="3"/>
    <x v="0"/>
    <x v="0"/>
    <n v="1471"/>
    <x v="1"/>
    <x v="1"/>
    <n v="90"/>
    <x v="1"/>
    <x v="1"/>
    <x v="2"/>
    <x v="2"/>
    <x v="0"/>
    <x v="612"/>
    <n v="7973"/>
    <n v="3"/>
    <s v="Y"/>
    <x v="1"/>
    <n v="14"/>
    <x v="0"/>
    <x v="1"/>
    <n v="80"/>
    <n v="0"/>
    <n v="7"/>
    <n v="5"/>
    <x v="1"/>
    <x v="8"/>
    <n v="2"/>
    <x v="0"/>
    <x v="6"/>
    <x v="0"/>
    <x v="2"/>
    <x v="1"/>
    <n v="0"/>
  </r>
  <r>
    <x v="16"/>
    <x v="1"/>
    <x v="0"/>
    <n v="447"/>
    <x v="1"/>
    <n v="2"/>
    <x v="3"/>
    <x v="2"/>
    <x v="0"/>
    <n v="1472"/>
    <x v="2"/>
    <x v="1"/>
    <n v="39"/>
    <x v="2"/>
    <x v="3"/>
    <x v="7"/>
    <x v="1"/>
    <x v="0"/>
    <x v="978"/>
    <n v="19764"/>
    <n v="4"/>
    <s v="Y"/>
    <x v="1"/>
    <n v="12"/>
    <x v="0"/>
    <x v="2"/>
    <n v="80"/>
    <n v="0"/>
    <n v="35"/>
    <n v="2"/>
    <x v="2"/>
    <x v="7"/>
    <n v="8"/>
    <x v="6"/>
    <x v="5"/>
    <x v="3"/>
    <x v="0"/>
    <x v="2"/>
    <n v="0"/>
  </r>
  <r>
    <x v="1"/>
    <x v="1"/>
    <x v="0"/>
    <n v="1495"/>
    <x v="1"/>
    <n v="5"/>
    <x v="2"/>
    <x v="4"/>
    <x v="0"/>
    <n v="1473"/>
    <x v="3"/>
    <x v="1"/>
    <n v="96"/>
    <x v="0"/>
    <x v="0"/>
    <x v="4"/>
    <x v="2"/>
    <x v="1"/>
    <x v="979"/>
    <n v="21534"/>
    <n v="2"/>
    <s v="Y"/>
    <x v="1"/>
    <n v="14"/>
    <x v="0"/>
    <x v="2"/>
    <n v="80"/>
    <n v="1"/>
    <n v="20"/>
    <n v="0"/>
    <x v="2"/>
    <x v="11"/>
    <n v="2"/>
    <x v="1"/>
    <x v="3"/>
    <x v="0"/>
    <x v="2"/>
    <x v="0"/>
    <n v="0"/>
  </r>
  <r>
    <x v="32"/>
    <x v="1"/>
    <x v="0"/>
    <n v="896"/>
    <x v="1"/>
    <n v="2"/>
    <x v="3"/>
    <x v="2"/>
    <x v="0"/>
    <n v="1474"/>
    <x v="1"/>
    <x v="1"/>
    <n v="68"/>
    <x v="0"/>
    <x v="1"/>
    <x v="1"/>
    <x v="2"/>
    <x v="2"/>
    <x v="980"/>
    <n v="8045"/>
    <n v="2"/>
    <s v="Y"/>
    <x v="1"/>
    <n v="14"/>
    <x v="0"/>
    <x v="3"/>
    <n v="80"/>
    <n v="1"/>
    <n v="8"/>
    <n v="3"/>
    <x v="3"/>
    <x v="11"/>
    <n v="1"/>
    <x v="1"/>
    <x v="3"/>
    <x v="0"/>
    <x v="2"/>
    <x v="1"/>
    <n v="0"/>
  </r>
  <r>
    <x v="20"/>
    <x v="1"/>
    <x v="0"/>
    <n v="1467"/>
    <x v="1"/>
    <n v="20"/>
    <x v="3"/>
    <x v="0"/>
    <x v="0"/>
    <n v="1475"/>
    <x v="2"/>
    <x v="1"/>
    <n v="49"/>
    <x v="0"/>
    <x v="1"/>
    <x v="1"/>
    <x v="1"/>
    <x v="0"/>
    <x v="959"/>
    <n v="21158"/>
    <n v="1"/>
    <s v="Y"/>
    <x v="1"/>
    <n v="13"/>
    <x v="0"/>
    <x v="3"/>
    <n v="80"/>
    <n v="0"/>
    <n v="6"/>
    <n v="3"/>
    <x v="2"/>
    <x v="8"/>
    <n v="2"/>
    <x v="1"/>
    <x v="6"/>
    <x v="0"/>
    <x v="2"/>
    <x v="1"/>
    <n v="0"/>
  </r>
  <r>
    <x v="3"/>
    <x v="1"/>
    <x v="1"/>
    <n v="430"/>
    <x v="0"/>
    <n v="7"/>
    <x v="3"/>
    <x v="2"/>
    <x v="0"/>
    <n v="1477"/>
    <x v="2"/>
    <x v="1"/>
    <n v="54"/>
    <x v="0"/>
    <x v="0"/>
    <x v="0"/>
    <x v="3"/>
    <x v="1"/>
    <x v="981"/>
    <n v="17456"/>
    <n v="0"/>
    <s v="Y"/>
    <x v="1"/>
    <n v="14"/>
    <x v="0"/>
    <x v="0"/>
    <n v="80"/>
    <n v="2"/>
    <n v="5"/>
    <n v="2"/>
    <x v="1"/>
    <x v="9"/>
    <n v="3"/>
    <x v="0"/>
    <x v="6"/>
    <x v="1"/>
    <x v="2"/>
    <x v="1"/>
    <n v="0"/>
  </r>
  <r>
    <x v="13"/>
    <x v="1"/>
    <x v="0"/>
    <n v="1326"/>
    <x v="0"/>
    <n v="3"/>
    <x v="3"/>
    <x v="1"/>
    <x v="0"/>
    <n v="1478"/>
    <x v="2"/>
    <x v="1"/>
    <n v="81"/>
    <x v="3"/>
    <x v="0"/>
    <x v="0"/>
    <x v="3"/>
    <x v="0"/>
    <x v="982"/>
    <n v="15891"/>
    <n v="3"/>
    <s v="Y"/>
    <x v="1"/>
    <n v="18"/>
    <x v="0"/>
    <x v="1"/>
    <n v="80"/>
    <n v="0"/>
    <n v="15"/>
    <n v="2"/>
    <x v="1"/>
    <x v="20"/>
    <n v="9"/>
    <x v="2"/>
    <x v="11"/>
    <x v="1"/>
    <x v="3"/>
    <x v="1"/>
    <n v="0"/>
  </r>
  <r>
    <x v="7"/>
    <x v="1"/>
    <x v="0"/>
    <n v="1358"/>
    <x v="0"/>
    <n v="16"/>
    <x v="1"/>
    <x v="0"/>
    <x v="0"/>
    <n v="1479"/>
    <x v="2"/>
    <x v="1"/>
    <n v="96"/>
    <x v="0"/>
    <x v="0"/>
    <x v="0"/>
    <x v="2"/>
    <x v="1"/>
    <x v="983"/>
    <n v="2939"/>
    <n v="8"/>
    <s v="Y"/>
    <x v="1"/>
    <n v="15"/>
    <x v="0"/>
    <x v="3"/>
    <n v="80"/>
    <n v="2"/>
    <n v="4"/>
    <n v="2"/>
    <x v="2"/>
    <x v="4"/>
    <n v="1"/>
    <x v="3"/>
    <x v="3"/>
    <x v="1"/>
    <x v="1"/>
    <x v="0"/>
    <n v="0"/>
  </r>
  <r>
    <x v="19"/>
    <x v="1"/>
    <x v="1"/>
    <n v="748"/>
    <x v="1"/>
    <n v="9"/>
    <x v="0"/>
    <x v="2"/>
    <x v="0"/>
    <n v="1480"/>
    <x v="3"/>
    <x v="0"/>
    <n v="74"/>
    <x v="0"/>
    <x v="1"/>
    <x v="2"/>
    <x v="0"/>
    <x v="0"/>
    <x v="984"/>
    <n v="16458"/>
    <n v="1"/>
    <s v="Y"/>
    <x v="1"/>
    <n v="13"/>
    <x v="0"/>
    <x v="3"/>
    <n v="80"/>
    <n v="0"/>
    <n v="12"/>
    <n v="3"/>
    <x v="1"/>
    <x v="12"/>
    <n v="9"/>
    <x v="8"/>
    <x v="5"/>
    <x v="0"/>
    <x v="3"/>
    <x v="1"/>
    <n v="0"/>
  </r>
  <r>
    <x v="20"/>
    <x v="1"/>
    <x v="1"/>
    <n v="383"/>
    <x v="0"/>
    <n v="1"/>
    <x v="4"/>
    <x v="3"/>
    <x v="0"/>
    <n v="1481"/>
    <x v="3"/>
    <x v="0"/>
    <n v="79"/>
    <x v="0"/>
    <x v="0"/>
    <x v="0"/>
    <x v="2"/>
    <x v="1"/>
    <x v="985"/>
    <n v="9282"/>
    <n v="7"/>
    <s v="Y"/>
    <x v="1"/>
    <n v="12"/>
    <x v="0"/>
    <x v="3"/>
    <n v="80"/>
    <n v="1"/>
    <n v="11"/>
    <n v="4"/>
    <x v="2"/>
    <x v="6"/>
    <n v="0"/>
    <x v="0"/>
    <x v="2"/>
    <x v="0"/>
    <x v="1"/>
    <x v="1"/>
    <n v="0"/>
  </r>
  <r>
    <x v="7"/>
    <x v="1"/>
    <x v="2"/>
    <n v="990"/>
    <x v="1"/>
    <n v="7"/>
    <x v="3"/>
    <x v="4"/>
    <x v="0"/>
    <n v="1482"/>
    <x v="1"/>
    <x v="1"/>
    <n v="64"/>
    <x v="0"/>
    <x v="1"/>
    <x v="1"/>
    <x v="2"/>
    <x v="2"/>
    <x v="986"/>
    <n v="7152"/>
    <n v="1"/>
    <s v="Y"/>
    <x v="1"/>
    <n v="13"/>
    <x v="0"/>
    <x v="2"/>
    <n v="80"/>
    <n v="2"/>
    <n v="1"/>
    <n v="2"/>
    <x v="2"/>
    <x v="6"/>
    <n v="0"/>
    <x v="0"/>
    <x v="2"/>
    <x v="1"/>
    <x v="1"/>
    <x v="1"/>
    <n v="0"/>
  </r>
  <r>
    <x v="38"/>
    <x v="1"/>
    <x v="0"/>
    <n v="405"/>
    <x v="1"/>
    <n v="1"/>
    <x v="0"/>
    <x v="0"/>
    <x v="0"/>
    <n v="1483"/>
    <x v="0"/>
    <x v="1"/>
    <n v="93"/>
    <x v="2"/>
    <x v="0"/>
    <x v="1"/>
    <x v="2"/>
    <x v="1"/>
    <x v="987"/>
    <n v="2721"/>
    <n v="0"/>
    <s v="Y"/>
    <x v="1"/>
    <n v="24"/>
    <x v="1"/>
    <x v="0"/>
    <n v="80"/>
    <n v="1"/>
    <n v="13"/>
    <n v="2"/>
    <x v="2"/>
    <x v="12"/>
    <n v="9"/>
    <x v="3"/>
    <x v="5"/>
    <x v="3"/>
    <x v="3"/>
    <x v="1"/>
    <n v="0"/>
  </r>
  <r>
    <x v="1"/>
    <x v="1"/>
    <x v="0"/>
    <n v="1490"/>
    <x v="1"/>
    <n v="7"/>
    <x v="2"/>
    <x v="0"/>
    <x v="0"/>
    <n v="1484"/>
    <x v="1"/>
    <x v="1"/>
    <n v="35"/>
    <x v="0"/>
    <x v="2"/>
    <x v="4"/>
    <x v="1"/>
    <x v="2"/>
    <x v="988"/>
    <n v="20948"/>
    <n v="3"/>
    <s v="Y"/>
    <x v="1"/>
    <n v="14"/>
    <x v="0"/>
    <x v="2"/>
    <n v="80"/>
    <n v="2"/>
    <n v="29"/>
    <n v="3"/>
    <x v="1"/>
    <x v="3"/>
    <n v="7"/>
    <x v="0"/>
    <x v="1"/>
    <x v="0"/>
    <x v="0"/>
    <x v="3"/>
    <n v="0"/>
  </r>
  <r>
    <x v="13"/>
    <x v="1"/>
    <x v="1"/>
    <n v="829"/>
    <x v="1"/>
    <n v="15"/>
    <x v="3"/>
    <x v="2"/>
    <x v="0"/>
    <n v="1485"/>
    <x v="0"/>
    <x v="1"/>
    <n v="71"/>
    <x v="0"/>
    <x v="3"/>
    <x v="7"/>
    <x v="3"/>
    <x v="2"/>
    <x v="989"/>
    <n v="11929"/>
    <n v="7"/>
    <s v="Y"/>
    <x v="1"/>
    <n v="14"/>
    <x v="0"/>
    <x v="1"/>
    <n v="80"/>
    <n v="2"/>
    <n v="16"/>
    <n v="3"/>
    <x v="2"/>
    <x v="13"/>
    <n v="8"/>
    <x v="7"/>
    <x v="12"/>
    <x v="1"/>
    <x v="3"/>
    <x v="2"/>
    <n v="0"/>
  </r>
  <r>
    <x v="14"/>
    <x v="0"/>
    <x v="1"/>
    <n v="1496"/>
    <x v="0"/>
    <n v="1"/>
    <x v="3"/>
    <x v="4"/>
    <x v="0"/>
    <n v="1486"/>
    <x v="3"/>
    <x v="1"/>
    <n v="92"/>
    <x v="0"/>
    <x v="1"/>
    <x v="6"/>
    <x v="2"/>
    <x v="1"/>
    <x v="3"/>
    <n v="15747"/>
    <n v="3"/>
    <s v="Y"/>
    <x v="1"/>
    <n v="15"/>
    <x v="0"/>
    <x v="1"/>
    <n v="80"/>
    <n v="1"/>
    <n v="5"/>
    <n v="3"/>
    <x v="3"/>
    <x v="11"/>
    <n v="2"/>
    <x v="1"/>
    <x v="3"/>
    <x v="2"/>
    <x v="2"/>
    <x v="1"/>
    <n v="1"/>
  </r>
  <r>
    <x v="11"/>
    <x v="0"/>
    <x v="1"/>
    <n v="115"/>
    <x v="0"/>
    <n v="13"/>
    <x v="3"/>
    <x v="4"/>
    <x v="0"/>
    <n v="1487"/>
    <x v="3"/>
    <x v="0"/>
    <n v="51"/>
    <x v="0"/>
    <x v="0"/>
    <x v="0"/>
    <x v="1"/>
    <x v="0"/>
    <x v="990"/>
    <n v="17485"/>
    <n v="5"/>
    <s v="Y"/>
    <x v="1"/>
    <n v="11"/>
    <x v="0"/>
    <x v="0"/>
    <n v="80"/>
    <n v="0"/>
    <n v="7"/>
    <n v="4"/>
    <x v="0"/>
    <x v="8"/>
    <n v="3"/>
    <x v="0"/>
    <x v="2"/>
    <x v="2"/>
    <x v="2"/>
    <x v="0"/>
    <n v="1"/>
  </r>
  <r>
    <x v="13"/>
    <x v="0"/>
    <x v="0"/>
    <n v="790"/>
    <x v="0"/>
    <n v="24"/>
    <x v="2"/>
    <x v="2"/>
    <x v="0"/>
    <n v="1489"/>
    <x v="3"/>
    <x v="0"/>
    <n v="40"/>
    <x v="1"/>
    <x v="0"/>
    <x v="0"/>
    <x v="1"/>
    <x v="0"/>
    <x v="991"/>
    <n v="7815"/>
    <n v="0"/>
    <s v="Y"/>
    <x v="0"/>
    <n v="23"/>
    <x v="1"/>
    <x v="3"/>
    <n v="80"/>
    <n v="0"/>
    <n v="16"/>
    <n v="2"/>
    <x v="3"/>
    <x v="15"/>
    <n v="9"/>
    <x v="13"/>
    <x v="13"/>
    <x v="1"/>
    <x v="3"/>
    <x v="1"/>
    <n v="1"/>
  </r>
  <r>
    <x v="10"/>
    <x v="1"/>
    <x v="0"/>
    <n v="660"/>
    <x v="0"/>
    <n v="7"/>
    <x v="1"/>
    <x v="0"/>
    <x v="0"/>
    <n v="1492"/>
    <x v="2"/>
    <x v="1"/>
    <n v="76"/>
    <x v="0"/>
    <x v="1"/>
    <x v="6"/>
    <x v="2"/>
    <x v="1"/>
    <x v="639"/>
    <n v="16192"/>
    <n v="1"/>
    <s v="Y"/>
    <x v="1"/>
    <n v="13"/>
    <x v="0"/>
    <x v="0"/>
    <n v="80"/>
    <n v="1"/>
    <n v="1"/>
    <n v="3"/>
    <x v="1"/>
    <x v="6"/>
    <n v="0"/>
    <x v="0"/>
    <x v="2"/>
    <x v="1"/>
    <x v="1"/>
    <x v="1"/>
    <n v="0"/>
  </r>
  <r>
    <x v="17"/>
    <x v="0"/>
    <x v="1"/>
    <n v="381"/>
    <x v="1"/>
    <n v="9"/>
    <x v="3"/>
    <x v="2"/>
    <x v="0"/>
    <n v="1494"/>
    <x v="0"/>
    <x v="1"/>
    <n v="89"/>
    <x v="0"/>
    <x v="1"/>
    <x v="2"/>
    <x v="3"/>
    <x v="0"/>
    <x v="992"/>
    <n v="16998"/>
    <n v="2"/>
    <s v="Y"/>
    <x v="0"/>
    <n v="11"/>
    <x v="0"/>
    <x v="3"/>
    <n v="80"/>
    <n v="0"/>
    <n v="4"/>
    <n v="2"/>
    <x v="2"/>
    <x v="2"/>
    <n v="0"/>
    <x v="0"/>
    <x v="2"/>
    <x v="2"/>
    <x v="1"/>
    <x v="1"/>
    <n v="1"/>
  </r>
  <r>
    <x v="17"/>
    <x v="1"/>
    <x v="2"/>
    <n v="830"/>
    <x v="0"/>
    <n v="13"/>
    <x v="0"/>
    <x v="0"/>
    <x v="0"/>
    <n v="1495"/>
    <x v="2"/>
    <x v="0"/>
    <n v="78"/>
    <x v="0"/>
    <x v="1"/>
    <x v="6"/>
    <x v="1"/>
    <x v="1"/>
    <x v="462"/>
    <n v="7103"/>
    <n v="1"/>
    <s v="Y"/>
    <x v="1"/>
    <n v="13"/>
    <x v="0"/>
    <x v="3"/>
    <n v="80"/>
    <n v="1"/>
    <n v="1"/>
    <n v="2"/>
    <x v="1"/>
    <x v="6"/>
    <n v="0"/>
    <x v="0"/>
    <x v="2"/>
    <x v="2"/>
    <x v="1"/>
    <x v="1"/>
    <n v="0"/>
  </r>
  <r>
    <x v="20"/>
    <x v="1"/>
    <x v="1"/>
    <n v="1193"/>
    <x v="1"/>
    <n v="2"/>
    <x v="1"/>
    <x v="2"/>
    <x v="0"/>
    <n v="1496"/>
    <x v="0"/>
    <x v="1"/>
    <n v="86"/>
    <x v="0"/>
    <x v="2"/>
    <x v="3"/>
    <x v="2"/>
    <x v="0"/>
    <x v="993"/>
    <n v="19719"/>
    <n v="5"/>
    <s v="Y"/>
    <x v="0"/>
    <n v="18"/>
    <x v="0"/>
    <x v="2"/>
    <n v="80"/>
    <n v="0"/>
    <n v="16"/>
    <n v="2"/>
    <x v="2"/>
    <x v="4"/>
    <n v="2"/>
    <x v="3"/>
    <x v="3"/>
    <x v="0"/>
    <x v="1"/>
    <x v="3"/>
    <n v="0"/>
  </r>
  <r>
    <x v="11"/>
    <x v="1"/>
    <x v="0"/>
    <n v="1246"/>
    <x v="0"/>
    <n v="19"/>
    <x v="3"/>
    <x v="0"/>
    <x v="0"/>
    <n v="1497"/>
    <x v="1"/>
    <x v="1"/>
    <n v="77"/>
    <x v="1"/>
    <x v="0"/>
    <x v="0"/>
    <x v="2"/>
    <x v="2"/>
    <x v="994"/>
    <n v="23757"/>
    <n v="1"/>
    <s v="Y"/>
    <x v="1"/>
    <n v="14"/>
    <x v="0"/>
    <x v="3"/>
    <n v="80"/>
    <n v="2"/>
    <n v="10"/>
    <n v="3"/>
    <x v="1"/>
    <x v="1"/>
    <n v="7"/>
    <x v="0"/>
    <x v="10"/>
    <x v="2"/>
    <x v="0"/>
    <x v="0"/>
    <n v="0"/>
  </r>
  <r>
    <x v="7"/>
    <x v="1"/>
    <x v="0"/>
    <n v="330"/>
    <x v="2"/>
    <n v="1"/>
    <x v="3"/>
    <x v="0"/>
    <x v="0"/>
    <n v="1499"/>
    <x v="1"/>
    <x v="1"/>
    <n v="46"/>
    <x v="0"/>
    <x v="1"/>
    <x v="8"/>
    <x v="2"/>
    <x v="2"/>
    <x v="995"/>
    <n v="15428"/>
    <n v="0"/>
    <s v="Y"/>
    <x v="1"/>
    <n v="21"/>
    <x v="1"/>
    <x v="0"/>
    <n v="80"/>
    <n v="1"/>
    <n v="6"/>
    <n v="3"/>
    <x v="3"/>
    <x v="8"/>
    <n v="3"/>
    <x v="1"/>
    <x v="6"/>
    <x v="1"/>
    <x v="2"/>
    <x v="1"/>
    <n v="0"/>
  </r>
  <r>
    <x v="27"/>
    <x v="1"/>
    <x v="0"/>
    <n v="1229"/>
    <x v="1"/>
    <n v="4"/>
    <x v="2"/>
    <x v="0"/>
    <x v="0"/>
    <n v="1501"/>
    <x v="2"/>
    <x v="1"/>
    <n v="30"/>
    <x v="0"/>
    <x v="0"/>
    <x v="4"/>
    <x v="2"/>
    <x v="1"/>
    <x v="996"/>
    <n v="16143"/>
    <n v="0"/>
    <s v="Y"/>
    <x v="0"/>
    <n v="16"/>
    <x v="0"/>
    <x v="2"/>
    <n v="80"/>
    <n v="0"/>
    <n v="4"/>
    <n v="2"/>
    <x v="1"/>
    <x v="11"/>
    <n v="2"/>
    <x v="1"/>
    <x v="3"/>
    <x v="3"/>
    <x v="2"/>
    <x v="1"/>
    <n v="0"/>
  </r>
  <r>
    <x v="3"/>
    <x v="1"/>
    <x v="0"/>
    <n v="1099"/>
    <x v="1"/>
    <n v="4"/>
    <x v="2"/>
    <x v="2"/>
    <x v="0"/>
    <n v="1502"/>
    <x v="3"/>
    <x v="0"/>
    <n v="82"/>
    <x v="1"/>
    <x v="1"/>
    <x v="2"/>
    <x v="1"/>
    <x v="1"/>
    <x v="997"/>
    <n v="8192"/>
    <n v="8"/>
    <s v="Y"/>
    <x v="1"/>
    <n v="11"/>
    <x v="0"/>
    <x v="1"/>
    <n v="80"/>
    <n v="0"/>
    <n v="8"/>
    <n v="5"/>
    <x v="1"/>
    <x v="8"/>
    <n v="4"/>
    <x v="0"/>
    <x v="3"/>
    <x v="1"/>
    <x v="2"/>
    <x v="1"/>
    <n v="0"/>
  </r>
  <r>
    <x v="40"/>
    <x v="1"/>
    <x v="0"/>
    <n v="571"/>
    <x v="0"/>
    <n v="14"/>
    <x v="3"/>
    <x v="2"/>
    <x v="0"/>
    <n v="1503"/>
    <x v="1"/>
    <x v="0"/>
    <n v="78"/>
    <x v="0"/>
    <x v="0"/>
    <x v="0"/>
    <x v="2"/>
    <x v="1"/>
    <x v="998"/>
    <n v="24200"/>
    <n v="3"/>
    <s v="Y"/>
    <x v="0"/>
    <n v="17"/>
    <x v="0"/>
    <x v="3"/>
    <n v="80"/>
    <n v="1"/>
    <n v="11"/>
    <n v="4"/>
    <x v="2"/>
    <x v="8"/>
    <n v="4"/>
    <x v="1"/>
    <x v="3"/>
    <x v="0"/>
    <x v="2"/>
    <x v="1"/>
    <n v="0"/>
  </r>
  <r>
    <x v="14"/>
    <x v="0"/>
    <x v="1"/>
    <n v="289"/>
    <x v="1"/>
    <n v="2"/>
    <x v="0"/>
    <x v="2"/>
    <x v="0"/>
    <n v="1504"/>
    <x v="1"/>
    <x v="1"/>
    <n v="38"/>
    <x v="1"/>
    <x v="1"/>
    <x v="2"/>
    <x v="3"/>
    <x v="0"/>
    <x v="999"/>
    <n v="5355"/>
    <n v="7"/>
    <s v="Y"/>
    <x v="1"/>
    <n v="11"/>
    <x v="0"/>
    <x v="3"/>
    <n v="80"/>
    <n v="0"/>
    <n v="8"/>
    <n v="2"/>
    <x v="2"/>
    <x v="2"/>
    <n v="0"/>
    <x v="0"/>
    <x v="2"/>
    <x v="2"/>
    <x v="1"/>
    <x v="1"/>
    <n v="1"/>
  </r>
  <r>
    <x v="14"/>
    <x v="1"/>
    <x v="0"/>
    <n v="1423"/>
    <x v="1"/>
    <n v="1"/>
    <x v="3"/>
    <x v="0"/>
    <x v="0"/>
    <n v="1506"/>
    <x v="3"/>
    <x v="1"/>
    <n v="72"/>
    <x v="1"/>
    <x v="1"/>
    <x v="1"/>
    <x v="2"/>
    <x v="2"/>
    <x v="1000"/>
    <n v="12530"/>
    <n v="1"/>
    <s v="Y"/>
    <x v="1"/>
    <n v="14"/>
    <x v="0"/>
    <x v="1"/>
    <n v="80"/>
    <n v="1"/>
    <n v="1"/>
    <n v="2"/>
    <x v="0"/>
    <x v="6"/>
    <n v="0"/>
    <x v="0"/>
    <x v="2"/>
    <x v="2"/>
    <x v="1"/>
    <x v="1"/>
    <n v="0"/>
  </r>
  <r>
    <x v="14"/>
    <x v="1"/>
    <x v="1"/>
    <n v="467"/>
    <x v="0"/>
    <n v="7"/>
    <x v="3"/>
    <x v="0"/>
    <x v="0"/>
    <n v="1507"/>
    <x v="1"/>
    <x v="1"/>
    <n v="55"/>
    <x v="0"/>
    <x v="0"/>
    <x v="0"/>
    <x v="3"/>
    <x v="0"/>
    <x v="249"/>
    <n v="11827"/>
    <n v="0"/>
    <s v="Y"/>
    <x v="1"/>
    <n v="14"/>
    <x v="0"/>
    <x v="1"/>
    <n v="80"/>
    <n v="0"/>
    <n v="5"/>
    <n v="5"/>
    <x v="1"/>
    <x v="9"/>
    <n v="2"/>
    <x v="1"/>
    <x v="6"/>
    <x v="2"/>
    <x v="2"/>
    <x v="1"/>
    <n v="0"/>
  </r>
  <r>
    <x v="1"/>
    <x v="1"/>
    <x v="0"/>
    <n v="271"/>
    <x v="1"/>
    <n v="3"/>
    <x v="0"/>
    <x v="2"/>
    <x v="0"/>
    <n v="1509"/>
    <x v="1"/>
    <x v="0"/>
    <n v="43"/>
    <x v="1"/>
    <x v="0"/>
    <x v="2"/>
    <x v="3"/>
    <x v="1"/>
    <x v="1001"/>
    <n v="23070"/>
    <n v="4"/>
    <s v="Y"/>
    <x v="1"/>
    <n v="25"/>
    <x v="1"/>
    <x v="0"/>
    <n v="80"/>
    <n v="1"/>
    <n v="10"/>
    <n v="3"/>
    <x v="1"/>
    <x v="11"/>
    <n v="2"/>
    <x v="1"/>
    <x v="3"/>
    <x v="0"/>
    <x v="2"/>
    <x v="1"/>
    <n v="0"/>
  </r>
  <r>
    <x v="11"/>
    <x v="1"/>
    <x v="1"/>
    <n v="410"/>
    <x v="1"/>
    <n v="2"/>
    <x v="1"/>
    <x v="0"/>
    <x v="0"/>
    <n v="1513"/>
    <x v="2"/>
    <x v="0"/>
    <n v="97"/>
    <x v="0"/>
    <x v="1"/>
    <x v="2"/>
    <x v="1"/>
    <x v="1"/>
    <x v="1002"/>
    <n v="4668"/>
    <n v="0"/>
    <s v="Y"/>
    <x v="1"/>
    <n v="13"/>
    <x v="0"/>
    <x v="3"/>
    <n v="80"/>
    <n v="3"/>
    <n v="4"/>
    <n v="3"/>
    <x v="1"/>
    <x v="11"/>
    <n v="2"/>
    <x v="0"/>
    <x v="3"/>
    <x v="2"/>
    <x v="2"/>
    <x v="1"/>
    <n v="0"/>
  </r>
  <r>
    <x v="14"/>
    <x v="1"/>
    <x v="0"/>
    <n v="1083"/>
    <x v="1"/>
    <n v="29"/>
    <x v="1"/>
    <x v="0"/>
    <x v="0"/>
    <n v="1514"/>
    <x v="1"/>
    <x v="1"/>
    <n v="96"/>
    <x v="3"/>
    <x v="0"/>
    <x v="3"/>
    <x v="1"/>
    <x v="1"/>
    <x v="1003"/>
    <n v="3173"/>
    <n v="1"/>
    <s v="Y"/>
    <x v="1"/>
    <n v="14"/>
    <x v="0"/>
    <x v="2"/>
    <n v="80"/>
    <n v="2"/>
    <n v="8"/>
    <n v="2"/>
    <x v="2"/>
    <x v="3"/>
    <n v="6"/>
    <x v="1"/>
    <x v="1"/>
    <x v="2"/>
    <x v="0"/>
    <x v="0"/>
    <n v="0"/>
  </r>
  <r>
    <x v="3"/>
    <x v="1"/>
    <x v="0"/>
    <n v="516"/>
    <x v="1"/>
    <n v="8"/>
    <x v="4"/>
    <x v="0"/>
    <x v="0"/>
    <n v="1515"/>
    <x v="2"/>
    <x v="1"/>
    <n v="69"/>
    <x v="0"/>
    <x v="0"/>
    <x v="4"/>
    <x v="2"/>
    <x v="0"/>
    <x v="1004"/>
    <n v="22049"/>
    <n v="2"/>
    <s v="Y"/>
    <x v="0"/>
    <n v="17"/>
    <x v="0"/>
    <x v="0"/>
    <n v="80"/>
    <n v="0"/>
    <n v="14"/>
    <n v="6"/>
    <x v="1"/>
    <x v="2"/>
    <n v="0"/>
    <x v="0"/>
    <x v="2"/>
    <x v="1"/>
    <x v="1"/>
    <x v="0"/>
    <n v="0"/>
  </r>
  <r>
    <x v="5"/>
    <x v="1"/>
    <x v="0"/>
    <n v="495"/>
    <x v="1"/>
    <n v="10"/>
    <x v="3"/>
    <x v="2"/>
    <x v="0"/>
    <n v="1516"/>
    <x v="1"/>
    <x v="1"/>
    <n v="64"/>
    <x v="0"/>
    <x v="2"/>
    <x v="5"/>
    <x v="0"/>
    <x v="0"/>
    <x v="1005"/>
    <n v="21072"/>
    <n v="2"/>
    <s v="Y"/>
    <x v="1"/>
    <n v="25"/>
    <x v="1"/>
    <x v="2"/>
    <n v="80"/>
    <n v="0"/>
    <n v="10"/>
    <n v="5"/>
    <x v="3"/>
    <x v="8"/>
    <n v="2"/>
    <x v="0"/>
    <x v="2"/>
    <x v="1"/>
    <x v="2"/>
    <x v="3"/>
    <n v="0"/>
  </r>
  <r>
    <x v="33"/>
    <x v="1"/>
    <x v="1"/>
    <n v="1050"/>
    <x v="1"/>
    <n v="11"/>
    <x v="2"/>
    <x v="2"/>
    <x v="0"/>
    <n v="1520"/>
    <x v="0"/>
    <x v="0"/>
    <n v="87"/>
    <x v="0"/>
    <x v="3"/>
    <x v="5"/>
    <x v="0"/>
    <x v="2"/>
    <x v="1006"/>
    <n v="24456"/>
    <n v="3"/>
    <s v="Y"/>
    <x v="1"/>
    <n v="20"/>
    <x v="1"/>
    <x v="0"/>
    <n v="80"/>
    <n v="1"/>
    <n v="26"/>
    <n v="2"/>
    <x v="1"/>
    <x v="13"/>
    <n v="9"/>
    <x v="1"/>
    <x v="11"/>
    <x v="3"/>
    <x v="3"/>
    <x v="2"/>
    <n v="0"/>
  </r>
  <r>
    <x v="11"/>
    <x v="0"/>
    <x v="0"/>
    <n v="224"/>
    <x v="1"/>
    <n v="1"/>
    <x v="2"/>
    <x v="4"/>
    <x v="0"/>
    <n v="1522"/>
    <x v="3"/>
    <x v="1"/>
    <n v="100"/>
    <x v="1"/>
    <x v="1"/>
    <x v="1"/>
    <x v="3"/>
    <x v="0"/>
    <x v="898"/>
    <n v="7568"/>
    <n v="6"/>
    <s v="Y"/>
    <x v="1"/>
    <n v="13"/>
    <x v="0"/>
    <x v="3"/>
    <n v="80"/>
    <n v="0"/>
    <n v="11"/>
    <n v="2"/>
    <x v="0"/>
    <x v="7"/>
    <n v="7"/>
    <x v="0"/>
    <x v="1"/>
    <x v="2"/>
    <x v="0"/>
    <x v="1"/>
    <n v="1"/>
  </r>
  <r>
    <x v="20"/>
    <x v="1"/>
    <x v="0"/>
    <n v="136"/>
    <x v="1"/>
    <n v="28"/>
    <x v="3"/>
    <x v="0"/>
    <x v="0"/>
    <n v="1523"/>
    <x v="2"/>
    <x v="1"/>
    <n v="32"/>
    <x v="0"/>
    <x v="3"/>
    <x v="7"/>
    <x v="3"/>
    <x v="1"/>
    <x v="1007"/>
    <n v="22074"/>
    <n v="3"/>
    <s v="Y"/>
    <x v="1"/>
    <n v="13"/>
    <x v="0"/>
    <x v="3"/>
    <n v="80"/>
    <n v="1"/>
    <n v="24"/>
    <n v="1"/>
    <x v="3"/>
    <x v="23"/>
    <n v="6"/>
    <x v="15"/>
    <x v="8"/>
    <x v="0"/>
    <x v="3"/>
    <x v="2"/>
    <n v="0"/>
  </r>
  <r>
    <x v="22"/>
    <x v="1"/>
    <x v="0"/>
    <n v="1089"/>
    <x v="1"/>
    <n v="6"/>
    <x v="3"/>
    <x v="0"/>
    <x v="0"/>
    <n v="1525"/>
    <x v="0"/>
    <x v="0"/>
    <n v="32"/>
    <x v="0"/>
    <x v="2"/>
    <x v="3"/>
    <x v="1"/>
    <x v="0"/>
    <x v="1008"/>
    <n v="9150"/>
    <n v="4"/>
    <s v="Y"/>
    <x v="1"/>
    <n v="18"/>
    <x v="0"/>
    <x v="1"/>
    <n v="80"/>
    <n v="0"/>
    <n v="9"/>
    <n v="3"/>
    <x v="1"/>
    <x v="4"/>
    <n v="0"/>
    <x v="3"/>
    <x v="3"/>
    <x v="1"/>
    <x v="1"/>
    <x v="0"/>
    <n v="0"/>
  </r>
  <r>
    <x v="21"/>
    <x v="1"/>
    <x v="0"/>
    <n v="228"/>
    <x v="0"/>
    <n v="3"/>
    <x v="3"/>
    <x v="0"/>
    <x v="0"/>
    <n v="1527"/>
    <x v="1"/>
    <x v="0"/>
    <n v="51"/>
    <x v="0"/>
    <x v="3"/>
    <x v="5"/>
    <x v="1"/>
    <x v="1"/>
    <x v="1009"/>
    <n v="11380"/>
    <n v="8"/>
    <s v="Y"/>
    <x v="1"/>
    <n v="12"/>
    <x v="0"/>
    <x v="1"/>
    <n v="80"/>
    <n v="1"/>
    <n v="23"/>
    <n v="2"/>
    <x v="3"/>
    <x v="20"/>
    <n v="12"/>
    <x v="8"/>
    <x v="9"/>
    <x v="0"/>
    <x v="3"/>
    <x v="2"/>
    <n v="0"/>
  </r>
  <r>
    <x v="10"/>
    <x v="1"/>
    <x v="0"/>
    <n v="1029"/>
    <x v="1"/>
    <n v="16"/>
    <x v="3"/>
    <x v="0"/>
    <x v="0"/>
    <n v="1529"/>
    <x v="2"/>
    <x v="0"/>
    <n v="91"/>
    <x v="1"/>
    <x v="2"/>
    <x v="4"/>
    <x v="1"/>
    <x v="0"/>
    <x v="1010"/>
    <n v="21195"/>
    <n v="1"/>
    <s v="Y"/>
    <x v="1"/>
    <n v="19"/>
    <x v="0"/>
    <x v="1"/>
    <n v="80"/>
    <n v="0"/>
    <n v="11"/>
    <n v="3"/>
    <x v="0"/>
    <x v="19"/>
    <n v="8"/>
    <x v="2"/>
    <x v="6"/>
    <x v="1"/>
    <x v="3"/>
    <x v="0"/>
    <n v="0"/>
  </r>
  <r>
    <x v="30"/>
    <x v="1"/>
    <x v="0"/>
    <n v="507"/>
    <x v="1"/>
    <n v="20"/>
    <x v="1"/>
    <x v="0"/>
    <x v="0"/>
    <n v="1533"/>
    <x v="3"/>
    <x v="1"/>
    <n v="97"/>
    <x v="0"/>
    <x v="0"/>
    <x v="2"/>
    <x v="2"/>
    <x v="0"/>
    <x v="1011"/>
    <n v="24812"/>
    <n v="0"/>
    <s v="Y"/>
    <x v="1"/>
    <n v="14"/>
    <x v="0"/>
    <x v="2"/>
    <n v="80"/>
    <n v="0"/>
    <n v="5"/>
    <n v="2"/>
    <x v="1"/>
    <x v="9"/>
    <n v="3"/>
    <x v="1"/>
    <x v="3"/>
    <x v="2"/>
    <x v="2"/>
    <x v="1"/>
    <n v="0"/>
  </r>
  <r>
    <x v="32"/>
    <x v="0"/>
    <x v="0"/>
    <n v="676"/>
    <x v="1"/>
    <n v="9"/>
    <x v="2"/>
    <x v="0"/>
    <x v="0"/>
    <n v="1534"/>
    <x v="2"/>
    <x v="1"/>
    <n v="86"/>
    <x v="0"/>
    <x v="1"/>
    <x v="2"/>
    <x v="3"/>
    <x v="0"/>
    <x v="1012"/>
    <n v="21831"/>
    <n v="3"/>
    <s v="Y"/>
    <x v="1"/>
    <n v="14"/>
    <x v="0"/>
    <x v="2"/>
    <n v="80"/>
    <n v="0"/>
    <n v="15"/>
    <n v="3"/>
    <x v="0"/>
    <x v="8"/>
    <n v="4"/>
    <x v="1"/>
    <x v="2"/>
    <x v="0"/>
    <x v="2"/>
    <x v="1"/>
    <n v="1"/>
  </r>
  <r>
    <x v="13"/>
    <x v="1"/>
    <x v="0"/>
    <n v="971"/>
    <x v="0"/>
    <n v="1"/>
    <x v="3"/>
    <x v="4"/>
    <x v="0"/>
    <n v="1535"/>
    <x v="2"/>
    <x v="1"/>
    <n v="64"/>
    <x v="1"/>
    <x v="2"/>
    <x v="0"/>
    <x v="2"/>
    <x v="1"/>
    <x v="1013"/>
    <n v="12288"/>
    <n v="1"/>
    <s v="Y"/>
    <x v="0"/>
    <n v="14"/>
    <x v="0"/>
    <x v="1"/>
    <n v="80"/>
    <n v="0"/>
    <n v="10"/>
    <n v="3"/>
    <x v="1"/>
    <x v="1"/>
    <n v="9"/>
    <x v="6"/>
    <x v="4"/>
    <x v="1"/>
    <x v="0"/>
    <x v="0"/>
    <n v="0"/>
  </r>
  <r>
    <x v="12"/>
    <x v="0"/>
    <x v="1"/>
    <n v="561"/>
    <x v="1"/>
    <n v="3"/>
    <x v="3"/>
    <x v="0"/>
    <x v="0"/>
    <n v="1537"/>
    <x v="2"/>
    <x v="0"/>
    <n v="33"/>
    <x v="0"/>
    <x v="1"/>
    <x v="1"/>
    <x v="2"/>
    <x v="0"/>
    <x v="1014"/>
    <n v="4156"/>
    <n v="1"/>
    <s v="Y"/>
    <x v="1"/>
    <n v="12"/>
    <x v="0"/>
    <x v="0"/>
    <n v="80"/>
    <n v="0"/>
    <n v="7"/>
    <n v="2"/>
    <x v="0"/>
    <x v="5"/>
    <n v="2"/>
    <x v="4"/>
    <x v="1"/>
    <x v="1"/>
    <x v="0"/>
    <x v="1"/>
    <n v="1"/>
  </r>
  <r>
    <x v="24"/>
    <x v="1"/>
    <x v="1"/>
    <n v="333"/>
    <x v="1"/>
    <n v="22"/>
    <x v="4"/>
    <x v="2"/>
    <x v="0"/>
    <n v="1539"/>
    <x v="1"/>
    <x v="1"/>
    <n v="88"/>
    <x v="3"/>
    <x v="3"/>
    <x v="7"/>
    <x v="0"/>
    <x v="0"/>
    <x v="1015"/>
    <n v="24450"/>
    <n v="1"/>
    <s v="Y"/>
    <x v="0"/>
    <n v="13"/>
    <x v="0"/>
    <x v="1"/>
    <n v="80"/>
    <n v="0"/>
    <n v="32"/>
    <n v="2"/>
    <x v="1"/>
    <x v="32"/>
    <n v="6"/>
    <x v="11"/>
    <x v="12"/>
    <x v="3"/>
    <x v="3"/>
    <x v="3"/>
    <n v="0"/>
  </r>
  <r>
    <x v="13"/>
    <x v="1"/>
    <x v="0"/>
    <n v="1440"/>
    <x v="0"/>
    <n v="7"/>
    <x v="0"/>
    <x v="4"/>
    <x v="0"/>
    <n v="1541"/>
    <x v="0"/>
    <x v="1"/>
    <n v="55"/>
    <x v="0"/>
    <x v="1"/>
    <x v="6"/>
    <x v="2"/>
    <x v="1"/>
    <x v="1016"/>
    <n v="4944"/>
    <n v="0"/>
    <s v="Y"/>
    <x v="0"/>
    <n v="25"/>
    <x v="1"/>
    <x v="2"/>
    <n v="80"/>
    <n v="1"/>
    <n v="12"/>
    <n v="4"/>
    <x v="1"/>
    <x v="19"/>
    <n v="10"/>
    <x v="8"/>
    <x v="1"/>
    <x v="1"/>
    <x v="3"/>
    <x v="1"/>
    <n v="0"/>
  </r>
  <r>
    <x v="19"/>
    <x v="1"/>
    <x v="0"/>
    <n v="1210"/>
    <x v="1"/>
    <n v="2"/>
    <x v="3"/>
    <x v="2"/>
    <x v="0"/>
    <n v="1542"/>
    <x v="1"/>
    <x v="1"/>
    <n v="68"/>
    <x v="1"/>
    <x v="1"/>
    <x v="2"/>
    <x v="1"/>
    <x v="1"/>
    <x v="1017"/>
    <n v="24052"/>
    <n v="4"/>
    <s v="Y"/>
    <x v="1"/>
    <n v="14"/>
    <x v="0"/>
    <x v="2"/>
    <n v="80"/>
    <n v="1"/>
    <n v="4"/>
    <n v="3"/>
    <x v="1"/>
    <x v="6"/>
    <n v="0"/>
    <x v="0"/>
    <x v="2"/>
    <x v="0"/>
    <x v="1"/>
    <x v="1"/>
    <n v="0"/>
  </r>
  <r>
    <x v="2"/>
    <x v="1"/>
    <x v="0"/>
    <n v="674"/>
    <x v="1"/>
    <n v="13"/>
    <x v="3"/>
    <x v="2"/>
    <x v="0"/>
    <n v="1543"/>
    <x v="3"/>
    <x v="1"/>
    <n v="47"/>
    <x v="0"/>
    <x v="0"/>
    <x v="1"/>
    <x v="0"/>
    <x v="1"/>
    <x v="1018"/>
    <n v="3031"/>
    <n v="1"/>
    <s v="Y"/>
    <x v="1"/>
    <n v="17"/>
    <x v="0"/>
    <x v="0"/>
    <n v="80"/>
    <n v="0"/>
    <n v="10"/>
    <n v="2"/>
    <x v="1"/>
    <x v="1"/>
    <n v="8"/>
    <x v="2"/>
    <x v="1"/>
    <x v="1"/>
    <x v="0"/>
    <x v="1"/>
    <n v="0"/>
  </r>
  <r>
    <x v="11"/>
    <x v="1"/>
    <x v="0"/>
    <n v="441"/>
    <x v="1"/>
    <n v="8"/>
    <x v="1"/>
    <x v="1"/>
    <x v="0"/>
    <n v="1544"/>
    <x v="1"/>
    <x v="0"/>
    <n v="39"/>
    <x v="3"/>
    <x v="0"/>
    <x v="4"/>
    <x v="3"/>
    <x v="1"/>
    <x v="1019"/>
    <n v="7288"/>
    <n v="3"/>
    <s v="Y"/>
    <x v="1"/>
    <n v="13"/>
    <x v="0"/>
    <x v="3"/>
    <n v="80"/>
    <n v="1"/>
    <n v="9"/>
    <n v="3"/>
    <x v="1"/>
    <x v="5"/>
    <n v="7"/>
    <x v="0"/>
    <x v="1"/>
    <x v="2"/>
    <x v="0"/>
    <x v="0"/>
    <n v="0"/>
  </r>
  <r>
    <x v="3"/>
    <x v="1"/>
    <x v="0"/>
    <n v="575"/>
    <x v="1"/>
    <n v="25"/>
    <x v="3"/>
    <x v="0"/>
    <x v="0"/>
    <n v="1545"/>
    <x v="2"/>
    <x v="1"/>
    <n v="44"/>
    <x v="1"/>
    <x v="0"/>
    <x v="3"/>
    <x v="1"/>
    <x v="0"/>
    <x v="1020"/>
    <n v="24152"/>
    <n v="1"/>
    <s v="Y"/>
    <x v="1"/>
    <n v="13"/>
    <x v="0"/>
    <x v="1"/>
    <n v="80"/>
    <n v="0"/>
    <n v="5"/>
    <n v="2"/>
    <x v="1"/>
    <x v="8"/>
    <n v="3"/>
    <x v="0"/>
    <x v="3"/>
    <x v="1"/>
    <x v="2"/>
    <x v="1"/>
    <n v="0"/>
  </r>
  <r>
    <x v="28"/>
    <x v="1"/>
    <x v="0"/>
    <n v="950"/>
    <x v="1"/>
    <n v="28"/>
    <x v="3"/>
    <x v="4"/>
    <x v="0"/>
    <n v="1546"/>
    <x v="2"/>
    <x v="1"/>
    <n v="97"/>
    <x v="0"/>
    <x v="1"/>
    <x v="1"/>
    <x v="0"/>
    <x v="1"/>
    <x v="685"/>
    <n v="4585"/>
    <n v="4"/>
    <s v="Y"/>
    <x v="1"/>
    <n v="20"/>
    <x v="1"/>
    <x v="1"/>
    <n v="80"/>
    <n v="1"/>
    <n v="8"/>
    <n v="3"/>
    <x v="1"/>
    <x v="8"/>
    <n v="4"/>
    <x v="0"/>
    <x v="6"/>
    <x v="0"/>
    <x v="2"/>
    <x v="1"/>
    <n v="0"/>
  </r>
  <r>
    <x v="19"/>
    <x v="1"/>
    <x v="1"/>
    <n v="288"/>
    <x v="1"/>
    <n v="2"/>
    <x v="3"/>
    <x v="0"/>
    <x v="0"/>
    <n v="1547"/>
    <x v="2"/>
    <x v="1"/>
    <n v="40"/>
    <x v="0"/>
    <x v="2"/>
    <x v="4"/>
    <x v="0"/>
    <x v="1"/>
    <x v="1021"/>
    <n v="18611"/>
    <n v="2"/>
    <s v="Y"/>
    <x v="0"/>
    <n v="14"/>
    <x v="0"/>
    <x v="3"/>
    <n v="80"/>
    <n v="1"/>
    <n v="24"/>
    <n v="3"/>
    <x v="0"/>
    <x v="23"/>
    <n v="8"/>
    <x v="11"/>
    <x v="12"/>
    <x v="0"/>
    <x v="3"/>
    <x v="3"/>
    <n v="0"/>
  </r>
  <r>
    <x v="32"/>
    <x v="1"/>
    <x v="0"/>
    <n v="1342"/>
    <x v="0"/>
    <n v="9"/>
    <x v="0"/>
    <x v="2"/>
    <x v="0"/>
    <n v="1548"/>
    <x v="3"/>
    <x v="1"/>
    <n v="47"/>
    <x v="0"/>
    <x v="0"/>
    <x v="0"/>
    <x v="3"/>
    <x v="1"/>
    <x v="67"/>
    <n v="19345"/>
    <n v="0"/>
    <s v="Y"/>
    <x v="1"/>
    <n v="12"/>
    <x v="0"/>
    <x v="1"/>
    <n v="80"/>
    <n v="0"/>
    <n v="9"/>
    <n v="5"/>
    <x v="3"/>
    <x v="3"/>
    <n v="4"/>
    <x v="4"/>
    <x v="9"/>
    <x v="0"/>
    <x v="0"/>
    <x v="0"/>
    <n v="0"/>
  </r>
  <r>
    <x v="3"/>
    <x v="1"/>
    <x v="0"/>
    <n v="589"/>
    <x v="1"/>
    <n v="28"/>
    <x v="2"/>
    <x v="0"/>
    <x v="0"/>
    <n v="1549"/>
    <x v="0"/>
    <x v="1"/>
    <n v="79"/>
    <x v="0"/>
    <x v="0"/>
    <x v="2"/>
    <x v="2"/>
    <x v="1"/>
    <x v="1022"/>
    <n v="22949"/>
    <n v="1"/>
    <s v="Y"/>
    <x v="0"/>
    <n v="12"/>
    <x v="0"/>
    <x v="2"/>
    <n v="80"/>
    <n v="1"/>
    <n v="15"/>
    <n v="3"/>
    <x v="1"/>
    <x v="15"/>
    <n v="14"/>
    <x v="8"/>
    <x v="1"/>
    <x v="1"/>
    <x v="3"/>
    <x v="0"/>
    <n v="0"/>
  </r>
  <r>
    <x v="32"/>
    <x v="1"/>
    <x v="0"/>
    <n v="898"/>
    <x v="2"/>
    <n v="6"/>
    <x v="0"/>
    <x v="2"/>
    <x v="0"/>
    <n v="1550"/>
    <x v="1"/>
    <x v="1"/>
    <n v="38"/>
    <x v="0"/>
    <x v="3"/>
    <x v="5"/>
    <x v="0"/>
    <x v="0"/>
    <x v="1023"/>
    <n v="17381"/>
    <n v="1"/>
    <s v="Y"/>
    <x v="0"/>
    <n v="21"/>
    <x v="1"/>
    <x v="1"/>
    <n v="80"/>
    <n v="0"/>
    <n v="21"/>
    <n v="2"/>
    <x v="1"/>
    <x v="17"/>
    <n v="7"/>
    <x v="4"/>
    <x v="1"/>
    <x v="0"/>
    <x v="3"/>
    <x v="2"/>
    <n v="0"/>
  </r>
  <r>
    <x v="17"/>
    <x v="1"/>
    <x v="0"/>
    <n v="350"/>
    <x v="1"/>
    <n v="21"/>
    <x v="0"/>
    <x v="4"/>
    <x v="0"/>
    <n v="1551"/>
    <x v="1"/>
    <x v="1"/>
    <n v="57"/>
    <x v="1"/>
    <x v="1"/>
    <x v="2"/>
    <x v="3"/>
    <x v="2"/>
    <x v="1024"/>
    <n v="10036"/>
    <n v="0"/>
    <s v="Y"/>
    <x v="1"/>
    <n v="14"/>
    <x v="0"/>
    <x v="2"/>
    <n v="80"/>
    <n v="3"/>
    <n v="2"/>
    <n v="3"/>
    <x v="1"/>
    <x v="6"/>
    <n v="1"/>
    <x v="0"/>
    <x v="2"/>
    <x v="2"/>
    <x v="1"/>
    <x v="1"/>
    <n v="0"/>
  </r>
  <r>
    <x v="32"/>
    <x v="1"/>
    <x v="2"/>
    <n v="1142"/>
    <x v="1"/>
    <n v="8"/>
    <x v="0"/>
    <x v="0"/>
    <x v="0"/>
    <n v="1552"/>
    <x v="2"/>
    <x v="1"/>
    <n v="72"/>
    <x v="0"/>
    <x v="0"/>
    <x v="4"/>
    <x v="0"/>
    <x v="2"/>
    <x v="1025"/>
    <n v="8841"/>
    <n v="3"/>
    <s v="Y"/>
    <x v="0"/>
    <n v="18"/>
    <x v="0"/>
    <x v="3"/>
    <n v="80"/>
    <n v="0"/>
    <n v="8"/>
    <n v="2"/>
    <x v="1"/>
    <x v="4"/>
    <n v="2"/>
    <x v="3"/>
    <x v="3"/>
    <x v="0"/>
    <x v="1"/>
    <x v="1"/>
    <n v="0"/>
  </r>
  <r>
    <x v="28"/>
    <x v="1"/>
    <x v="0"/>
    <n v="538"/>
    <x v="1"/>
    <n v="1"/>
    <x v="2"/>
    <x v="4"/>
    <x v="0"/>
    <n v="1553"/>
    <x v="3"/>
    <x v="1"/>
    <n v="66"/>
    <x v="0"/>
    <x v="2"/>
    <x v="4"/>
    <x v="1"/>
    <x v="2"/>
    <x v="1026"/>
    <n v="20933"/>
    <n v="1"/>
    <s v="Y"/>
    <x v="1"/>
    <n v="12"/>
    <x v="0"/>
    <x v="0"/>
    <n v="80"/>
    <n v="3"/>
    <n v="10"/>
    <n v="4"/>
    <x v="1"/>
    <x v="1"/>
    <n v="8"/>
    <x v="4"/>
    <x v="1"/>
    <x v="0"/>
    <x v="0"/>
    <x v="0"/>
    <n v="0"/>
  </r>
  <r>
    <x v="10"/>
    <x v="1"/>
    <x v="0"/>
    <n v="1402"/>
    <x v="0"/>
    <n v="28"/>
    <x v="2"/>
    <x v="0"/>
    <x v="0"/>
    <n v="1554"/>
    <x v="0"/>
    <x v="0"/>
    <n v="98"/>
    <x v="1"/>
    <x v="1"/>
    <x v="6"/>
    <x v="2"/>
    <x v="1"/>
    <x v="1027"/>
    <n v="26204"/>
    <n v="0"/>
    <s v="Y"/>
    <x v="1"/>
    <n v="23"/>
    <x v="1"/>
    <x v="0"/>
    <n v="80"/>
    <n v="2"/>
    <n v="6"/>
    <n v="5"/>
    <x v="1"/>
    <x v="8"/>
    <n v="3"/>
    <x v="5"/>
    <x v="3"/>
    <x v="1"/>
    <x v="2"/>
    <x v="1"/>
    <n v="0"/>
  </r>
  <r>
    <x v="5"/>
    <x v="1"/>
    <x v="0"/>
    <n v="824"/>
    <x v="1"/>
    <n v="5"/>
    <x v="0"/>
    <x v="0"/>
    <x v="0"/>
    <n v="1555"/>
    <x v="2"/>
    <x v="0"/>
    <n v="67"/>
    <x v="1"/>
    <x v="0"/>
    <x v="1"/>
    <x v="1"/>
    <x v="1"/>
    <x v="1028"/>
    <n v="15624"/>
    <n v="3"/>
    <s v="Y"/>
    <x v="1"/>
    <n v="12"/>
    <x v="0"/>
    <x v="0"/>
    <n v="80"/>
    <n v="1"/>
    <n v="12"/>
    <n v="2"/>
    <x v="1"/>
    <x v="5"/>
    <n v="1"/>
    <x v="3"/>
    <x v="0"/>
    <x v="1"/>
    <x v="0"/>
    <x v="0"/>
    <n v="0"/>
  </r>
  <r>
    <x v="9"/>
    <x v="1"/>
    <x v="0"/>
    <n v="1157"/>
    <x v="0"/>
    <n v="2"/>
    <x v="2"/>
    <x v="0"/>
    <x v="0"/>
    <n v="1556"/>
    <x v="1"/>
    <x v="1"/>
    <n v="70"/>
    <x v="0"/>
    <x v="1"/>
    <x v="6"/>
    <x v="0"/>
    <x v="0"/>
    <x v="1029"/>
    <n v="17001"/>
    <n v="3"/>
    <s v="Y"/>
    <x v="0"/>
    <n v="21"/>
    <x v="1"/>
    <x v="1"/>
    <n v="80"/>
    <n v="0"/>
    <n v="7"/>
    <n v="3"/>
    <x v="2"/>
    <x v="11"/>
    <n v="2"/>
    <x v="1"/>
    <x v="3"/>
    <x v="1"/>
    <x v="2"/>
    <x v="1"/>
    <n v="0"/>
  </r>
  <r>
    <x v="26"/>
    <x v="1"/>
    <x v="0"/>
    <n v="492"/>
    <x v="0"/>
    <n v="16"/>
    <x v="2"/>
    <x v="0"/>
    <x v="0"/>
    <n v="1557"/>
    <x v="1"/>
    <x v="0"/>
    <n v="96"/>
    <x v="0"/>
    <x v="0"/>
    <x v="0"/>
    <x v="2"/>
    <x v="2"/>
    <x v="1030"/>
    <n v="13693"/>
    <n v="8"/>
    <s v="Y"/>
    <x v="1"/>
    <n v="14"/>
    <x v="0"/>
    <x v="3"/>
    <n v="80"/>
    <n v="1"/>
    <n v="18"/>
    <n v="2"/>
    <x v="1"/>
    <x v="3"/>
    <n v="7"/>
    <x v="4"/>
    <x v="1"/>
    <x v="0"/>
    <x v="0"/>
    <x v="0"/>
    <n v="0"/>
  </r>
  <r>
    <x v="11"/>
    <x v="1"/>
    <x v="0"/>
    <n v="598"/>
    <x v="1"/>
    <n v="9"/>
    <x v="3"/>
    <x v="0"/>
    <x v="0"/>
    <n v="1558"/>
    <x v="1"/>
    <x v="1"/>
    <n v="91"/>
    <x v="2"/>
    <x v="1"/>
    <x v="1"/>
    <x v="2"/>
    <x v="1"/>
    <x v="163"/>
    <n v="22376"/>
    <n v="6"/>
    <s v="Y"/>
    <x v="1"/>
    <n v="18"/>
    <x v="0"/>
    <x v="0"/>
    <n v="80"/>
    <n v="2"/>
    <n v="5"/>
    <n v="2"/>
    <x v="2"/>
    <x v="6"/>
    <n v="0"/>
    <x v="0"/>
    <x v="2"/>
    <x v="2"/>
    <x v="1"/>
    <x v="1"/>
    <n v="0"/>
  </r>
  <r>
    <x v="3"/>
    <x v="1"/>
    <x v="0"/>
    <n v="1242"/>
    <x v="0"/>
    <n v="8"/>
    <x v="2"/>
    <x v="0"/>
    <x v="0"/>
    <n v="1560"/>
    <x v="3"/>
    <x v="1"/>
    <n v="46"/>
    <x v="0"/>
    <x v="0"/>
    <x v="0"/>
    <x v="3"/>
    <x v="1"/>
    <x v="1031"/>
    <n v="10589"/>
    <n v="2"/>
    <s v="Y"/>
    <x v="1"/>
    <n v="13"/>
    <x v="0"/>
    <x v="1"/>
    <n v="80"/>
    <n v="1"/>
    <n v="8"/>
    <n v="6"/>
    <x v="0"/>
    <x v="4"/>
    <n v="2"/>
    <x v="3"/>
    <x v="3"/>
    <x v="1"/>
    <x v="1"/>
    <x v="0"/>
    <n v="0"/>
  </r>
  <r>
    <x v="7"/>
    <x v="0"/>
    <x v="0"/>
    <n v="740"/>
    <x v="0"/>
    <n v="1"/>
    <x v="3"/>
    <x v="0"/>
    <x v="0"/>
    <n v="1562"/>
    <x v="0"/>
    <x v="1"/>
    <n v="64"/>
    <x v="1"/>
    <x v="0"/>
    <x v="0"/>
    <x v="3"/>
    <x v="1"/>
    <x v="1032"/>
    <n v="5323"/>
    <n v="1"/>
    <s v="Y"/>
    <x v="1"/>
    <n v="11"/>
    <x v="0"/>
    <x v="1"/>
    <n v="80"/>
    <n v="1"/>
    <n v="10"/>
    <n v="4"/>
    <x v="1"/>
    <x v="1"/>
    <n v="8"/>
    <x v="7"/>
    <x v="1"/>
    <x v="1"/>
    <x v="0"/>
    <x v="0"/>
    <n v="1"/>
  </r>
  <r>
    <x v="8"/>
    <x v="1"/>
    <x v="1"/>
    <n v="888"/>
    <x v="2"/>
    <n v="10"/>
    <x v="2"/>
    <x v="5"/>
    <x v="0"/>
    <n v="1563"/>
    <x v="1"/>
    <x v="1"/>
    <n v="71"/>
    <x v="0"/>
    <x v="0"/>
    <x v="8"/>
    <x v="2"/>
    <x v="1"/>
    <x v="1033"/>
    <n v="14814"/>
    <n v="3"/>
    <s v="Y"/>
    <x v="1"/>
    <n v="11"/>
    <x v="0"/>
    <x v="3"/>
    <n v="80"/>
    <n v="0"/>
    <n v="10"/>
    <n v="2"/>
    <x v="1"/>
    <x v="0"/>
    <n v="3"/>
    <x v="1"/>
    <x v="3"/>
    <x v="1"/>
    <x v="0"/>
    <x v="0"/>
    <n v="0"/>
  </r>
  <r>
    <x v="10"/>
    <x v="1"/>
    <x v="0"/>
    <n v="992"/>
    <x v="1"/>
    <n v="1"/>
    <x v="3"/>
    <x v="2"/>
    <x v="0"/>
    <n v="1564"/>
    <x v="2"/>
    <x v="1"/>
    <n v="68"/>
    <x v="1"/>
    <x v="1"/>
    <x v="2"/>
    <x v="3"/>
    <x v="0"/>
    <x v="533"/>
    <n v="21731"/>
    <n v="1"/>
    <s v="Y"/>
    <x v="1"/>
    <n v="19"/>
    <x v="0"/>
    <x v="2"/>
    <n v="80"/>
    <n v="0"/>
    <n v="3"/>
    <n v="3"/>
    <x v="1"/>
    <x v="11"/>
    <n v="0"/>
    <x v="1"/>
    <x v="3"/>
    <x v="1"/>
    <x v="2"/>
    <x v="1"/>
    <n v="0"/>
  </r>
  <r>
    <x v="7"/>
    <x v="1"/>
    <x v="0"/>
    <n v="1288"/>
    <x v="0"/>
    <n v="29"/>
    <x v="2"/>
    <x v="4"/>
    <x v="0"/>
    <n v="1568"/>
    <x v="1"/>
    <x v="1"/>
    <n v="33"/>
    <x v="0"/>
    <x v="2"/>
    <x v="0"/>
    <x v="1"/>
    <x v="1"/>
    <x v="1034"/>
    <n v="17799"/>
    <n v="3"/>
    <s v="Y"/>
    <x v="1"/>
    <n v="12"/>
    <x v="0"/>
    <x v="2"/>
    <n v="80"/>
    <n v="1"/>
    <n v="9"/>
    <n v="3"/>
    <x v="1"/>
    <x v="9"/>
    <n v="2"/>
    <x v="1"/>
    <x v="6"/>
    <x v="1"/>
    <x v="2"/>
    <x v="0"/>
    <n v="0"/>
  </r>
  <r>
    <x v="10"/>
    <x v="0"/>
    <x v="0"/>
    <n v="104"/>
    <x v="1"/>
    <n v="2"/>
    <x v="3"/>
    <x v="0"/>
    <x v="0"/>
    <n v="1569"/>
    <x v="3"/>
    <x v="0"/>
    <n v="69"/>
    <x v="0"/>
    <x v="1"/>
    <x v="2"/>
    <x v="3"/>
    <x v="2"/>
    <x v="1035"/>
    <n v="26619"/>
    <n v="1"/>
    <s v="Y"/>
    <x v="0"/>
    <n v="12"/>
    <x v="0"/>
    <x v="1"/>
    <n v="80"/>
    <n v="1"/>
    <n v="1"/>
    <n v="2"/>
    <x v="1"/>
    <x v="6"/>
    <n v="0"/>
    <x v="0"/>
    <x v="2"/>
    <x v="1"/>
    <x v="1"/>
    <x v="1"/>
    <n v="1"/>
  </r>
  <r>
    <x v="16"/>
    <x v="0"/>
    <x v="0"/>
    <n v="607"/>
    <x v="1"/>
    <n v="2"/>
    <x v="4"/>
    <x v="4"/>
    <x v="0"/>
    <n v="1572"/>
    <x v="1"/>
    <x v="0"/>
    <n v="78"/>
    <x v="1"/>
    <x v="2"/>
    <x v="3"/>
    <x v="0"/>
    <x v="1"/>
    <x v="1036"/>
    <n v="14618"/>
    <n v="0"/>
    <s v="Y"/>
    <x v="1"/>
    <n v="16"/>
    <x v="0"/>
    <x v="2"/>
    <n v="80"/>
    <n v="1"/>
    <n v="34"/>
    <n v="4"/>
    <x v="1"/>
    <x v="26"/>
    <n v="7"/>
    <x v="1"/>
    <x v="12"/>
    <x v="3"/>
    <x v="3"/>
    <x v="3"/>
    <n v="1"/>
  </r>
  <r>
    <x v="8"/>
    <x v="0"/>
    <x v="0"/>
    <n v="903"/>
    <x v="1"/>
    <n v="2"/>
    <x v="3"/>
    <x v="2"/>
    <x v="0"/>
    <n v="1573"/>
    <x v="1"/>
    <x v="1"/>
    <n v="81"/>
    <x v="0"/>
    <x v="0"/>
    <x v="3"/>
    <x v="1"/>
    <x v="1"/>
    <x v="1037"/>
    <n v="7653"/>
    <n v="4"/>
    <s v="Y"/>
    <x v="1"/>
    <n v="11"/>
    <x v="0"/>
    <x v="0"/>
    <n v="80"/>
    <n v="2"/>
    <n v="7"/>
    <n v="2"/>
    <x v="1"/>
    <x v="8"/>
    <n v="2"/>
    <x v="1"/>
    <x v="10"/>
    <x v="1"/>
    <x v="2"/>
    <x v="1"/>
    <n v="1"/>
  </r>
  <r>
    <x v="5"/>
    <x v="1"/>
    <x v="2"/>
    <n v="1200"/>
    <x v="1"/>
    <n v="1"/>
    <x v="2"/>
    <x v="4"/>
    <x v="0"/>
    <n v="1574"/>
    <x v="2"/>
    <x v="1"/>
    <n v="62"/>
    <x v="0"/>
    <x v="0"/>
    <x v="1"/>
    <x v="3"/>
    <x v="1"/>
    <x v="1038"/>
    <n v="25174"/>
    <n v="4"/>
    <s v="Y"/>
    <x v="1"/>
    <n v="14"/>
    <x v="0"/>
    <x v="2"/>
    <n v="80"/>
    <n v="1"/>
    <n v="9"/>
    <n v="3"/>
    <x v="2"/>
    <x v="0"/>
    <n v="5"/>
    <x v="1"/>
    <x v="3"/>
    <x v="1"/>
    <x v="0"/>
    <x v="1"/>
    <n v="0"/>
  </r>
  <r>
    <x v="26"/>
    <x v="1"/>
    <x v="0"/>
    <n v="1108"/>
    <x v="1"/>
    <n v="15"/>
    <x v="2"/>
    <x v="1"/>
    <x v="0"/>
    <n v="1576"/>
    <x v="1"/>
    <x v="0"/>
    <n v="65"/>
    <x v="0"/>
    <x v="1"/>
    <x v="1"/>
    <x v="3"/>
    <x v="1"/>
    <x v="1039"/>
    <n v="16530"/>
    <n v="8"/>
    <s v="Y"/>
    <x v="1"/>
    <n v="12"/>
    <x v="0"/>
    <x v="1"/>
    <n v="80"/>
    <n v="1"/>
    <n v="10"/>
    <n v="3"/>
    <x v="2"/>
    <x v="3"/>
    <n v="2"/>
    <x v="4"/>
    <x v="4"/>
    <x v="0"/>
    <x v="0"/>
    <x v="1"/>
    <n v="0"/>
  </r>
  <r>
    <x v="13"/>
    <x v="1"/>
    <x v="0"/>
    <n v="479"/>
    <x v="1"/>
    <n v="7"/>
    <x v="2"/>
    <x v="2"/>
    <x v="0"/>
    <n v="1577"/>
    <x v="3"/>
    <x v="1"/>
    <n v="35"/>
    <x v="0"/>
    <x v="1"/>
    <x v="1"/>
    <x v="0"/>
    <x v="0"/>
    <x v="1040"/>
    <n v="22061"/>
    <n v="1"/>
    <s v="Y"/>
    <x v="1"/>
    <n v="13"/>
    <x v="0"/>
    <x v="3"/>
    <n v="80"/>
    <n v="0"/>
    <n v="1"/>
    <n v="4"/>
    <x v="0"/>
    <x v="6"/>
    <n v="0"/>
    <x v="0"/>
    <x v="2"/>
    <x v="1"/>
    <x v="1"/>
    <x v="1"/>
    <n v="0"/>
  </r>
  <r>
    <x v="27"/>
    <x v="1"/>
    <x v="0"/>
    <n v="685"/>
    <x v="0"/>
    <n v="26"/>
    <x v="4"/>
    <x v="3"/>
    <x v="0"/>
    <n v="1578"/>
    <x v="1"/>
    <x v="1"/>
    <n v="60"/>
    <x v="1"/>
    <x v="4"/>
    <x v="5"/>
    <x v="0"/>
    <x v="1"/>
    <x v="1041"/>
    <n v="23037"/>
    <n v="1"/>
    <s v="Y"/>
    <x v="1"/>
    <n v="21"/>
    <x v="1"/>
    <x v="3"/>
    <n v="80"/>
    <n v="1"/>
    <n v="36"/>
    <n v="3"/>
    <x v="1"/>
    <x v="28"/>
    <n v="6"/>
    <x v="3"/>
    <x v="15"/>
    <x v="3"/>
    <x v="3"/>
    <x v="2"/>
    <n v="0"/>
  </r>
  <r>
    <x v="13"/>
    <x v="1"/>
    <x v="0"/>
    <n v="1351"/>
    <x v="1"/>
    <n v="1"/>
    <x v="2"/>
    <x v="0"/>
    <x v="0"/>
    <n v="1580"/>
    <x v="0"/>
    <x v="1"/>
    <n v="45"/>
    <x v="0"/>
    <x v="0"/>
    <x v="1"/>
    <x v="0"/>
    <x v="1"/>
    <x v="299"/>
    <n v="13008"/>
    <n v="9"/>
    <s v="Y"/>
    <x v="1"/>
    <n v="17"/>
    <x v="0"/>
    <x v="2"/>
    <n v="80"/>
    <n v="1"/>
    <n v="9"/>
    <n v="3"/>
    <x v="2"/>
    <x v="4"/>
    <n v="2"/>
    <x v="3"/>
    <x v="9"/>
    <x v="1"/>
    <x v="1"/>
    <x v="0"/>
    <n v="0"/>
  </r>
  <r>
    <x v="25"/>
    <x v="1"/>
    <x v="0"/>
    <n v="474"/>
    <x v="1"/>
    <n v="3"/>
    <x v="3"/>
    <x v="0"/>
    <x v="0"/>
    <n v="1581"/>
    <x v="3"/>
    <x v="0"/>
    <n v="89"/>
    <x v="0"/>
    <x v="1"/>
    <x v="1"/>
    <x v="0"/>
    <x v="1"/>
    <x v="1042"/>
    <n v="11133"/>
    <n v="1"/>
    <s v="Y"/>
    <x v="1"/>
    <n v="21"/>
    <x v="1"/>
    <x v="0"/>
    <n v="80"/>
    <n v="0"/>
    <n v="1"/>
    <n v="5"/>
    <x v="1"/>
    <x v="6"/>
    <n v="0"/>
    <x v="0"/>
    <x v="2"/>
    <x v="2"/>
    <x v="1"/>
    <x v="1"/>
    <n v="0"/>
  </r>
  <r>
    <x v="8"/>
    <x v="1"/>
    <x v="0"/>
    <n v="1245"/>
    <x v="0"/>
    <n v="14"/>
    <x v="3"/>
    <x v="0"/>
    <x v="0"/>
    <n v="1582"/>
    <x v="1"/>
    <x v="1"/>
    <n v="80"/>
    <x v="0"/>
    <x v="0"/>
    <x v="0"/>
    <x v="1"/>
    <x v="1"/>
    <x v="1043"/>
    <n v="12355"/>
    <n v="0"/>
    <s v="Y"/>
    <x v="1"/>
    <n v="11"/>
    <x v="0"/>
    <x v="1"/>
    <n v="80"/>
    <n v="1"/>
    <n v="10"/>
    <n v="3"/>
    <x v="1"/>
    <x v="7"/>
    <n v="8"/>
    <x v="4"/>
    <x v="1"/>
    <x v="1"/>
    <x v="0"/>
    <x v="0"/>
    <n v="0"/>
  </r>
  <r>
    <x v="8"/>
    <x v="1"/>
    <x v="0"/>
    <n v="437"/>
    <x v="0"/>
    <n v="16"/>
    <x v="3"/>
    <x v="0"/>
    <x v="0"/>
    <n v="1583"/>
    <x v="0"/>
    <x v="0"/>
    <n v="90"/>
    <x v="0"/>
    <x v="0"/>
    <x v="0"/>
    <x v="1"/>
    <x v="0"/>
    <x v="1044"/>
    <n v="16379"/>
    <n v="2"/>
    <s v="Y"/>
    <x v="1"/>
    <n v="12"/>
    <x v="0"/>
    <x v="2"/>
    <n v="80"/>
    <n v="0"/>
    <n v="8"/>
    <n v="5"/>
    <x v="3"/>
    <x v="11"/>
    <n v="2"/>
    <x v="1"/>
    <x v="3"/>
    <x v="1"/>
    <x v="2"/>
    <x v="1"/>
    <n v="0"/>
  </r>
  <r>
    <x v="9"/>
    <x v="1"/>
    <x v="0"/>
    <n v="884"/>
    <x v="0"/>
    <n v="1"/>
    <x v="2"/>
    <x v="0"/>
    <x v="0"/>
    <n v="1585"/>
    <x v="0"/>
    <x v="0"/>
    <n v="73"/>
    <x v="0"/>
    <x v="0"/>
    <x v="0"/>
    <x v="2"/>
    <x v="0"/>
    <x v="1045"/>
    <n v="21447"/>
    <n v="6"/>
    <s v="Y"/>
    <x v="1"/>
    <n v="13"/>
    <x v="0"/>
    <x v="0"/>
    <n v="80"/>
    <n v="0"/>
    <n v="15"/>
    <n v="5"/>
    <x v="1"/>
    <x v="6"/>
    <n v="0"/>
    <x v="0"/>
    <x v="2"/>
    <x v="1"/>
    <x v="1"/>
    <x v="0"/>
    <n v="0"/>
  </r>
  <r>
    <x v="11"/>
    <x v="1"/>
    <x v="0"/>
    <n v="1370"/>
    <x v="1"/>
    <n v="3"/>
    <x v="1"/>
    <x v="2"/>
    <x v="0"/>
    <n v="1586"/>
    <x v="0"/>
    <x v="1"/>
    <n v="87"/>
    <x v="0"/>
    <x v="1"/>
    <x v="2"/>
    <x v="3"/>
    <x v="0"/>
    <x v="1046"/>
    <n v="16213"/>
    <n v="1"/>
    <s v="Y"/>
    <x v="0"/>
    <n v="18"/>
    <x v="0"/>
    <x v="1"/>
    <n v="80"/>
    <n v="0"/>
    <n v="10"/>
    <n v="3"/>
    <x v="1"/>
    <x v="1"/>
    <n v="9"/>
    <x v="1"/>
    <x v="0"/>
    <x v="2"/>
    <x v="0"/>
    <x v="1"/>
    <n v="0"/>
  </r>
  <r>
    <x v="10"/>
    <x v="1"/>
    <x v="0"/>
    <n v="670"/>
    <x v="1"/>
    <n v="10"/>
    <x v="2"/>
    <x v="2"/>
    <x v="0"/>
    <n v="1587"/>
    <x v="3"/>
    <x v="0"/>
    <n v="51"/>
    <x v="0"/>
    <x v="0"/>
    <x v="4"/>
    <x v="2"/>
    <x v="0"/>
    <x v="528"/>
    <n v="4223"/>
    <n v="3"/>
    <s v="Y"/>
    <x v="0"/>
    <n v="16"/>
    <x v="0"/>
    <x v="3"/>
    <n v="80"/>
    <n v="0"/>
    <n v="10"/>
    <n v="4"/>
    <x v="1"/>
    <x v="8"/>
    <n v="2"/>
    <x v="0"/>
    <x v="10"/>
    <x v="1"/>
    <x v="2"/>
    <x v="0"/>
    <n v="0"/>
  </r>
  <r>
    <x v="22"/>
    <x v="1"/>
    <x v="0"/>
    <n v="1462"/>
    <x v="0"/>
    <n v="6"/>
    <x v="3"/>
    <x v="2"/>
    <x v="0"/>
    <n v="1588"/>
    <x v="2"/>
    <x v="1"/>
    <n v="38"/>
    <x v="2"/>
    <x v="2"/>
    <x v="0"/>
    <x v="2"/>
    <x v="1"/>
    <x v="1047"/>
    <n v="4658"/>
    <n v="2"/>
    <s v="Y"/>
    <x v="1"/>
    <n v="11"/>
    <x v="0"/>
    <x v="0"/>
    <n v="80"/>
    <n v="1"/>
    <n v="11"/>
    <n v="3"/>
    <x v="1"/>
    <x v="5"/>
    <n v="6"/>
    <x v="4"/>
    <x v="4"/>
    <x v="1"/>
    <x v="0"/>
    <x v="0"/>
    <n v="0"/>
  </r>
  <r>
    <x v="11"/>
    <x v="1"/>
    <x v="1"/>
    <n v="995"/>
    <x v="1"/>
    <n v="2"/>
    <x v="1"/>
    <x v="0"/>
    <x v="0"/>
    <n v="1590"/>
    <x v="3"/>
    <x v="1"/>
    <n v="87"/>
    <x v="0"/>
    <x v="0"/>
    <x v="4"/>
    <x v="0"/>
    <x v="2"/>
    <x v="1048"/>
    <n v="24483"/>
    <n v="1"/>
    <s v="Y"/>
    <x v="1"/>
    <n v="19"/>
    <x v="0"/>
    <x v="1"/>
    <n v="80"/>
    <n v="1"/>
    <n v="6"/>
    <n v="0"/>
    <x v="3"/>
    <x v="0"/>
    <n v="4"/>
    <x v="1"/>
    <x v="6"/>
    <x v="2"/>
    <x v="0"/>
    <x v="0"/>
    <n v="0"/>
  </r>
  <r>
    <x v="24"/>
    <x v="1"/>
    <x v="0"/>
    <n v="264"/>
    <x v="0"/>
    <n v="9"/>
    <x v="3"/>
    <x v="3"/>
    <x v="0"/>
    <n v="1591"/>
    <x v="1"/>
    <x v="1"/>
    <n v="59"/>
    <x v="0"/>
    <x v="4"/>
    <x v="5"/>
    <x v="2"/>
    <x v="1"/>
    <x v="1049"/>
    <n v="19519"/>
    <n v="4"/>
    <s v="Y"/>
    <x v="0"/>
    <n v="16"/>
    <x v="0"/>
    <x v="3"/>
    <n v="80"/>
    <n v="1"/>
    <n v="27"/>
    <n v="2"/>
    <x v="1"/>
    <x v="6"/>
    <n v="0"/>
    <x v="0"/>
    <x v="2"/>
    <x v="3"/>
    <x v="1"/>
    <x v="2"/>
    <n v="0"/>
  </r>
  <r>
    <x v="30"/>
    <x v="1"/>
    <x v="0"/>
    <n v="977"/>
    <x v="1"/>
    <n v="10"/>
    <x v="3"/>
    <x v="4"/>
    <x v="0"/>
    <n v="1592"/>
    <x v="2"/>
    <x v="1"/>
    <n v="45"/>
    <x v="2"/>
    <x v="1"/>
    <x v="1"/>
    <x v="2"/>
    <x v="1"/>
    <x v="97"/>
    <n v="12826"/>
    <n v="2"/>
    <s v="Y"/>
    <x v="1"/>
    <n v="16"/>
    <x v="0"/>
    <x v="1"/>
    <n v="80"/>
    <n v="1"/>
    <n v="4"/>
    <n v="2"/>
    <x v="1"/>
    <x v="4"/>
    <n v="2"/>
    <x v="3"/>
    <x v="3"/>
    <x v="2"/>
    <x v="1"/>
    <x v="1"/>
    <n v="0"/>
  </r>
  <r>
    <x v="9"/>
    <x v="1"/>
    <x v="1"/>
    <n v="1302"/>
    <x v="1"/>
    <n v="6"/>
    <x v="2"/>
    <x v="0"/>
    <x v="0"/>
    <n v="1594"/>
    <x v="3"/>
    <x v="1"/>
    <n v="80"/>
    <x v="2"/>
    <x v="0"/>
    <x v="2"/>
    <x v="3"/>
    <x v="1"/>
    <x v="622"/>
    <n v="19711"/>
    <n v="3"/>
    <s v="Y"/>
    <x v="0"/>
    <n v="13"/>
    <x v="0"/>
    <x v="1"/>
    <n v="80"/>
    <n v="1"/>
    <n v="9"/>
    <n v="3"/>
    <x v="1"/>
    <x v="11"/>
    <n v="2"/>
    <x v="0"/>
    <x v="3"/>
    <x v="1"/>
    <x v="2"/>
    <x v="0"/>
    <n v="0"/>
  </r>
  <r>
    <x v="19"/>
    <x v="1"/>
    <x v="0"/>
    <n v="1059"/>
    <x v="1"/>
    <n v="9"/>
    <x v="0"/>
    <x v="1"/>
    <x v="0"/>
    <n v="1595"/>
    <x v="2"/>
    <x v="1"/>
    <n v="93"/>
    <x v="1"/>
    <x v="4"/>
    <x v="5"/>
    <x v="0"/>
    <x v="0"/>
    <x v="1050"/>
    <n v="26362"/>
    <n v="8"/>
    <s v="Y"/>
    <x v="1"/>
    <n v="22"/>
    <x v="1"/>
    <x v="1"/>
    <n v="80"/>
    <n v="0"/>
    <n v="24"/>
    <n v="2"/>
    <x v="1"/>
    <x v="6"/>
    <n v="0"/>
    <x v="0"/>
    <x v="9"/>
    <x v="0"/>
    <x v="1"/>
    <x v="2"/>
    <n v="0"/>
  </r>
  <r>
    <x v="10"/>
    <x v="1"/>
    <x v="0"/>
    <n v="750"/>
    <x v="1"/>
    <n v="28"/>
    <x v="3"/>
    <x v="0"/>
    <x v="0"/>
    <n v="1596"/>
    <x v="0"/>
    <x v="1"/>
    <n v="46"/>
    <x v="2"/>
    <x v="0"/>
    <x v="2"/>
    <x v="2"/>
    <x v="1"/>
    <x v="21"/>
    <n v="25348"/>
    <n v="1"/>
    <s v="Y"/>
    <x v="1"/>
    <n v="17"/>
    <x v="0"/>
    <x v="1"/>
    <n v="80"/>
    <n v="2"/>
    <n v="10"/>
    <n v="3"/>
    <x v="2"/>
    <x v="1"/>
    <n v="9"/>
    <x v="7"/>
    <x v="5"/>
    <x v="1"/>
    <x v="0"/>
    <x v="1"/>
    <n v="0"/>
  </r>
  <r>
    <x v="13"/>
    <x v="1"/>
    <x v="1"/>
    <n v="653"/>
    <x v="1"/>
    <n v="10"/>
    <x v="2"/>
    <x v="4"/>
    <x v="0"/>
    <n v="1597"/>
    <x v="2"/>
    <x v="1"/>
    <n v="92"/>
    <x v="1"/>
    <x v="0"/>
    <x v="4"/>
    <x v="2"/>
    <x v="1"/>
    <x v="1051"/>
    <n v="15332"/>
    <n v="1"/>
    <s v="Y"/>
    <x v="1"/>
    <n v="14"/>
    <x v="0"/>
    <x v="2"/>
    <n v="80"/>
    <n v="1"/>
    <n v="8"/>
    <n v="3"/>
    <x v="2"/>
    <x v="3"/>
    <n v="2"/>
    <x v="4"/>
    <x v="1"/>
    <x v="1"/>
    <x v="0"/>
    <x v="0"/>
    <n v="0"/>
  </r>
  <r>
    <x v="32"/>
    <x v="1"/>
    <x v="0"/>
    <n v="118"/>
    <x v="0"/>
    <n v="14"/>
    <x v="0"/>
    <x v="0"/>
    <x v="0"/>
    <n v="1598"/>
    <x v="2"/>
    <x v="0"/>
    <n v="84"/>
    <x v="0"/>
    <x v="0"/>
    <x v="0"/>
    <x v="3"/>
    <x v="1"/>
    <x v="912"/>
    <n v="11262"/>
    <n v="1"/>
    <s v="Y"/>
    <x v="1"/>
    <n v="15"/>
    <x v="0"/>
    <x v="3"/>
    <n v="80"/>
    <n v="1"/>
    <n v="5"/>
    <n v="2"/>
    <x v="1"/>
    <x v="8"/>
    <n v="4"/>
    <x v="1"/>
    <x v="3"/>
    <x v="0"/>
    <x v="2"/>
    <x v="1"/>
    <n v="0"/>
  </r>
  <r>
    <x v="23"/>
    <x v="1"/>
    <x v="0"/>
    <n v="990"/>
    <x v="1"/>
    <n v="27"/>
    <x v="3"/>
    <x v="4"/>
    <x v="0"/>
    <n v="1599"/>
    <x v="2"/>
    <x v="1"/>
    <n v="87"/>
    <x v="2"/>
    <x v="1"/>
    <x v="2"/>
    <x v="1"/>
    <x v="2"/>
    <x v="204"/>
    <n v="5855"/>
    <n v="5"/>
    <s v="Y"/>
    <x v="1"/>
    <n v="12"/>
    <x v="0"/>
    <x v="3"/>
    <n v="80"/>
    <n v="1"/>
    <n v="8"/>
    <n v="0"/>
    <x v="1"/>
    <x v="0"/>
    <n v="4"/>
    <x v="0"/>
    <x v="3"/>
    <x v="0"/>
    <x v="0"/>
    <x v="1"/>
    <n v="0"/>
  </r>
  <r>
    <x v="10"/>
    <x v="1"/>
    <x v="0"/>
    <n v="1349"/>
    <x v="1"/>
    <n v="7"/>
    <x v="0"/>
    <x v="0"/>
    <x v="0"/>
    <n v="1601"/>
    <x v="1"/>
    <x v="1"/>
    <n v="63"/>
    <x v="1"/>
    <x v="1"/>
    <x v="2"/>
    <x v="0"/>
    <x v="1"/>
    <x v="1052"/>
    <n v="7713"/>
    <n v="1"/>
    <s v="Y"/>
    <x v="1"/>
    <n v="18"/>
    <x v="0"/>
    <x v="1"/>
    <n v="80"/>
    <n v="1"/>
    <n v="1"/>
    <n v="5"/>
    <x v="2"/>
    <x v="6"/>
    <n v="0"/>
    <x v="0"/>
    <x v="9"/>
    <x v="1"/>
    <x v="1"/>
    <x v="1"/>
    <n v="0"/>
  </r>
  <r>
    <x v="21"/>
    <x v="1"/>
    <x v="0"/>
    <n v="563"/>
    <x v="0"/>
    <n v="1"/>
    <x v="2"/>
    <x v="0"/>
    <x v="0"/>
    <n v="1602"/>
    <x v="2"/>
    <x v="1"/>
    <n v="56"/>
    <x v="2"/>
    <x v="3"/>
    <x v="5"/>
    <x v="3"/>
    <x v="0"/>
    <x v="1053"/>
    <n v="3156"/>
    <n v="1"/>
    <s v="Y"/>
    <x v="1"/>
    <n v="15"/>
    <x v="0"/>
    <x v="2"/>
    <n v="80"/>
    <n v="0"/>
    <n v="27"/>
    <n v="5"/>
    <x v="0"/>
    <x v="34"/>
    <n v="0"/>
    <x v="0"/>
    <x v="11"/>
    <x v="0"/>
    <x v="3"/>
    <x v="2"/>
    <n v="0"/>
  </r>
  <r>
    <x v="14"/>
    <x v="0"/>
    <x v="0"/>
    <n v="329"/>
    <x v="1"/>
    <n v="24"/>
    <x v="3"/>
    <x v="2"/>
    <x v="0"/>
    <n v="1604"/>
    <x v="1"/>
    <x v="1"/>
    <n v="51"/>
    <x v="0"/>
    <x v="1"/>
    <x v="2"/>
    <x v="1"/>
    <x v="1"/>
    <x v="1054"/>
    <n v="7324"/>
    <n v="1"/>
    <s v="Y"/>
    <x v="0"/>
    <n v="17"/>
    <x v="0"/>
    <x v="3"/>
    <n v="80"/>
    <n v="3"/>
    <n v="1"/>
    <n v="3"/>
    <x v="1"/>
    <x v="6"/>
    <n v="1"/>
    <x v="0"/>
    <x v="2"/>
    <x v="2"/>
    <x v="1"/>
    <x v="1"/>
    <n v="1"/>
  </r>
  <r>
    <x v="15"/>
    <x v="1"/>
    <x v="2"/>
    <n v="457"/>
    <x v="1"/>
    <n v="26"/>
    <x v="0"/>
    <x v="1"/>
    <x v="0"/>
    <n v="1605"/>
    <x v="0"/>
    <x v="0"/>
    <n v="85"/>
    <x v="1"/>
    <x v="1"/>
    <x v="1"/>
    <x v="2"/>
    <x v="1"/>
    <x v="1055"/>
    <n v="10293"/>
    <n v="1"/>
    <s v="Y"/>
    <x v="0"/>
    <n v="14"/>
    <x v="0"/>
    <x v="2"/>
    <n v="80"/>
    <n v="0"/>
    <n v="4"/>
    <n v="2"/>
    <x v="2"/>
    <x v="9"/>
    <n v="2"/>
    <x v="1"/>
    <x v="6"/>
    <x v="2"/>
    <x v="2"/>
    <x v="1"/>
    <n v="0"/>
  </r>
  <r>
    <x v="24"/>
    <x v="1"/>
    <x v="1"/>
    <n v="1234"/>
    <x v="1"/>
    <n v="20"/>
    <x v="4"/>
    <x v="2"/>
    <x v="0"/>
    <n v="1606"/>
    <x v="0"/>
    <x v="1"/>
    <n v="41"/>
    <x v="0"/>
    <x v="3"/>
    <x v="4"/>
    <x v="2"/>
    <x v="1"/>
    <x v="1056"/>
    <n v="20689"/>
    <n v="2"/>
    <s v="Y"/>
    <x v="0"/>
    <n v="15"/>
    <x v="0"/>
    <x v="3"/>
    <n v="80"/>
    <n v="1"/>
    <n v="32"/>
    <n v="3"/>
    <x v="1"/>
    <x v="35"/>
    <n v="8"/>
    <x v="12"/>
    <x v="15"/>
    <x v="3"/>
    <x v="3"/>
    <x v="3"/>
    <n v="0"/>
  </r>
  <r>
    <x v="5"/>
    <x v="1"/>
    <x v="0"/>
    <n v="634"/>
    <x v="1"/>
    <n v="5"/>
    <x v="2"/>
    <x v="1"/>
    <x v="0"/>
    <n v="1607"/>
    <x v="0"/>
    <x v="0"/>
    <n v="35"/>
    <x v="2"/>
    <x v="1"/>
    <x v="1"/>
    <x v="0"/>
    <x v="1"/>
    <x v="1057"/>
    <n v="18783"/>
    <n v="3"/>
    <s v="Y"/>
    <x v="1"/>
    <n v="17"/>
    <x v="0"/>
    <x v="1"/>
    <n v="80"/>
    <n v="2"/>
    <n v="6"/>
    <n v="3"/>
    <x v="1"/>
    <x v="11"/>
    <n v="2"/>
    <x v="0"/>
    <x v="3"/>
    <x v="1"/>
    <x v="2"/>
    <x v="1"/>
    <n v="0"/>
  </r>
  <r>
    <x v="20"/>
    <x v="1"/>
    <x v="0"/>
    <n v="1313"/>
    <x v="1"/>
    <n v="7"/>
    <x v="3"/>
    <x v="2"/>
    <x v="0"/>
    <n v="1608"/>
    <x v="0"/>
    <x v="0"/>
    <n v="31"/>
    <x v="0"/>
    <x v="4"/>
    <x v="7"/>
    <x v="0"/>
    <x v="2"/>
    <x v="1058"/>
    <n v="3549"/>
    <n v="0"/>
    <s v="Y"/>
    <x v="0"/>
    <n v="14"/>
    <x v="0"/>
    <x v="1"/>
    <n v="80"/>
    <n v="1"/>
    <n v="23"/>
    <n v="4"/>
    <x v="2"/>
    <x v="14"/>
    <n v="7"/>
    <x v="1"/>
    <x v="13"/>
    <x v="0"/>
    <x v="3"/>
    <x v="2"/>
    <n v="0"/>
  </r>
  <r>
    <x v="7"/>
    <x v="1"/>
    <x v="0"/>
    <n v="241"/>
    <x v="1"/>
    <n v="7"/>
    <x v="3"/>
    <x v="2"/>
    <x v="0"/>
    <n v="1609"/>
    <x v="0"/>
    <x v="1"/>
    <n v="48"/>
    <x v="1"/>
    <x v="1"/>
    <x v="1"/>
    <x v="1"/>
    <x v="1"/>
    <x v="1059"/>
    <n v="5348"/>
    <n v="1"/>
    <s v="Y"/>
    <x v="1"/>
    <n v="12"/>
    <x v="0"/>
    <x v="2"/>
    <n v="80"/>
    <n v="1"/>
    <n v="6"/>
    <n v="3"/>
    <x v="2"/>
    <x v="0"/>
    <n v="4"/>
    <x v="1"/>
    <x v="9"/>
    <x v="1"/>
    <x v="0"/>
    <x v="1"/>
    <n v="0"/>
  </r>
  <r>
    <x v="28"/>
    <x v="1"/>
    <x v="0"/>
    <n v="1015"/>
    <x v="1"/>
    <n v="5"/>
    <x v="4"/>
    <x v="2"/>
    <x v="0"/>
    <n v="1611"/>
    <x v="1"/>
    <x v="0"/>
    <n v="50"/>
    <x v="3"/>
    <x v="0"/>
    <x v="2"/>
    <x v="3"/>
    <x v="0"/>
    <x v="939"/>
    <n v="23447"/>
    <n v="1"/>
    <s v="Y"/>
    <x v="0"/>
    <n v="14"/>
    <x v="0"/>
    <x v="0"/>
    <n v="80"/>
    <n v="0"/>
    <n v="10"/>
    <n v="3"/>
    <x v="1"/>
    <x v="1"/>
    <n v="7"/>
    <x v="1"/>
    <x v="10"/>
    <x v="0"/>
    <x v="0"/>
    <x v="0"/>
    <n v="0"/>
  </r>
  <r>
    <x v="28"/>
    <x v="1"/>
    <x v="2"/>
    <n v="336"/>
    <x v="0"/>
    <n v="26"/>
    <x v="3"/>
    <x v="3"/>
    <x v="0"/>
    <n v="1612"/>
    <x v="3"/>
    <x v="1"/>
    <n v="52"/>
    <x v="1"/>
    <x v="0"/>
    <x v="0"/>
    <x v="3"/>
    <x v="1"/>
    <x v="1060"/>
    <n v="24162"/>
    <n v="1"/>
    <s v="Y"/>
    <x v="1"/>
    <n v="15"/>
    <x v="0"/>
    <x v="0"/>
    <n v="80"/>
    <n v="1"/>
    <n v="10"/>
    <n v="2"/>
    <x v="1"/>
    <x v="1"/>
    <n v="7"/>
    <x v="5"/>
    <x v="0"/>
    <x v="0"/>
    <x v="0"/>
    <x v="1"/>
    <n v="0"/>
  </r>
  <r>
    <x v="12"/>
    <x v="1"/>
    <x v="1"/>
    <n v="715"/>
    <x v="0"/>
    <n v="2"/>
    <x v="2"/>
    <x v="1"/>
    <x v="0"/>
    <n v="1613"/>
    <x v="2"/>
    <x v="1"/>
    <n v="54"/>
    <x v="0"/>
    <x v="0"/>
    <x v="0"/>
    <x v="3"/>
    <x v="0"/>
    <x v="1061"/>
    <n v="21602"/>
    <n v="7"/>
    <s v="Y"/>
    <x v="1"/>
    <n v="13"/>
    <x v="0"/>
    <x v="1"/>
    <n v="80"/>
    <n v="0"/>
    <n v="10"/>
    <n v="3"/>
    <x v="1"/>
    <x v="8"/>
    <n v="2"/>
    <x v="0"/>
    <x v="6"/>
    <x v="1"/>
    <x v="2"/>
    <x v="0"/>
    <n v="0"/>
  </r>
  <r>
    <x v="9"/>
    <x v="1"/>
    <x v="0"/>
    <n v="559"/>
    <x v="1"/>
    <n v="12"/>
    <x v="2"/>
    <x v="0"/>
    <x v="0"/>
    <n v="1614"/>
    <x v="1"/>
    <x v="0"/>
    <n v="76"/>
    <x v="0"/>
    <x v="0"/>
    <x v="3"/>
    <x v="2"/>
    <x v="1"/>
    <x v="1062"/>
    <n v="12421"/>
    <n v="9"/>
    <s v="Y"/>
    <x v="0"/>
    <n v="12"/>
    <x v="0"/>
    <x v="2"/>
    <n v="80"/>
    <n v="2"/>
    <n v="7"/>
    <n v="2"/>
    <x v="1"/>
    <x v="11"/>
    <n v="2"/>
    <x v="1"/>
    <x v="9"/>
    <x v="1"/>
    <x v="2"/>
    <x v="1"/>
    <n v="0"/>
  </r>
  <r>
    <x v="13"/>
    <x v="1"/>
    <x v="1"/>
    <n v="426"/>
    <x v="1"/>
    <n v="10"/>
    <x v="2"/>
    <x v="0"/>
    <x v="0"/>
    <n v="1615"/>
    <x v="1"/>
    <x v="1"/>
    <n v="42"/>
    <x v="2"/>
    <x v="0"/>
    <x v="3"/>
    <x v="0"/>
    <x v="2"/>
    <x v="927"/>
    <n v="17000"/>
    <n v="1"/>
    <s v="Y"/>
    <x v="1"/>
    <n v="13"/>
    <x v="0"/>
    <x v="0"/>
    <n v="80"/>
    <n v="1"/>
    <n v="9"/>
    <n v="3"/>
    <x v="1"/>
    <x v="7"/>
    <n v="7"/>
    <x v="4"/>
    <x v="3"/>
    <x v="1"/>
    <x v="0"/>
    <x v="1"/>
    <n v="0"/>
  </r>
  <r>
    <x v="1"/>
    <x v="1"/>
    <x v="0"/>
    <n v="722"/>
    <x v="1"/>
    <n v="25"/>
    <x v="2"/>
    <x v="0"/>
    <x v="0"/>
    <n v="1617"/>
    <x v="1"/>
    <x v="0"/>
    <n v="84"/>
    <x v="0"/>
    <x v="1"/>
    <x v="2"/>
    <x v="3"/>
    <x v="1"/>
    <x v="1063"/>
    <n v="22102"/>
    <n v="1"/>
    <s v="Y"/>
    <x v="1"/>
    <n v="14"/>
    <x v="0"/>
    <x v="1"/>
    <n v="80"/>
    <n v="1"/>
    <n v="10"/>
    <n v="3"/>
    <x v="2"/>
    <x v="7"/>
    <n v="6"/>
    <x v="1"/>
    <x v="10"/>
    <x v="0"/>
    <x v="0"/>
    <x v="1"/>
    <n v="0"/>
  </r>
  <r>
    <x v="22"/>
    <x v="1"/>
    <x v="0"/>
    <n v="1387"/>
    <x v="1"/>
    <n v="10"/>
    <x v="4"/>
    <x v="2"/>
    <x v="0"/>
    <n v="1618"/>
    <x v="0"/>
    <x v="1"/>
    <n v="76"/>
    <x v="0"/>
    <x v="0"/>
    <x v="3"/>
    <x v="3"/>
    <x v="1"/>
    <x v="1064"/>
    <n v="3835"/>
    <n v="2"/>
    <s v="Y"/>
    <x v="1"/>
    <n v="13"/>
    <x v="0"/>
    <x v="1"/>
    <n v="80"/>
    <n v="3"/>
    <n v="10"/>
    <n v="3"/>
    <x v="1"/>
    <x v="5"/>
    <n v="7"/>
    <x v="4"/>
    <x v="1"/>
    <x v="1"/>
    <x v="0"/>
    <x v="0"/>
    <n v="0"/>
  </r>
  <r>
    <x v="4"/>
    <x v="1"/>
    <x v="0"/>
    <n v="1302"/>
    <x v="1"/>
    <n v="19"/>
    <x v="3"/>
    <x v="1"/>
    <x v="0"/>
    <n v="1619"/>
    <x v="2"/>
    <x v="1"/>
    <n v="67"/>
    <x v="1"/>
    <x v="1"/>
    <x v="2"/>
    <x v="3"/>
    <x v="2"/>
    <x v="1065"/>
    <n v="16290"/>
    <n v="1"/>
    <s v="Y"/>
    <x v="1"/>
    <n v="11"/>
    <x v="0"/>
    <x v="0"/>
    <n v="80"/>
    <n v="2"/>
    <n v="7"/>
    <n v="3"/>
    <x v="1"/>
    <x v="5"/>
    <n v="7"/>
    <x v="0"/>
    <x v="1"/>
    <x v="2"/>
    <x v="0"/>
    <x v="1"/>
    <n v="0"/>
  </r>
  <r>
    <x v="10"/>
    <x v="1"/>
    <x v="0"/>
    <n v="819"/>
    <x v="1"/>
    <n v="18"/>
    <x v="4"/>
    <x v="0"/>
    <x v="0"/>
    <n v="1621"/>
    <x v="0"/>
    <x v="1"/>
    <n v="48"/>
    <x v="2"/>
    <x v="0"/>
    <x v="1"/>
    <x v="3"/>
    <x v="1"/>
    <x v="1066"/>
    <n v="26312"/>
    <n v="1"/>
    <s v="Y"/>
    <x v="1"/>
    <n v="11"/>
    <x v="0"/>
    <x v="1"/>
    <n v="80"/>
    <n v="0"/>
    <n v="16"/>
    <n v="2"/>
    <x v="1"/>
    <x v="22"/>
    <n v="15"/>
    <x v="1"/>
    <x v="13"/>
    <x v="1"/>
    <x v="3"/>
    <x v="0"/>
    <n v="0"/>
  </r>
  <r>
    <x v="14"/>
    <x v="1"/>
    <x v="0"/>
    <n v="580"/>
    <x v="1"/>
    <n v="27"/>
    <x v="3"/>
    <x v="2"/>
    <x v="0"/>
    <n v="1622"/>
    <x v="0"/>
    <x v="0"/>
    <n v="39"/>
    <x v="3"/>
    <x v="0"/>
    <x v="3"/>
    <x v="3"/>
    <x v="2"/>
    <x v="1067"/>
    <n v="20460"/>
    <n v="0"/>
    <s v="Y"/>
    <x v="1"/>
    <n v="21"/>
    <x v="1"/>
    <x v="2"/>
    <n v="80"/>
    <n v="1"/>
    <n v="6"/>
    <n v="5"/>
    <x v="2"/>
    <x v="8"/>
    <n v="3"/>
    <x v="0"/>
    <x v="2"/>
    <x v="2"/>
    <x v="2"/>
    <x v="1"/>
    <n v="0"/>
  </r>
  <r>
    <x v="18"/>
    <x v="1"/>
    <x v="0"/>
    <n v="546"/>
    <x v="1"/>
    <n v="5"/>
    <x v="1"/>
    <x v="2"/>
    <x v="0"/>
    <n v="1623"/>
    <x v="1"/>
    <x v="1"/>
    <n v="97"/>
    <x v="0"/>
    <x v="1"/>
    <x v="1"/>
    <x v="0"/>
    <x v="0"/>
    <x v="1068"/>
    <n v="26009"/>
    <n v="1"/>
    <s v="Y"/>
    <x v="1"/>
    <n v="18"/>
    <x v="0"/>
    <x v="3"/>
    <n v="80"/>
    <n v="0"/>
    <n v="3"/>
    <n v="2"/>
    <x v="1"/>
    <x v="4"/>
    <n v="2"/>
    <x v="3"/>
    <x v="3"/>
    <x v="2"/>
    <x v="1"/>
    <x v="1"/>
    <n v="0"/>
  </r>
  <r>
    <x v="41"/>
    <x v="0"/>
    <x v="1"/>
    <n v="544"/>
    <x v="0"/>
    <n v="3"/>
    <x v="0"/>
    <x v="2"/>
    <x v="0"/>
    <n v="1624"/>
    <x v="0"/>
    <x v="0"/>
    <n v="70"/>
    <x v="0"/>
    <x v="1"/>
    <x v="6"/>
    <x v="0"/>
    <x v="0"/>
    <x v="1069"/>
    <n v="18420"/>
    <n v="1"/>
    <s v="Y"/>
    <x v="0"/>
    <n v="12"/>
    <x v="0"/>
    <x v="3"/>
    <n v="80"/>
    <n v="0"/>
    <n v="0"/>
    <n v="2"/>
    <x v="3"/>
    <x v="2"/>
    <n v="0"/>
    <x v="0"/>
    <x v="2"/>
    <x v="4"/>
    <x v="1"/>
    <x v="1"/>
    <n v="1"/>
  </r>
  <r>
    <x v="40"/>
    <x v="1"/>
    <x v="0"/>
    <n v="1176"/>
    <x v="2"/>
    <n v="26"/>
    <x v="2"/>
    <x v="0"/>
    <x v="0"/>
    <n v="1625"/>
    <x v="2"/>
    <x v="0"/>
    <n v="98"/>
    <x v="0"/>
    <x v="4"/>
    <x v="5"/>
    <x v="2"/>
    <x v="1"/>
    <x v="1070"/>
    <n v="5220"/>
    <n v="3"/>
    <s v="Y"/>
    <x v="1"/>
    <n v="11"/>
    <x v="0"/>
    <x v="3"/>
    <n v="80"/>
    <n v="1"/>
    <n v="27"/>
    <n v="2"/>
    <x v="1"/>
    <x v="8"/>
    <n v="2"/>
    <x v="1"/>
    <x v="2"/>
    <x v="0"/>
    <x v="2"/>
    <x v="2"/>
    <n v="0"/>
  </r>
  <r>
    <x v="22"/>
    <x v="1"/>
    <x v="0"/>
    <n v="170"/>
    <x v="1"/>
    <n v="3"/>
    <x v="0"/>
    <x v="2"/>
    <x v="0"/>
    <n v="1627"/>
    <x v="1"/>
    <x v="1"/>
    <n v="76"/>
    <x v="1"/>
    <x v="0"/>
    <x v="2"/>
    <x v="2"/>
    <x v="2"/>
    <x v="1071"/>
    <n v="10302"/>
    <n v="0"/>
    <s v="Y"/>
    <x v="1"/>
    <n v="15"/>
    <x v="0"/>
    <x v="1"/>
    <n v="80"/>
    <n v="1"/>
    <n v="11"/>
    <n v="3"/>
    <x v="1"/>
    <x v="1"/>
    <n v="8"/>
    <x v="0"/>
    <x v="1"/>
    <x v="1"/>
    <x v="0"/>
    <x v="1"/>
    <n v="0"/>
  </r>
  <r>
    <x v="32"/>
    <x v="1"/>
    <x v="0"/>
    <n v="884"/>
    <x v="1"/>
    <n v="15"/>
    <x v="3"/>
    <x v="0"/>
    <x v="0"/>
    <n v="1628"/>
    <x v="3"/>
    <x v="0"/>
    <n v="80"/>
    <x v="1"/>
    <x v="2"/>
    <x v="3"/>
    <x v="2"/>
    <x v="1"/>
    <x v="1072"/>
    <n v="25800"/>
    <n v="1"/>
    <s v="Y"/>
    <x v="1"/>
    <n v="13"/>
    <x v="0"/>
    <x v="1"/>
    <n v="80"/>
    <n v="2"/>
    <n v="18"/>
    <n v="2"/>
    <x v="1"/>
    <x v="29"/>
    <n v="15"/>
    <x v="15"/>
    <x v="11"/>
    <x v="0"/>
    <x v="3"/>
    <x v="3"/>
    <n v="0"/>
  </r>
  <r>
    <x v="10"/>
    <x v="1"/>
    <x v="2"/>
    <n v="208"/>
    <x v="1"/>
    <n v="8"/>
    <x v="2"/>
    <x v="0"/>
    <x v="0"/>
    <n v="1630"/>
    <x v="1"/>
    <x v="0"/>
    <n v="52"/>
    <x v="0"/>
    <x v="0"/>
    <x v="4"/>
    <x v="2"/>
    <x v="1"/>
    <x v="691"/>
    <n v="12250"/>
    <n v="1"/>
    <s v="Y"/>
    <x v="1"/>
    <n v="12"/>
    <x v="0"/>
    <x v="1"/>
    <n v="80"/>
    <n v="1"/>
    <n v="15"/>
    <n v="5"/>
    <x v="1"/>
    <x v="13"/>
    <n v="11"/>
    <x v="3"/>
    <x v="12"/>
    <x v="1"/>
    <x v="3"/>
    <x v="1"/>
    <n v="0"/>
  </r>
  <r>
    <x v="2"/>
    <x v="1"/>
    <x v="0"/>
    <n v="671"/>
    <x v="1"/>
    <n v="19"/>
    <x v="3"/>
    <x v="0"/>
    <x v="0"/>
    <n v="1631"/>
    <x v="1"/>
    <x v="1"/>
    <n v="85"/>
    <x v="0"/>
    <x v="0"/>
    <x v="3"/>
    <x v="2"/>
    <x v="1"/>
    <x v="1073"/>
    <n v="26493"/>
    <n v="3"/>
    <s v="Y"/>
    <x v="1"/>
    <n v="17"/>
    <x v="0"/>
    <x v="0"/>
    <n v="80"/>
    <n v="3"/>
    <n v="9"/>
    <n v="2"/>
    <x v="2"/>
    <x v="9"/>
    <n v="3"/>
    <x v="0"/>
    <x v="3"/>
    <x v="1"/>
    <x v="2"/>
    <x v="0"/>
    <n v="0"/>
  </r>
  <r>
    <x v="22"/>
    <x v="1"/>
    <x v="1"/>
    <n v="711"/>
    <x v="1"/>
    <n v="4"/>
    <x v="3"/>
    <x v="2"/>
    <x v="0"/>
    <n v="1633"/>
    <x v="3"/>
    <x v="0"/>
    <n v="81"/>
    <x v="0"/>
    <x v="0"/>
    <x v="3"/>
    <x v="2"/>
    <x v="0"/>
    <x v="1074"/>
    <n v="3140"/>
    <n v="0"/>
    <s v="Y"/>
    <x v="1"/>
    <n v="13"/>
    <x v="0"/>
    <x v="1"/>
    <n v="80"/>
    <n v="0"/>
    <n v="10"/>
    <n v="2"/>
    <x v="0"/>
    <x v="7"/>
    <n v="2"/>
    <x v="2"/>
    <x v="5"/>
    <x v="1"/>
    <x v="0"/>
    <x v="0"/>
    <n v="0"/>
  </r>
  <r>
    <x v="28"/>
    <x v="1"/>
    <x v="0"/>
    <n v="1329"/>
    <x v="1"/>
    <n v="2"/>
    <x v="0"/>
    <x v="1"/>
    <x v="0"/>
    <n v="1635"/>
    <x v="2"/>
    <x v="0"/>
    <n v="59"/>
    <x v="1"/>
    <x v="0"/>
    <x v="3"/>
    <x v="0"/>
    <x v="2"/>
    <x v="1075"/>
    <n v="5388"/>
    <n v="1"/>
    <s v="Y"/>
    <x v="1"/>
    <n v="19"/>
    <x v="0"/>
    <x v="0"/>
    <n v="80"/>
    <n v="2"/>
    <n v="10"/>
    <n v="3"/>
    <x v="1"/>
    <x v="1"/>
    <n v="7"/>
    <x v="2"/>
    <x v="12"/>
    <x v="0"/>
    <x v="0"/>
    <x v="0"/>
    <n v="0"/>
  </r>
  <r>
    <x v="8"/>
    <x v="1"/>
    <x v="0"/>
    <n v="397"/>
    <x v="1"/>
    <n v="2"/>
    <x v="0"/>
    <x v="2"/>
    <x v="0"/>
    <n v="1638"/>
    <x v="2"/>
    <x v="0"/>
    <n v="54"/>
    <x v="1"/>
    <x v="2"/>
    <x v="3"/>
    <x v="2"/>
    <x v="1"/>
    <x v="751"/>
    <n v="14199"/>
    <n v="3"/>
    <s v="Y"/>
    <x v="0"/>
    <n v="19"/>
    <x v="0"/>
    <x v="1"/>
    <n v="80"/>
    <n v="1"/>
    <n v="10"/>
    <n v="6"/>
    <x v="3"/>
    <x v="8"/>
    <n v="4"/>
    <x v="0"/>
    <x v="3"/>
    <x v="1"/>
    <x v="2"/>
    <x v="0"/>
    <n v="0"/>
  </r>
  <r>
    <x v="10"/>
    <x v="0"/>
    <x v="0"/>
    <n v="737"/>
    <x v="0"/>
    <n v="10"/>
    <x v="3"/>
    <x v="2"/>
    <x v="0"/>
    <n v="1639"/>
    <x v="2"/>
    <x v="1"/>
    <n v="55"/>
    <x v="1"/>
    <x v="2"/>
    <x v="0"/>
    <x v="3"/>
    <x v="1"/>
    <x v="1076"/>
    <n v="21530"/>
    <n v="9"/>
    <s v="Y"/>
    <x v="1"/>
    <n v="17"/>
    <x v="0"/>
    <x v="3"/>
    <n v="80"/>
    <n v="0"/>
    <n v="15"/>
    <n v="3"/>
    <x v="1"/>
    <x v="20"/>
    <n v="12"/>
    <x v="7"/>
    <x v="2"/>
    <x v="1"/>
    <x v="3"/>
    <x v="3"/>
    <n v="1"/>
  </r>
  <r>
    <x v="2"/>
    <x v="1"/>
    <x v="0"/>
    <n v="1470"/>
    <x v="1"/>
    <n v="10"/>
    <x v="3"/>
    <x v="2"/>
    <x v="0"/>
    <n v="1640"/>
    <x v="0"/>
    <x v="0"/>
    <n v="71"/>
    <x v="0"/>
    <x v="1"/>
    <x v="1"/>
    <x v="1"/>
    <x v="1"/>
    <x v="1077"/>
    <n v="9953"/>
    <n v="1"/>
    <s v="Y"/>
    <x v="1"/>
    <n v="11"/>
    <x v="0"/>
    <x v="0"/>
    <n v="80"/>
    <n v="1"/>
    <n v="8"/>
    <n v="2"/>
    <x v="0"/>
    <x v="3"/>
    <n v="4"/>
    <x v="4"/>
    <x v="1"/>
    <x v="1"/>
    <x v="0"/>
    <x v="1"/>
    <n v="0"/>
  </r>
  <r>
    <x v="32"/>
    <x v="1"/>
    <x v="0"/>
    <n v="448"/>
    <x v="1"/>
    <n v="16"/>
    <x v="3"/>
    <x v="0"/>
    <x v="0"/>
    <n v="1641"/>
    <x v="1"/>
    <x v="0"/>
    <n v="84"/>
    <x v="0"/>
    <x v="2"/>
    <x v="3"/>
    <x v="0"/>
    <x v="0"/>
    <x v="1078"/>
    <n v="19948"/>
    <n v="6"/>
    <s v="Y"/>
    <x v="0"/>
    <n v="15"/>
    <x v="0"/>
    <x v="1"/>
    <n v="80"/>
    <n v="0"/>
    <n v="18"/>
    <n v="2"/>
    <x v="2"/>
    <x v="9"/>
    <n v="2"/>
    <x v="2"/>
    <x v="6"/>
    <x v="0"/>
    <x v="2"/>
    <x v="0"/>
    <n v="0"/>
  </r>
  <r>
    <x v="20"/>
    <x v="1"/>
    <x v="1"/>
    <n v="602"/>
    <x v="2"/>
    <n v="1"/>
    <x v="4"/>
    <x v="5"/>
    <x v="0"/>
    <n v="1642"/>
    <x v="3"/>
    <x v="1"/>
    <n v="37"/>
    <x v="0"/>
    <x v="0"/>
    <x v="8"/>
    <x v="0"/>
    <x v="1"/>
    <x v="1079"/>
    <n v="10503"/>
    <n v="4"/>
    <s v="Y"/>
    <x v="0"/>
    <n v="11"/>
    <x v="0"/>
    <x v="3"/>
    <n v="80"/>
    <n v="0"/>
    <n v="14"/>
    <n v="3"/>
    <x v="1"/>
    <x v="1"/>
    <n v="7"/>
    <x v="0"/>
    <x v="3"/>
    <x v="0"/>
    <x v="0"/>
    <x v="0"/>
    <n v="0"/>
  </r>
  <r>
    <x v="26"/>
    <x v="1"/>
    <x v="1"/>
    <n v="365"/>
    <x v="1"/>
    <n v="4"/>
    <x v="4"/>
    <x v="2"/>
    <x v="0"/>
    <n v="1644"/>
    <x v="1"/>
    <x v="1"/>
    <n v="89"/>
    <x v="1"/>
    <x v="3"/>
    <x v="5"/>
    <x v="0"/>
    <x v="1"/>
    <x v="1080"/>
    <n v="5602"/>
    <n v="2"/>
    <s v="Y"/>
    <x v="1"/>
    <n v="25"/>
    <x v="1"/>
    <x v="2"/>
    <n v="80"/>
    <n v="1"/>
    <n v="23"/>
    <n v="3"/>
    <x v="1"/>
    <x v="4"/>
    <n v="2"/>
    <x v="3"/>
    <x v="3"/>
    <x v="0"/>
    <x v="1"/>
    <x v="2"/>
    <n v="0"/>
  </r>
  <r>
    <x v="10"/>
    <x v="0"/>
    <x v="0"/>
    <n v="763"/>
    <x v="0"/>
    <n v="15"/>
    <x v="0"/>
    <x v="2"/>
    <x v="0"/>
    <n v="1645"/>
    <x v="3"/>
    <x v="1"/>
    <n v="59"/>
    <x v="3"/>
    <x v="0"/>
    <x v="0"/>
    <x v="0"/>
    <x v="2"/>
    <x v="1081"/>
    <n v="22098"/>
    <n v="6"/>
    <s v="Y"/>
    <x v="0"/>
    <n v="14"/>
    <x v="0"/>
    <x v="1"/>
    <n v="80"/>
    <n v="2"/>
    <n v="7"/>
    <n v="2"/>
    <x v="2"/>
    <x v="4"/>
    <n v="2"/>
    <x v="3"/>
    <x v="3"/>
    <x v="1"/>
    <x v="1"/>
    <x v="0"/>
    <n v="1"/>
  </r>
  <r>
    <x v="17"/>
    <x v="1"/>
    <x v="1"/>
    <n v="567"/>
    <x v="1"/>
    <n v="2"/>
    <x v="1"/>
    <x v="4"/>
    <x v="0"/>
    <n v="1646"/>
    <x v="3"/>
    <x v="0"/>
    <n v="32"/>
    <x v="0"/>
    <x v="1"/>
    <x v="1"/>
    <x v="0"/>
    <x v="0"/>
    <x v="841"/>
    <n v="17218"/>
    <n v="1"/>
    <s v="Y"/>
    <x v="0"/>
    <n v="13"/>
    <x v="0"/>
    <x v="3"/>
    <n v="80"/>
    <n v="0"/>
    <n v="6"/>
    <n v="2"/>
    <x v="1"/>
    <x v="0"/>
    <n v="3"/>
    <x v="1"/>
    <x v="6"/>
    <x v="2"/>
    <x v="0"/>
    <x v="1"/>
    <n v="0"/>
  </r>
  <r>
    <x v="4"/>
    <x v="1"/>
    <x v="0"/>
    <n v="486"/>
    <x v="1"/>
    <n v="8"/>
    <x v="3"/>
    <x v="2"/>
    <x v="0"/>
    <n v="1647"/>
    <x v="0"/>
    <x v="0"/>
    <n v="86"/>
    <x v="2"/>
    <x v="1"/>
    <x v="1"/>
    <x v="2"/>
    <x v="1"/>
    <x v="1082"/>
    <n v="22490"/>
    <n v="7"/>
    <s v="Y"/>
    <x v="1"/>
    <n v="17"/>
    <x v="0"/>
    <x v="0"/>
    <n v="80"/>
    <n v="0"/>
    <n v="5"/>
    <n v="0"/>
    <x v="1"/>
    <x v="11"/>
    <n v="2"/>
    <x v="0"/>
    <x v="3"/>
    <x v="2"/>
    <x v="2"/>
    <x v="1"/>
    <n v="0"/>
  </r>
  <r>
    <x v="4"/>
    <x v="1"/>
    <x v="1"/>
    <n v="591"/>
    <x v="1"/>
    <n v="2"/>
    <x v="3"/>
    <x v="2"/>
    <x v="0"/>
    <n v="1648"/>
    <x v="2"/>
    <x v="1"/>
    <n v="87"/>
    <x v="0"/>
    <x v="1"/>
    <x v="1"/>
    <x v="0"/>
    <x v="0"/>
    <x v="1083"/>
    <n v="6297"/>
    <n v="2"/>
    <s v="Y"/>
    <x v="1"/>
    <n v="13"/>
    <x v="0"/>
    <x v="3"/>
    <n v="80"/>
    <n v="0"/>
    <n v="6"/>
    <n v="0"/>
    <x v="2"/>
    <x v="9"/>
    <n v="2"/>
    <x v="1"/>
    <x v="3"/>
    <x v="2"/>
    <x v="2"/>
    <x v="1"/>
    <n v="0"/>
  </r>
  <r>
    <x v="32"/>
    <x v="0"/>
    <x v="0"/>
    <n v="1329"/>
    <x v="1"/>
    <n v="7"/>
    <x v="3"/>
    <x v="0"/>
    <x v="0"/>
    <n v="1649"/>
    <x v="3"/>
    <x v="1"/>
    <n v="73"/>
    <x v="0"/>
    <x v="1"/>
    <x v="2"/>
    <x v="3"/>
    <x v="0"/>
    <x v="1084"/>
    <n v="3339"/>
    <n v="3"/>
    <s v="Y"/>
    <x v="0"/>
    <n v="14"/>
    <x v="0"/>
    <x v="2"/>
    <n v="80"/>
    <n v="0"/>
    <n v="10"/>
    <n v="3"/>
    <x v="0"/>
    <x v="9"/>
    <n v="2"/>
    <x v="0"/>
    <x v="6"/>
    <x v="0"/>
    <x v="2"/>
    <x v="1"/>
    <n v="1"/>
  </r>
  <r>
    <x v="11"/>
    <x v="1"/>
    <x v="0"/>
    <n v="469"/>
    <x v="0"/>
    <n v="10"/>
    <x v="3"/>
    <x v="2"/>
    <x v="0"/>
    <n v="1650"/>
    <x v="1"/>
    <x v="1"/>
    <n v="42"/>
    <x v="1"/>
    <x v="0"/>
    <x v="0"/>
    <x v="2"/>
    <x v="0"/>
    <x v="1085"/>
    <n v="23413"/>
    <n v="9"/>
    <s v="Y"/>
    <x v="1"/>
    <n v="11"/>
    <x v="0"/>
    <x v="3"/>
    <n v="80"/>
    <n v="0"/>
    <n v="8"/>
    <n v="2"/>
    <x v="1"/>
    <x v="8"/>
    <n v="2"/>
    <x v="1"/>
    <x v="10"/>
    <x v="2"/>
    <x v="2"/>
    <x v="0"/>
    <n v="0"/>
  </r>
  <r>
    <x v="9"/>
    <x v="1"/>
    <x v="0"/>
    <n v="711"/>
    <x v="1"/>
    <n v="5"/>
    <x v="2"/>
    <x v="0"/>
    <x v="0"/>
    <n v="1651"/>
    <x v="0"/>
    <x v="0"/>
    <n v="42"/>
    <x v="0"/>
    <x v="2"/>
    <x v="4"/>
    <x v="3"/>
    <x v="1"/>
    <x v="1086"/>
    <n v="22792"/>
    <n v="4"/>
    <s v="Y"/>
    <x v="1"/>
    <n v="12"/>
    <x v="0"/>
    <x v="3"/>
    <n v="80"/>
    <n v="2"/>
    <n v="9"/>
    <n v="6"/>
    <x v="1"/>
    <x v="11"/>
    <n v="2"/>
    <x v="0"/>
    <x v="3"/>
    <x v="1"/>
    <x v="2"/>
    <x v="0"/>
    <n v="0"/>
  </r>
  <r>
    <x v="36"/>
    <x v="1"/>
    <x v="1"/>
    <n v="772"/>
    <x v="1"/>
    <n v="2"/>
    <x v="1"/>
    <x v="0"/>
    <x v="0"/>
    <n v="1653"/>
    <x v="2"/>
    <x v="1"/>
    <n v="77"/>
    <x v="2"/>
    <x v="0"/>
    <x v="3"/>
    <x v="2"/>
    <x v="2"/>
    <x v="1087"/>
    <n v="4973"/>
    <n v="1"/>
    <s v="Y"/>
    <x v="1"/>
    <n v="17"/>
    <x v="0"/>
    <x v="3"/>
    <n v="80"/>
    <n v="2"/>
    <n v="7"/>
    <n v="6"/>
    <x v="1"/>
    <x v="5"/>
    <n v="7"/>
    <x v="0"/>
    <x v="1"/>
    <x v="2"/>
    <x v="0"/>
    <x v="0"/>
    <n v="0"/>
  </r>
  <r>
    <x v="22"/>
    <x v="1"/>
    <x v="0"/>
    <n v="492"/>
    <x v="1"/>
    <n v="12"/>
    <x v="3"/>
    <x v="2"/>
    <x v="0"/>
    <n v="1654"/>
    <x v="2"/>
    <x v="1"/>
    <n v="66"/>
    <x v="0"/>
    <x v="0"/>
    <x v="3"/>
    <x v="1"/>
    <x v="1"/>
    <x v="1088"/>
    <n v="7693"/>
    <n v="4"/>
    <s v="Y"/>
    <x v="1"/>
    <n v="21"/>
    <x v="1"/>
    <x v="3"/>
    <n v="80"/>
    <n v="0"/>
    <n v="7"/>
    <n v="3"/>
    <x v="1"/>
    <x v="8"/>
    <n v="4"/>
    <x v="1"/>
    <x v="2"/>
    <x v="1"/>
    <x v="2"/>
    <x v="0"/>
    <n v="0"/>
  </r>
  <r>
    <x v="1"/>
    <x v="1"/>
    <x v="0"/>
    <n v="301"/>
    <x v="1"/>
    <n v="22"/>
    <x v="2"/>
    <x v="1"/>
    <x v="0"/>
    <n v="1655"/>
    <x v="3"/>
    <x v="0"/>
    <n v="72"/>
    <x v="0"/>
    <x v="3"/>
    <x v="7"/>
    <x v="1"/>
    <x v="1"/>
    <x v="1089"/>
    <n v="3498"/>
    <n v="3"/>
    <s v="Y"/>
    <x v="1"/>
    <n v="16"/>
    <x v="0"/>
    <x v="2"/>
    <n v="80"/>
    <n v="2"/>
    <n v="27"/>
    <n v="2"/>
    <x v="1"/>
    <x v="9"/>
    <n v="2"/>
    <x v="1"/>
    <x v="3"/>
    <x v="0"/>
    <x v="2"/>
    <x v="2"/>
    <n v="0"/>
  </r>
  <r>
    <x v="24"/>
    <x v="1"/>
    <x v="0"/>
    <n v="813"/>
    <x v="1"/>
    <n v="17"/>
    <x v="4"/>
    <x v="0"/>
    <x v="0"/>
    <n v="1656"/>
    <x v="2"/>
    <x v="0"/>
    <n v="50"/>
    <x v="1"/>
    <x v="2"/>
    <x v="7"/>
    <x v="3"/>
    <x v="2"/>
    <x v="1090"/>
    <n v="21981"/>
    <n v="5"/>
    <s v="Y"/>
    <x v="1"/>
    <n v="15"/>
    <x v="0"/>
    <x v="3"/>
    <n v="80"/>
    <n v="3"/>
    <n v="19"/>
    <n v="3"/>
    <x v="1"/>
    <x v="13"/>
    <n v="11"/>
    <x v="1"/>
    <x v="7"/>
    <x v="3"/>
    <x v="3"/>
    <x v="3"/>
    <n v="0"/>
  </r>
  <r>
    <x v="35"/>
    <x v="1"/>
    <x v="0"/>
    <n v="1141"/>
    <x v="0"/>
    <n v="2"/>
    <x v="3"/>
    <x v="2"/>
    <x v="0"/>
    <n v="1657"/>
    <x v="1"/>
    <x v="0"/>
    <n v="31"/>
    <x v="0"/>
    <x v="1"/>
    <x v="6"/>
    <x v="2"/>
    <x v="0"/>
    <x v="1091"/>
    <n v="13251"/>
    <n v="1"/>
    <s v="Y"/>
    <x v="1"/>
    <n v="19"/>
    <x v="0"/>
    <x v="0"/>
    <n v="80"/>
    <n v="0"/>
    <n v="2"/>
    <n v="3"/>
    <x v="1"/>
    <x v="4"/>
    <n v="2"/>
    <x v="3"/>
    <x v="3"/>
    <x v="2"/>
    <x v="1"/>
    <x v="1"/>
    <n v="0"/>
  </r>
  <r>
    <x v="13"/>
    <x v="1"/>
    <x v="0"/>
    <n v="1130"/>
    <x v="1"/>
    <n v="3"/>
    <x v="3"/>
    <x v="0"/>
    <x v="0"/>
    <n v="1658"/>
    <x v="2"/>
    <x v="0"/>
    <n v="66"/>
    <x v="0"/>
    <x v="0"/>
    <x v="1"/>
    <x v="1"/>
    <x v="2"/>
    <x v="1092"/>
    <n v="19332"/>
    <n v="1"/>
    <s v="Y"/>
    <x v="1"/>
    <n v="12"/>
    <x v="0"/>
    <x v="3"/>
    <n v="80"/>
    <n v="1"/>
    <n v="11"/>
    <n v="2"/>
    <x v="1"/>
    <x v="19"/>
    <n v="8"/>
    <x v="4"/>
    <x v="12"/>
    <x v="1"/>
    <x v="3"/>
    <x v="0"/>
    <n v="0"/>
  </r>
  <r>
    <x v="9"/>
    <x v="1"/>
    <x v="0"/>
    <n v="311"/>
    <x v="1"/>
    <n v="7"/>
    <x v="3"/>
    <x v="0"/>
    <x v="0"/>
    <n v="1659"/>
    <x v="3"/>
    <x v="1"/>
    <n v="77"/>
    <x v="0"/>
    <x v="1"/>
    <x v="2"/>
    <x v="1"/>
    <x v="0"/>
    <x v="1093"/>
    <n v="10950"/>
    <n v="2"/>
    <s v="Y"/>
    <x v="1"/>
    <n v="11"/>
    <x v="0"/>
    <x v="3"/>
    <n v="80"/>
    <n v="0"/>
    <n v="15"/>
    <n v="4"/>
    <x v="1"/>
    <x v="9"/>
    <n v="3"/>
    <x v="1"/>
    <x v="6"/>
    <x v="1"/>
    <x v="2"/>
    <x v="1"/>
    <n v="0"/>
  </r>
  <r>
    <x v="1"/>
    <x v="1"/>
    <x v="0"/>
    <n v="465"/>
    <x v="1"/>
    <n v="6"/>
    <x v="1"/>
    <x v="0"/>
    <x v="0"/>
    <n v="1661"/>
    <x v="1"/>
    <x v="0"/>
    <n v="41"/>
    <x v="1"/>
    <x v="3"/>
    <x v="4"/>
    <x v="2"/>
    <x v="1"/>
    <x v="1094"/>
    <n v="11652"/>
    <n v="2"/>
    <s v="Y"/>
    <x v="0"/>
    <n v="19"/>
    <x v="0"/>
    <x v="2"/>
    <n v="80"/>
    <n v="1"/>
    <n v="30"/>
    <n v="3"/>
    <x v="1"/>
    <x v="15"/>
    <n v="11"/>
    <x v="3"/>
    <x v="11"/>
    <x v="0"/>
    <x v="3"/>
    <x v="3"/>
    <n v="0"/>
  </r>
  <r>
    <x v="9"/>
    <x v="1"/>
    <x v="2"/>
    <n v="894"/>
    <x v="1"/>
    <n v="1"/>
    <x v="2"/>
    <x v="2"/>
    <x v="0"/>
    <n v="1662"/>
    <x v="2"/>
    <x v="0"/>
    <n v="33"/>
    <x v="1"/>
    <x v="0"/>
    <x v="3"/>
    <x v="2"/>
    <x v="1"/>
    <x v="1095"/>
    <n v="15411"/>
    <n v="0"/>
    <s v="Y"/>
    <x v="1"/>
    <n v="15"/>
    <x v="0"/>
    <x v="3"/>
    <n v="80"/>
    <n v="0"/>
    <n v="4"/>
    <n v="6"/>
    <x v="1"/>
    <x v="11"/>
    <n v="2"/>
    <x v="1"/>
    <x v="3"/>
    <x v="1"/>
    <x v="2"/>
    <x v="1"/>
    <n v="0"/>
  </r>
  <r>
    <x v="9"/>
    <x v="1"/>
    <x v="0"/>
    <n v="1040"/>
    <x v="1"/>
    <n v="3"/>
    <x v="0"/>
    <x v="0"/>
    <x v="0"/>
    <n v="1664"/>
    <x v="2"/>
    <x v="1"/>
    <n v="79"/>
    <x v="2"/>
    <x v="0"/>
    <x v="4"/>
    <x v="3"/>
    <x v="2"/>
    <x v="1096"/>
    <n v="26308"/>
    <n v="6"/>
    <s v="Y"/>
    <x v="1"/>
    <n v="20"/>
    <x v="1"/>
    <x v="0"/>
    <n v="80"/>
    <n v="1"/>
    <n v="13"/>
    <n v="3"/>
    <x v="1"/>
    <x v="8"/>
    <n v="4"/>
    <x v="0"/>
    <x v="10"/>
    <x v="1"/>
    <x v="2"/>
    <x v="0"/>
    <n v="0"/>
  </r>
  <r>
    <x v="33"/>
    <x v="1"/>
    <x v="0"/>
    <n v="584"/>
    <x v="1"/>
    <n v="22"/>
    <x v="4"/>
    <x v="2"/>
    <x v="0"/>
    <n v="1665"/>
    <x v="0"/>
    <x v="0"/>
    <n v="91"/>
    <x v="0"/>
    <x v="3"/>
    <x v="5"/>
    <x v="2"/>
    <x v="1"/>
    <x v="1097"/>
    <n v="18685"/>
    <n v="3"/>
    <s v="Y"/>
    <x v="1"/>
    <n v="25"/>
    <x v="1"/>
    <x v="3"/>
    <n v="80"/>
    <n v="1"/>
    <n v="36"/>
    <n v="6"/>
    <x v="1"/>
    <x v="1"/>
    <n v="8"/>
    <x v="5"/>
    <x v="1"/>
    <x v="3"/>
    <x v="0"/>
    <x v="2"/>
    <n v="0"/>
  </r>
  <r>
    <x v="23"/>
    <x v="1"/>
    <x v="0"/>
    <n v="1291"/>
    <x v="1"/>
    <n v="15"/>
    <x v="0"/>
    <x v="0"/>
    <x v="0"/>
    <n v="1666"/>
    <x v="1"/>
    <x v="1"/>
    <n v="65"/>
    <x v="1"/>
    <x v="3"/>
    <x v="7"/>
    <x v="2"/>
    <x v="1"/>
    <x v="1098"/>
    <n v="3525"/>
    <n v="1"/>
    <s v="Y"/>
    <x v="1"/>
    <n v="24"/>
    <x v="1"/>
    <x v="0"/>
    <n v="80"/>
    <n v="1"/>
    <n v="14"/>
    <n v="3"/>
    <x v="1"/>
    <x v="13"/>
    <n v="10"/>
    <x v="7"/>
    <x v="7"/>
    <x v="0"/>
    <x v="3"/>
    <x v="2"/>
    <n v="0"/>
  </r>
  <r>
    <x v="10"/>
    <x v="0"/>
    <x v="1"/>
    <n v="880"/>
    <x v="0"/>
    <n v="12"/>
    <x v="2"/>
    <x v="1"/>
    <x v="0"/>
    <n v="1667"/>
    <x v="2"/>
    <x v="1"/>
    <n v="36"/>
    <x v="0"/>
    <x v="0"/>
    <x v="0"/>
    <x v="0"/>
    <x v="0"/>
    <x v="1099"/>
    <n v="10414"/>
    <n v="3"/>
    <s v="Y"/>
    <x v="0"/>
    <n v="24"/>
    <x v="1"/>
    <x v="0"/>
    <n v="80"/>
    <n v="0"/>
    <n v="13"/>
    <n v="2"/>
    <x v="3"/>
    <x v="19"/>
    <n v="9"/>
    <x v="7"/>
    <x v="1"/>
    <x v="1"/>
    <x v="3"/>
    <x v="1"/>
    <n v="1"/>
  </r>
  <r>
    <x v="8"/>
    <x v="1"/>
    <x v="1"/>
    <n v="1189"/>
    <x v="1"/>
    <n v="1"/>
    <x v="3"/>
    <x v="0"/>
    <x v="0"/>
    <n v="1668"/>
    <x v="2"/>
    <x v="1"/>
    <n v="90"/>
    <x v="0"/>
    <x v="0"/>
    <x v="1"/>
    <x v="0"/>
    <x v="1"/>
    <x v="1100"/>
    <n v="9867"/>
    <n v="7"/>
    <s v="Y"/>
    <x v="1"/>
    <n v="15"/>
    <x v="0"/>
    <x v="1"/>
    <n v="80"/>
    <n v="2"/>
    <n v="19"/>
    <n v="4"/>
    <x v="3"/>
    <x v="20"/>
    <n v="11"/>
    <x v="3"/>
    <x v="12"/>
    <x v="1"/>
    <x v="3"/>
    <x v="1"/>
    <n v="0"/>
  </r>
  <r>
    <x v="11"/>
    <x v="1"/>
    <x v="0"/>
    <n v="991"/>
    <x v="0"/>
    <n v="5"/>
    <x v="3"/>
    <x v="2"/>
    <x v="0"/>
    <n v="1669"/>
    <x v="3"/>
    <x v="1"/>
    <n v="43"/>
    <x v="1"/>
    <x v="0"/>
    <x v="0"/>
    <x v="1"/>
    <x v="2"/>
    <x v="1101"/>
    <n v="3356"/>
    <n v="1"/>
    <s v="Y"/>
    <x v="0"/>
    <n v="13"/>
    <x v="0"/>
    <x v="2"/>
    <n v="80"/>
    <n v="1"/>
    <n v="10"/>
    <n v="3"/>
    <x v="2"/>
    <x v="1"/>
    <n v="0"/>
    <x v="0"/>
    <x v="12"/>
    <x v="2"/>
    <x v="0"/>
    <x v="1"/>
    <n v="0"/>
  </r>
  <r>
    <x v="3"/>
    <x v="1"/>
    <x v="0"/>
    <n v="392"/>
    <x v="0"/>
    <n v="2"/>
    <x v="2"/>
    <x v="2"/>
    <x v="0"/>
    <n v="1670"/>
    <x v="2"/>
    <x v="1"/>
    <n v="93"/>
    <x v="0"/>
    <x v="0"/>
    <x v="0"/>
    <x v="0"/>
    <x v="2"/>
    <x v="1102"/>
    <n v="3921"/>
    <n v="1"/>
    <s v="Y"/>
    <x v="1"/>
    <n v="14"/>
    <x v="0"/>
    <x v="3"/>
    <n v="80"/>
    <n v="2"/>
    <n v="6"/>
    <n v="5"/>
    <x v="1"/>
    <x v="0"/>
    <n v="2"/>
    <x v="0"/>
    <x v="10"/>
    <x v="1"/>
    <x v="0"/>
    <x v="0"/>
    <n v="0"/>
  </r>
  <r>
    <x v="5"/>
    <x v="1"/>
    <x v="0"/>
    <n v="977"/>
    <x v="1"/>
    <n v="2"/>
    <x v="3"/>
    <x v="2"/>
    <x v="0"/>
    <n v="1671"/>
    <x v="2"/>
    <x v="1"/>
    <n v="45"/>
    <x v="0"/>
    <x v="0"/>
    <x v="1"/>
    <x v="1"/>
    <x v="2"/>
    <x v="1103"/>
    <n v="25518"/>
    <n v="0"/>
    <s v="Y"/>
    <x v="1"/>
    <n v="13"/>
    <x v="0"/>
    <x v="3"/>
    <n v="80"/>
    <n v="2"/>
    <n v="10"/>
    <n v="4"/>
    <x v="2"/>
    <x v="7"/>
    <n v="5"/>
    <x v="1"/>
    <x v="4"/>
    <x v="1"/>
    <x v="0"/>
    <x v="0"/>
    <n v="0"/>
  </r>
  <r>
    <x v="12"/>
    <x v="1"/>
    <x v="0"/>
    <n v="1112"/>
    <x v="0"/>
    <n v="5"/>
    <x v="2"/>
    <x v="0"/>
    <x v="0"/>
    <n v="1673"/>
    <x v="3"/>
    <x v="0"/>
    <n v="67"/>
    <x v="0"/>
    <x v="0"/>
    <x v="0"/>
    <x v="0"/>
    <x v="1"/>
    <x v="1104"/>
    <n v="22589"/>
    <n v="1"/>
    <s v="Y"/>
    <x v="1"/>
    <n v="11"/>
    <x v="0"/>
    <x v="0"/>
    <n v="80"/>
    <n v="2"/>
    <n v="10"/>
    <n v="2"/>
    <x v="1"/>
    <x v="1"/>
    <n v="0"/>
    <x v="0"/>
    <x v="3"/>
    <x v="1"/>
    <x v="0"/>
    <x v="0"/>
    <n v="0"/>
  </r>
  <r>
    <x v="1"/>
    <x v="1"/>
    <x v="0"/>
    <n v="464"/>
    <x v="1"/>
    <n v="16"/>
    <x v="3"/>
    <x v="2"/>
    <x v="0"/>
    <n v="1674"/>
    <x v="2"/>
    <x v="0"/>
    <n v="74"/>
    <x v="0"/>
    <x v="1"/>
    <x v="2"/>
    <x v="3"/>
    <x v="2"/>
    <x v="1105"/>
    <n v="24941"/>
    <n v="4"/>
    <s v="Y"/>
    <x v="0"/>
    <n v="16"/>
    <x v="0"/>
    <x v="2"/>
    <n v="80"/>
    <n v="1"/>
    <n v="17"/>
    <n v="2"/>
    <x v="2"/>
    <x v="4"/>
    <n v="2"/>
    <x v="3"/>
    <x v="3"/>
    <x v="0"/>
    <x v="1"/>
    <x v="1"/>
    <n v="0"/>
  </r>
  <r>
    <x v="8"/>
    <x v="1"/>
    <x v="1"/>
    <n v="148"/>
    <x v="1"/>
    <n v="2"/>
    <x v="3"/>
    <x v="2"/>
    <x v="0"/>
    <n v="1675"/>
    <x v="2"/>
    <x v="0"/>
    <n v="42"/>
    <x v="1"/>
    <x v="1"/>
    <x v="2"/>
    <x v="1"/>
    <x v="0"/>
    <x v="1106"/>
    <n v="23826"/>
    <n v="1"/>
    <s v="Y"/>
    <x v="1"/>
    <n v="22"/>
    <x v="1"/>
    <x v="2"/>
    <n v="80"/>
    <n v="0"/>
    <n v="4"/>
    <n v="3"/>
    <x v="1"/>
    <x v="9"/>
    <n v="3"/>
    <x v="2"/>
    <x v="6"/>
    <x v="1"/>
    <x v="2"/>
    <x v="1"/>
    <n v="0"/>
  </r>
  <r>
    <x v="40"/>
    <x v="1"/>
    <x v="0"/>
    <n v="1225"/>
    <x v="0"/>
    <n v="2"/>
    <x v="2"/>
    <x v="0"/>
    <x v="0"/>
    <n v="1676"/>
    <x v="0"/>
    <x v="0"/>
    <n v="47"/>
    <x v="2"/>
    <x v="3"/>
    <x v="5"/>
    <x v="1"/>
    <x v="2"/>
    <x v="1107"/>
    <n v="21086"/>
    <n v="6"/>
    <s v="Y"/>
    <x v="1"/>
    <n v="14"/>
    <x v="0"/>
    <x v="3"/>
    <n v="80"/>
    <n v="3"/>
    <n v="29"/>
    <n v="2"/>
    <x v="1"/>
    <x v="11"/>
    <n v="2"/>
    <x v="1"/>
    <x v="3"/>
    <x v="0"/>
    <x v="2"/>
    <x v="2"/>
    <n v="0"/>
  </r>
  <r>
    <x v="1"/>
    <x v="1"/>
    <x v="0"/>
    <n v="809"/>
    <x v="1"/>
    <n v="1"/>
    <x v="3"/>
    <x v="0"/>
    <x v="0"/>
    <n v="1677"/>
    <x v="1"/>
    <x v="1"/>
    <n v="36"/>
    <x v="0"/>
    <x v="3"/>
    <x v="5"/>
    <x v="2"/>
    <x v="0"/>
    <x v="1108"/>
    <n v="22384"/>
    <n v="4"/>
    <s v="Y"/>
    <x v="1"/>
    <n v="14"/>
    <x v="0"/>
    <x v="0"/>
    <n v="80"/>
    <n v="0"/>
    <n v="23"/>
    <n v="2"/>
    <x v="1"/>
    <x v="3"/>
    <n v="7"/>
    <x v="0"/>
    <x v="2"/>
    <x v="0"/>
    <x v="0"/>
    <x v="2"/>
    <n v="0"/>
  </r>
  <r>
    <x v="0"/>
    <x v="1"/>
    <x v="0"/>
    <n v="1206"/>
    <x v="0"/>
    <n v="23"/>
    <x v="0"/>
    <x v="0"/>
    <x v="0"/>
    <n v="1678"/>
    <x v="2"/>
    <x v="1"/>
    <n v="80"/>
    <x v="0"/>
    <x v="2"/>
    <x v="0"/>
    <x v="2"/>
    <x v="0"/>
    <x v="1109"/>
    <n v="11591"/>
    <n v="3"/>
    <s v="Y"/>
    <x v="0"/>
    <n v="16"/>
    <x v="0"/>
    <x v="1"/>
    <n v="80"/>
    <n v="0"/>
    <n v="21"/>
    <n v="2"/>
    <x v="1"/>
    <x v="4"/>
    <n v="0"/>
    <x v="0"/>
    <x v="3"/>
    <x v="0"/>
    <x v="1"/>
    <x v="0"/>
    <n v="0"/>
  </r>
  <r>
    <x v="35"/>
    <x v="1"/>
    <x v="0"/>
    <n v="727"/>
    <x v="0"/>
    <n v="9"/>
    <x v="1"/>
    <x v="0"/>
    <x v="0"/>
    <n v="1680"/>
    <x v="2"/>
    <x v="1"/>
    <n v="54"/>
    <x v="0"/>
    <x v="1"/>
    <x v="6"/>
    <x v="3"/>
    <x v="0"/>
    <x v="1110"/>
    <n v="21082"/>
    <n v="1"/>
    <s v="Y"/>
    <x v="1"/>
    <n v="11"/>
    <x v="0"/>
    <x v="0"/>
    <n v="80"/>
    <n v="0"/>
    <n v="2"/>
    <n v="3"/>
    <x v="1"/>
    <x v="4"/>
    <n v="2"/>
    <x v="0"/>
    <x v="3"/>
    <x v="2"/>
    <x v="1"/>
    <x v="1"/>
    <n v="0"/>
  </r>
  <r>
    <x v="3"/>
    <x v="1"/>
    <x v="2"/>
    <n v="530"/>
    <x v="0"/>
    <n v="16"/>
    <x v="3"/>
    <x v="0"/>
    <x v="0"/>
    <n v="1681"/>
    <x v="1"/>
    <x v="0"/>
    <n v="36"/>
    <x v="0"/>
    <x v="0"/>
    <x v="0"/>
    <x v="0"/>
    <x v="2"/>
    <x v="1111"/>
    <n v="16130"/>
    <n v="1"/>
    <s v="Y"/>
    <x v="0"/>
    <n v="25"/>
    <x v="1"/>
    <x v="3"/>
    <n v="80"/>
    <n v="1"/>
    <n v="7"/>
    <n v="2"/>
    <x v="1"/>
    <x v="0"/>
    <n v="5"/>
    <x v="1"/>
    <x v="3"/>
    <x v="1"/>
    <x v="0"/>
    <x v="0"/>
    <n v="0"/>
  </r>
  <r>
    <x v="9"/>
    <x v="1"/>
    <x v="0"/>
    <n v="1351"/>
    <x v="1"/>
    <n v="26"/>
    <x v="2"/>
    <x v="0"/>
    <x v="0"/>
    <n v="1682"/>
    <x v="3"/>
    <x v="1"/>
    <n v="80"/>
    <x v="0"/>
    <x v="0"/>
    <x v="4"/>
    <x v="2"/>
    <x v="1"/>
    <x v="1112"/>
    <n v="7419"/>
    <n v="6"/>
    <s v="Y"/>
    <x v="1"/>
    <n v="14"/>
    <x v="0"/>
    <x v="2"/>
    <n v="80"/>
    <n v="2"/>
    <n v="10"/>
    <n v="2"/>
    <x v="2"/>
    <x v="11"/>
    <n v="2"/>
    <x v="0"/>
    <x v="3"/>
    <x v="1"/>
    <x v="2"/>
    <x v="0"/>
    <n v="0"/>
  </r>
  <r>
    <x v="20"/>
    <x v="1"/>
    <x v="0"/>
    <n v="528"/>
    <x v="2"/>
    <n v="1"/>
    <x v="3"/>
    <x v="0"/>
    <x v="0"/>
    <n v="1683"/>
    <x v="1"/>
    <x v="0"/>
    <n v="44"/>
    <x v="0"/>
    <x v="1"/>
    <x v="8"/>
    <x v="0"/>
    <x v="2"/>
    <x v="1113"/>
    <n v="4167"/>
    <n v="4"/>
    <s v="Y"/>
    <x v="0"/>
    <n v="18"/>
    <x v="0"/>
    <x v="0"/>
    <n v="80"/>
    <n v="3"/>
    <n v="8"/>
    <n v="2"/>
    <x v="1"/>
    <x v="4"/>
    <n v="2"/>
    <x v="3"/>
    <x v="3"/>
    <x v="0"/>
    <x v="1"/>
    <x v="1"/>
    <n v="0"/>
  </r>
  <r>
    <x v="30"/>
    <x v="0"/>
    <x v="0"/>
    <n v="1320"/>
    <x v="1"/>
    <n v="8"/>
    <x v="1"/>
    <x v="2"/>
    <x v="0"/>
    <n v="1684"/>
    <x v="2"/>
    <x v="1"/>
    <n v="93"/>
    <x v="1"/>
    <x v="1"/>
    <x v="2"/>
    <x v="2"/>
    <x v="0"/>
    <x v="1114"/>
    <n v="20586"/>
    <n v="1"/>
    <s v="Y"/>
    <x v="0"/>
    <n v="11"/>
    <x v="0"/>
    <x v="0"/>
    <n v="80"/>
    <n v="0"/>
    <n v="5"/>
    <n v="2"/>
    <x v="1"/>
    <x v="8"/>
    <n v="4"/>
    <x v="1"/>
    <x v="3"/>
    <x v="2"/>
    <x v="2"/>
    <x v="1"/>
    <n v="1"/>
  </r>
  <r>
    <x v="8"/>
    <x v="1"/>
    <x v="0"/>
    <n v="1495"/>
    <x v="1"/>
    <n v="4"/>
    <x v="0"/>
    <x v="2"/>
    <x v="0"/>
    <n v="1687"/>
    <x v="2"/>
    <x v="0"/>
    <n v="87"/>
    <x v="0"/>
    <x v="1"/>
    <x v="2"/>
    <x v="2"/>
    <x v="1"/>
    <x v="1115"/>
    <n v="26176"/>
    <n v="7"/>
    <s v="Y"/>
    <x v="1"/>
    <n v="19"/>
    <x v="0"/>
    <x v="1"/>
    <n v="80"/>
    <n v="1"/>
    <n v="7"/>
    <n v="5"/>
    <x v="2"/>
    <x v="2"/>
    <n v="0"/>
    <x v="0"/>
    <x v="2"/>
    <x v="1"/>
    <x v="1"/>
    <x v="1"/>
    <n v="0"/>
  </r>
  <r>
    <x v="16"/>
    <x v="1"/>
    <x v="0"/>
    <n v="1395"/>
    <x v="1"/>
    <n v="24"/>
    <x v="2"/>
    <x v="2"/>
    <x v="0"/>
    <n v="1689"/>
    <x v="0"/>
    <x v="1"/>
    <n v="48"/>
    <x v="2"/>
    <x v="2"/>
    <x v="4"/>
    <x v="0"/>
    <x v="1"/>
    <x v="1116"/>
    <n v="3458"/>
    <n v="3"/>
    <s v="Y"/>
    <x v="1"/>
    <n v="15"/>
    <x v="0"/>
    <x v="3"/>
    <n v="80"/>
    <n v="0"/>
    <n v="11"/>
    <n v="2"/>
    <x v="1"/>
    <x v="9"/>
    <n v="3"/>
    <x v="1"/>
    <x v="3"/>
    <x v="3"/>
    <x v="2"/>
    <x v="0"/>
    <n v="0"/>
  </r>
  <r>
    <x v="26"/>
    <x v="0"/>
    <x v="1"/>
    <n v="708"/>
    <x v="0"/>
    <n v="7"/>
    <x v="0"/>
    <x v="2"/>
    <x v="0"/>
    <n v="1691"/>
    <x v="2"/>
    <x v="0"/>
    <n v="95"/>
    <x v="0"/>
    <x v="1"/>
    <x v="6"/>
    <x v="2"/>
    <x v="1"/>
    <x v="1117"/>
    <n v="11740"/>
    <n v="2"/>
    <s v="Y"/>
    <x v="0"/>
    <n v="11"/>
    <x v="0"/>
    <x v="3"/>
    <n v="80"/>
    <n v="2"/>
    <n v="19"/>
    <n v="3"/>
    <x v="1"/>
    <x v="7"/>
    <n v="7"/>
    <x v="4"/>
    <x v="1"/>
    <x v="0"/>
    <x v="0"/>
    <x v="1"/>
    <n v="1"/>
  </r>
  <r>
    <x v="5"/>
    <x v="0"/>
    <x v="0"/>
    <n v="1259"/>
    <x v="1"/>
    <n v="2"/>
    <x v="2"/>
    <x v="0"/>
    <x v="0"/>
    <n v="1692"/>
    <x v="2"/>
    <x v="1"/>
    <n v="95"/>
    <x v="0"/>
    <x v="1"/>
    <x v="2"/>
    <x v="1"/>
    <x v="0"/>
    <x v="1118"/>
    <n v="24852"/>
    <n v="1"/>
    <s v="Y"/>
    <x v="1"/>
    <n v="12"/>
    <x v="0"/>
    <x v="0"/>
    <n v="80"/>
    <n v="0"/>
    <n v="1"/>
    <n v="2"/>
    <x v="1"/>
    <x v="6"/>
    <n v="0"/>
    <x v="0"/>
    <x v="2"/>
    <x v="1"/>
    <x v="1"/>
    <x v="1"/>
    <n v="1"/>
  </r>
  <r>
    <x v="25"/>
    <x v="1"/>
    <x v="2"/>
    <n v="786"/>
    <x v="1"/>
    <n v="7"/>
    <x v="3"/>
    <x v="2"/>
    <x v="0"/>
    <n v="1693"/>
    <x v="2"/>
    <x v="1"/>
    <n v="76"/>
    <x v="0"/>
    <x v="1"/>
    <x v="2"/>
    <x v="0"/>
    <x v="0"/>
    <x v="1119"/>
    <n v="11925"/>
    <n v="1"/>
    <s v="Y"/>
    <x v="1"/>
    <n v="20"/>
    <x v="1"/>
    <x v="3"/>
    <n v="80"/>
    <n v="0"/>
    <n v="7"/>
    <n v="5"/>
    <x v="1"/>
    <x v="5"/>
    <n v="7"/>
    <x v="8"/>
    <x v="1"/>
    <x v="2"/>
    <x v="0"/>
    <x v="1"/>
    <n v="0"/>
  </r>
  <r>
    <x v="27"/>
    <x v="1"/>
    <x v="0"/>
    <n v="1441"/>
    <x v="1"/>
    <n v="22"/>
    <x v="3"/>
    <x v="4"/>
    <x v="0"/>
    <n v="1694"/>
    <x v="3"/>
    <x v="1"/>
    <n v="94"/>
    <x v="1"/>
    <x v="1"/>
    <x v="1"/>
    <x v="1"/>
    <x v="2"/>
    <x v="1120"/>
    <n v="23737"/>
    <n v="5"/>
    <s v="Y"/>
    <x v="1"/>
    <n v="12"/>
    <x v="0"/>
    <x v="1"/>
    <n v="80"/>
    <n v="1"/>
    <n v="8"/>
    <n v="1"/>
    <x v="1"/>
    <x v="9"/>
    <n v="2"/>
    <x v="1"/>
    <x v="3"/>
    <x v="3"/>
    <x v="2"/>
    <x v="1"/>
    <n v="0"/>
  </r>
  <r>
    <x v="13"/>
    <x v="1"/>
    <x v="0"/>
    <n v="1157"/>
    <x v="1"/>
    <n v="5"/>
    <x v="0"/>
    <x v="2"/>
    <x v="0"/>
    <n v="1696"/>
    <x v="0"/>
    <x v="1"/>
    <n v="57"/>
    <x v="1"/>
    <x v="0"/>
    <x v="2"/>
    <x v="0"/>
    <x v="1"/>
    <x v="1121"/>
    <n v="11912"/>
    <n v="1"/>
    <s v="Y"/>
    <x v="1"/>
    <n v="14"/>
    <x v="0"/>
    <x v="3"/>
    <n v="80"/>
    <n v="1"/>
    <n v="15"/>
    <n v="3"/>
    <x v="3"/>
    <x v="15"/>
    <n v="10"/>
    <x v="5"/>
    <x v="15"/>
    <x v="1"/>
    <x v="3"/>
    <x v="1"/>
    <n v="0"/>
  </r>
  <r>
    <x v="42"/>
    <x v="1"/>
    <x v="0"/>
    <n v="370"/>
    <x v="1"/>
    <n v="1"/>
    <x v="2"/>
    <x v="2"/>
    <x v="0"/>
    <n v="1697"/>
    <x v="1"/>
    <x v="1"/>
    <n v="92"/>
    <x v="3"/>
    <x v="2"/>
    <x v="4"/>
    <x v="0"/>
    <x v="2"/>
    <x v="1122"/>
    <n v="20467"/>
    <n v="3"/>
    <s v="Y"/>
    <x v="1"/>
    <n v="20"/>
    <x v="1"/>
    <x v="3"/>
    <n v="80"/>
    <n v="1"/>
    <n v="19"/>
    <n v="2"/>
    <x v="3"/>
    <x v="6"/>
    <n v="0"/>
    <x v="0"/>
    <x v="2"/>
    <x v="3"/>
    <x v="1"/>
    <x v="3"/>
    <n v="0"/>
  </r>
  <r>
    <x v="3"/>
    <x v="1"/>
    <x v="0"/>
    <n v="267"/>
    <x v="1"/>
    <n v="21"/>
    <x v="3"/>
    <x v="2"/>
    <x v="0"/>
    <n v="1698"/>
    <x v="0"/>
    <x v="1"/>
    <n v="79"/>
    <x v="2"/>
    <x v="1"/>
    <x v="2"/>
    <x v="1"/>
    <x v="1"/>
    <x v="14"/>
    <n v="13637"/>
    <n v="1"/>
    <s v="Y"/>
    <x v="1"/>
    <n v="18"/>
    <x v="0"/>
    <x v="1"/>
    <n v="80"/>
    <n v="3"/>
    <n v="14"/>
    <n v="6"/>
    <x v="1"/>
    <x v="13"/>
    <n v="11"/>
    <x v="3"/>
    <x v="15"/>
    <x v="1"/>
    <x v="3"/>
    <x v="1"/>
    <n v="0"/>
  </r>
  <r>
    <x v="2"/>
    <x v="1"/>
    <x v="1"/>
    <n v="1278"/>
    <x v="0"/>
    <n v="1"/>
    <x v="2"/>
    <x v="2"/>
    <x v="0"/>
    <n v="1700"/>
    <x v="1"/>
    <x v="1"/>
    <n v="31"/>
    <x v="3"/>
    <x v="0"/>
    <x v="0"/>
    <x v="0"/>
    <x v="2"/>
    <x v="1123"/>
    <n v="7677"/>
    <n v="1"/>
    <s v="Y"/>
    <x v="1"/>
    <n v="14"/>
    <x v="0"/>
    <x v="3"/>
    <n v="80"/>
    <n v="2"/>
    <n v="6"/>
    <n v="2"/>
    <x v="2"/>
    <x v="0"/>
    <n v="3"/>
    <x v="1"/>
    <x v="6"/>
    <x v="1"/>
    <x v="0"/>
    <x v="0"/>
    <n v="0"/>
  </r>
  <r>
    <x v="13"/>
    <x v="1"/>
    <x v="0"/>
    <n v="678"/>
    <x v="1"/>
    <n v="19"/>
    <x v="3"/>
    <x v="0"/>
    <x v="0"/>
    <n v="1701"/>
    <x v="0"/>
    <x v="0"/>
    <n v="35"/>
    <x v="1"/>
    <x v="1"/>
    <x v="1"/>
    <x v="0"/>
    <x v="1"/>
    <x v="1124"/>
    <n v="20338"/>
    <n v="1"/>
    <s v="Y"/>
    <x v="1"/>
    <n v="12"/>
    <x v="0"/>
    <x v="2"/>
    <n v="80"/>
    <n v="0"/>
    <n v="10"/>
    <n v="3"/>
    <x v="1"/>
    <x v="1"/>
    <n v="9"/>
    <x v="6"/>
    <x v="1"/>
    <x v="1"/>
    <x v="0"/>
    <x v="1"/>
    <n v="0"/>
  </r>
  <r>
    <x v="30"/>
    <x v="0"/>
    <x v="0"/>
    <n v="427"/>
    <x v="0"/>
    <n v="7"/>
    <x v="3"/>
    <x v="0"/>
    <x v="0"/>
    <n v="1702"/>
    <x v="1"/>
    <x v="1"/>
    <n v="99"/>
    <x v="0"/>
    <x v="1"/>
    <x v="6"/>
    <x v="0"/>
    <x v="2"/>
    <x v="1125"/>
    <n v="25103"/>
    <n v="1"/>
    <s v="Y"/>
    <x v="0"/>
    <n v="21"/>
    <x v="1"/>
    <x v="2"/>
    <n v="80"/>
    <n v="1"/>
    <n v="3"/>
    <n v="2"/>
    <x v="1"/>
    <x v="11"/>
    <n v="2"/>
    <x v="0"/>
    <x v="3"/>
    <x v="2"/>
    <x v="2"/>
    <x v="1"/>
    <n v="1"/>
  </r>
  <r>
    <x v="20"/>
    <x v="1"/>
    <x v="0"/>
    <n v="921"/>
    <x v="1"/>
    <n v="2"/>
    <x v="3"/>
    <x v="0"/>
    <x v="0"/>
    <n v="1703"/>
    <x v="1"/>
    <x v="0"/>
    <n v="96"/>
    <x v="2"/>
    <x v="2"/>
    <x v="4"/>
    <x v="0"/>
    <x v="1"/>
    <x v="1126"/>
    <n v="14810"/>
    <n v="1"/>
    <s v="Y"/>
    <x v="0"/>
    <n v="19"/>
    <x v="0"/>
    <x v="2"/>
    <n v="80"/>
    <n v="1"/>
    <n v="9"/>
    <n v="2"/>
    <x v="1"/>
    <x v="3"/>
    <n v="7"/>
    <x v="7"/>
    <x v="1"/>
    <x v="0"/>
    <x v="0"/>
    <x v="0"/>
    <n v="0"/>
  </r>
  <r>
    <x v="10"/>
    <x v="1"/>
    <x v="1"/>
    <n v="146"/>
    <x v="1"/>
    <n v="2"/>
    <x v="2"/>
    <x v="2"/>
    <x v="0"/>
    <n v="1704"/>
    <x v="3"/>
    <x v="1"/>
    <n v="79"/>
    <x v="1"/>
    <x v="1"/>
    <x v="1"/>
    <x v="0"/>
    <x v="0"/>
    <x v="1127"/>
    <n v="13970"/>
    <n v="0"/>
    <s v="Y"/>
    <x v="0"/>
    <n v="14"/>
    <x v="0"/>
    <x v="3"/>
    <n v="80"/>
    <n v="0"/>
    <n v="6"/>
    <n v="2"/>
    <x v="3"/>
    <x v="8"/>
    <n v="4"/>
    <x v="1"/>
    <x v="10"/>
    <x v="1"/>
    <x v="2"/>
    <x v="1"/>
    <n v="0"/>
  </r>
  <r>
    <x v="23"/>
    <x v="1"/>
    <x v="0"/>
    <n v="1179"/>
    <x v="0"/>
    <n v="2"/>
    <x v="3"/>
    <x v="2"/>
    <x v="0"/>
    <n v="1706"/>
    <x v="2"/>
    <x v="1"/>
    <n v="73"/>
    <x v="0"/>
    <x v="0"/>
    <x v="0"/>
    <x v="0"/>
    <x v="1"/>
    <x v="1128"/>
    <n v="6069"/>
    <n v="1"/>
    <s v="Y"/>
    <x v="0"/>
    <n v="17"/>
    <x v="0"/>
    <x v="0"/>
    <n v="80"/>
    <n v="1"/>
    <n v="10"/>
    <n v="3"/>
    <x v="1"/>
    <x v="1"/>
    <n v="9"/>
    <x v="6"/>
    <x v="5"/>
    <x v="0"/>
    <x v="0"/>
    <x v="0"/>
    <n v="0"/>
  </r>
  <r>
    <x v="17"/>
    <x v="1"/>
    <x v="0"/>
    <n v="581"/>
    <x v="1"/>
    <n v="9"/>
    <x v="3"/>
    <x v="2"/>
    <x v="0"/>
    <n v="1707"/>
    <x v="1"/>
    <x v="1"/>
    <n v="62"/>
    <x v="2"/>
    <x v="1"/>
    <x v="1"/>
    <x v="2"/>
    <x v="1"/>
    <x v="1129"/>
    <n v="17616"/>
    <n v="1"/>
    <s v="Y"/>
    <x v="1"/>
    <n v="16"/>
    <x v="0"/>
    <x v="1"/>
    <n v="80"/>
    <n v="1"/>
    <n v="5"/>
    <n v="1"/>
    <x v="1"/>
    <x v="8"/>
    <n v="3"/>
    <x v="0"/>
    <x v="10"/>
    <x v="2"/>
    <x v="2"/>
    <x v="1"/>
    <n v="0"/>
  </r>
  <r>
    <x v="0"/>
    <x v="1"/>
    <x v="0"/>
    <n v="918"/>
    <x v="0"/>
    <n v="6"/>
    <x v="3"/>
    <x v="3"/>
    <x v="0"/>
    <n v="1708"/>
    <x v="2"/>
    <x v="1"/>
    <n v="35"/>
    <x v="0"/>
    <x v="2"/>
    <x v="0"/>
    <x v="2"/>
    <x v="0"/>
    <x v="1130"/>
    <n v="15869"/>
    <n v="1"/>
    <s v="Y"/>
    <x v="1"/>
    <n v="12"/>
    <x v="0"/>
    <x v="2"/>
    <n v="80"/>
    <n v="0"/>
    <n v="10"/>
    <n v="3"/>
    <x v="1"/>
    <x v="1"/>
    <n v="8"/>
    <x v="6"/>
    <x v="1"/>
    <x v="0"/>
    <x v="0"/>
    <x v="0"/>
    <n v="0"/>
  </r>
  <r>
    <x v="11"/>
    <x v="1"/>
    <x v="0"/>
    <n v="1082"/>
    <x v="1"/>
    <n v="9"/>
    <x v="2"/>
    <x v="2"/>
    <x v="0"/>
    <n v="1709"/>
    <x v="2"/>
    <x v="0"/>
    <n v="43"/>
    <x v="0"/>
    <x v="1"/>
    <x v="2"/>
    <x v="2"/>
    <x v="1"/>
    <x v="1131"/>
    <n v="25412"/>
    <n v="9"/>
    <s v="Y"/>
    <x v="1"/>
    <n v="17"/>
    <x v="0"/>
    <x v="3"/>
    <n v="80"/>
    <n v="1"/>
    <n v="9"/>
    <n v="2"/>
    <x v="1"/>
    <x v="8"/>
    <n v="3"/>
    <x v="1"/>
    <x v="3"/>
    <x v="2"/>
    <x v="2"/>
    <x v="1"/>
    <n v="0"/>
  </r>
  <r>
    <x v="9"/>
    <x v="1"/>
    <x v="0"/>
    <n v="530"/>
    <x v="0"/>
    <n v="2"/>
    <x v="2"/>
    <x v="0"/>
    <x v="0"/>
    <n v="1710"/>
    <x v="1"/>
    <x v="0"/>
    <n v="51"/>
    <x v="0"/>
    <x v="0"/>
    <x v="6"/>
    <x v="0"/>
    <x v="0"/>
    <x v="1132"/>
    <n v="7439"/>
    <n v="3"/>
    <s v="Y"/>
    <x v="1"/>
    <n v="15"/>
    <x v="0"/>
    <x v="3"/>
    <n v="80"/>
    <n v="0"/>
    <n v="17"/>
    <n v="2"/>
    <x v="2"/>
    <x v="20"/>
    <n v="7"/>
    <x v="7"/>
    <x v="1"/>
    <x v="1"/>
    <x v="3"/>
    <x v="1"/>
    <n v="0"/>
  </r>
  <r>
    <x v="28"/>
    <x v="1"/>
    <x v="2"/>
    <n v="1238"/>
    <x v="1"/>
    <n v="1"/>
    <x v="1"/>
    <x v="0"/>
    <x v="0"/>
    <n v="1712"/>
    <x v="1"/>
    <x v="1"/>
    <n v="74"/>
    <x v="1"/>
    <x v="2"/>
    <x v="4"/>
    <x v="2"/>
    <x v="1"/>
    <x v="1133"/>
    <n v="3395"/>
    <n v="3"/>
    <s v="Y"/>
    <x v="1"/>
    <n v="23"/>
    <x v="1"/>
    <x v="1"/>
    <n v="80"/>
    <n v="1"/>
    <n v="25"/>
    <n v="3"/>
    <x v="2"/>
    <x v="36"/>
    <n v="15"/>
    <x v="15"/>
    <x v="10"/>
    <x v="0"/>
    <x v="3"/>
    <x v="3"/>
    <n v="0"/>
  </r>
  <r>
    <x v="17"/>
    <x v="0"/>
    <x v="0"/>
    <n v="240"/>
    <x v="2"/>
    <n v="22"/>
    <x v="1"/>
    <x v="5"/>
    <x v="0"/>
    <n v="1714"/>
    <x v="2"/>
    <x v="1"/>
    <n v="58"/>
    <x v="3"/>
    <x v="1"/>
    <x v="8"/>
    <x v="2"/>
    <x v="1"/>
    <x v="1134"/>
    <n v="11585"/>
    <n v="1"/>
    <s v="Y"/>
    <x v="1"/>
    <n v="11"/>
    <x v="0"/>
    <x v="3"/>
    <n v="80"/>
    <n v="1"/>
    <n v="1"/>
    <n v="2"/>
    <x v="1"/>
    <x v="6"/>
    <n v="0"/>
    <x v="0"/>
    <x v="2"/>
    <x v="2"/>
    <x v="1"/>
    <x v="1"/>
    <n v="1"/>
  </r>
  <r>
    <x v="40"/>
    <x v="0"/>
    <x v="1"/>
    <n v="1093"/>
    <x v="0"/>
    <n v="9"/>
    <x v="3"/>
    <x v="0"/>
    <x v="0"/>
    <n v="1716"/>
    <x v="1"/>
    <x v="1"/>
    <n v="82"/>
    <x v="3"/>
    <x v="3"/>
    <x v="0"/>
    <x v="2"/>
    <x v="1"/>
    <x v="1135"/>
    <n v="24164"/>
    <n v="7"/>
    <s v="Y"/>
    <x v="1"/>
    <n v="11"/>
    <x v="0"/>
    <x v="3"/>
    <n v="80"/>
    <n v="0"/>
    <n v="25"/>
    <n v="3"/>
    <x v="0"/>
    <x v="36"/>
    <n v="5"/>
    <x v="15"/>
    <x v="13"/>
    <x v="0"/>
    <x v="3"/>
    <x v="3"/>
    <n v="1"/>
  </r>
  <r>
    <x v="25"/>
    <x v="1"/>
    <x v="0"/>
    <n v="390"/>
    <x v="1"/>
    <n v="17"/>
    <x v="2"/>
    <x v="2"/>
    <x v="0"/>
    <n v="1718"/>
    <x v="2"/>
    <x v="1"/>
    <n v="62"/>
    <x v="3"/>
    <x v="1"/>
    <x v="2"/>
    <x v="2"/>
    <x v="1"/>
    <x v="1136"/>
    <n v="6217"/>
    <n v="1"/>
    <s v="Y"/>
    <x v="1"/>
    <n v="15"/>
    <x v="0"/>
    <x v="3"/>
    <n v="80"/>
    <n v="3"/>
    <n v="3"/>
    <n v="3"/>
    <x v="3"/>
    <x v="11"/>
    <n v="2"/>
    <x v="0"/>
    <x v="3"/>
    <x v="2"/>
    <x v="2"/>
    <x v="1"/>
    <n v="0"/>
  </r>
  <r>
    <x v="28"/>
    <x v="1"/>
    <x v="0"/>
    <n v="1005"/>
    <x v="1"/>
    <n v="28"/>
    <x v="0"/>
    <x v="4"/>
    <x v="0"/>
    <n v="1719"/>
    <x v="2"/>
    <x v="0"/>
    <n v="48"/>
    <x v="1"/>
    <x v="3"/>
    <x v="7"/>
    <x v="1"/>
    <x v="0"/>
    <x v="1137"/>
    <n v="17119"/>
    <n v="1"/>
    <s v="Y"/>
    <x v="1"/>
    <n v="11"/>
    <x v="0"/>
    <x v="3"/>
    <n v="80"/>
    <n v="0"/>
    <n v="21"/>
    <n v="2"/>
    <x v="1"/>
    <x v="17"/>
    <n v="6"/>
    <x v="6"/>
    <x v="4"/>
    <x v="0"/>
    <x v="3"/>
    <x v="2"/>
    <n v="0"/>
  </r>
  <r>
    <x v="5"/>
    <x v="1"/>
    <x v="1"/>
    <n v="585"/>
    <x v="1"/>
    <n v="10"/>
    <x v="3"/>
    <x v="0"/>
    <x v="0"/>
    <n v="1720"/>
    <x v="3"/>
    <x v="1"/>
    <n v="56"/>
    <x v="0"/>
    <x v="1"/>
    <x v="1"/>
    <x v="2"/>
    <x v="1"/>
    <x v="1138"/>
    <n v="17360"/>
    <n v="6"/>
    <s v="Y"/>
    <x v="1"/>
    <n v="13"/>
    <x v="0"/>
    <x v="0"/>
    <n v="80"/>
    <n v="1"/>
    <n v="10"/>
    <n v="3"/>
    <x v="2"/>
    <x v="8"/>
    <n v="2"/>
    <x v="1"/>
    <x v="6"/>
    <x v="1"/>
    <x v="2"/>
    <x v="1"/>
    <n v="0"/>
  </r>
  <r>
    <x v="12"/>
    <x v="1"/>
    <x v="0"/>
    <n v="741"/>
    <x v="1"/>
    <n v="2"/>
    <x v="2"/>
    <x v="0"/>
    <x v="0"/>
    <n v="1721"/>
    <x v="0"/>
    <x v="1"/>
    <n v="69"/>
    <x v="0"/>
    <x v="1"/>
    <x v="2"/>
    <x v="2"/>
    <x v="1"/>
    <x v="1139"/>
    <n v="18103"/>
    <n v="1"/>
    <s v="Y"/>
    <x v="1"/>
    <n v="14"/>
    <x v="0"/>
    <x v="1"/>
    <n v="80"/>
    <n v="1"/>
    <n v="6"/>
    <n v="2"/>
    <x v="3"/>
    <x v="8"/>
    <n v="2"/>
    <x v="0"/>
    <x v="6"/>
    <x v="1"/>
    <x v="2"/>
    <x v="1"/>
    <n v="0"/>
  </r>
  <r>
    <x v="0"/>
    <x v="1"/>
    <x v="2"/>
    <n v="552"/>
    <x v="2"/>
    <n v="4"/>
    <x v="3"/>
    <x v="5"/>
    <x v="0"/>
    <n v="1722"/>
    <x v="1"/>
    <x v="1"/>
    <n v="60"/>
    <x v="3"/>
    <x v="0"/>
    <x v="8"/>
    <x v="1"/>
    <x v="1"/>
    <x v="1140"/>
    <n v="20794"/>
    <n v="6"/>
    <s v="Y"/>
    <x v="1"/>
    <n v="19"/>
    <x v="0"/>
    <x v="2"/>
    <n v="80"/>
    <n v="1"/>
    <n v="10"/>
    <n v="4"/>
    <x v="1"/>
    <x v="11"/>
    <n v="2"/>
    <x v="1"/>
    <x v="3"/>
    <x v="0"/>
    <x v="2"/>
    <x v="0"/>
    <n v="0"/>
  </r>
  <r>
    <x v="32"/>
    <x v="1"/>
    <x v="0"/>
    <n v="369"/>
    <x v="1"/>
    <n v="8"/>
    <x v="0"/>
    <x v="0"/>
    <x v="0"/>
    <n v="1724"/>
    <x v="0"/>
    <x v="0"/>
    <n v="92"/>
    <x v="0"/>
    <x v="0"/>
    <x v="3"/>
    <x v="3"/>
    <x v="1"/>
    <x v="1141"/>
    <n v="5041"/>
    <n v="2"/>
    <s v="Y"/>
    <x v="0"/>
    <n v="16"/>
    <x v="0"/>
    <x v="2"/>
    <n v="80"/>
    <n v="1"/>
    <n v="18"/>
    <n v="3"/>
    <x v="1"/>
    <x v="6"/>
    <n v="0"/>
    <x v="0"/>
    <x v="2"/>
    <x v="0"/>
    <x v="1"/>
    <x v="0"/>
    <n v="0"/>
  </r>
  <r>
    <x v="17"/>
    <x v="1"/>
    <x v="0"/>
    <n v="506"/>
    <x v="1"/>
    <n v="29"/>
    <x v="1"/>
    <x v="2"/>
    <x v="0"/>
    <n v="1725"/>
    <x v="0"/>
    <x v="1"/>
    <n v="91"/>
    <x v="0"/>
    <x v="1"/>
    <x v="2"/>
    <x v="3"/>
    <x v="2"/>
    <x v="1142"/>
    <n v="3622"/>
    <n v="1"/>
    <s v="Y"/>
    <x v="1"/>
    <n v="13"/>
    <x v="0"/>
    <x v="2"/>
    <n v="80"/>
    <n v="3"/>
    <n v="6"/>
    <n v="2"/>
    <x v="3"/>
    <x v="0"/>
    <n v="2"/>
    <x v="1"/>
    <x v="3"/>
    <x v="2"/>
    <x v="0"/>
    <x v="1"/>
    <n v="0"/>
  </r>
  <r>
    <x v="21"/>
    <x v="1"/>
    <x v="0"/>
    <n v="717"/>
    <x v="1"/>
    <n v="13"/>
    <x v="2"/>
    <x v="0"/>
    <x v="0"/>
    <n v="1727"/>
    <x v="1"/>
    <x v="1"/>
    <n v="34"/>
    <x v="0"/>
    <x v="0"/>
    <x v="4"/>
    <x v="1"/>
    <x v="0"/>
    <x v="622"/>
    <n v="9697"/>
    <n v="6"/>
    <s v="Y"/>
    <x v="1"/>
    <n v="14"/>
    <x v="0"/>
    <x v="1"/>
    <n v="80"/>
    <n v="0"/>
    <n v="19"/>
    <n v="3"/>
    <x v="1"/>
    <x v="1"/>
    <n v="7"/>
    <x v="0"/>
    <x v="12"/>
    <x v="0"/>
    <x v="0"/>
    <x v="0"/>
    <n v="0"/>
  </r>
  <r>
    <x v="10"/>
    <x v="1"/>
    <x v="0"/>
    <n v="1370"/>
    <x v="1"/>
    <n v="27"/>
    <x v="2"/>
    <x v="0"/>
    <x v="0"/>
    <n v="1728"/>
    <x v="2"/>
    <x v="1"/>
    <n v="49"/>
    <x v="0"/>
    <x v="0"/>
    <x v="3"/>
    <x v="2"/>
    <x v="1"/>
    <x v="1143"/>
    <n v="5151"/>
    <n v="2"/>
    <s v="Y"/>
    <x v="1"/>
    <n v="16"/>
    <x v="0"/>
    <x v="2"/>
    <n v="80"/>
    <n v="1"/>
    <n v="17"/>
    <n v="3"/>
    <x v="1"/>
    <x v="5"/>
    <n v="7"/>
    <x v="0"/>
    <x v="1"/>
    <x v="1"/>
    <x v="0"/>
    <x v="0"/>
    <n v="0"/>
  </r>
  <r>
    <x v="7"/>
    <x v="1"/>
    <x v="0"/>
    <n v="793"/>
    <x v="1"/>
    <n v="16"/>
    <x v="1"/>
    <x v="0"/>
    <x v="0"/>
    <n v="1729"/>
    <x v="0"/>
    <x v="1"/>
    <n v="33"/>
    <x v="0"/>
    <x v="1"/>
    <x v="1"/>
    <x v="0"/>
    <x v="1"/>
    <x v="1144"/>
    <n v="3811"/>
    <n v="1"/>
    <s v="Y"/>
    <x v="1"/>
    <n v="12"/>
    <x v="0"/>
    <x v="2"/>
    <n v="80"/>
    <n v="1"/>
    <n v="10"/>
    <n v="2"/>
    <x v="2"/>
    <x v="1"/>
    <n v="0"/>
    <x v="0"/>
    <x v="5"/>
    <x v="1"/>
    <x v="0"/>
    <x v="1"/>
    <n v="0"/>
  </r>
  <r>
    <x v="40"/>
    <x v="1"/>
    <x v="2"/>
    <n v="543"/>
    <x v="0"/>
    <n v="2"/>
    <x v="2"/>
    <x v="3"/>
    <x v="0"/>
    <n v="1731"/>
    <x v="1"/>
    <x v="1"/>
    <n v="87"/>
    <x v="0"/>
    <x v="0"/>
    <x v="0"/>
    <x v="1"/>
    <x v="1"/>
    <x v="1145"/>
    <n v="3536"/>
    <n v="7"/>
    <s v="Y"/>
    <x v="1"/>
    <n v="11"/>
    <x v="0"/>
    <x v="1"/>
    <n v="80"/>
    <n v="1"/>
    <n v="4"/>
    <n v="3"/>
    <x v="0"/>
    <x v="6"/>
    <n v="0"/>
    <x v="0"/>
    <x v="2"/>
    <x v="0"/>
    <x v="1"/>
    <x v="1"/>
    <n v="0"/>
  </r>
  <r>
    <x v="21"/>
    <x v="1"/>
    <x v="0"/>
    <n v="1277"/>
    <x v="0"/>
    <n v="2"/>
    <x v="3"/>
    <x v="0"/>
    <x v="0"/>
    <n v="1732"/>
    <x v="1"/>
    <x v="1"/>
    <n v="74"/>
    <x v="0"/>
    <x v="2"/>
    <x v="0"/>
    <x v="0"/>
    <x v="2"/>
    <x v="1146"/>
    <n v="5596"/>
    <n v="4"/>
    <s v="Y"/>
    <x v="0"/>
    <n v="12"/>
    <x v="0"/>
    <x v="2"/>
    <n v="80"/>
    <n v="1"/>
    <n v="13"/>
    <n v="5"/>
    <x v="2"/>
    <x v="1"/>
    <n v="6"/>
    <x v="0"/>
    <x v="6"/>
    <x v="0"/>
    <x v="0"/>
    <x v="3"/>
    <n v="0"/>
  </r>
  <r>
    <x v="9"/>
    <x v="0"/>
    <x v="0"/>
    <n v="1456"/>
    <x v="0"/>
    <n v="13"/>
    <x v="4"/>
    <x v="3"/>
    <x v="0"/>
    <n v="1733"/>
    <x v="0"/>
    <x v="1"/>
    <n v="96"/>
    <x v="1"/>
    <x v="0"/>
    <x v="0"/>
    <x v="3"/>
    <x v="2"/>
    <x v="1147"/>
    <n v="8658"/>
    <n v="5"/>
    <s v="Y"/>
    <x v="0"/>
    <n v="13"/>
    <x v="0"/>
    <x v="2"/>
    <n v="80"/>
    <n v="3"/>
    <n v="16"/>
    <n v="3"/>
    <x v="1"/>
    <x v="4"/>
    <n v="2"/>
    <x v="3"/>
    <x v="3"/>
    <x v="1"/>
    <x v="1"/>
    <x v="0"/>
    <n v="1"/>
  </r>
  <r>
    <x v="5"/>
    <x v="0"/>
    <x v="0"/>
    <n v="964"/>
    <x v="0"/>
    <n v="1"/>
    <x v="0"/>
    <x v="0"/>
    <x v="0"/>
    <n v="1734"/>
    <x v="3"/>
    <x v="1"/>
    <n v="34"/>
    <x v="3"/>
    <x v="0"/>
    <x v="0"/>
    <x v="1"/>
    <x v="0"/>
    <x v="1148"/>
    <n v="12147"/>
    <n v="6"/>
    <s v="Y"/>
    <x v="1"/>
    <n v="15"/>
    <x v="0"/>
    <x v="2"/>
    <n v="80"/>
    <n v="0"/>
    <n v="10"/>
    <n v="2"/>
    <x v="1"/>
    <x v="2"/>
    <n v="0"/>
    <x v="0"/>
    <x v="2"/>
    <x v="1"/>
    <x v="1"/>
    <x v="0"/>
    <n v="1"/>
  </r>
  <r>
    <x v="30"/>
    <x v="1"/>
    <x v="0"/>
    <n v="160"/>
    <x v="1"/>
    <n v="4"/>
    <x v="1"/>
    <x v="2"/>
    <x v="0"/>
    <n v="1735"/>
    <x v="1"/>
    <x v="0"/>
    <n v="51"/>
    <x v="0"/>
    <x v="1"/>
    <x v="2"/>
    <x v="1"/>
    <x v="0"/>
    <x v="1149"/>
    <n v="12862"/>
    <n v="1"/>
    <s v="Y"/>
    <x v="1"/>
    <n v="13"/>
    <x v="0"/>
    <x v="3"/>
    <n v="80"/>
    <n v="0"/>
    <n v="3"/>
    <n v="3"/>
    <x v="0"/>
    <x v="11"/>
    <n v="2"/>
    <x v="1"/>
    <x v="3"/>
    <x v="2"/>
    <x v="2"/>
    <x v="1"/>
    <n v="0"/>
  </r>
  <r>
    <x v="12"/>
    <x v="1"/>
    <x v="1"/>
    <n v="163"/>
    <x v="1"/>
    <n v="24"/>
    <x v="1"/>
    <x v="4"/>
    <x v="0"/>
    <n v="1736"/>
    <x v="2"/>
    <x v="0"/>
    <n v="30"/>
    <x v="0"/>
    <x v="0"/>
    <x v="3"/>
    <x v="0"/>
    <x v="0"/>
    <x v="319"/>
    <n v="6670"/>
    <n v="2"/>
    <s v="Y"/>
    <x v="1"/>
    <n v="20"/>
    <x v="1"/>
    <x v="1"/>
    <n v="80"/>
    <n v="0"/>
    <n v="9"/>
    <n v="3"/>
    <x v="2"/>
    <x v="8"/>
    <n v="4"/>
    <x v="1"/>
    <x v="10"/>
    <x v="1"/>
    <x v="2"/>
    <x v="0"/>
    <n v="0"/>
  </r>
  <r>
    <x v="22"/>
    <x v="1"/>
    <x v="2"/>
    <n v="792"/>
    <x v="1"/>
    <n v="1"/>
    <x v="3"/>
    <x v="0"/>
    <x v="0"/>
    <n v="1737"/>
    <x v="2"/>
    <x v="1"/>
    <n v="77"/>
    <x v="0"/>
    <x v="0"/>
    <x v="2"/>
    <x v="0"/>
    <x v="1"/>
    <x v="1150"/>
    <n v="8989"/>
    <n v="1"/>
    <s v="Y"/>
    <x v="0"/>
    <n v="15"/>
    <x v="0"/>
    <x v="1"/>
    <n v="80"/>
    <n v="1"/>
    <n v="9"/>
    <n v="2"/>
    <x v="1"/>
    <x v="7"/>
    <n v="8"/>
    <x v="8"/>
    <x v="5"/>
    <x v="1"/>
    <x v="0"/>
    <x v="0"/>
    <n v="0"/>
  </r>
  <r>
    <x v="5"/>
    <x v="1"/>
    <x v="0"/>
    <n v="371"/>
    <x v="0"/>
    <n v="19"/>
    <x v="3"/>
    <x v="0"/>
    <x v="0"/>
    <n v="1739"/>
    <x v="2"/>
    <x v="1"/>
    <n v="80"/>
    <x v="3"/>
    <x v="2"/>
    <x v="0"/>
    <x v="2"/>
    <x v="1"/>
    <x v="1151"/>
    <n v="3840"/>
    <n v="3"/>
    <s v="Y"/>
    <x v="1"/>
    <n v="13"/>
    <x v="0"/>
    <x v="3"/>
    <n v="80"/>
    <n v="1"/>
    <n v="10"/>
    <n v="2"/>
    <x v="0"/>
    <x v="9"/>
    <n v="3"/>
    <x v="0"/>
    <x v="3"/>
    <x v="1"/>
    <x v="2"/>
    <x v="0"/>
    <n v="0"/>
  </r>
  <r>
    <x v="32"/>
    <x v="1"/>
    <x v="0"/>
    <n v="611"/>
    <x v="0"/>
    <n v="7"/>
    <x v="2"/>
    <x v="2"/>
    <x v="0"/>
    <n v="1740"/>
    <x v="0"/>
    <x v="1"/>
    <n v="88"/>
    <x v="0"/>
    <x v="4"/>
    <x v="5"/>
    <x v="1"/>
    <x v="0"/>
    <x v="1152"/>
    <n v="4349"/>
    <n v="1"/>
    <s v="Y"/>
    <x v="1"/>
    <n v="14"/>
    <x v="0"/>
    <x v="2"/>
    <n v="80"/>
    <n v="0"/>
    <n v="21"/>
    <n v="3"/>
    <x v="2"/>
    <x v="17"/>
    <n v="8"/>
    <x v="12"/>
    <x v="5"/>
    <x v="0"/>
    <x v="3"/>
    <x v="2"/>
    <n v="0"/>
  </r>
  <r>
    <x v="28"/>
    <x v="1"/>
    <x v="0"/>
    <n v="176"/>
    <x v="2"/>
    <n v="4"/>
    <x v="3"/>
    <x v="0"/>
    <x v="0"/>
    <n v="1744"/>
    <x v="1"/>
    <x v="0"/>
    <n v="56"/>
    <x v="3"/>
    <x v="2"/>
    <x v="8"/>
    <x v="2"/>
    <x v="1"/>
    <x v="1153"/>
    <n v="6595"/>
    <n v="4"/>
    <s v="Y"/>
    <x v="1"/>
    <n v="21"/>
    <x v="1"/>
    <x v="3"/>
    <n v="80"/>
    <n v="2"/>
    <n v="9"/>
    <n v="2"/>
    <x v="3"/>
    <x v="8"/>
    <n v="0"/>
    <x v="0"/>
    <x v="6"/>
    <x v="0"/>
    <x v="2"/>
    <x v="0"/>
    <n v="0"/>
  </r>
  <r>
    <x v="7"/>
    <x v="1"/>
    <x v="1"/>
    <n v="1312"/>
    <x v="1"/>
    <n v="2"/>
    <x v="2"/>
    <x v="4"/>
    <x v="0"/>
    <n v="1745"/>
    <x v="2"/>
    <x v="0"/>
    <n v="78"/>
    <x v="1"/>
    <x v="1"/>
    <x v="1"/>
    <x v="3"/>
    <x v="0"/>
    <x v="775"/>
    <n v="26427"/>
    <n v="0"/>
    <s v="Y"/>
    <x v="1"/>
    <n v="16"/>
    <x v="0"/>
    <x v="1"/>
    <n v="80"/>
    <n v="0"/>
    <n v="10"/>
    <n v="2"/>
    <x v="1"/>
    <x v="7"/>
    <n v="7"/>
    <x v="0"/>
    <x v="1"/>
    <x v="1"/>
    <x v="0"/>
    <x v="1"/>
    <n v="0"/>
  </r>
  <r>
    <x v="17"/>
    <x v="1"/>
    <x v="1"/>
    <n v="897"/>
    <x v="2"/>
    <n v="10"/>
    <x v="3"/>
    <x v="2"/>
    <x v="0"/>
    <n v="1746"/>
    <x v="3"/>
    <x v="1"/>
    <n v="59"/>
    <x v="0"/>
    <x v="1"/>
    <x v="8"/>
    <x v="0"/>
    <x v="1"/>
    <x v="1154"/>
    <n v="2097"/>
    <n v="0"/>
    <s v="Y"/>
    <x v="1"/>
    <n v="14"/>
    <x v="0"/>
    <x v="1"/>
    <n v="80"/>
    <n v="1"/>
    <n v="3"/>
    <n v="2"/>
    <x v="1"/>
    <x v="4"/>
    <n v="2"/>
    <x v="3"/>
    <x v="9"/>
    <x v="2"/>
    <x v="1"/>
    <x v="1"/>
    <n v="0"/>
  </r>
  <r>
    <x v="7"/>
    <x v="0"/>
    <x v="1"/>
    <n v="600"/>
    <x v="2"/>
    <n v="8"/>
    <x v="3"/>
    <x v="5"/>
    <x v="0"/>
    <n v="1747"/>
    <x v="1"/>
    <x v="0"/>
    <n v="66"/>
    <x v="1"/>
    <x v="1"/>
    <x v="8"/>
    <x v="0"/>
    <x v="2"/>
    <x v="1155"/>
    <n v="9732"/>
    <n v="6"/>
    <s v="Y"/>
    <x v="1"/>
    <n v="11"/>
    <x v="0"/>
    <x v="3"/>
    <n v="80"/>
    <n v="1"/>
    <n v="6"/>
    <n v="0"/>
    <x v="2"/>
    <x v="9"/>
    <n v="2"/>
    <x v="1"/>
    <x v="3"/>
    <x v="1"/>
    <x v="2"/>
    <x v="1"/>
    <n v="1"/>
  </r>
  <r>
    <x v="12"/>
    <x v="1"/>
    <x v="0"/>
    <n v="1003"/>
    <x v="0"/>
    <n v="5"/>
    <x v="3"/>
    <x v="4"/>
    <x v="0"/>
    <n v="1749"/>
    <x v="3"/>
    <x v="1"/>
    <n v="51"/>
    <x v="0"/>
    <x v="0"/>
    <x v="0"/>
    <x v="2"/>
    <x v="1"/>
    <x v="1156"/>
    <n v="20943"/>
    <n v="1"/>
    <s v="Y"/>
    <x v="1"/>
    <n v="19"/>
    <x v="0"/>
    <x v="3"/>
    <n v="80"/>
    <n v="1"/>
    <n v="6"/>
    <n v="3"/>
    <x v="1"/>
    <x v="8"/>
    <n v="2"/>
    <x v="0"/>
    <x v="3"/>
    <x v="1"/>
    <x v="2"/>
    <x v="0"/>
    <n v="0"/>
  </r>
  <r>
    <x v="4"/>
    <x v="1"/>
    <x v="0"/>
    <n v="1054"/>
    <x v="1"/>
    <n v="8"/>
    <x v="3"/>
    <x v="2"/>
    <x v="0"/>
    <n v="1751"/>
    <x v="1"/>
    <x v="0"/>
    <n v="67"/>
    <x v="0"/>
    <x v="1"/>
    <x v="1"/>
    <x v="0"/>
    <x v="0"/>
    <x v="1157"/>
    <n v="6152"/>
    <n v="1"/>
    <s v="Y"/>
    <x v="1"/>
    <n v="11"/>
    <x v="0"/>
    <x v="3"/>
    <n v="80"/>
    <n v="0"/>
    <n v="6"/>
    <n v="5"/>
    <x v="2"/>
    <x v="0"/>
    <n v="2"/>
    <x v="1"/>
    <x v="10"/>
    <x v="2"/>
    <x v="0"/>
    <x v="1"/>
    <n v="0"/>
  </r>
  <r>
    <x v="11"/>
    <x v="0"/>
    <x v="0"/>
    <n v="428"/>
    <x v="0"/>
    <n v="9"/>
    <x v="3"/>
    <x v="3"/>
    <x v="0"/>
    <n v="1752"/>
    <x v="0"/>
    <x v="0"/>
    <n v="52"/>
    <x v="3"/>
    <x v="1"/>
    <x v="6"/>
    <x v="1"/>
    <x v="0"/>
    <x v="1158"/>
    <n v="14630"/>
    <n v="1"/>
    <s v="Y"/>
    <x v="1"/>
    <n v="13"/>
    <x v="0"/>
    <x v="3"/>
    <n v="80"/>
    <n v="0"/>
    <n v="2"/>
    <n v="3"/>
    <x v="1"/>
    <x v="4"/>
    <n v="2"/>
    <x v="3"/>
    <x v="3"/>
    <x v="2"/>
    <x v="1"/>
    <x v="1"/>
    <n v="1"/>
  </r>
  <r>
    <x v="11"/>
    <x v="1"/>
    <x v="1"/>
    <n v="461"/>
    <x v="1"/>
    <n v="1"/>
    <x v="3"/>
    <x v="0"/>
    <x v="0"/>
    <n v="1753"/>
    <x v="2"/>
    <x v="1"/>
    <n v="70"/>
    <x v="2"/>
    <x v="0"/>
    <x v="4"/>
    <x v="2"/>
    <x v="0"/>
    <x v="1159"/>
    <n v="23060"/>
    <n v="8"/>
    <s v="Y"/>
    <x v="0"/>
    <n v="12"/>
    <x v="0"/>
    <x v="1"/>
    <n v="80"/>
    <n v="0"/>
    <n v="10"/>
    <n v="5"/>
    <x v="3"/>
    <x v="11"/>
    <n v="2"/>
    <x v="0"/>
    <x v="3"/>
    <x v="2"/>
    <x v="2"/>
    <x v="0"/>
    <n v="0"/>
  </r>
  <r>
    <x v="7"/>
    <x v="1"/>
    <x v="0"/>
    <n v="979"/>
    <x v="0"/>
    <n v="15"/>
    <x v="0"/>
    <x v="3"/>
    <x v="0"/>
    <n v="1754"/>
    <x v="1"/>
    <x v="1"/>
    <n v="94"/>
    <x v="1"/>
    <x v="2"/>
    <x v="0"/>
    <x v="3"/>
    <x v="2"/>
    <x v="1160"/>
    <n v="3088"/>
    <n v="2"/>
    <s v="Y"/>
    <x v="1"/>
    <n v="11"/>
    <x v="0"/>
    <x v="0"/>
    <n v="80"/>
    <n v="1"/>
    <n v="12"/>
    <n v="2"/>
    <x v="1"/>
    <x v="5"/>
    <n v="7"/>
    <x v="1"/>
    <x v="1"/>
    <x v="1"/>
    <x v="0"/>
    <x v="0"/>
    <n v="0"/>
  </r>
  <r>
    <x v="13"/>
    <x v="1"/>
    <x v="0"/>
    <n v="181"/>
    <x v="1"/>
    <n v="2"/>
    <x v="2"/>
    <x v="2"/>
    <x v="0"/>
    <n v="1755"/>
    <x v="2"/>
    <x v="1"/>
    <n v="97"/>
    <x v="2"/>
    <x v="1"/>
    <x v="1"/>
    <x v="0"/>
    <x v="1"/>
    <x v="1161"/>
    <n v="5586"/>
    <n v="0"/>
    <s v="Y"/>
    <x v="0"/>
    <n v="14"/>
    <x v="0"/>
    <x v="0"/>
    <n v="80"/>
    <n v="3"/>
    <n v="6"/>
    <n v="3"/>
    <x v="1"/>
    <x v="8"/>
    <n v="0"/>
    <x v="1"/>
    <x v="3"/>
    <x v="1"/>
    <x v="2"/>
    <x v="1"/>
    <n v="0"/>
  </r>
  <r>
    <x v="3"/>
    <x v="1"/>
    <x v="2"/>
    <n v="1283"/>
    <x v="0"/>
    <n v="2"/>
    <x v="3"/>
    <x v="3"/>
    <x v="0"/>
    <n v="1756"/>
    <x v="2"/>
    <x v="0"/>
    <n v="62"/>
    <x v="0"/>
    <x v="0"/>
    <x v="0"/>
    <x v="1"/>
    <x v="0"/>
    <x v="1162"/>
    <n v="10697"/>
    <n v="8"/>
    <s v="Y"/>
    <x v="1"/>
    <n v="15"/>
    <x v="0"/>
    <x v="1"/>
    <n v="80"/>
    <n v="0"/>
    <n v="13"/>
    <n v="2"/>
    <x v="2"/>
    <x v="19"/>
    <n v="7"/>
    <x v="1"/>
    <x v="1"/>
    <x v="1"/>
    <x v="3"/>
    <x v="0"/>
    <n v="0"/>
  </r>
  <r>
    <x v="1"/>
    <x v="1"/>
    <x v="0"/>
    <n v="1313"/>
    <x v="0"/>
    <n v="11"/>
    <x v="2"/>
    <x v="3"/>
    <x v="0"/>
    <n v="1757"/>
    <x v="2"/>
    <x v="0"/>
    <n v="80"/>
    <x v="0"/>
    <x v="0"/>
    <x v="0"/>
    <x v="0"/>
    <x v="0"/>
    <x v="1163"/>
    <n v="8191"/>
    <n v="3"/>
    <s v="Y"/>
    <x v="1"/>
    <n v="12"/>
    <x v="0"/>
    <x v="3"/>
    <n v="80"/>
    <n v="0"/>
    <n v="8"/>
    <n v="1"/>
    <x v="3"/>
    <x v="8"/>
    <n v="1"/>
    <x v="0"/>
    <x v="10"/>
    <x v="0"/>
    <x v="2"/>
    <x v="1"/>
    <n v="0"/>
  </r>
  <r>
    <x v="3"/>
    <x v="0"/>
    <x v="0"/>
    <n v="211"/>
    <x v="0"/>
    <n v="16"/>
    <x v="3"/>
    <x v="0"/>
    <x v="0"/>
    <n v="1758"/>
    <x v="3"/>
    <x v="0"/>
    <n v="74"/>
    <x v="0"/>
    <x v="2"/>
    <x v="0"/>
    <x v="3"/>
    <x v="0"/>
    <x v="1164"/>
    <n v="10092"/>
    <n v="2"/>
    <s v="Y"/>
    <x v="0"/>
    <n v="20"/>
    <x v="1"/>
    <x v="3"/>
    <n v="80"/>
    <n v="0"/>
    <n v="11"/>
    <n v="2"/>
    <x v="2"/>
    <x v="2"/>
    <n v="0"/>
    <x v="0"/>
    <x v="2"/>
    <x v="1"/>
    <x v="1"/>
    <x v="0"/>
    <n v="1"/>
  </r>
  <r>
    <x v="8"/>
    <x v="1"/>
    <x v="1"/>
    <n v="594"/>
    <x v="1"/>
    <n v="2"/>
    <x v="0"/>
    <x v="2"/>
    <x v="0"/>
    <n v="1760"/>
    <x v="1"/>
    <x v="0"/>
    <n v="75"/>
    <x v="1"/>
    <x v="1"/>
    <x v="2"/>
    <x v="1"/>
    <x v="1"/>
    <x v="1165"/>
    <n v="15963"/>
    <n v="4"/>
    <s v="Y"/>
    <x v="1"/>
    <n v="14"/>
    <x v="0"/>
    <x v="2"/>
    <n v="80"/>
    <n v="1"/>
    <n v="9"/>
    <n v="4"/>
    <x v="2"/>
    <x v="0"/>
    <n v="1"/>
    <x v="0"/>
    <x v="0"/>
    <x v="1"/>
    <x v="0"/>
    <x v="1"/>
    <n v="0"/>
  </r>
  <r>
    <x v="12"/>
    <x v="0"/>
    <x v="0"/>
    <n v="1079"/>
    <x v="0"/>
    <n v="16"/>
    <x v="2"/>
    <x v="3"/>
    <x v="0"/>
    <n v="1761"/>
    <x v="3"/>
    <x v="1"/>
    <n v="70"/>
    <x v="0"/>
    <x v="2"/>
    <x v="0"/>
    <x v="2"/>
    <x v="1"/>
    <x v="1166"/>
    <n v="19002"/>
    <n v="2"/>
    <s v="Y"/>
    <x v="1"/>
    <n v="13"/>
    <x v="0"/>
    <x v="0"/>
    <n v="80"/>
    <n v="3"/>
    <n v="10"/>
    <n v="2"/>
    <x v="1"/>
    <x v="6"/>
    <n v="0"/>
    <x v="0"/>
    <x v="2"/>
    <x v="1"/>
    <x v="1"/>
    <x v="0"/>
    <n v="1"/>
  </r>
  <r>
    <x v="11"/>
    <x v="1"/>
    <x v="0"/>
    <n v="590"/>
    <x v="1"/>
    <n v="4"/>
    <x v="3"/>
    <x v="4"/>
    <x v="0"/>
    <n v="1762"/>
    <x v="2"/>
    <x v="0"/>
    <n v="91"/>
    <x v="1"/>
    <x v="1"/>
    <x v="1"/>
    <x v="3"/>
    <x v="2"/>
    <x v="971"/>
    <n v="10007"/>
    <n v="1"/>
    <s v="Y"/>
    <x v="1"/>
    <n v="13"/>
    <x v="0"/>
    <x v="3"/>
    <n v="80"/>
    <n v="1"/>
    <n v="1"/>
    <n v="2"/>
    <x v="1"/>
    <x v="6"/>
    <n v="0"/>
    <x v="0"/>
    <x v="2"/>
    <x v="2"/>
    <x v="1"/>
    <x v="1"/>
    <n v="0"/>
  </r>
  <r>
    <x v="7"/>
    <x v="1"/>
    <x v="0"/>
    <n v="305"/>
    <x v="1"/>
    <n v="16"/>
    <x v="3"/>
    <x v="0"/>
    <x v="0"/>
    <n v="1763"/>
    <x v="1"/>
    <x v="1"/>
    <n v="58"/>
    <x v="2"/>
    <x v="0"/>
    <x v="4"/>
    <x v="2"/>
    <x v="1"/>
    <x v="1167"/>
    <n v="9128"/>
    <n v="3"/>
    <s v="Y"/>
    <x v="1"/>
    <n v="16"/>
    <x v="0"/>
    <x v="3"/>
    <n v="80"/>
    <n v="1"/>
    <n v="10"/>
    <n v="3"/>
    <x v="1"/>
    <x v="5"/>
    <n v="0"/>
    <x v="1"/>
    <x v="1"/>
    <x v="1"/>
    <x v="0"/>
    <x v="0"/>
    <n v="0"/>
  </r>
  <r>
    <x v="5"/>
    <x v="1"/>
    <x v="2"/>
    <n v="953"/>
    <x v="1"/>
    <n v="5"/>
    <x v="2"/>
    <x v="4"/>
    <x v="0"/>
    <n v="1764"/>
    <x v="0"/>
    <x v="1"/>
    <n v="65"/>
    <x v="0"/>
    <x v="1"/>
    <x v="1"/>
    <x v="1"/>
    <x v="0"/>
    <x v="1168"/>
    <n v="17674"/>
    <n v="2"/>
    <s v="Y"/>
    <x v="1"/>
    <n v="14"/>
    <x v="0"/>
    <x v="2"/>
    <n v="80"/>
    <n v="0"/>
    <n v="12"/>
    <n v="3"/>
    <x v="1"/>
    <x v="5"/>
    <n v="7"/>
    <x v="0"/>
    <x v="1"/>
    <x v="1"/>
    <x v="0"/>
    <x v="1"/>
    <n v="0"/>
  </r>
  <r>
    <x v="8"/>
    <x v="1"/>
    <x v="0"/>
    <n v="833"/>
    <x v="1"/>
    <n v="18"/>
    <x v="3"/>
    <x v="2"/>
    <x v="0"/>
    <n v="1766"/>
    <x v="0"/>
    <x v="1"/>
    <n v="60"/>
    <x v="3"/>
    <x v="0"/>
    <x v="4"/>
    <x v="0"/>
    <x v="1"/>
    <x v="1169"/>
    <n v="24539"/>
    <n v="3"/>
    <s v="Y"/>
    <x v="0"/>
    <n v="16"/>
    <x v="0"/>
    <x v="3"/>
    <n v="80"/>
    <n v="1"/>
    <n v="15"/>
    <n v="2"/>
    <x v="1"/>
    <x v="6"/>
    <n v="0"/>
    <x v="1"/>
    <x v="2"/>
    <x v="1"/>
    <x v="1"/>
    <x v="0"/>
    <n v="0"/>
  </r>
  <r>
    <x v="23"/>
    <x v="0"/>
    <x v="1"/>
    <n v="807"/>
    <x v="1"/>
    <n v="17"/>
    <x v="3"/>
    <x v="4"/>
    <x v="0"/>
    <n v="1767"/>
    <x v="1"/>
    <x v="1"/>
    <n v="38"/>
    <x v="1"/>
    <x v="1"/>
    <x v="1"/>
    <x v="2"/>
    <x v="1"/>
    <x v="1170"/>
    <n v="15587"/>
    <n v="9"/>
    <s v="Y"/>
    <x v="0"/>
    <n v="16"/>
    <x v="0"/>
    <x v="1"/>
    <n v="80"/>
    <n v="1"/>
    <n v="6"/>
    <n v="4"/>
    <x v="1"/>
    <x v="6"/>
    <n v="0"/>
    <x v="0"/>
    <x v="2"/>
    <x v="0"/>
    <x v="1"/>
    <x v="1"/>
    <n v="1"/>
  </r>
  <r>
    <x v="19"/>
    <x v="1"/>
    <x v="0"/>
    <n v="855"/>
    <x v="1"/>
    <n v="12"/>
    <x v="3"/>
    <x v="2"/>
    <x v="0"/>
    <n v="1768"/>
    <x v="0"/>
    <x v="1"/>
    <n v="57"/>
    <x v="0"/>
    <x v="1"/>
    <x v="2"/>
    <x v="1"/>
    <x v="2"/>
    <x v="1171"/>
    <n v="8952"/>
    <n v="8"/>
    <s v="Y"/>
    <x v="1"/>
    <n v="22"/>
    <x v="1"/>
    <x v="2"/>
    <n v="80"/>
    <n v="3"/>
    <n v="7"/>
    <n v="6"/>
    <x v="2"/>
    <x v="8"/>
    <n v="3"/>
    <x v="0"/>
    <x v="10"/>
    <x v="0"/>
    <x v="2"/>
    <x v="1"/>
    <n v="0"/>
  </r>
  <r>
    <x v="27"/>
    <x v="1"/>
    <x v="0"/>
    <n v="478"/>
    <x v="1"/>
    <n v="2"/>
    <x v="3"/>
    <x v="2"/>
    <x v="0"/>
    <n v="1770"/>
    <x v="1"/>
    <x v="1"/>
    <n v="60"/>
    <x v="1"/>
    <x v="4"/>
    <x v="7"/>
    <x v="3"/>
    <x v="1"/>
    <x v="1172"/>
    <n v="19805"/>
    <n v="8"/>
    <s v="Y"/>
    <x v="1"/>
    <n v="12"/>
    <x v="0"/>
    <x v="2"/>
    <n v="80"/>
    <n v="3"/>
    <n v="34"/>
    <n v="2"/>
    <x v="1"/>
    <x v="6"/>
    <n v="0"/>
    <x v="0"/>
    <x v="2"/>
    <x v="3"/>
    <x v="1"/>
    <x v="2"/>
    <n v="0"/>
  </r>
  <r>
    <x v="3"/>
    <x v="1"/>
    <x v="2"/>
    <n v="775"/>
    <x v="1"/>
    <n v="4"/>
    <x v="3"/>
    <x v="4"/>
    <x v="0"/>
    <n v="1771"/>
    <x v="2"/>
    <x v="1"/>
    <n v="90"/>
    <x v="0"/>
    <x v="0"/>
    <x v="1"/>
    <x v="1"/>
    <x v="2"/>
    <x v="1173"/>
    <n v="6194"/>
    <n v="5"/>
    <s v="Y"/>
    <x v="1"/>
    <n v="15"/>
    <x v="0"/>
    <x v="1"/>
    <n v="80"/>
    <n v="2"/>
    <n v="11"/>
    <n v="2"/>
    <x v="2"/>
    <x v="7"/>
    <n v="8"/>
    <x v="1"/>
    <x v="1"/>
    <x v="1"/>
    <x v="0"/>
    <x v="1"/>
    <n v="0"/>
  </r>
  <r>
    <x v="0"/>
    <x v="1"/>
    <x v="0"/>
    <n v="548"/>
    <x v="1"/>
    <n v="9"/>
    <x v="2"/>
    <x v="0"/>
    <x v="0"/>
    <n v="1772"/>
    <x v="1"/>
    <x v="1"/>
    <n v="94"/>
    <x v="0"/>
    <x v="1"/>
    <x v="2"/>
    <x v="3"/>
    <x v="2"/>
    <x v="1174"/>
    <n v="20520"/>
    <n v="1"/>
    <s v="Y"/>
    <x v="1"/>
    <n v="20"/>
    <x v="1"/>
    <x v="2"/>
    <n v="80"/>
    <n v="2"/>
    <n v="5"/>
    <n v="2"/>
    <x v="1"/>
    <x v="8"/>
    <n v="3"/>
    <x v="0"/>
    <x v="10"/>
    <x v="0"/>
    <x v="2"/>
    <x v="1"/>
    <n v="0"/>
  </r>
  <r>
    <x v="13"/>
    <x v="1"/>
    <x v="2"/>
    <n v="1375"/>
    <x v="0"/>
    <n v="10"/>
    <x v="3"/>
    <x v="0"/>
    <x v="0"/>
    <n v="1774"/>
    <x v="2"/>
    <x v="1"/>
    <n v="87"/>
    <x v="0"/>
    <x v="0"/>
    <x v="0"/>
    <x v="2"/>
    <x v="2"/>
    <x v="1175"/>
    <n v="12313"/>
    <n v="1"/>
    <s v="Y"/>
    <x v="0"/>
    <n v="14"/>
    <x v="0"/>
    <x v="3"/>
    <n v="80"/>
    <n v="1"/>
    <n v="15"/>
    <n v="3"/>
    <x v="1"/>
    <x v="15"/>
    <n v="14"/>
    <x v="0"/>
    <x v="1"/>
    <x v="1"/>
    <x v="3"/>
    <x v="1"/>
    <n v="0"/>
  </r>
  <r>
    <x v="16"/>
    <x v="1"/>
    <x v="2"/>
    <n v="661"/>
    <x v="1"/>
    <n v="1"/>
    <x v="2"/>
    <x v="2"/>
    <x v="0"/>
    <n v="1775"/>
    <x v="3"/>
    <x v="0"/>
    <n v="60"/>
    <x v="1"/>
    <x v="3"/>
    <x v="3"/>
    <x v="2"/>
    <x v="1"/>
    <x v="1176"/>
    <n v="22308"/>
    <n v="4"/>
    <s v="Y"/>
    <x v="0"/>
    <n v="20"/>
    <x v="1"/>
    <x v="1"/>
    <n v="80"/>
    <n v="3"/>
    <n v="27"/>
    <n v="2"/>
    <x v="2"/>
    <x v="11"/>
    <n v="2"/>
    <x v="0"/>
    <x v="3"/>
    <x v="3"/>
    <x v="2"/>
    <x v="3"/>
    <n v="0"/>
  </r>
  <r>
    <x v="23"/>
    <x v="1"/>
    <x v="0"/>
    <n v="244"/>
    <x v="2"/>
    <n v="2"/>
    <x v="3"/>
    <x v="0"/>
    <x v="0"/>
    <n v="1778"/>
    <x v="0"/>
    <x v="1"/>
    <n v="97"/>
    <x v="0"/>
    <x v="1"/>
    <x v="8"/>
    <x v="0"/>
    <x v="0"/>
    <x v="1177"/>
    <n v="5033"/>
    <n v="0"/>
    <s v="Y"/>
    <x v="1"/>
    <n v="13"/>
    <x v="0"/>
    <x v="2"/>
    <n v="80"/>
    <n v="0"/>
    <n v="10"/>
    <n v="5"/>
    <x v="1"/>
    <x v="7"/>
    <n v="7"/>
    <x v="1"/>
    <x v="5"/>
    <x v="0"/>
    <x v="0"/>
    <x v="1"/>
    <n v="0"/>
  </r>
  <r>
    <x v="13"/>
    <x v="1"/>
    <x v="0"/>
    <n v="511"/>
    <x v="0"/>
    <n v="3"/>
    <x v="0"/>
    <x v="0"/>
    <x v="0"/>
    <n v="1779"/>
    <x v="2"/>
    <x v="0"/>
    <n v="32"/>
    <x v="3"/>
    <x v="0"/>
    <x v="0"/>
    <x v="0"/>
    <x v="0"/>
    <x v="1178"/>
    <n v="25353"/>
    <n v="5"/>
    <s v="Y"/>
    <x v="1"/>
    <n v="12"/>
    <x v="0"/>
    <x v="0"/>
    <n v="80"/>
    <n v="0"/>
    <n v="6"/>
    <n v="3"/>
    <x v="1"/>
    <x v="4"/>
    <n v="2"/>
    <x v="3"/>
    <x v="3"/>
    <x v="1"/>
    <x v="1"/>
    <x v="0"/>
    <n v="0"/>
  </r>
  <r>
    <x v="18"/>
    <x v="0"/>
    <x v="0"/>
    <n v="337"/>
    <x v="0"/>
    <n v="7"/>
    <x v="1"/>
    <x v="3"/>
    <x v="0"/>
    <n v="1780"/>
    <x v="0"/>
    <x v="1"/>
    <n v="31"/>
    <x v="0"/>
    <x v="1"/>
    <x v="6"/>
    <x v="1"/>
    <x v="0"/>
    <x v="1179"/>
    <n v="4567"/>
    <n v="1"/>
    <s v="Y"/>
    <x v="1"/>
    <n v="13"/>
    <x v="0"/>
    <x v="2"/>
    <n v="80"/>
    <n v="0"/>
    <n v="1"/>
    <n v="3"/>
    <x v="1"/>
    <x v="6"/>
    <n v="0"/>
    <x v="1"/>
    <x v="2"/>
    <x v="2"/>
    <x v="1"/>
    <x v="1"/>
    <n v="1"/>
  </r>
  <r>
    <x v="8"/>
    <x v="1"/>
    <x v="0"/>
    <n v="1153"/>
    <x v="1"/>
    <n v="6"/>
    <x v="0"/>
    <x v="1"/>
    <x v="0"/>
    <n v="1782"/>
    <x v="2"/>
    <x v="0"/>
    <n v="40"/>
    <x v="1"/>
    <x v="1"/>
    <x v="2"/>
    <x v="2"/>
    <x v="1"/>
    <x v="1180"/>
    <n v="16376"/>
    <n v="1"/>
    <s v="Y"/>
    <x v="1"/>
    <n v="11"/>
    <x v="0"/>
    <x v="2"/>
    <n v="80"/>
    <n v="1"/>
    <n v="5"/>
    <n v="3"/>
    <x v="1"/>
    <x v="8"/>
    <n v="4"/>
    <x v="0"/>
    <x v="10"/>
    <x v="1"/>
    <x v="2"/>
    <x v="1"/>
    <n v="0"/>
  </r>
  <r>
    <x v="15"/>
    <x v="0"/>
    <x v="0"/>
    <n v="1294"/>
    <x v="1"/>
    <n v="8"/>
    <x v="1"/>
    <x v="2"/>
    <x v="0"/>
    <n v="1783"/>
    <x v="1"/>
    <x v="0"/>
    <n v="79"/>
    <x v="0"/>
    <x v="1"/>
    <x v="2"/>
    <x v="3"/>
    <x v="1"/>
    <x v="1181"/>
    <n v="15999"/>
    <n v="1"/>
    <s v="Y"/>
    <x v="0"/>
    <n v="17"/>
    <x v="0"/>
    <x v="3"/>
    <n v="80"/>
    <n v="0"/>
    <n v="1"/>
    <n v="6"/>
    <x v="1"/>
    <x v="6"/>
    <n v="0"/>
    <x v="0"/>
    <x v="2"/>
    <x v="2"/>
    <x v="1"/>
    <x v="1"/>
    <n v="1"/>
  </r>
  <r>
    <x v="12"/>
    <x v="1"/>
    <x v="0"/>
    <n v="196"/>
    <x v="0"/>
    <n v="29"/>
    <x v="2"/>
    <x v="3"/>
    <x v="0"/>
    <n v="1784"/>
    <x v="3"/>
    <x v="0"/>
    <n v="91"/>
    <x v="1"/>
    <x v="0"/>
    <x v="0"/>
    <x v="0"/>
    <x v="1"/>
    <x v="1182"/>
    <n v="13402"/>
    <n v="1"/>
    <s v="Y"/>
    <x v="1"/>
    <n v="14"/>
    <x v="0"/>
    <x v="0"/>
    <n v="80"/>
    <n v="2"/>
    <n v="13"/>
    <n v="3"/>
    <x v="1"/>
    <x v="12"/>
    <n v="7"/>
    <x v="8"/>
    <x v="1"/>
    <x v="1"/>
    <x v="3"/>
    <x v="0"/>
    <n v="0"/>
  </r>
  <r>
    <x v="31"/>
    <x v="1"/>
    <x v="0"/>
    <n v="942"/>
    <x v="1"/>
    <n v="3"/>
    <x v="3"/>
    <x v="4"/>
    <x v="0"/>
    <n v="1786"/>
    <x v="3"/>
    <x v="0"/>
    <n v="53"/>
    <x v="0"/>
    <x v="2"/>
    <x v="5"/>
    <x v="2"/>
    <x v="1"/>
    <x v="1183"/>
    <n v="22984"/>
    <n v="2"/>
    <s v="Y"/>
    <x v="1"/>
    <n v="11"/>
    <x v="0"/>
    <x v="1"/>
    <n v="80"/>
    <n v="0"/>
    <n v="15"/>
    <n v="2"/>
    <x v="1"/>
    <x v="4"/>
    <n v="2"/>
    <x v="3"/>
    <x v="3"/>
    <x v="3"/>
    <x v="1"/>
    <x v="3"/>
    <n v="0"/>
  </r>
  <r>
    <x v="2"/>
    <x v="1"/>
    <x v="0"/>
    <n v="589"/>
    <x v="0"/>
    <n v="9"/>
    <x v="0"/>
    <x v="3"/>
    <x v="0"/>
    <n v="1787"/>
    <x v="0"/>
    <x v="1"/>
    <n v="46"/>
    <x v="1"/>
    <x v="0"/>
    <x v="0"/>
    <x v="1"/>
    <x v="1"/>
    <x v="1184"/>
    <n v="8800"/>
    <n v="1"/>
    <s v="Y"/>
    <x v="1"/>
    <n v="14"/>
    <x v="0"/>
    <x v="0"/>
    <n v="80"/>
    <n v="2"/>
    <n v="5"/>
    <n v="2"/>
    <x v="1"/>
    <x v="8"/>
    <n v="2"/>
    <x v="0"/>
    <x v="6"/>
    <x v="1"/>
    <x v="2"/>
    <x v="1"/>
    <n v="0"/>
  </r>
  <r>
    <x v="21"/>
    <x v="1"/>
    <x v="0"/>
    <n v="734"/>
    <x v="1"/>
    <n v="2"/>
    <x v="2"/>
    <x v="2"/>
    <x v="0"/>
    <n v="1789"/>
    <x v="1"/>
    <x v="1"/>
    <n v="46"/>
    <x v="0"/>
    <x v="4"/>
    <x v="7"/>
    <x v="0"/>
    <x v="2"/>
    <x v="1185"/>
    <n v="14218"/>
    <n v="7"/>
    <s v="Y"/>
    <x v="0"/>
    <n v="17"/>
    <x v="0"/>
    <x v="3"/>
    <n v="80"/>
    <n v="1"/>
    <n v="24"/>
    <n v="3"/>
    <x v="1"/>
    <x v="4"/>
    <n v="1"/>
    <x v="3"/>
    <x v="3"/>
    <x v="0"/>
    <x v="1"/>
    <x v="2"/>
    <n v="0"/>
  </r>
  <r>
    <x v="9"/>
    <x v="1"/>
    <x v="0"/>
    <n v="1383"/>
    <x v="1"/>
    <n v="10"/>
    <x v="3"/>
    <x v="0"/>
    <x v="0"/>
    <n v="1790"/>
    <x v="2"/>
    <x v="1"/>
    <n v="90"/>
    <x v="0"/>
    <x v="2"/>
    <x v="4"/>
    <x v="3"/>
    <x v="1"/>
    <x v="1186"/>
    <n v="25949"/>
    <n v="7"/>
    <s v="Y"/>
    <x v="0"/>
    <n v="13"/>
    <x v="0"/>
    <x v="1"/>
    <n v="80"/>
    <n v="1"/>
    <n v="15"/>
    <n v="1"/>
    <x v="1"/>
    <x v="12"/>
    <n v="8"/>
    <x v="8"/>
    <x v="1"/>
    <x v="1"/>
    <x v="3"/>
    <x v="0"/>
    <n v="0"/>
  </r>
  <r>
    <x v="20"/>
    <x v="0"/>
    <x v="1"/>
    <n v="429"/>
    <x v="1"/>
    <n v="1"/>
    <x v="0"/>
    <x v="2"/>
    <x v="0"/>
    <n v="1792"/>
    <x v="1"/>
    <x v="1"/>
    <n v="99"/>
    <x v="0"/>
    <x v="1"/>
    <x v="1"/>
    <x v="1"/>
    <x v="2"/>
    <x v="531"/>
    <n v="11092"/>
    <n v="1"/>
    <s v="Y"/>
    <x v="0"/>
    <n v="12"/>
    <x v="0"/>
    <x v="3"/>
    <n v="80"/>
    <n v="3"/>
    <n v="6"/>
    <n v="2"/>
    <x v="2"/>
    <x v="8"/>
    <n v="3"/>
    <x v="3"/>
    <x v="6"/>
    <x v="0"/>
    <x v="2"/>
    <x v="1"/>
    <n v="1"/>
  </r>
  <r>
    <x v="2"/>
    <x v="1"/>
    <x v="0"/>
    <n v="1239"/>
    <x v="2"/>
    <n v="8"/>
    <x v="0"/>
    <x v="1"/>
    <x v="0"/>
    <n v="1794"/>
    <x v="1"/>
    <x v="1"/>
    <n v="89"/>
    <x v="0"/>
    <x v="0"/>
    <x v="8"/>
    <x v="1"/>
    <x v="2"/>
    <x v="1187"/>
    <n v="12832"/>
    <n v="2"/>
    <s v="Y"/>
    <x v="1"/>
    <n v="13"/>
    <x v="0"/>
    <x v="3"/>
    <n v="80"/>
    <n v="0"/>
    <n v="19"/>
    <n v="4"/>
    <x v="2"/>
    <x v="1"/>
    <n v="0"/>
    <x v="5"/>
    <x v="1"/>
    <x v="1"/>
    <x v="0"/>
    <x v="1"/>
    <n v="0"/>
  </r>
  <r>
    <x v="10"/>
    <x v="0"/>
    <x v="0"/>
    <n v="303"/>
    <x v="0"/>
    <n v="27"/>
    <x v="3"/>
    <x v="0"/>
    <x v="0"/>
    <n v="1797"/>
    <x v="1"/>
    <x v="1"/>
    <n v="84"/>
    <x v="0"/>
    <x v="0"/>
    <x v="0"/>
    <x v="0"/>
    <x v="0"/>
    <x v="1188"/>
    <n v="13492"/>
    <n v="1"/>
    <s v="Y"/>
    <x v="0"/>
    <n v="18"/>
    <x v="0"/>
    <x v="1"/>
    <n v="80"/>
    <n v="0"/>
    <n v="10"/>
    <n v="2"/>
    <x v="1"/>
    <x v="1"/>
    <n v="7"/>
    <x v="4"/>
    <x v="1"/>
    <x v="1"/>
    <x v="0"/>
    <x v="0"/>
    <n v="1"/>
  </r>
  <r>
    <x v="3"/>
    <x v="1"/>
    <x v="0"/>
    <n v="867"/>
    <x v="1"/>
    <n v="8"/>
    <x v="2"/>
    <x v="0"/>
    <x v="0"/>
    <n v="1798"/>
    <x v="2"/>
    <x v="1"/>
    <n v="90"/>
    <x v="2"/>
    <x v="1"/>
    <x v="1"/>
    <x v="3"/>
    <x v="1"/>
    <x v="1189"/>
    <n v="6076"/>
    <n v="6"/>
    <s v="Y"/>
    <x v="1"/>
    <n v="19"/>
    <x v="0"/>
    <x v="2"/>
    <n v="80"/>
    <n v="1"/>
    <n v="14"/>
    <n v="1"/>
    <x v="1"/>
    <x v="1"/>
    <n v="8"/>
    <x v="4"/>
    <x v="4"/>
    <x v="1"/>
    <x v="0"/>
    <x v="1"/>
    <n v="0"/>
  </r>
  <r>
    <x v="14"/>
    <x v="1"/>
    <x v="0"/>
    <n v="1181"/>
    <x v="1"/>
    <n v="1"/>
    <x v="3"/>
    <x v="0"/>
    <x v="0"/>
    <n v="1799"/>
    <x v="1"/>
    <x v="1"/>
    <n v="82"/>
    <x v="0"/>
    <x v="1"/>
    <x v="1"/>
    <x v="0"/>
    <x v="1"/>
    <x v="633"/>
    <n v="5531"/>
    <n v="1"/>
    <s v="Y"/>
    <x v="1"/>
    <n v="11"/>
    <x v="0"/>
    <x v="3"/>
    <n v="80"/>
    <n v="1"/>
    <n v="5"/>
    <n v="6"/>
    <x v="3"/>
    <x v="8"/>
    <n v="3"/>
    <x v="0"/>
    <x v="6"/>
    <x v="2"/>
    <x v="2"/>
    <x v="1"/>
    <n v="0"/>
  </r>
  <r>
    <x v="22"/>
    <x v="1"/>
    <x v="0"/>
    <n v="1253"/>
    <x v="1"/>
    <n v="10"/>
    <x v="1"/>
    <x v="2"/>
    <x v="0"/>
    <n v="1800"/>
    <x v="1"/>
    <x v="1"/>
    <n v="65"/>
    <x v="0"/>
    <x v="2"/>
    <x v="7"/>
    <x v="2"/>
    <x v="0"/>
    <x v="1190"/>
    <n v="7914"/>
    <n v="7"/>
    <s v="Y"/>
    <x v="1"/>
    <n v="21"/>
    <x v="1"/>
    <x v="3"/>
    <n v="80"/>
    <n v="0"/>
    <n v="9"/>
    <n v="3"/>
    <x v="1"/>
    <x v="9"/>
    <n v="3"/>
    <x v="3"/>
    <x v="3"/>
    <x v="1"/>
    <x v="2"/>
    <x v="3"/>
    <n v="0"/>
  </r>
  <r>
    <x v="21"/>
    <x v="1"/>
    <x v="2"/>
    <n v="849"/>
    <x v="0"/>
    <n v="26"/>
    <x v="0"/>
    <x v="0"/>
    <x v="0"/>
    <n v="1801"/>
    <x v="0"/>
    <x v="1"/>
    <n v="98"/>
    <x v="1"/>
    <x v="0"/>
    <x v="0"/>
    <x v="1"/>
    <x v="0"/>
    <x v="1191"/>
    <n v="25166"/>
    <n v="8"/>
    <s v="Y"/>
    <x v="1"/>
    <n v="15"/>
    <x v="0"/>
    <x v="3"/>
    <n v="80"/>
    <n v="0"/>
    <n v="6"/>
    <n v="3"/>
    <x v="1"/>
    <x v="4"/>
    <n v="2"/>
    <x v="3"/>
    <x v="3"/>
    <x v="0"/>
    <x v="1"/>
    <x v="0"/>
    <n v="0"/>
  </r>
  <r>
    <x v="32"/>
    <x v="1"/>
    <x v="0"/>
    <n v="616"/>
    <x v="1"/>
    <n v="2"/>
    <x v="0"/>
    <x v="0"/>
    <x v="0"/>
    <n v="1802"/>
    <x v="1"/>
    <x v="0"/>
    <n v="99"/>
    <x v="0"/>
    <x v="1"/>
    <x v="2"/>
    <x v="3"/>
    <x v="1"/>
    <x v="1192"/>
    <n v="25605"/>
    <n v="4"/>
    <s v="Y"/>
    <x v="1"/>
    <n v="17"/>
    <x v="0"/>
    <x v="1"/>
    <n v="80"/>
    <n v="1"/>
    <n v="7"/>
    <n v="5"/>
    <x v="2"/>
    <x v="9"/>
    <n v="3"/>
    <x v="0"/>
    <x v="3"/>
    <x v="0"/>
    <x v="2"/>
    <x v="1"/>
    <n v="0"/>
  </r>
  <r>
    <x v="19"/>
    <x v="1"/>
    <x v="0"/>
    <n v="1128"/>
    <x v="1"/>
    <n v="13"/>
    <x v="3"/>
    <x v="2"/>
    <x v="0"/>
    <n v="1803"/>
    <x v="0"/>
    <x v="1"/>
    <n v="95"/>
    <x v="2"/>
    <x v="0"/>
    <x v="4"/>
    <x v="3"/>
    <x v="1"/>
    <x v="1193"/>
    <n v="5696"/>
    <n v="5"/>
    <s v="Y"/>
    <x v="1"/>
    <n v="18"/>
    <x v="0"/>
    <x v="3"/>
    <n v="80"/>
    <n v="2"/>
    <n v="10"/>
    <n v="2"/>
    <x v="2"/>
    <x v="2"/>
    <n v="0"/>
    <x v="0"/>
    <x v="2"/>
    <x v="0"/>
    <x v="1"/>
    <x v="0"/>
    <n v="0"/>
  </r>
  <r>
    <x v="10"/>
    <x v="1"/>
    <x v="2"/>
    <n v="1180"/>
    <x v="1"/>
    <n v="2"/>
    <x v="0"/>
    <x v="2"/>
    <x v="0"/>
    <n v="1804"/>
    <x v="0"/>
    <x v="1"/>
    <n v="90"/>
    <x v="0"/>
    <x v="0"/>
    <x v="3"/>
    <x v="0"/>
    <x v="2"/>
    <x v="1194"/>
    <n v="24442"/>
    <n v="2"/>
    <s v="Y"/>
    <x v="1"/>
    <n v="14"/>
    <x v="0"/>
    <x v="3"/>
    <n v="80"/>
    <n v="1"/>
    <n v="15"/>
    <n v="6"/>
    <x v="1"/>
    <x v="5"/>
    <n v="7"/>
    <x v="1"/>
    <x v="1"/>
    <x v="1"/>
    <x v="0"/>
    <x v="0"/>
    <n v="0"/>
  </r>
  <r>
    <x v="8"/>
    <x v="1"/>
    <x v="2"/>
    <n v="1336"/>
    <x v="2"/>
    <n v="2"/>
    <x v="3"/>
    <x v="5"/>
    <x v="0"/>
    <n v="1805"/>
    <x v="3"/>
    <x v="1"/>
    <n v="100"/>
    <x v="0"/>
    <x v="1"/>
    <x v="8"/>
    <x v="1"/>
    <x v="2"/>
    <x v="1195"/>
    <n v="7129"/>
    <n v="5"/>
    <s v="Y"/>
    <x v="1"/>
    <n v="13"/>
    <x v="0"/>
    <x v="1"/>
    <n v="80"/>
    <n v="3"/>
    <n v="13"/>
    <n v="3"/>
    <x v="1"/>
    <x v="19"/>
    <n v="10"/>
    <x v="2"/>
    <x v="5"/>
    <x v="1"/>
    <x v="3"/>
    <x v="1"/>
    <n v="0"/>
  </r>
  <r>
    <x v="13"/>
    <x v="0"/>
    <x v="1"/>
    <n v="234"/>
    <x v="1"/>
    <n v="9"/>
    <x v="2"/>
    <x v="0"/>
    <x v="0"/>
    <n v="1807"/>
    <x v="2"/>
    <x v="1"/>
    <n v="93"/>
    <x v="0"/>
    <x v="0"/>
    <x v="2"/>
    <x v="3"/>
    <x v="1"/>
    <x v="800"/>
    <n v="6208"/>
    <n v="4"/>
    <s v="Y"/>
    <x v="1"/>
    <n v="17"/>
    <x v="0"/>
    <x v="3"/>
    <n v="80"/>
    <n v="1"/>
    <n v="11"/>
    <n v="3"/>
    <x v="2"/>
    <x v="5"/>
    <n v="1"/>
    <x v="0"/>
    <x v="1"/>
    <x v="1"/>
    <x v="0"/>
    <x v="0"/>
    <n v="1"/>
  </r>
  <r>
    <x v="2"/>
    <x v="0"/>
    <x v="0"/>
    <n v="370"/>
    <x v="1"/>
    <n v="10"/>
    <x v="2"/>
    <x v="2"/>
    <x v="0"/>
    <n v="1809"/>
    <x v="2"/>
    <x v="1"/>
    <n v="58"/>
    <x v="0"/>
    <x v="0"/>
    <x v="3"/>
    <x v="3"/>
    <x v="0"/>
    <x v="1196"/>
    <n v="4992"/>
    <n v="1"/>
    <s v="Y"/>
    <x v="1"/>
    <n v="15"/>
    <x v="0"/>
    <x v="2"/>
    <n v="80"/>
    <n v="0"/>
    <n v="10"/>
    <n v="4"/>
    <x v="0"/>
    <x v="1"/>
    <n v="3"/>
    <x v="0"/>
    <x v="5"/>
    <x v="1"/>
    <x v="0"/>
    <x v="1"/>
    <n v="1"/>
  </r>
  <r>
    <x v="22"/>
    <x v="1"/>
    <x v="1"/>
    <n v="766"/>
    <x v="0"/>
    <n v="20"/>
    <x v="3"/>
    <x v="0"/>
    <x v="0"/>
    <n v="1812"/>
    <x v="1"/>
    <x v="1"/>
    <n v="83"/>
    <x v="0"/>
    <x v="0"/>
    <x v="0"/>
    <x v="0"/>
    <x v="2"/>
    <x v="1197"/>
    <n v="19188"/>
    <n v="2"/>
    <s v="Y"/>
    <x v="1"/>
    <n v="18"/>
    <x v="0"/>
    <x v="1"/>
    <n v="80"/>
    <n v="1"/>
    <n v="7"/>
    <n v="6"/>
    <x v="1"/>
    <x v="4"/>
    <n v="1"/>
    <x v="3"/>
    <x v="3"/>
    <x v="1"/>
    <x v="1"/>
    <x v="1"/>
    <n v="0"/>
  </r>
  <r>
    <x v="23"/>
    <x v="1"/>
    <x v="2"/>
    <n v="343"/>
    <x v="1"/>
    <n v="9"/>
    <x v="3"/>
    <x v="0"/>
    <x v="0"/>
    <n v="1813"/>
    <x v="3"/>
    <x v="1"/>
    <n v="52"/>
    <x v="0"/>
    <x v="1"/>
    <x v="1"/>
    <x v="2"/>
    <x v="0"/>
    <x v="1198"/>
    <n v="24978"/>
    <n v="4"/>
    <s v="Y"/>
    <x v="1"/>
    <n v="13"/>
    <x v="0"/>
    <x v="3"/>
    <n v="80"/>
    <n v="0"/>
    <n v="7"/>
    <n v="2"/>
    <x v="2"/>
    <x v="11"/>
    <n v="2"/>
    <x v="1"/>
    <x v="3"/>
    <x v="0"/>
    <x v="2"/>
    <x v="1"/>
    <n v="0"/>
  </r>
  <r>
    <x v="0"/>
    <x v="1"/>
    <x v="0"/>
    <n v="447"/>
    <x v="1"/>
    <n v="5"/>
    <x v="3"/>
    <x v="0"/>
    <x v="0"/>
    <n v="1814"/>
    <x v="0"/>
    <x v="1"/>
    <n v="85"/>
    <x v="2"/>
    <x v="0"/>
    <x v="4"/>
    <x v="1"/>
    <x v="0"/>
    <x v="1199"/>
    <n v="15530"/>
    <n v="3"/>
    <s v="Y"/>
    <x v="1"/>
    <n v="12"/>
    <x v="0"/>
    <x v="0"/>
    <n v="80"/>
    <n v="0"/>
    <n v="11"/>
    <n v="3"/>
    <x v="0"/>
    <x v="11"/>
    <n v="2"/>
    <x v="1"/>
    <x v="3"/>
    <x v="0"/>
    <x v="2"/>
    <x v="0"/>
    <n v="0"/>
  </r>
  <r>
    <x v="0"/>
    <x v="1"/>
    <x v="0"/>
    <n v="796"/>
    <x v="0"/>
    <n v="4"/>
    <x v="1"/>
    <x v="3"/>
    <x v="0"/>
    <n v="1815"/>
    <x v="1"/>
    <x v="0"/>
    <n v="81"/>
    <x v="0"/>
    <x v="2"/>
    <x v="0"/>
    <x v="2"/>
    <x v="2"/>
    <x v="1200"/>
    <n v="26458"/>
    <n v="0"/>
    <s v="Y"/>
    <x v="0"/>
    <n v="13"/>
    <x v="0"/>
    <x v="1"/>
    <n v="80"/>
    <n v="1"/>
    <n v="23"/>
    <n v="3"/>
    <x v="3"/>
    <x v="14"/>
    <n v="14"/>
    <x v="11"/>
    <x v="0"/>
    <x v="0"/>
    <x v="3"/>
    <x v="3"/>
    <n v="0"/>
  </r>
  <r>
    <x v="7"/>
    <x v="1"/>
    <x v="0"/>
    <n v="1092"/>
    <x v="1"/>
    <n v="10"/>
    <x v="3"/>
    <x v="2"/>
    <x v="0"/>
    <n v="1816"/>
    <x v="3"/>
    <x v="0"/>
    <n v="64"/>
    <x v="0"/>
    <x v="2"/>
    <x v="3"/>
    <x v="2"/>
    <x v="0"/>
    <x v="1201"/>
    <n v="2739"/>
    <n v="9"/>
    <s v="Y"/>
    <x v="1"/>
    <n v="14"/>
    <x v="0"/>
    <x v="2"/>
    <n v="80"/>
    <n v="0"/>
    <n v="9"/>
    <n v="3"/>
    <x v="1"/>
    <x v="5"/>
    <n v="7"/>
    <x v="0"/>
    <x v="3"/>
    <x v="1"/>
    <x v="0"/>
    <x v="0"/>
    <n v="0"/>
  </r>
  <r>
    <x v="25"/>
    <x v="0"/>
    <x v="0"/>
    <n v="920"/>
    <x v="2"/>
    <n v="20"/>
    <x v="0"/>
    <x v="2"/>
    <x v="0"/>
    <n v="1818"/>
    <x v="2"/>
    <x v="0"/>
    <n v="69"/>
    <x v="0"/>
    <x v="1"/>
    <x v="8"/>
    <x v="1"/>
    <x v="1"/>
    <x v="1202"/>
    <n v="6889"/>
    <n v="0"/>
    <s v="Y"/>
    <x v="0"/>
    <n v="11"/>
    <x v="0"/>
    <x v="3"/>
    <n v="80"/>
    <n v="0"/>
    <n v="6"/>
    <n v="3"/>
    <x v="1"/>
    <x v="8"/>
    <n v="1"/>
    <x v="1"/>
    <x v="10"/>
    <x v="2"/>
    <x v="2"/>
    <x v="1"/>
    <n v="1"/>
  </r>
  <r>
    <x v="21"/>
    <x v="0"/>
    <x v="0"/>
    <n v="261"/>
    <x v="1"/>
    <n v="21"/>
    <x v="0"/>
    <x v="2"/>
    <x v="0"/>
    <n v="1821"/>
    <x v="2"/>
    <x v="0"/>
    <n v="66"/>
    <x v="0"/>
    <x v="0"/>
    <x v="4"/>
    <x v="1"/>
    <x v="1"/>
    <x v="1203"/>
    <n v="10842"/>
    <n v="4"/>
    <s v="Y"/>
    <x v="1"/>
    <n v="22"/>
    <x v="1"/>
    <x v="1"/>
    <n v="80"/>
    <n v="1"/>
    <n v="13"/>
    <n v="2"/>
    <x v="3"/>
    <x v="7"/>
    <n v="7"/>
    <x v="2"/>
    <x v="1"/>
    <x v="0"/>
    <x v="0"/>
    <x v="0"/>
    <n v="1"/>
  </r>
  <r>
    <x v="32"/>
    <x v="1"/>
    <x v="0"/>
    <n v="1194"/>
    <x v="1"/>
    <n v="1"/>
    <x v="3"/>
    <x v="0"/>
    <x v="0"/>
    <n v="1822"/>
    <x v="1"/>
    <x v="0"/>
    <n v="52"/>
    <x v="0"/>
    <x v="0"/>
    <x v="4"/>
    <x v="0"/>
    <x v="2"/>
    <x v="1204"/>
    <n v="9060"/>
    <n v="4"/>
    <s v="Y"/>
    <x v="1"/>
    <n v="17"/>
    <x v="0"/>
    <x v="1"/>
    <n v="80"/>
    <n v="1"/>
    <n v="12"/>
    <n v="3"/>
    <x v="1"/>
    <x v="8"/>
    <n v="3"/>
    <x v="0"/>
    <x v="6"/>
    <x v="0"/>
    <x v="2"/>
    <x v="0"/>
    <n v="0"/>
  </r>
  <r>
    <x v="13"/>
    <x v="1"/>
    <x v="0"/>
    <n v="810"/>
    <x v="0"/>
    <n v="8"/>
    <x v="0"/>
    <x v="4"/>
    <x v="0"/>
    <n v="1823"/>
    <x v="0"/>
    <x v="1"/>
    <n v="92"/>
    <x v="2"/>
    <x v="0"/>
    <x v="0"/>
    <x v="2"/>
    <x v="1"/>
    <x v="1205"/>
    <n v="22128"/>
    <n v="1"/>
    <s v="Y"/>
    <x v="1"/>
    <n v="21"/>
    <x v="1"/>
    <x v="3"/>
    <n v="80"/>
    <n v="2"/>
    <n v="10"/>
    <n v="5"/>
    <x v="1"/>
    <x v="1"/>
    <n v="8"/>
    <x v="5"/>
    <x v="5"/>
    <x v="1"/>
    <x v="0"/>
    <x v="0"/>
    <n v="0"/>
  </r>
  <r>
    <x v="34"/>
    <x v="1"/>
    <x v="2"/>
    <n v="350"/>
    <x v="0"/>
    <n v="2"/>
    <x v="3"/>
    <x v="2"/>
    <x v="0"/>
    <n v="1824"/>
    <x v="0"/>
    <x v="1"/>
    <n v="52"/>
    <x v="0"/>
    <x v="3"/>
    <x v="5"/>
    <x v="1"/>
    <x v="2"/>
    <x v="1206"/>
    <n v="22577"/>
    <n v="4"/>
    <s v="Y"/>
    <x v="1"/>
    <n v="22"/>
    <x v="1"/>
    <x v="1"/>
    <n v="80"/>
    <n v="1"/>
    <n v="37"/>
    <n v="0"/>
    <x v="2"/>
    <x v="22"/>
    <n v="9"/>
    <x v="15"/>
    <x v="17"/>
    <x v="3"/>
    <x v="3"/>
    <x v="2"/>
    <n v="0"/>
  </r>
  <r>
    <x v="10"/>
    <x v="1"/>
    <x v="0"/>
    <n v="185"/>
    <x v="1"/>
    <n v="23"/>
    <x v="2"/>
    <x v="2"/>
    <x v="0"/>
    <n v="1826"/>
    <x v="0"/>
    <x v="1"/>
    <n v="91"/>
    <x v="3"/>
    <x v="1"/>
    <x v="2"/>
    <x v="2"/>
    <x v="1"/>
    <x v="1207"/>
    <n v="9696"/>
    <n v="0"/>
    <s v="Y"/>
    <x v="1"/>
    <n v="16"/>
    <x v="0"/>
    <x v="2"/>
    <n v="80"/>
    <n v="1"/>
    <n v="6"/>
    <n v="2"/>
    <x v="3"/>
    <x v="8"/>
    <n v="4"/>
    <x v="0"/>
    <x v="6"/>
    <x v="1"/>
    <x v="2"/>
    <x v="1"/>
    <n v="0"/>
  </r>
  <r>
    <x v="40"/>
    <x v="1"/>
    <x v="0"/>
    <n v="1001"/>
    <x v="1"/>
    <n v="4"/>
    <x v="3"/>
    <x v="0"/>
    <x v="0"/>
    <n v="1827"/>
    <x v="1"/>
    <x v="0"/>
    <n v="92"/>
    <x v="1"/>
    <x v="2"/>
    <x v="3"/>
    <x v="1"/>
    <x v="2"/>
    <x v="1208"/>
    <n v="19271"/>
    <n v="8"/>
    <s v="Y"/>
    <x v="0"/>
    <n v="12"/>
    <x v="0"/>
    <x v="3"/>
    <n v="80"/>
    <n v="1"/>
    <n v="28"/>
    <n v="4"/>
    <x v="1"/>
    <x v="14"/>
    <n v="11"/>
    <x v="15"/>
    <x v="13"/>
    <x v="0"/>
    <x v="3"/>
    <x v="3"/>
    <n v="0"/>
  </r>
  <r>
    <x v="32"/>
    <x v="1"/>
    <x v="0"/>
    <n v="750"/>
    <x v="1"/>
    <n v="12"/>
    <x v="3"/>
    <x v="0"/>
    <x v="0"/>
    <n v="1829"/>
    <x v="0"/>
    <x v="0"/>
    <n v="47"/>
    <x v="0"/>
    <x v="0"/>
    <x v="4"/>
    <x v="3"/>
    <x v="2"/>
    <x v="1209"/>
    <n v="10748"/>
    <n v="2"/>
    <s v="Y"/>
    <x v="1"/>
    <n v="12"/>
    <x v="0"/>
    <x v="2"/>
    <n v="80"/>
    <n v="1"/>
    <n v="15"/>
    <n v="3"/>
    <x v="1"/>
    <x v="5"/>
    <n v="4"/>
    <x v="4"/>
    <x v="1"/>
    <x v="0"/>
    <x v="0"/>
    <x v="1"/>
    <n v="0"/>
  </r>
  <r>
    <x v="33"/>
    <x v="1"/>
    <x v="0"/>
    <n v="431"/>
    <x v="1"/>
    <n v="7"/>
    <x v="2"/>
    <x v="2"/>
    <x v="0"/>
    <n v="1830"/>
    <x v="2"/>
    <x v="0"/>
    <n v="68"/>
    <x v="0"/>
    <x v="0"/>
    <x v="1"/>
    <x v="0"/>
    <x v="1"/>
    <x v="1210"/>
    <n v="15696"/>
    <n v="4"/>
    <s v="Y"/>
    <x v="1"/>
    <n v="15"/>
    <x v="0"/>
    <x v="2"/>
    <n v="80"/>
    <n v="1"/>
    <n v="14"/>
    <n v="2"/>
    <x v="2"/>
    <x v="5"/>
    <n v="1"/>
    <x v="1"/>
    <x v="1"/>
    <x v="3"/>
    <x v="0"/>
    <x v="0"/>
    <n v="0"/>
  </r>
  <r>
    <x v="12"/>
    <x v="1"/>
    <x v="1"/>
    <n v="1125"/>
    <x v="0"/>
    <n v="7"/>
    <x v="2"/>
    <x v="3"/>
    <x v="0"/>
    <n v="1833"/>
    <x v="3"/>
    <x v="0"/>
    <n v="68"/>
    <x v="0"/>
    <x v="2"/>
    <x v="0"/>
    <x v="3"/>
    <x v="1"/>
    <x v="1211"/>
    <n v="8277"/>
    <n v="2"/>
    <s v="Y"/>
    <x v="1"/>
    <n v="14"/>
    <x v="0"/>
    <x v="1"/>
    <n v="80"/>
    <n v="2"/>
    <n v="9"/>
    <n v="3"/>
    <x v="1"/>
    <x v="11"/>
    <n v="2"/>
    <x v="3"/>
    <x v="3"/>
    <x v="1"/>
    <x v="2"/>
    <x v="0"/>
    <n v="0"/>
  </r>
  <r>
    <x v="14"/>
    <x v="1"/>
    <x v="0"/>
    <n v="1217"/>
    <x v="1"/>
    <n v="1"/>
    <x v="3"/>
    <x v="2"/>
    <x v="0"/>
    <n v="1834"/>
    <x v="1"/>
    <x v="0"/>
    <n v="67"/>
    <x v="0"/>
    <x v="1"/>
    <x v="1"/>
    <x v="3"/>
    <x v="1"/>
    <x v="1212"/>
    <n v="12719"/>
    <n v="1"/>
    <s v="Y"/>
    <x v="1"/>
    <n v="25"/>
    <x v="1"/>
    <x v="3"/>
    <n v="80"/>
    <n v="1"/>
    <n v="3"/>
    <n v="3"/>
    <x v="1"/>
    <x v="11"/>
    <n v="2"/>
    <x v="1"/>
    <x v="3"/>
    <x v="2"/>
    <x v="2"/>
    <x v="1"/>
    <n v="0"/>
  </r>
  <r>
    <x v="8"/>
    <x v="1"/>
    <x v="0"/>
    <n v="723"/>
    <x v="0"/>
    <n v="2"/>
    <x v="2"/>
    <x v="3"/>
    <x v="0"/>
    <n v="1835"/>
    <x v="0"/>
    <x v="0"/>
    <n v="77"/>
    <x v="3"/>
    <x v="0"/>
    <x v="6"/>
    <x v="0"/>
    <x v="1"/>
    <x v="517"/>
    <n v="4244"/>
    <n v="2"/>
    <s v="Y"/>
    <x v="0"/>
    <n v="20"/>
    <x v="1"/>
    <x v="0"/>
    <n v="80"/>
    <n v="2"/>
    <n v="20"/>
    <n v="4"/>
    <x v="2"/>
    <x v="9"/>
    <n v="2"/>
    <x v="0"/>
    <x v="6"/>
    <x v="1"/>
    <x v="2"/>
    <x v="0"/>
    <n v="0"/>
  </r>
  <r>
    <x v="25"/>
    <x v="1"/>
    <x v="0"/>
    <n v="572"/>
    <x v="0"/>
    <n v="10"/>
    <x v="3"/>
    <x v="2"/>
    <x v="0"/>
    <n v="1836"/>
    <x v="1"/>
    <x v="1"/>
    <n v="46"/>
    <x v="0"/>
    <x v="0"/>
    <x v="0"/>
    <x v="0"/>
    <x v="0"/>
    <x v="1213"/>
    <n v="9125"/>
    <n v="1"/>
    <s v="Y"/>
    <x v="1"/>
    <n v="13"/>
    <x v="0"/>
    <x v="0"/>
    <n v="80"/>
    <n v="0"/>
    <n v="5"/>
    <n v="4"/>
    <x v="1"/>
    <x v="8"/>
    <n v="3"/>
    <x v="1"/>
    <x v="3"/>
    <x v="2"/>
    <x v="2"/>
    <x v="1"/>
    <n v="0"/>
  </r>
  <r>
    <x v="34"/>
    <x v="1"/>
    <x v="1"/>
    <n v="1216"/>
    <x v="1"/>
    <n v="15"/>
    <x v="2"/>
    <x v="0"/>
    <x v="0"/>
    <n v="1837"/>
    <x v="3"/>
    <x v="1"/>
    <n v="87"/>
    <x v="0"/>
    <x v="3"/>
    <x v="7"/>
    <x v="2"/>
    <x v="1"/>
    <x v="1214"/>
    <n v="21624"/>
    <n v="2"/>
    <s v="Y"/>
    <x v="0"/>
    <n v="14"/>
    <x v="0"/>
    <x v="2"/>
    <n v="80"/>
    <n v="0"/>
    <n v="23"/>
    <n v="3"/>
    <x v="1"/>
    <x v="4"/>
    <n v="2"/>
    <x v="3"/>
    <x v="3"/>
    <x v="3"/>
    <x v="1"/>
    <x v="2"/>
    <n v="0"/>
  </r>
  <r>
    <x v="41"/>
    <x v="1"/>
    <x v="2"/>
    <n v="1431"/>
    <x v="1"/>
    <n v="14"/>
    <x v="3"/>
    <x v="2"/>
    <x v="0"/>
    <n v="1839"/>
    <x v="0"/>
    <x v="0"/>
    <n v="33"/>
    <x v="0"/>
    <x v="1"/>
    <x v="1"/>
    <x v="2"/>
    <x v="0"/>
    <x v="1215"/>
    <n v="8018"/>
    <n v="1"/>
    <s v="Y"/>
    <x v="1"/>
    <n v="16"/>
    <x v="0"/>
    <x v="3"/>
    <n v="80"/>
    <n v="0"/>
    <n v="0"/>
    <n v="4"/>
    <x v="0"/>
    <x v="2"/>
    <n v="0"/>
    <x v="0"/>
    <x v="2"/>
    <x v="4"/>
    <x v="1"/>
    <x v="1"/>
    <n v="0"/>
  </r>
  <r>
    <x v="12"/>
    <x v="0"/>
    <x v="0"/>
    <n v="359"/>
    <x v="2"/>
    <n v="18"/>
    <x v="4"/>
    <x v="5"/>
    <x v="0"/>
    <n v="1842"/>
    <x v="2"/>
    <x v="1"/>
    <n v="89"/>
    <x v="2"/>
    <x v="1"/>
    <x v="8"/>
    <x v="3"/>
    <x v="1"/>
    <x v="98"/>
    <n v="21495"/>
    <n v="0"/>
    <s v="Y"/>
    <x v="1"/>
    <n v="17"/>
    <x v="0"/>
    <x v="3"/>
    <n v="80"/>
    <n v="0"/>
    <n v="2"/>
    <n v="4"/>
    <x v="1"/>
    <x v="6"/>
    <n v="0"/>
    <x v="0"/>
    <x v="2"/>
    <x v="1"/>
    <x v="1"/>
    <x v="1"/>
    <n v="1"/>
  </r>
  <r>
    <x v="11"/>
    <x v="0"/>
    <x v="0"/>
    <n v="350"/>
    <x v="2"/>
    <n v="13"/>
    <x v="3"/>
    <x v="5"/>
    <x v="0"/>
    <n v="1844"/>
    <x v="3"/>
    <x v="1"/>
    <n v="56"/>
    <x v="1"/>
    <x v="1"/>
    <x v="8"/>
    <x v="3"/>
    <x v="2"/>
    <x v="1216"/>
    <n v="3157"/>
    <n v="4"/>
    <s v="Y"/>
    <x v="0"/>
    <n v="15"/>
    <x v="0"/>
    <x v="1"/>
    <n v="80"/>
    <n v="3"/>
    <n v="4"/>
    <n v="3"/>
    <x v="1"/>
    <x v="4"/>
    <n v="2"/>
    <x v="3"/>
    <x v="2"/>
    <x v="2"/>
    <x v="1"/>
    <x v="1"/>
    <n v="1"/>
  </r>
  <r>
    <x v="28"/>
    <x v="1"/>
    <x v="2"/>
    <n v="589"/>
    <x v="0"/>
    <n v="2"/>
    <x v="2"/>
    <x v="0"/>
    <x v="0"/>
    <n v="1845"/>
    <x v="1"/>
    <x v="0"/>
    <n v="67"/>
    <x v="0"/>
    <x v="0"/>
    <x v="0"/>
    <x v="2"/>
    <x v="1"/>
    <x v="1217"/>
    <n v="19665"/>
    <n v="4"/>
    <s v="Y"/>
    <x v="1"/>
    <n v="22"/>
    <x v="1"/>
    <x v="2"/>
    <n v="80"/>
    <n v="2"/>
    <n v="10"/>
    <n v="3"/>
    <x v="3"/>
    <x v="3"/>
    <n v="7"/>
    <x v="8"/>
    <x v="1"/>
    <x v="0"/>
    <x v="0"/>
    <x v="0"/>
    <n v="0"/>
  </r>
  <r>
    <x v="9"/>
    <x v="1"/>
    <x v="0"/>
    <n v="430"/>
    <x v="1"/>
    <n v="2"/>
    <x v="2"/>
    <x v="1"/>
    <x v="0"/>
    <n v="1847"/>
    <x v="2"/>
    <x v="0"/>
    <n v="73"/>
    <x v="0"/>
    <x v="0"/>
    <x v="1"/>
    <x v="1"/>
    <x v="1"/>
    <x v="1218"/>
    <n v="19573"/>
    <n v="4"/>
    <s v="Y"/>
    <x v="0"/>
    <n v="22"/>
    <x v="1"/>
    <x v="1"/>
    <n v="80"/>
    <n v="1"/>
    <n v="15"/>
    <n v="2"/>
    <x v="1"/>
    <x v="6"/>
    <n v="0"/>
    <x v="0"/>
    <x v="2"/>
    <x v="1"/>
    <x v="1"/>
    <x v="0"/>
    <n v="0"/>
  </r>
  <r>
    <x v="23"/>
    <x v="1"/>
    <x v="1"/>
    <n v="1422"/>
    <x v="0"/>
    <n v="2"/>
    <x v="2"/>
    <x v="0"/>
    <x v="0"/>
    <n v="1849"/>
    <x v="3"/>
    <x v="1"/>
    <n v="92"/>
    <x v="0"/>
    <x v="0"/>
    <x v="0"/>
    <x v="0"/>
    <x v="1"/>
    <x v="1219"/>
    <n v="19246"/>
    <n v="1"/>
    <s v="Y"/>
    <x v="1"/>
    <n v="20"/>
    <x v="1"/>
    <x v="3"/>
    <n v="80"/>
    <n v="1"/>
    <n v="7"/>
    <n v="5"/>
    <x v="1"/>
    <x v="5"/>
    <n v="7"/>
    <x v="4"/>
    <x v="1"/>
    <x v="0"/>
    <x v="0"/>
    <x v="0"/>
    <n v="0"/>
  </r>
  <r>
    <x v="4"/>
    <x v="1"/>
    <x v="1"/>
    <n v="1297"/>
    <x v="1"/>
    <n v="5"/>
    <x v="0"/>
    <x v="0"/>
    <x v="0"/>
    <n v="1850"/>
    <x v="2"/>
    <x v="0"/>
    <n v="53"/>
    <x v="0"/>
    <x v="1"/>
    <x v="2"/>
    <x v="0"/>
    <x v="0"/>
    <x v="1220"/>
    <n v="19826"/>
    <n v="0"/>
    <s v="Y"/>
    <x v="0"/>
    <n v="14"/>
    <x v="0"/>
    <x v="3"/>
    <n v="80"/>
    <n v="0"/>
    <n v="6"/>
    <n v="3"/>
    <x v="2"/>
    <x v="8"/>
    <n v="4"/>
    <x v="0"/>
    <x v="3"/>
    <x v="2"/>
    <x v="2"/>
    <x v="1"/>
    <n v="0"/>
  </r>
  <r>
    <x v="11"/>
    <x v="1"/>
    <x v="1"/>
    <n v="574"/>
    <x v="1"/>
    <n v="20"/>
    <x v="1"/>
    <x v="2"/>
    <x v="0"/>
    <n v="1852"/>
    <x v="2"/>
    <x v="1"/>
    <n v="40"/>
    <x v="0"/>
    <x v="1"/>
    <x v="2"/>
    <x v="0"/>
    <x v="1"/>
    <x v="1221"/>
    <n v="7003"/>
    <n v="1"/>
    <s v="Y"/>
    <x v="1"/>
    <n v="13"/>
    <x v="0"/>
    <x v="2"/>
    <n v="80"/>
    <n v="0"/>
    <n v="11"/>
    <n v="3"/>
    <x v="3"/>
    <x v="19"/>
    <n v="8"/>
    <x v="2"/>
    <x v="13"/>
    <x v="2"/>
    <x v="3"/>
    <x v="1"/>
    <n v="0"/>
  </r>
  <r>
    <x v="5"/>
    <x v="1"/>
    <x v="1"/>
    <n v="1318"/>
    <x v="0"/>
    <n v="10"/>
    <x v="2"/>
    <x v="3"/>
    <x v="0"/>
    <n v="1853"/>
    <x v="2"/>
    <x v="1"/>
    <n v="79"/>
    <x v="0"/>
    <x v="0"/>
    <x v="0"/>
    <x v="0"/>
    <x v="0"/>
    <x v="1222"/>
    <n v="26075"/>
    <n v="8"/>
    <s v="Y"/>
    <x v="1"/>
    <n v="13"/>
    <x v="0"/>
    <x v="3"/>
    <n v="80"/>
    <n v="0"/>
    <n v="4"/>
    <n v="2"/>
    <x v="3"/>
    <x v="2"/>
    <n v="0"/>
    <x v="0"/>
    <x v="2"/>
    <x v="1"/>
    <x v="1"/>
    <x v="1"/>
    <n v="0"/>
  </r>
  <r>
    <x v="19"/>
    <x v="1"/>
    <x v="2"/>
    <n v="355"/>
    <x v="1"/>
    <n v="10"/>
    <x v="2"/>
    <x v="4"/>
    <x v="0"/>
    <n v="1854"/>
    <x v="1"/>
    <x v="1"/>
    <n v="38"/>
    <x v="0"/>
    <x v="1"/>
    <x v="1"/>
    <x v="2"/>
    <x v="1"/>
    <x v="808"/>
    <n v="6161"/>
    <n v="3"/>
    <s v="Y"/>
    <x v="1"/>
    <n v="22"/>
    <x v="1"/>
    <x v="2"/>
    <n v="80"/>
    <n v="2"/>
    <n v="10"/>
    <n v="1"/>
    <x v="2"/>
    <x v="0"/>
    <n v="3"/>
    <x v="2"/>
    <x v="6"/>
    <x v="0"/>
    <x v="0"/>
    <x v="1"/>
    <n v="0"/>
  </r>
  <r>
    <x v="40"/>
    <x v="1"/>
    <x v="0"/>
    <n v="207"/>
    <x v="1"/>
    <n v="9"/>
    <x v="2"/>
    <x v="0"/>
    <x v="0"/>
    <n v="1856"/>
    <x v="0"/>
    <x v="0"/>
    <n v="64"/>
    <x v="0"/>
    <x v="1"/>
    <x v="2"/>
    <x v="2"/>
    <x v="0"/>
    <x v="1223"/>
    <n v="5411"/>
    <n v="4"/>
    <s v="Y"/>
    <x v="1"/>
    <n v="12"/>
    <x v="0"/>
    <x v="3"/>
    <n v="80"/>
    <n v="0"/>
    <n v="7"/>
    <n v="2"/>
    <x v="1"/>
    <x v="4"/>
    <n v="2"/>
    <x v="3"/>
    <x v="2"/>
    <x v="0"/>
    <x v="1"/>
    <x v="1"/>
    <n v="0"/>
  </r>
  <r>
    <x v="21"/>
    <x v="1"/>
    <x v="0"/>
    <n v="706"/>
    <x v="1"/>
    <n v="2"/>
    <x v="0"/>
    <x v="0"/>
    <x v="0"/>
    <n v="1857"/>
    <x v="2"/>
    <x v="1"/>
    <n v="82"/>
    <x v="0"/>
    <x v="2"/>
    <x v="3"/>
    <x v="0"/>
    <x v="2"/>
    <x v="1224"/>
    <n v="19989"/>
    <n v="3"/>
    <s v="Y"/>
    <x v="1"/>
    <n v="14"/>
    <x v="0"/>
    <x v="3"/>
    <n v="80"/>
    <n v="1"/>
    <n v="12"/>
    <n v="4"/>
    <x v="2"/>
    <x v="7"/>
    <n v="8"/>
    <x v="5"/>
    <x v="1"/>
    <x v="0"/>
    <x v="0"/>
    <x v="0"/>
    <n v="0"/>
  </r>
  <r>
    <x v="14"/>
    <x v="1"/>
    <x v="2"/>
    <n v="280"/>
    <x v="2"/>
    <n v="1"/>
    <x v="0"/>
    <x v="0"/>
    <x v="0"/>
    <n v="1858"/>
    <x v="1"/>
    <x v="1"/>
    <n v="43"/>
    <x v="0"/>
    <x v="1"/>
    <x v="8"/>
    <x v="0"/>
    <x v="2"/>
    <x v="1225"/>
    <n v="10494"/>
    <n v="1"/>
    <s v="Y"/>
    <x v="1"/>
    <n v="15"/>
    <x v="0"/>
    <x v="2"/>
    <n v="80"/>
    <n v="1"/>
    <n v="3"/>
    <n v="2"/>
    <x v="1"/>
    <x v="11"/>
    <n v="2"/>
    <x v="3"/>
    <x v="3"/>
    <x v="2"/>
    <x v="2"/>
    <x v="1"/>
    <n v="0"/>
  </r>
  <r>
    <x v="11"/>
    <x v="1"/>
    <x v="0"/>
    <n v="726"/>
    <x v="1"/>
    <n v="29"/>
    <x v="1"/>
    <x v="0"/>
    <x v="0"/>
    <n v="1859"/>
    <x v="2"/>
    <x v="1"/>
    <n v="93"/>
    <x v="3"/>
    <x v="0"/>
    <x v="4"/>
    <x v="2"/>
    <x v="2"/>
    <x v="1226"/>
    <n v="21143"/>
    <n v="8"/>
    <s v="Y"/>
    <x v="1"/>
    <n v="17"/>
    <x v="0"/>
    <x v="1"/>
    <n v="80"/>
    <n v="2"/>
    <n v="11"/>
    <n v="3"/>
    <x v="1"/>
    <x v="5"/>
    <n v="0"/>
    <x v="1"/>
    <x v="4"/>
    <x v="2"/>
    <x v="0"/>
    <x v="0"/>
    <n v="0"/>
  </r>
  <r>
    <x v="19"/>
    <x v="1"/>
    <x v="0"/>
    <n v="1142"/>
    <x v="1"/>
    <n v="8"/>
    <x v="3"/>
    <x v="0"/>
    <x v="0"/>
    <n v="1860"/>
    <x v="2"/>
    <x v="1"/>
    <n v="81"/>
    <x v="0"/>
    <x v="1"/>
    <x v="2"/>
    <x v="2"/>
    <x v="0"/>
    <x v="1227"/>
    <n v="13624"/>
    <n v="4"/>
    <s v="Y"/>
    <x v="1"/>
    <n v="13"/>
    <x v="0"/>
    <x v="1"/>
    <n v="80"/>
    <n v="0"/>
    <n v="8"/>
    <n v="3"/>
    <x v="1"/>
    <x v="2"/>
    <n v="0"/>
    <x v="0"/>
    <x v="2"/>
    <x v="0"/>
    <x v="1"/>
    <x v="1"/>
    <n v="0"/>
  </r>
  <r>
    <x v="5"/>
    <x v="0"/>
    <x v="0"/>
    <n v="414"/>
    <x v="0"/>
    <n v="2"/>
    <x v="2"/>
    <x v="3"/>
    <x v="0"/>
    <n v="1862"/>
    <x v="1"/>
    <x v="1"/>
    <n v="82"/>
    <x v="1"/>
    <x v="0"/>
    <x v="0"/>
    <x v="1"/>
    <x v="0"/>
    <x v="1228"/>
    <n v="26186"/>
    <n v="7"/>
    <s v="Y"/>
    <x v="0"/>
    <n v="12"/>
    <x v="0"/>
    <x v="3"/>
    <n v="80"/>
    <n v="0"/>
    <n v="7"/>
    <n v="3"/>
    <x v="2"/>
    <x v="4"/>
    <n v="2"/>
    <x v="3"/>
    <x v="3"/>
    <x v="1"/>
    <x v="1"/>
    <x v="0"/>
    <n v="1"/>
  </r>
  <r>
    <x v="21"/>
    <x v="1"/>
    <x v="0"/>
    <n v="1319"/>
    <x v="0"/>
    <n v="3"/>
    <x v="3"/>
    <x v="4"/>
    <x v="0"/>
    <n v="1863"/>
    <x v="3"/>
    <x v="0"/>
    <n v="45"/>
    <x v="2"/>
    <x v="3"/>
    <x v="0"/>
    <x v="3"/>
    <x v="2"/>
    <x v="1229"/>
    <n v="7739"/>
    <n v="2"/>
    <s v="Y"/>
    <x v="1"/>
    <n v="12"/>
    <x v="0"/>
    <x v="1"/>
    <n v="80"/>
    <n v="1"/>
    <n v="25"/>
    <n v="5"/>
    <x v="1"/>
    <x v="27"/>
    <n v="17"/>
    <x v="3"/>
    <x v="5"/>
    <x v="0"/>
    <x v="3"/>
    <x v="3"/>
    <n v="0"/>
  </r>
  <r>
    <x v="4"/>
    <x v="1"/>
    <x v="0"/>
    <n v="728"/>
    <x v="0"/>
    <n v="23"/>
    <x v="1"/>
    <x v="2"/>
    <x v="0"/>
    <n v="1864"/>
    <x v="0"/>
    <x v="0"/>
    <n v="36"/>
    <x v="1"/>
    <x v="0"/>
    <x v="6"/>
    <x v="2"/>
    <x v="1"/>
    <x v="1230"/>
    <n v="7018"/>
    <n v="1"/>
    <s v="Y"/>
    <x v="1"/>
    <n v="21"/>
    <x v="1"/>
    <x v="1"/>
    <n v="80"/>
    <n v="1"/>
    <n v="9"/>
    <n v="5"/>
    <x v="1"/>
    <x v="7"/>
    <n v="8"/>
    <x v="8"/>
    <x v="5"/>
    <x v="2"/>
    <x v="0"/>
    <x v="1"/>
    <n v="0"/>
  </r>
  <r>
    <x v="11"/>
    <x v="1"/>
    <x v="0"/>
    <n v="352"/>
    <x v="2"/>
    <n v="6"/>
    <x v="1"/>
    <x v="2"/>
    <x v="0"/>
    <n v="1865"/>
    <x v="2"/>
    <x v="1"/>
    <n v="87"/>
    <x v="1"/>
    <x v="1"/>
    <x v="8"/>
    <x v="1"/>
    <x v="1"/>
    <x v="1231"/>
    <n v="15434"/>
    <n v="1"/>
    <s v="Y"/>
    <x v="1"/>
    <n v="11"/>
    <x v="0"/>
    <x v="1"/>
    <n v="80"/>
    <n v="0"/>
    <n v="1"/>
    <n v="3"/>
    <x v="1"/>
    <x v="6"/>
    <n v="0"/>
    <x v="0"/>
    <x v="2"/>
    <x v="2"/>
    <x v="1"/>
    <x v="1"/>
    <n v="0"/>
  </r>
  <r>
    <x v="23"/>
    <x v="1"/>
    <x v="0"/>
    <n v="823"/>
    <x v="1"/>
    <n v="6"/>
    <x v="3"/>
    <x v="2"/>
    <x v="0"/>
    <n v="1866"/>
    <x v="3"/>
    <x v="0"/>
    <n v="81"/>
    <x v="1"/>
    <x v="4"/>
    <x v="5"/>
    <x v="2"/>
    <x v="1"/>
    <x v="1232"/>
    <n v="22539"/>
    <n v="7"/>
    <s v="Y"/>
    <x v="1"/>
    <n v="13"/>
    <x v="0"/>
    <x v="1"/>
    <n v="80"/>
    <n v="0"/>
    <n v="21"/>
    <n v="2"/>
    <x v="1"/>
    <x v="22"/>
    <n v="12"/>
    <x v="7"/>
    <x v="17"/>
    <x v="0"/>
    <x v="3"/>
    <x v="2"/>
    <n v="0"/>
  </r>
  <r>
    <x v="26"/>
    <x v="1"/>
    <x v="0"/>
    <n v="1224"/>
    <x v="1"/>
    <n v="10"/>
    <x v="3"/>
    <x v="0"/>
    <x v="0"/>
    <n v="1867"/>
    <x v="2"/>
    <x v="1"/>
    <n v="91"/>
    <x v="1"/>
    <x v="4"/>
    <x v="7"/>
    <x v="1"/>
    <x v="1"/>
    <x v="1233"/>
    <n v="13583"/>
    <n v="4"/>
    <s v="Y"/>
    <x v="1"/>
    <n v="12"/>
    <x v="0"/>
    <x v="1"/>
    <n v="80"/>
    <n v="0"/>
    <n v="29"/>
    <n v="3"/>
    <x v="1"/>
    <x v="14"/>
    <n v="10"/>
    <x v="12"/>
    <x v="12"/>
    <x v="0"/>
    <x v="3"/>
    <x v="2"/>
    <n v="0"/>
  </r>
  <r>
    <x v="11"/>
    <x v="0"/>
    <x v="1"/>
    <n v="459"/>
    <x v="1"/>
    <n v="24"/>
    <x v="0"/>
    <x v="0"/>
    <x v="0"/>
    <n v="1868"/>
    <x v="2"/>
    <x v="1"/>
    <n v="73"/>
    <x v="1"/>
    <x v="1"/>
    <x v="1"/>
    <x v="0"/>
    <x v="0"/>
    <x v="1234"/>
    <n v="14753"/>
    <n v="1"/>
    <s v="Y"/>
    <x v="0"/>
    <n v="24"/>
    <x v="1"/>
    <x v="2"/>
    <n v="80"/>
    <n v="0"/>
    <n v="1"/>
    <n v="3"/>
    <x v="2"/>
    <x v="6"/>
    <n v="0"/>
    <x v="1"/>
    <x v="2"/>
    <x v="2"/>
    <x v="1"/>
    <x v="1"/>
    <n v="1"/>
  </r>
  <r>
    <x v="21"/>
    <x v="0"/>
    <x v="0"/>
    <n v="1254"/>
    <x v="0"/>
    <n v="10"/>
    <x v="3"/>
    <x v="0"/>
    <x v="0"/>
    <n v="1869"/>
    <x v="1"/>
    <x v="0"/>
    <n v="64"/>
    <x v="0"/>
    <x v="2"/>
    <x v="0"/>
    <x v="1"/>
    <x v="1"/>
    <x v="1235"/>
    <n v="14011"/>
    <n v="5"/>
    <s v="Y"/>
    <x v="1"/>
    <n v="21"/>
    <x v="1"/>
    <x v="3"/>
    <n v="80"/>
    <n v="3"/>
    <n v="14"/>
    <n v="2"/>
    <x v="1"/>
    <x v="3"/>
    <n v="7"/>
    <x v="0"/>
    <x v="1"/>
    <x v="0"/>
    <x v="0"/>
    <x v="0"/>
    <n v="1"/>
  </r>
  <r>
    <x v="4"/>
    <x v="1"/>
    <x v="1"/>
    <n v="1131"/>
    <x v="1"/>
    <n v="15"/>
    <x v="3"/>
    <x v="0"/>
    <x v="0"/>
    <n v="1870"/>
    <x v="2"/>
    <x v="0"/>
    <n v="77"/>
    <x v="1"/>
    <x v="1"/>
    <x v="1"/>
    <x v="3"/>
    <x v="1"/>
    <x v="1236"/>
    <n v="23844"/>
    <n v="0"/>
    <s v="Y"/>
    <x v="1"/>
    <n v="19"/>
    <x v="0"/>
    <x v="1"/>
    <n v="80"/>
    <n v="1"/>
    <n v="8"/>
    <n v="2"/>
    <x v="2"/>
    <x v="5"/>
    <n v="6"/>
    <x v="4"/>
    <x v="6"/>
    <x v="2"/>
    <x v="0"/>
    <x v="1"/>
    <n v="0"/>
  </r>
  <r>
    <x v="22"/>
    <x v="1"/>
    <x v="0"/>
    <n v="835"/>
    <x v="1"/>
    <n v="19"/>
    <x v="2"/>
    <x v="1"/>
    <x v="0"/>
    <n v="1871"/>
    <x v="2"/>
    <x v="1"/>
    <n v="41"/>
    <x v="0"/>
    <x v="0"/>
    <x v="1"/>
    <x v="0"/>
    <x v="2"/>
    <x v="1237"/>
    <n v="5141"/>
    <n v="8"/>
    <s v="Y"/>
    <x v="1"/>
    <n v="14"/>
    <x v="0"/>
    <x v="2"/>
    <n v="80"/>
    <n v="3"/>
    <n v="7"/>
    <n v="2"/>
    <x v="1"/>
    <x v="4"/>
    <n v="2"/>
    <x v="3"/>
    <x v="3"/>
    <x v="1"/>
    <x v="1"/>
    <x v="1"/>
    <n v="0"/>
  </r>
  <r>
    <x v="27"/>
    <x v="1"/>
    <x v="0"/>
    <n v="836"/>
    <x v="1"/>
    <n v="2"/>
    <x v="2"/>
    <x v="4"/>
    <x v="0"/>
    <n v="1873"/>
    <x v="0"/>
    <x v="1"/>
    <n v="98"/>
    <x v="1"/>
    <x v="1"/>
    <x v="1"/>
    <x v="0"/>
    <x v="1"/>
    <x v="1238"/>
    <n v="7975"/>
    <n v="8"/>
    <s v="Y"/>
    <x v="1"/>
    <n v="20"/>
    <x v="1"/>
    <x v="2"/>
    <n v="80"/>
    <n v="1"/>
    <n v="19"/>
    <n v="2"/>
    <x v="3"/>
    <x v="8"/>
    <n v="2"/>
    <x v="0"/>
    <x v="10"/>
    <x v="3"/>
    <x v="2"/>
    <x v="1"/>
    <n v="0"/>
  </r>
  <r>
    <x v="14"/>
    <x v="1"/>
    <x v="0"/>
    <n v="1172"/>
    <x v="0"/>
    <n v="3"/>
    <x v="3"/>
    <x v="2"/>
    <x v="0"/>
    <n v="1875"/>
    <x v="0"/>
    <x v="0"/>
    <n v="78"/>
    <x v="0"/>
    <x v="1"/>
    <x v="6"/>
    <x v="1"/>
    <x v="1"/>
    <x v="1239"/>
    <n v="3692"/>
    <n v="1"/>
    <s v="Y"/>
    <x v="1"/>
    <n v="19"/>
    <x v="0"/>
    <x v="1"/>
    <n v="80"/>
    <n v="1"/>
    <n v="1"/>
    <n v="3"/>
    <x v="1"/>
    <x v="6"/>
    <n v="0"/>
    <x v="0"/>
    <x v="2"/>
    <x v="2"/>
    <x v="1"/>
    <x v="1"/>
    <n v="0"/>
  </r>
  <r>
    <x v="7"/>
    <x v="0"/>
    <x v="0"/>
    <n v="945"/>
    <x v="0"/>
    <n v="9"/>
    <x v="3"/>
    <x v="2"/>
    <x v="0"/>
    <n v="1876"/>
    <x v="0"/>
    <x v="1"/>
    <n v="89"/>
    <x v="0"/>
    <x v="1"/>
    <x v="6"/>
    <x v="0"/>
    <x v="0"/>
    <x v="1240"/>
    <n v="16019"/>
    <n v="1"/>
    <s v="Y"/>
    <x v="1"/>
    <n v="13"/>
    <x v="0"/>
    <x v="3"/>
    <n v="80"/>
    <n v="0"/>
    <n v="1"/>
    <n v="3"/>
    <x v="2"/>
    <x v="6"/>
    <n v="0"/>
    <x v="0"/>
    <x v="2"/>
    <x v="1"/>
    <x v="1"/>
    <x v="1"/>
    <n v="1"/>
  </r>
  <r>
    <x v="15"/>
    <x v="0"/>
    <x v="0"/>
    <n v="391"/>
    <x v="1"/>
    <n v="7"/>
    <x v="1"/>
    <x v="0"/>
    <x v="0"/>
    <n v="1878"/>
    <x v="2"/>
    <x v="1"/>
    <n v="75"/>
    <x v="0"/>
    <x v="1"/>
    <x v="1"/>
    <x v="1"/>
    <x v="0"/>
    <x v="1241"/>
    <n v="26092"/>
    <n v="1"/>
    <s v="Y"/>
    <x v="0"/>
    <n v="23"/>
    <x v="1"/>
    <x v="0"/>
    <n v="80"/>
    <n v="0"/>
    <n v="1"/>
    <n v="2"/>
    <x v="1"/>
    <x v="6"/>
    <n v="0"/>
    <x v="0"/>
    <x v="2"/>
    <x v="2"/>
    <x v="1"/>
    <x v="1"/>
    <n v="1"/>
  </r>
  <r>
    <x v="9"/>
    <x v="1"/>
    <x v="0"/>
    <n v="1266"/>
    <x v="0"/>
    <n v="10"/>
    <x v="2"/>
    <x v="4"/>
    <x v="0"/>
    <n v="1880"/>
    <x v="0"/>
    <x v="0"/>
    <n v="63"/>
    <x v="1"/>
    <x v="0"/>
    <x v="0"/>
    <x v="2"/>
    <x v="1"/>
    <x v="1242"/>
    <n v="6060"/>
    <n v="1"/>
    <s v="Y"/>
    <x v="0"/>
    <n v="13"/>
    <x v="0"/>
    <x v="0"/>
    <n v="80"/>
    <n v="1"/>
    <n v="10"/>
    <n v="4"/>
    <x v="1"/>
    <x v="1"/>
    <n v="9"/>
    <x v="1"/>
    <x v="1"/>
    <x v="1"/>
    <x v="0"/>
    <x v="0"/>
    <n v="0"/>
  </r>
  <r>
    <x v="12"/>
    <x v="1"/>
    <x v="0"/>
    <n v="311"/>
    <x v="1"/>
    <n v="20"/>
    <x v="3"/>
    <x v="0"/>
    <x v="0"/>
    <n v="1881"/>
    <x v="0"/>
    <x v="1"/>
    <n v="89"/>
    <x v="0"/>
    <x v="0"/>
    <x v="2"/>
    <x v="2"/>
    <x v="2"/>
    <x v="378"/>
    <n v="18624"/>
    <n v="1"/>
    <s v="Y"/>
    <x v="1"/>
    <n v="11"/>
    <x v="0"/>
    <x v="0"/>
    <n v="80"/>
    <n v="1"/>
    <n v="10"/>
    <n v="2"/>
    <x v="1"/>
    <x v="1"/>
    <n v="8"/>
    <x v="0"/>
    <x v="3"/>
    <x v="1"/>
    <x v="0"/>
    <x v="1"/>
    <n v="0"/>
  </r>
  <r>
    <x v="13"/>
    <x v="1"/>
    <x v="0"/>
    <n v="1480"/>
    <x v="0"/>
    <n v="4"/>
    <x v="3"/>
    <x v="0"/>
    <x v="0"/>
    <n v="1882"/>
    <x v="1"/>
    <x v="1"/>
    <n v="64"/>
    <x v="0"/>
    <x v="2"/>
    <x v="0"/>
    <x v="0"/>
    <x v="1"/>
    <x v="1243"/>
    <n v="24444"/>
    <n v="2"/>
    <s v="Y"/>
    <x v="0"/>
    <n v="13"/>
    <x v="0"/>
    <x v="1"/>
    <n v="80"/>
    <n v="3"/>
    <n v="9"/>
    <n v="3"/>
    <x v="1"/>
    <x v="8"/>
    <n v="3"/>
    <x v="1"/>
    <x v="2"/>
    <x v="1"/>
    <x v="2"/>
    <x v="0"/>
    <n v="0"/>
  </r>
  <r>
    <x v="11"/>
    <x v="1"/>
    <x v="0"/>
    <n v="592"/>
    <x v="1"/>
    <n v="7"/>
    <x v="3"/>
    <x v="0"/>
    <x v="0"/>
    <n v="1883"/>
    <x v="2"/>
    <x v="1"/>
    <n v="59"/>
    <x v="0"/>
    <x v="1"/>
    <x v="2"/>
    <x v="3"/>
    <x v="0"/>
    <x v="1244"/>
    <n v="19384"/>
    <n v="3"/>
    <s v="Y"/>
    <x v="1"/>
    <n v="14"/>
    <x v="0"/>
    <x v="2"/>
    <n v="80"/>
    <n v="0"/>
    <n v="11"/>
    <n v="2"/>
    <x v="1"/>
    <x v="11"/>
    <n v="2"/>
    <x v="1"/>
    <x v="3"/>
    <x v="2"/>
    <x v="2"/>
    <x v="1"/>
    <n v="0"/>
  </r>
  <r>
    <x v="2"/>
    <x v="1"/>
    <x v="0"/>
    <n v="783"/>
    <x v="1"/>
    <n v="7"/>
    <x v="2"/>
    <x v="2"/>
    <x v="0"/>
    <n v="1885"/>
    <x v="2"/>
    <x v="1"/>
    <n v="78"/>
    <x v="0"/>
    <x v="0"/>
    <x v="1"/>
    <x v="3"/>
    <x v="1"/>
    <x v="948"/>
    <n v="13588"/>
    <n v="5"/>
    <s v="Y"/>
    <x v="0"/>
    <n v="22"/>
    <x v="1"/>
    <x v="3"/>
    <n v="80"/>
    <n v="1"/>
    <n v="16"/>
    <n v="2"/>
    <x v="1"/>
    <x v="8"/>
    <n v="3"/>
    <x v="0"/>
    <x v="10"/>
    <x v="1"/>
    <x v="2"/>
    <x v="1"/>
    <n v="0"/>
  </r>
  <r>
    <x v="10"/>
    <x v="1"/>
    <x v="0"/>
    <n v="219"/>
    <x v="1"/>
    <n v="16"/>
    <x v="0"/>
    <x v="1"/>
    <x v="0"/>
    <n v="1886"/>
    <x v="2"/>
    <x v="0"/>
    <n v="44"/>
    <x v="1"/>
    <x v="0"/>
    <x v="3"/>
    <x v="1"/>
    <x v="1"/>
    <x v="1245"/>
    <n v="25388"/>
    <n v="0"/>
    <s v="Y"/>
    <x v="0"/>
    <n v="11"/>
    <x v="0"/>
    <x v="1"/>
    <n v="80"/>
    <n v="0"/>
    <n v="4"/>
    <n v="2"/>
    <x v="1"/>
    <x v="11"/>
    <n v="2"/>
    <x v="0"/>
    <x v="3"/>
    <x v="1"/>
    <x v="2"/>
    <x v="1"/>
    <n v="0"/>
  </r>
  <r>
    <x v="28"/>
    <x v="1"/>
    <x v="0"/>
    <n v="556"/>
    <x v="1"/>
    <n v="25"/>
    <x v="0"/>
    <x v="0"/>
    <x v="0"/>
    <n v="1888"/>
    <x v="0"/>
    <x v="0"/>
    <n v="93"/>
    <x v="1"/>
    <x v="0"/>
    <x v="3"/>
    <x v="0"/>
    <x v="1"/>
    <x v="1246"/>
    <n v="23888"/>
    <n v="0"/>
    <s v="Y"/>
    <x v="1"/>
    <n v="13"/>
    <x v="0"/>
    <x v="1"/>
    <n v="80"/>
    <n v="2"/>
    <n v="10"/>
    <n v="2"/>
    <x v="2"/>
    <x v="7"/>
    <n v="8"/>
    <x v="2"/>
    <x v="5"/>
    <x v="0"/>
    <x v="0"/>
    <x v="0"/>
    <n v="0"/>
  </r>
  <r>
    <x v="9"/>
    <x v="1"/>
    <x v="1"/>
    <n v="1213"/>
    <x v="2"/>
    <n v="2"/>
    <x v="1"/>
    <x v="5"/>
    <x v="0"/>
    <n v="1890"/>
    <x v="0"/>
    <x v="1"/>
    <n v="94"/>
    <x v="1"/>
    <x v="0"/>
    <x v="8"/>
    <x v="0"/>
    <x v="0"/>
    <x v="1247"/>
    <n v="4223"/>
    <n v="1"/>
    <s v="Y"/>
    <x v="1"/>
    <n v="21"/>
    <x v="1"/>
    <x v="1"/>
    <n v="80"/>
    <n v="0"/>
    <n v="10"/>
    <n v="2"/>
    <x v="2"/>
    <x v="1"/>
    <n v="1"/>
    <x v="0"/>
    <x v="5"/>
    <x v="1"/>
    <x v="0"/>
    <x v="1"/>
    <n v="0"/>
  </r>
  <r>
    <x v="32"/>
    <x v="1"/>
    <x v="0"/>
    <n v="1137"/>
    <x v="1"/>
    <n v="1"/>
    <x v="2"/>
    <x v="0"/>
    <x v="0"/>
    <n v="1892"/>
    <x v="3"/>
    <x v="1"/>
    <n v="98"/>
    <x v="0"/>
    <x v="3"/>
    <x v="5"/>
    <x v="3"/>
    <x v="2"/>
    <x v="1248"/>
    <n v="18991"/>
    <n v="2"/>
    <s v="Y"/>
    <x v="1"/>
    <n v="11"/>
    <x v="0"/>
    <x v="0"/>
    <n v="80"/>
    <n v="1"/>
    <n v="22"/>
    <n v="3"/>
    <x v="1"/>
    <x v="27"/>
    <n v="7"/>
    <x v="14"/>
    <x v="16"/>
    <x v="0"/>
    <x v="3"/>
    <x v="2"/>
    <n v="0"/>
  </r>
  <r>
    <x v="25"/>
    <x v="1"/>
    <x v="0"/>
    <n v="482"/>
    <x v="1"/>
    <n v="1"/>
    <x v="0"/>
    <x v="0"/>
    <x v="0"/>
    <n v="1893"/>
    <x v="0"/>
    <x v="0"/>
    <n v="90"/>
    <x v="1"/>
    <x v="1"/>
    <x v="1"/>
    <x v="2"/>
    <x v="1"/>
    <x v="1249"/>
    <n v="14908"/>
    <n v="1"/>
    <s v="Y"/>
    <x v="0"/>
    <n v="13"/>
    <x v="0"/>
    <x v="3"/>
    <n v="80"/>
    <n v="1"/>
    <n v="1"/>
    <n v="3"/>
    <x v="2"/>
    <x v="6"/>
    <n v="0"/>
    <x v="1"/>
    <x v="2"/>
    <x v="2"/>
    <x v="1"/>
    <x v="1"/>
    <n v="0"/>
  </r>
  <r>
    <x v="4"/>
    <x v="1"/>
    <x v="0"/>
    <n v="511"/>
    <x v="0"/>
    <n v="2"/>
    <x v="0"/>
    <x v="2"/>
    <x v="0"/>
    <n v="1898"/>
    <x v="3"/>
    <x v="0"/>
    <n v="89"/>
    <x v="2"/>
    <x v="0"/>
    <x v="0"/>
    <x v="2"/>
    <x v="0"/>
    <x v="559"/>
    <n v="26997"/>
    <n v="0"/>
    <s v="Y"/>
    <x v="1"/>
    <n v="14"/>
    <x v="0"/>
    <x v="2"/>
    <n v="80"/>
    <n v="0"/>
    <n v="9"/>
    <n v="5"/>
    <x v="2"/>
    <x v="3"/>
    <n v="7"/>
    <x v="0"/>
    <x v="1"/>
    <x v="2"/>
    <x v="0"/>
    <x v="0"/>
    <n v="0"/>
  </r>
  <r>
    <x v="26"/>
    <x v="1"/>
    <x v="1"/>
    <n v="117"/>
    <x v="1"/>
    <n v="22"/>
    <x v="3"/>
    <x v="2"/>
    <x v="0"/>
    <n v="1900"/>
    <x v="2"/>
    <x v="0"/>
    <n v="58"/>
    <x v="0"/>
    <x v="3"/>
    <x v="5"/>
    <x v="0"/>
    <x v="2"/>
    <x v="1250"/>
    <n v="2437"/>
    <n v="3"/>
    <s v="Y"/>
    <x v="1"/>
    <n v="11"/>
    <x v="0"/>
    <x v="2"/>
    <n v="80"/>
    <n v="1"/>
    <n v="24"/>
    <n v="3"/>
    <x v="1"/>
    <x v="14"/>
    <n v="17"/>
    <x v="5"/>
    <x v="1"/>
    <x v="0"/>
    <x v="3"/>
    <x v="2"/>
    <n v="0"/>
  </r>
  <r>
    <x v="20"/>
    <x v="1"/>
    <x v="0"/>
    <n v="170"/>
    <x v="1"/>
    <n v="1"/>
    <x v="2"/>
    <x v="0"/>
    <x v="0"/>
    <n v="1903"/>
    <x v="0"/>
    <x v="1"/>
    <n v="78"/>
    <x v="2"/>
    <x v="0"/>
    <x v="4"/>
    <x v="3"/>
    <x v="1"/>
    <x v="1251"/>
    <n v="9364"/>
    <n v="2"/>
    <s v="Y"/>
    <x v="1"/>
    <n v="15"/>
    <x v="0"/>
    <x v="1"/>
    <n v="80"/>
    <n v="1"/>
    <n v="10"/>
    <n v="5"/>
    <x v="1"/>
    <x v="4"/>
    <n v="0"/>
    <x v="3"/>
    <x v="3"/>
    <x v="0"/>
    <x v="1"/>
    <x v="0"/>
    <n v="0"/>
  </r>
  <r>
    <x v="13"/>
    <x v="0"/>
    <x v="2"/>
    <n v="967"/>
    <x v="1"/>
    <n v="16"/>
    <x v="2"/>
    <x v="4"/>
    <x v="0"/>
    <n v="1905"/>
    <x v="2"/>
    <x v="1"/>
    <n v="85"/>
    <x v="3"/>
    <x v="1"/>
    <x v="1"/>
    <x v="3"/>
    <x v="1"/>
    <x v="1252"/>
    <n v="14460"/>
    <n v="1"/>
    <s v="Y"/>
    <x v="0"/>
    <n v="23"/>
    <x v="1"/>
    <x v="2"/>
    <n v="80"/>
    <n v="1"/>
    <n v="5"/>
    <n v="2"/>
    <x v="1"/>
    <x v="8"/>
    <n v="2"/>
    <x v="2"/>
    <x v="2"/>
    <x v="1"/>
    <x v="2"/>
    <x v="1"/>
    <n v="1"/>
  </r>
  <r>
    <x v="29"/>
    <x v="0"/>
    <x v="0"/>
    <n v="1162"/>
    <x v="1"/>
    <n v="24"/>
    <x v="0"/>
    <x v="0"/>
    <x v="0"/>
    <n v="1907"/>
    <x v="3"/>
    <x v="1"/>
    <n v="97"/>
    <x v="0"/>
    <x v="1"/>
    <x v="2"/>
    <x v="0"/>
    <x v="0"/>
    <x v="1105"/>
    <n v="10261"/>
    <n v="1"/>
    <s v="Y"/>
    <x v="1"/>
    <n v="16"/>
    <x v="0"/>
    <x v="1"/>
    <n v="80"/>
    <n v="0"/>
    <n v="5"/>
    <n v="3"/>
    <x v="1"/>
    <x v="9"/>
    <n v="2"/>
    <x v="1"/>
    <x v="2"/>
    <x v="3"/>
    <x v="2"/>
    <x v="1"/>
    <n v="1"/>
  </r>
  <r>
    <x v="9"/>
    <x v="1"/>
    <x v="0"/>
    <n v="335"/>
    <x v="0"/>
    <n v="17"/>
    <x v="0"/>
    <x v="3"/>
    <x v="0"/>
    <n v="1908"/>
    <x v="1"/>
    <x v="1"/>
    <n v="33"/>
    <x v="1"/>
    <x v="0"/>
    <x v="0"/>
    <x v="1"/>
    <x v="1"/>
    <x v="1253"/>
    <n v="16822"/>
    <n v="2"/>
    <s v="Y"/>
    <x v="1"/>
    <n v="16"/>
    <x v="0"/>
    <x v="3"/>
    <n v="80"/>
    <n v="2"/>
    <n v="12"/>
    <n v="1"/>
    <x v="0"/>
    <x v="9"/>
    <n v="2"/>
    <x v="1"/>
    <x v="6"/>
    <x v="1"/>
    <x v="2"/>
    <x v="0"/>
    <n v="0"/>
  </r>
  <r>
    <x v="0"/>
    <x v="1"/>
    <x v="0"/>
    <n v="337"/>
    <x v="0"/>
    <n v="8"/>
    <x v="3"/>
    <x v="3"/>
    <x v="0"/>
    <n v="1909"/>
    <x v="1"/>
    <x v="0"/>
    <n v="54"/>
    <x v="0"/>
    <x v="0"/>
    <x v="0"/>
    <x v="1"/>
    <x v="1"/>
    <x v="1254"/>
    <n v="26841"/>
    <n v="5"/>
    <s v="Y"/>
    <x v="1"/>
    <n v="21"/>
    <x v="1"/>
    <x v="3"/>
    <n v="80"/>
    <n v="1"/>
    <n v="14"/>
    <n v="3"/>
    <x v="1"/>
    <x v="8"/>
    <n v="4"/>
    <x v="1"/>
    <x v="10"/>
    <x v="0"/>
    <x v="2"/>
    <x v="1"/>
    <n v="0"/>
  </r>
  <r>
    <x v="19"/>
    <x v="1"/>
    <x v="0"/>
    <n v="1396"/>
    <x v="1"/>
    <n v="6"/>
    <x v="3"/>
    <x v="2"/>
    <x v="0"/>
    <n v="1911"/>
    <x v="1"/>
    <x v="1"/>
    <n v="83"/>
    <x v="0"/>
    <x v="2"/>
    <x v="7"/>
    <x v="3"/>
    <x v="1"/>
    <x v="1255"/>
    <n v="14842"/>
    <n v="9"/>
    <s v="Y"/>
    <x v="1"/>
    <n v="13"/>
    <x v="0"/>
    <x v="2"/>
    <n v="80"/>
    <n v="1"/>
    <n v="18"/>
    <n v="3"/>
    <x v="3"/>
    <x v="20"/>
    <n v="7"/>
    <x v="8"/>
    <x v="1"/>
    <x v="0"/>
    <x v="3"/>
    <x v="3"/>
    <n v="0"/>
  </r>
  <r>
    <x v="12"/>
    <x v="1"/>
    <x v="0"/>
    <n v="1079"/>
    <x v="0"/>
    <n v="10"/>
    <x v="0"/>
    <x v="2"/>
    <x v="0"/>
    <n v="1912"/>
    <x v="1"/>
    <x v="0"/>
    <n v="86"/>
    <x v="0"/>
    <x v="0"/>
    <x v="0"/>
    <x v="0"/>
    <x v="2"/>
    <x v="1256"/>
    <n v="20115"/>
    <n v="2"/>
    <s v="Y"/>
    <x v="0"/>
    <n v="11"/>
    <x v="0"/>
    <x v="1"/>
    <n v="80"/>
    <n v="1"/>
    <n v="8"/>
    <n v="2"/>
    <x v="1"/>
    <x v="8"/>
    <n v="2"/>
    <x v="1"/>
    <x v="10"/>
    <x v="1"/>
    <x v="2"/>
    <x v="0"/>
    <n v="0"/>
  </r>
  <r>
    <x v="13"/>
    <x v="1"/>
    <x v="0"/>
    <n v="735"/>
    <x v="0"/>
    <n v="3"/>
    <x v="1"/>
    <x v="2"/>
    <x v="0"/>
    <n v="1915"/>
    <x v="2"/>
    <x v="0"/>
    <n v="75"/>
    <x v="1"/>
    <x v="0"/>
    <x v="0"/>
    <x v="0"/>
    <x v="1"/>
    <x v="1257"/>
    <n v="16495"/>
    <n v="3"/>
    <s v="Y"/>
    <x v="0"/>
    <n v="12"/>
    <x v="0"/>
    <x v="3"/>
    <n v="80"/>
    <n v="0"/>
    <n v="9"/>
    <n v="3"/>
    <x v="2"/>
    <x v="9"/>
    <n v="2"/>
    <x v="0"/>
    <x v="9"/>
    <x v="1"/>
    <x v="2"/>
    <x v="0"/>
    <n v="0"/>
  </r>
  <r>
    <x v="12"/>
    <x v="1"/>
    <x v="0"/>
    <n v="471"/>
    <x v="1"/>
    <n v="4"/>
    <x v="3"/>
    <x v="2"/>
    <x v="0"/>
    <n v="1916"/>
    <x v="3"/>
    <x v="0"/>
    <n v="62"/>
    <x v="2"/>
    <x v="1"/>
    <x v="2"/>
    <x v="2"/>
    <x v="2"/>
    <x v="1258"/>
    <n v="16031"/>
    <n v="8"/>
    <s v="Y"/>
    <x v="1"/>
    <n v="12"/>
    <x v="0"/>
    <x v="2"/>
    <n v="80"/>
    <n v="1"/>
    <n v="4"/>
    <n v="0"/>
    <x v="2"/>
    <x v="4"/>
    <n v="2"/>
    <x v="3"/>
    <x v="3"/>
    <x v="1"/>
    <x v="1"/>
    <x v="1"/>
    <n v="0"/>
  </r>
  <r>
    <x v="25"/>
    <x v="1"/>
    <x v="1"/>
    <n v="1096"/>
    <x v="1"/>
    <n v="6"/>
    <x v="3"/>
    <x v="1"/>
    <x v="0"/>
    <n v="1918"/>
    <x v="1"/>
    <x v="1"/>
    <n v="61"/>
    <x v="2"/>
    <x v="1"/>
    <x v="2"/>
    <x v="0"/>
    <x v="1"/>
    <x v="1259"/>
    <n v="7102"/>
    <n v="0"/>
    <s v="Y"/>
    <x v="1"/>
    <n v="18"/>
    <x v="0"/>
    <x v="0"/>
    <n v="80"/>
    <n v="1"/>
    <n v="8"/>
    <n v="3"/>
    <x v="1"/>
    <x v="5"/>
    <n v="7"/>
    <x v="4"/>
    <x v="1"/>
    <x v="2"/>
    <x v="0"/>
    <x v="1"/>
    <n v="0"/>
  </r>
  <r>
    <x v="28"/>
    <x v="1"/>
    <x v="1"/>
    <n v="1297"/>
    <x v="1"/>
    <n v="1"/>
    <x v="2"/>
    <x v="2"/>
    <x v="0"/>
    <n v="1922"/>
    <x v="0"/>
    <x v="1"/>
    <n v="44"/>
    <x v="0"/>
    <x v="0"/>
    <x v="4"/>
    <x v="2"/>
    <x v="0"/>
    <x v="1260"/>
    <n v="14511"/>
    <n v="4"/>
    <s v="Y"/>
    <x v="1"/>
    <n v="12"/>
    <x v="0"/>
    <x v="3"/>
    <n v="80"/>
    <n v="0"/>
    <n v="12"/>
    <n v="3"/>
    <x v="1"/>
    <x v="9"/>
    <n v="2"/>
    <x v="0"/>
    <x v="6"/>
    <x v="0"/>
    <x v="2"/>
    <x v="0"/>
    <n v="0"/>
  </r>
  <r>
    <x v="3"/>
    <x v="1"/>
    <x v="0"/>
    <n v="217"/>
    <x v="0"/>
    <n v="10"/>
    <x v="2"/>
    <x v="3"/>
    <x v="0"/>
    <n v="1924"/>
    <x v="0"/>
    <x v="1"/>
    <n v="43"/>
    <x v="0"/>
    <x v="0"/>
    <x v="0"/>
    <x v="2"/>
    <x v="0"/>
    <x v="1261"/>
    <n v="10410"/>
    <n v="1"/>
    <s v="Y"/>
    <x v="1"/>
    <n v="14"/>
    <x v="0"/>
    <x v="2"/>
    <n v="80"/>
    <n v="0"/>
    <n v="10"/>
    <n v="2"/>
    <x v="2"/>
    <x v="1"/>
    <n v="4"/>
    <x v="0"/>
    <x v="12"/>
    <x v="1"/>
    <x v="0"/>
    <x v="0"/>
    <n v="0"/>
  </r>
  <r>
    <x v="14"/>
    <x v="1"/>
    <x v="1"/>
    <n v="783"/>
    <x v="0"/>
    <n v="1"/>
    <x v="0"/>
    <x v="0"/>
    <x v="0"/>
    <n v="1927"/>
    <x v="1"/>
    <x v="1"/>
    <n v="42"/>
    <x v="1"/>
    <x v="0"/>
    <x v="0"/>
    <x v="0"/>
    <x v="1"/>
    <x v="1262"/>
    <n v="19255"/>
    <n v="1"/>
    <s v="Y"/>
    <x v="0"/>
    <n v="12"/>
    <x v="0"/>
    <x v="3"/>
    <n v="80"/>
    <n v="1"/>
    <n v="7"/>
    <n v="2"/>
    <x v="1"/>
    <x v="5"/>
    <n v="7"/>
    <x v="0"/>
    <x v="1"/>
    <x v="2"/>
    <x v="0"/>
    <x v="0"/>
    <n v="0"/>
  </r>
  <r>
    <x v="11"/>
    <x v="0"/>
    <x v="1"/>
    <n v="746"/>
    <x v="0"/>
    <n v="24"/>
    <x v="3"/>
    <x v="4"/>
    <x v="0"/>
    <n v="1928"/>
    <x v="1"/>
    <x v="1"/>
    <n v="45"/>
    <x v="2"/>
    <x v="1"/>
    <x v="6"/>
    <x v="3"/>
    <x v="0"/>
    <x v="1263"/>
    <n v="10642"/>
    <n v="1"/>
    <s v="Y"/>
    <x v="1"/>
    <n v="17"/>
    <x v="0"/>
    <x v="1"/>
    <n v="80"/>
    <n v="0"/>
    <n v="1"/>
    <n v="3"/>
    <x v="1"/>
    <x v="6"/>
    <n v="0"/>
    <x v="0"/>
    <x v="2"/>
    <x v="2"/>
    <x v="1"/>
    <x v="1"/>
    <n v="1"/>
  </r>
  <r>
    <x v="22"/>
    <x v="1"/>
    <x v="2"/>
    <n v="1251"/>
    <x v="0"/>
    <n v="21"/>
    <x v="2"/>
    <x v="0"/>
    <x v="0"/>
    <n v="1929"/>
    <x v="3"/>
    <x v="0"/>
    <n v="32"/>
    <x v="3"/>
    <x v="0"/>
    <x v="0"/>
    <x v="2"/>
    <x v="1"/>
    <x v="1264"/>
    <n v="3987"/>
    <n v="6"/>
    <s v="Y"/>
    <x v="1"/>
    <n v="19"/>
    <x v="0"/>
    <x v="3"/>
    <n v="80"/>
    <n v="1"/>
    <n v="10"/>
    <n v="1"/>
    <x v="1"/>
    <x v="11"/>
    <n v="2"/>
    <x v="1"/>
    <x v="3"/>
    <x v="1"/>
    <x v="2"/>
    <x v="0"/>
    <n v="0"/>
  </r>
  <r>
    <x v="4"/>
    <x v="1"/>
    <x v="0"/>
    <n v="1354"/>
    <x v="1"/>
    <n v="2"/>
    <x v="2"/>
    <x v="4"/>
    <x v="0"/>
    <n v="1931"/>
    <x v="0"/>
    <x v="1"/>
    <n v="41"/>
    <x v="0"/>
    <x v="1"/>
    <x v="1"/>
    <x v="1"/>
    <x v="1"/>
    <x v="1265"/>
    <n v="6073"/>
    <n v="1"/>
    <s v="Y"/>
    <x v="1"/>
    <n v="11"/>
    <x v="0"/>
    <x v="3"/>
    <n v="80"/>
    <n v="1"/>
    <n v="6"/>
    <n v="3"/>
    <x v="2"/>
    <x v="8"/>
    <n v="3"/>
    <x v="1"/>
    <x v="3"/>
    <x v="2"/>
    <x v="2"/>
    <x v="1"/>
    <n v="0"/>
  </r>
  <r>
    <x v="13"/>
    <x v="1"/>
    <x v="1"/>
    <n v="735"/>
    <x v="1"/>
    <n v="22"/>
    <x v="2"/>
    <x v="1"/>
    <x v="0"/>
    <n v="1932"/>
    <x v="1"/>
    <x v="1"/>
    <n v="86"/>
    <x v="1"/>
    <x v="0"/>
    <x v="1"/>
    <x v="0"/>
    <x v="1"/>
    <x v="1266"/>
    <n v="26496"/>
    <n v="1"/>
    <s v="Y"/>
    <x v="0"/>
    <n v="15"/>
    <x v="0"/>
    <x v="2"/>
    <n v="80"/>
    <n v="0"/>
    <n v="16"/>
    <n v="3"/>
    <x v="1"/>
    <x v="15"/>
    <n v="10"/>
    <x v="7"/>
    <x v="7"/>
    <x v="1"/>
    <x v="3"/>
    <x v="0"/>
    <n v="0"/>
  </r>
  <r>
    <x v="14"/>
    <x v="0"/>
    <x v="0"/>
    <n v="1475"/>
    <x v="0"/>
    <n v="13"/>
    <x v="0"/>
    <x v="3"/>
    <x v="0"/>
    <n v="1933"/>
    <x v="2"/>
    <x v="0"/>
    <n v="84"/>
    <x v="0"/>
    <x v="0"/>
    <x v="0"/>
    <x v="2"/>
    <x v="0"/>
    <x v="1267"/>
    <n v="23352"/>
    <n v="3"/>
    <s v="Y"/>
    <x v="0"/>
    <n v="11"/>
    <x v="0"/>
    <x v="1"/>
    <n v="80"/>
    <n v="0"/>
    <n v="6"/>
    <n v="0"/>
    <x v="1"/>
    <x v="4"/>
    <n v="0"/>
    <x v="3"/>
    <x v="3"/>
    <x v="2"/>
    <x v="1"/>
    <x v="0"/>
    <n v="1"/>
  </r>
  <r>
    <x v="40"/>
    <x v="1"/>
    <x v="2"/>
    <n v="1169"/>
    <x v="1"/>
    <n v="14"/>
    <x v="2"/>
    <x v="4"/>
    <x v="0"/>
    <n v="1934"/>
    <x v="1"/>
    <x v="1"/>
    <n v="64"/>
    <x v="0"/>
    <x v="0"/>
    <x v="1"/>
    <x v="1"/>
    <x v="1"/>
    <x v="931"/>
    <n v="2125"/>
    <n v="8"/>
    <s v="Y"/>
    <x v="1"/>
    <n v="18"/>
    <x v="0"/>
    <x v="3"/>
    <n v="80"/>
    <n v="1"/>
    <n v="16"/>
    <n v="4"/>
    <x v="3"/>
    <x v="3"/>
    <n v="7"/>
    <x v="1"/>
    <x v="1"/>
    <x v="0"/>
    <x v="0"/>
    <x v="0"/>
    <n v="0"/>
  </r>
  <r>
    <x v="29"/>
    <x v="1"/>
    <x v="0"/>
    <n v="1443"/>
    <x v="0"/>
    <n v="11"/>
    <x v="4"/>
    <x v="3"/>
    <x v="0"/>
    <n v="1935"/>
    <x v="2"/>
    <x v="0"/>
    <n v="89"/>
    <x v="1"/>
    <x v="0"/>
    <x v="0"/>
    <x v="3"/>
    <x v="1"/>
    <x v="1268"/>
    <n v="20328"/>
    <n v="4"/>
    <s v="Y"/>
    <x v="1"/>
    <n v="16"/>
    <x v="0"/>
    <x v="3"/>
    <n v="80"/>
    <n v="1"/>
    <n v="6"/>
    <n v="3"/>
    <x v="1"/>
    <x v="2"/>
    <n v="0"/>
    <x v="0"/>
    <x v="2"/>
    <x v="3"/>
    <x v="1"/>
    <x v="0"/>
    <n v="0"/>
  </r>
  <r>
    <x v="22"/>
    <x v="1"/>
    <x v="0"/>
    <n v="867"/>
    <x v="1"/>
    <n v="9"/>
    <x v="0"/>
    <x v="2"/>
    <x v="0"/>
    <n v="1936"/>
    <x v="3"/>
    <x v="1"/>
    <n v="87"/>
    <x v="0"/>
    <x v="0"/>
    <x v="3"/>
    <x v="3"/>
    <x v="1"/>
    <x v="1269"/>
    <n v="12315"/>
    <n v="1"/>
    <s v="Y"/>
    <x v="1"/>
    <n v="25"/>
    <x v="1"/>
    <x v="1"/>
    <n v="80"/>
    <n v="1"/>
    <n v="10"/>
    <n v="3"/>
    <x v="1"/>
    <x v="1"/>
    <n v="0"/>
    <x v="4"/>
    <x v="12"/>
    <x v="1"/>
    <x v="0"/>
    <x v="0"/>
    <n v="0"/>
  </r>
  <r>
    <x v="8"/>
    <x v="1"/>
    <x v="1"/>
    <n v="1394"/>
    <x v="1"/>
    <n v="8"/>
    <x v="3"/>
    <x v="2"/>
    <x v="0"/>
    <n v="1937"/>
    <x v="2"/>
    <x v="0"/>
    <n v="58"/>
    <x v="1"/>
    <x v="0"/>
    <x v="1"/>
    <x v="1"/>
    <x v="2"/>
    <x v="1270"/>
    <n v="18115"/>
    <n v="1"/>
    <s v="Y"/>
    <x v="0"/>
    <n v="16"/>
    <x v="0"/>
    <x v="3"/>
    <n v="80"/>
    <n v="1"/>
    <n v="20"/>
    <n v="3"/>
    <x v="1"/>
    <x v="23"/>
    <n v="11"/>
    <x v="0"/>
    <x v="1"/>
    <x v="1"/>
    <x v="3"/>
    <x v="1"/>
    <n v="0"/>
  </r>
  <r>
    <x v="34"/>
    <x v="1"/>
    <x v="0"/>
    <n v="605"/>
    <x v="0"/>
    <n v="21"/>
    <x v="3"/>
    <x v="0"/>
    <x v="0"/>
    <n v="1938"/>
    <x v="2"/>
    <x v="0"/>
    <n v="72"/>
    <x v="0"/>
    <x v="3"/>
    <x v="5"/>
    <x v="0"/>
    <x v="1"/>
    <x v="1271"/>
    <n v="11761"/>
    <n v="4"/>
    <s v="Y"/>
    <x v="0"/>
    <n v="13"/>
    <x v="0"/>
    <x v="3"/>
    <n v="80"/>
    <n v="1"/>
    <n v="29"/>
    <n v="2"/>
    <x v="2"/>
    <x v="6"/>
    <n v="0"/>
    <x v="0"/>
    <x v="2"/>
    <x v="3"/>
    <x v="1"/>
    <x v="2"/>
    <n v="0"/>
  </r>
  <r>
    <x v="5"/>
    <x v="0"/>
    <x v="1"/>
    <n v="238"/>
    <x v="1"/>
    <n v="5"/>
    <x v="0"/>
    <x v="0"/>
    <x v="0"/>
    <n v="1939"/>
    <x v="3"/>
    <x v="0"/>
    <n v="47"/>
    <x v="2"/>
    <x v="1"/>
    <x v="1"/>
    <x v="2"/>
    <x v="0"/>
    <x v="1272"/>
    <n v="15318"/>
    <n v="3"/>
    <s v="Y"/>
    <x v="0"/>
    <n v="14"/>
    <x v="0"/>
    <x v="0"/>
    <n v="80"/>
    <n v="0"/>
    <n v="8"/>
    <n v="2"/>
    <x v="1"/>
    <x v="9"/>
    <n v="1"/>
    <x v="0"/>
    <x v="6"/>
    <x v="1"/>
    <x v="2"/>
    <x v="1"/>
    <n v="1"/>
  </r>
  <r>
    <x v="8"/>
    <x v="1"/>
    <x v="0"/>
    <n v="1206"/>
    <x v="1"/>
    <n v="9"/>
    <x v="0"/>
    <x v="0"/>
    <x v="0"/>
    <n v="1940"/>
    <x v="0"/>
    <x v="1"/>
    <n v="71"/>
    <x v="0"/>
    <x v="1"/>
    <x v="1"/>
    <x v="0"/>
    <x v="2"/>
    <x v="1273"/>
    <n v="14293"/>
    <n v="2"/>
    <s v="Y"/>
    <x v="1"/>
    <n v="19"/>
    <x v="0"/>
    <x v="1"/>
    <n v="80"/>
    <n v="2"/>
    <n v="10"/>
    <n v="0"/>
    <x v="3"/>
    <x v="8"/>
    <n v="2"/>
    <x v="0"/>
    <x v="6"/>
    <x v="1"/>
    <x v="2"/>
    <x v="1"/>
    <n v="0"/>
  </r>
  <r>
    <x v="1"/>
    <x v="1"/>
    <x v="1"/>
    <n v="1064"/>
    <x v="1"/>
    <n v="2"/>
    <x v="1"/>
    <x v="0"/>
    <x v="0"/>
    <n v="1941"/>
    <x v="0"/>
    <x v="1"/>
    <n v="42"/>
    <x v="0"/>
    <x v="4"/>
    <x v="7"/>
    <x v="0"/>
    <x v="1"/>
    <x v="1274"/>
    <n v="13738"/>
    <n v="3"/>
    <s v="Y"/>
    <x v="1"/>
    <n v="15"/>
    <x v="0"/>
    <x v="1"/>
    <n v="80"/>
    <n v="0"/>
    <n v="28"/>
    <n v="3"/>
    <x v="1"/>
    <x v="8"/>
    <n v="4"/>
    <x v="5"/>
    <x v="6"/>
    <x v="0"/>
    <x v="2"/>
    <x v="2"/>
    <n v="0"/>
  </r>
  <r>
    <x v="19"/>
    <x v="1"/>
    <x v="0"/>
    <n v="419"/>
    <x v="0"/>
    <n v="12"/>
    <x v="2"/>
    <x v="3"/>
    <x v="0"/>
    <n v="1943"/>
    <x v="0"/>
    <x v="1"/>
    <n v="77"/>
    <x v="0"/>
    <x v="0"/>
    <x v="0"/>
    <x v="0"/>
    <x v="2"/>
    <x v="1275"/>
    <n v="2900"/>
    <n v="3"/>
    <s v="Y"/>
    <x v="0"/>
    <n v="12"/>
    <x v="0"/>
    <x v="3"/>
    <n v="80"/>
    <n v="2"/>
    <n v="14"/>
    <n v="4"/>
    <x v="1"/>
    <x v="2"/>
    <n v="0"/>
    <x v="0"/>
    <x v="2"/>
    <x v="0"/>
    <x v="1"/>
    <x v="0"/>
    <n v="0"/>
  </r>
  <r>
    <x v="4"/>
    <x v="0"/>
    <x v="1"/>
    <n v="1337"/>
    <x v="2"/>
    <n v="22"/>
    <x v="3"/>
    <x v="5"/>
    <x v="0"/>
    <n v="1944"/>
    <x v="3"/>
    <x v="0"/>
    <n v="58"/>
    <x v="1"/>
    <x v="1"/>
    <x v="8"/>
    <x v="1"/>
    <x v="1"/>
    <x v="1276"/>
    <n v="19555"/>
    <n v="1"/>
    <s v="Y"/>
    <x v="1"/>
    <n v="12"/>
    <x v="0"/>
    <x v="0"/>
    <n v="80"/>
    <n v="0"/>
    <n v="1"/>
    <n v="2"/>
    <x v="1"/>
    <x v="6"/>
    <n v="0"/>
    <x v="0"/>
    <x v="2"/>
    <x v="2"/>
    <x v="1"/>
    <x v="1"/>
    <n v="1"/>
  </r>
  <r>
    <x v="10"/>
    <x v="1"/>
    <x v="0"/>
    <n v="682"/>
    <x v="0"/>
    <n v="18"/>
    <x v="2"/>
    <x v="2"/>
    <x v="0"/>
    <n v="1945"/>
    <x v="0"/>
    <x v="1"/>
    <n v="71"/>
    <x v="0"/>
    <x v="0"/>
    <x v="0"/>
    <x v="3"/>
    <x v="1"/>
    <x v="489"/>
    <n v="15975"/>
    <n v="0"/>
    <s v="Y"/>
    <x v="1"/>
    <n v="16"/>
    <x v="0"/>
    <x v="1"/>
    <n v="80"/>
    <n v="1"/>
    <n v="6"/>
    <n v="2"/>
    <x v="0"/>
    <x v="8"/>
    <n v="3"/>
    <x v="0"/>
    <x v="10"/>
    <x v="1"/>
    <x v="2"/>
    <x v="0"/>
    <n v="0"/>
  </r>
  <r>
    <x v="14"/>
    <x v="1"/>
    <x v="2"/>
    <n v="1103"/>
    <x v="1"/>
    <n v="16"/>
    <x v="3"/>
    <x v="2"/>
    <x v="0"/>
    <n v="1947"/>
    <x v="1"/>
    <x v="1"/>
    <n v="49"/>
    <x v="0"/>
    <x v="1"/>
    <x v="1"/>
    <x v="2"/>
    <x v="0"/>
    <x v="1277"/>
    <n v="2122"/>
    <n v="1"/>
    <s v="Y"/>
    <x v="1"/>
    <n v="14"/>
    <x v="0"/>
    <x v="3"/>
    <n v="80"/>
    <n v="0"/>
    <n v="5"/>
    <n v="3"/>
    <x v="2"/>
    <x v="8"/>
    <n v="3"/>
    <x v="1"/>
    <x v="10"/>
    <x v="2"/>
    <x v="2"/>
    <x v="1"/>
    <n v="0"/>
  </r>
  <r>
    <x v="12"/>
    <x v="1"/>
    <x v="2"/>
    <n v="976"/>
    <x v="1"/>
    <n v="3"/>
    <x v="0"/>
    <x v="2"/>
    <x v="0"/>
    <n v="1948"/>
    <x v="1"/>
    <x v="1"/>
    <n v="48"/>
    <x v="0"/>
    <x v="1"/>
    <x v="1"/>
    <x v="3"/>
    <x v="2"/>
    <x v="1278"/>
    <n v="3995"/>
    <n v="1"/>
    <s v="Y"/>
    <x v="0"/>
    <n v="13"/>
    <x v="0"/>
    <x v="1"/>
    <n v="80"/>
    <n v="1"/>
    <n v="4"/>
    <n v="3"/>
    <x v="3"/>
    <x v="9"/>
    <n v="2"/>
    <x v="3"/>
    <x v="6"/>
    <x v="1"/>
    <x v="2"/>
    <x v="1"/>
    <n v="0"/>
  </r>
  <r>
    <x v="9"/>
    <x v="1"/>
    <x v="2"/>
    <n v="1351"/>
    <x v="1"/>
    <n v="9"/>
    <x v="2"/>
    <x v="0"/>
    <x v="0"/>
    <n v="1949"/>
    <x v="3"/>
    <x v="1"/>
    <n v="66"/>
    <x v="2"/>
    <x v="1"/>
    <x v="2"/>
    <x v="1"/>
    <x v="1"/>
    <x v="1279"/>
    <n v="9238"/>
    <n v="1"/>
    <s v="Y"/>
    <x v="1"/>
    <n v="22"/>
    <x v="1"/>
    <x v="2"/>
    <n v="80"/>
    <n v="0"/>
    <n v="5"/>
    <n v="3"/>
    <x v="1"/>
    <x v="8"/>
    <n v="4"/>
    <x v="0"/>
    <x v="3"/>
    <x v="1"/>
    <x v="2"/>
    <x v="1"/>
    <n v="0"/>
  </r>
  <r>
    <x v="13"/>
    <x v="1"/>
    <x v="0"/>
    <n v="937"/>
    <x v="0"/>
    <n v="1"/>
    <x v="3"/>
    <x v="3"/>
    <x v="0"/>
    <n v="1950"/>
    <x v="3"/>
    <x v="1"/>
    <n v="32"/>
    <x v="0"/>
    <x v="2"/>
    <x v="0"/>
    <x v="0"/>
    <x v="0"/>
    <x v="1280"/>
    <n v="6770"/>
    <n v="1"/>
    <s v="Y"/>
    <x v="1"/>
    <n v="21"/>
    <x v="1"/>
    <x v="0"/>
    <n v="80"/>
    <n v="0"/>
    <n v="14"/>
    <n v="3"/>
    <x v="2"/>
    <x v="13"/>
    <n v="8"/>
    <x v="3"/>
    <x v="9"/>
    <x v="1"/>
    <x v="3"/>
    <x v="0"/>
    <n v="0"/>
  </r>
  <r>
    <x v="13"/>
    <x v="1"/>
    <x v="0"/>
    <n v="1239"/>
    <x v="0"/>
    <n v="13"/>
    <x v="2"/>
    <x v="2"/>
    <x v="0"/>
    <n v="1951"/>
    <x v="2"/>
    <x v="1"/>
    <n v="39"/>
    <x v="0"/>
    <x v="2"/>
    <x v="0"/>
    <x v="2"/>
    <x v="2"/>
    <x v="1281"/>
    <n v="22914"/>
    <n v="1"/>
    <s v="Y"/>
    <x v="1"/>
    <n v="18"/>
    <x v="0"/>
    <x v="3"/>
    <n v="80"/>
    <n v="1"/>
    <n v="9"/>
    <n v="2"/>
    <x v="2"/>
    <x v="3"/>
    <n v="7"/>
    <x v="1"/>
    <x v="9"/>
    <x v="1"/>
    <x v="0"/>
    <x v="0"/>
    <n v="0"/>
  </r>
  <r>
    <x v="25"/>
    <x v="1"/>
    <x v="0"/>
    <n v="157"/>
    <x v="1"/>
    <n v="1"/>
    <x v="3"/>
    <x v="2"/>
    <x v="0"/>
    <n v="1952"/>
    <x v="1"/>
    <x v="1"/>
    <n v="95"/>
    <x v="0"/>
    <x v="1"/>
    <x v="2"/>
    <x v="3"/>
    <x v="0"/>
    <x v="1282"/>
    <n v="20006"/>
    <n v="0"/>
    <s v="Y"/>
    <x v="1"/>
    <n v="13"/>
    <x v="0"/>
    <x v="1"/>
    <n v="80"/>
    <n v="0"/>
    <n v="8"/>
    <n v="6"/>
    <x v="2"/>
    <x v="5"/>
    <n v="7"/>
    <x v="4"/>
    <x v="4"/>
    <x v="2"/>
    <x v="0"/>
    <x v="1"/>
    <n v="0"/>
  </r>
  <r>
    <x v="11"/>
    <x v="1"/>
    <x v="0"/>
    <n v="136"/>
    <x v="1"/>
    <n v="1"/>
    <x v="3"/>
    <x v="0"/>
    <x v="0"/>
    <n v="1954"/>
    <x v="3"/>
    <x v="1"/>
    <n v="89"/>
    <x v="0"/>
    <x v="0"/>
    <x v="4"/>
    <x v="3"/>
    <x v="1"/>
    <x v="1283"/>
    <n v="6225"/>
    <n v="0"/>
    <s v="Y"/>
    <x v="1"/>
    <n v="12"/>
    <x v="0"/>
    <x v="0"/>
    <n v="80"/>
    <n v="1"/>
    <n v="6"/>
    <n v="5"/>
    <x v="2"/>
    <x v="8"/>
    <n v="3"/>
    <x v="0"/>
    <x v="3"/>
    <x v="2"/>
    <x v="2"/>
    <x v="0"/>
    <n v="0"/>
  </r>
  <r>
    <x v="5"/>
    <x v="1"/>
    <x v="2"/>
    <n v="1146"/>
    <x v="1"/>
    <n v="15"/>
    <x v="2"/>
    <x v="2"/>
    <x v="0"/>
    <n v="1955"/>
    <x v="1"/>
    <x v="0"/>
    <n v="34"/>
    <x v="0"/>
    <x v="0"/>
    <x v="4"/>
    <x v="0"/>
    <x v="2"/>
    <x v="1284"/>
    <n v="16542"/>
    <n v="5"/>
    <s v="Y"/>
    <x v="1"/>
    <n v="18"/>
    <x v="0"/>
    <x v="2"/>
    <n v="80"/>
    <n v="1"/>
    <n v="9"/>
    <n v="6"/>
    <x v="1"/>
    <x v="8"/>
    <n v="1"/>
    <x v="1"/>
    <x v="3"/>
    <x v="1"/>
    <x v="2"/>
    <x v="0"/>
    <n v="0"/>
  </r>
  <r>
    <x v="12"/>
    <x v="1"/>
    <x v="1"/>
    <n v="1125"/>
    <x v="1"/>
    <n v="1"/>
    <x v="3"/>
    <x v="0"/>
    <x v="0"/>
    <n v="1956"/>
    <x v="2"/>
    <x v="1"/>
    <n v="48"/>
    <x v="3"/>
    <x v="0"/>
    <x v="1"/>
    <x v="3"/>
    <x v="1"/>
    <x v="701"/>
    <n v="5771"/>
    <n v="1"/>
    <s v="Y"/>
    <x v="1"/>
    <n v="21"/>
    <x v="1"/>
    <x v="2"/>
    <n v="80"/>
    <n v="0"/>
    <n v="10"/>
    <n v="6"/>
    <x v="1"/>
    <x v="1"/>
    <n v="8"/>
    <x v="6"/>
    <x v="1"/>
    <x v="1"/>
    <x v="0"/>
    <x v="0"/>
    <n v="0"/>
  </r>
  <r>
    <x v="14"/>
    <x v="0"/>
    <x v="0"/>
    <n v="1404"/>
    <x v="1"/>
    <n v="17"/>
    <x v="3"/>
    <x v="4"/>
    <x v="0"/>
    <n v="1960"/>
    <x v="1"/>
    <x v="1"/>
    <n v="32"/>
    <x v="1"/>
    <x v="1"/>
    <x v="2"/>
    <x v="0"/>
    <x v="2"/>
    <x v="1039"/>
    <n v="18779"/>
    <n v="5"/>
    <s v="Y"/>
    <x v="1"/>
    <n v="12"/>
    <x v="0"/>
    <x v="0"/>
    <n v="80"/>
    <n v="1"/>
    <n v="6"/>
    <n v="2"/>
    <x v="2"/>
    <x v="9"/>
    <n v="1"/>
    <x v="0"/>
    <x v="6"/>
    <x v="2"/>
    <x v="2"/>
    <x v="1"/>
    <n v="1"/>
  </r>
  <r>
    <x v="8"/>
    <x v="1"/>
    <x v="0"/>
    <n v="1404"/>
    <x v="0"/>
    <n v="1"/>
    <x v="3"/>
    <x v="0"/>
    <x v="0"/>
    <n v="1961"/>
    <x v="3"/>
    <x v="1"/>
    <n v="59"/>
    <x v="1"/>
    <x v="1"/>
    <x v="6"/>
    <x v="3"/>
    <x v="0"/>
    <x v="1285"/>
    <n v="11473"/>
    <n v="4"/>
    <s v="Y"/>
    <x v="1"/>
    <n v="14"/>
    <x v="0"/>
    <x v="0"/>
    <n v="80"/>
    <n v="0"/>
    <n v="20"/>
    <n v="3"/>
    <x v="2"/>
    <x v="6"/>
    <n v="0"/>
    <x v="0"/>
    <x v="2"/>
    <x v="1"/>
    <x v="1"/>
    <x v="1"/>
    <n v="0"/>
  </r>
  <r>
    <x v="10"/>
    <x v="1"/>
    <x v="0"/>
    <n v="1224"/>
    <x v="0"/>
    <n v="7"/>
    <x v="2"/>
    <x v="0"/>
    <x v="0"/>
    <n v="1962"/>
    <x v="1"/>
    <x v="0"/>
    <n v="55"/>
    <x v="0"/>
    <x v="0"/>
    <x v="0"/>
    <x v="0"/>
    <x v="1"/>
    <x v="626"/>
    <n v="13586"/>
    <n v="1"/>
    <s v="Y"/>
    <x v="0"/>
    <n v="11"/>
    <x v="0"/>
    <x v="1"/>
    <n v="80"/>
    <n v="0"/>
    <n v="10"/>
    <n v="2"/>
    <x v="1"/>
    <x v="1"/>
    <n v="8"/>
    <x v="0"/>
    <x v="12"/>
    <x v="1"/>
    <x v="0"/>
    <x v="0"/>
    <n v="0"/>
  </r>
  <r>
    <x v="4"/>
    <x v="1"/>
    <x v="0"/>
    <n v="954"/>
    <x v="0"/>
    <n v="9"/>
    <x v="3"/>
    <x v="3"/>
    <x v="0"/>
    <n v="1965"/>
    <x v="2"/>
    <x v="1"/>
    <n v="44"/>
    <x v="0"/>
    <x v="0"/>
    <x v="0"/>
    <x v="0"/>
    <x v="0"/>
    <x v="1286"/>
    <n v="5099"/>
    <n v="1"/>
    <s v="Y"/>
    <x v="1"/>
    <n v="14"/>
    <x v="0"/>
    <x v="0"/>
    <n v="80"/>
    <n v="0"/>
    <n v="7"/>
    <n v="5"/>
    <x v="1"/>
    <x v="5"/>
    <n v="7"/>
    <x v="0"/>
    <x v="1"/>
    <x v="2"/>
    <x v="0"/>
    <x v="1"/>
    <n v="0"/>
  </r>
  <r>
    <x v="5"/>
    <x v="1"/>
    <x v="0"/>
    <n v="1373"/>
    <x v="1"/>
    <n v="5"/>
    <x v="2"/>
    <x v="0"/>
    <x v="0"/>
    <n v="1966"/>
    <x v="2"/>
    <x v="1"/>
    <n v="56"/>
    <x v="1"/>
    <x v="0"/>
    <x v="3"/>
    <x v="0"/>
    <x v="0"/>
    <x v="1287"/>
    <n v="10138"/>
    <n v="8"/>
    <s v="Y"/>
    <x v="1"/>
    <n v="24"/>
    <x v="1"/>
    <x v="2"/>
    <n v="80"/>
    <n v="0"/>
    <n v="8"/>
    <n v="1"/>
    <x v="1"/>
    <x v="6"/>
    <n v="0"/>
    <x v="0"/>
    <x v="2"/>
    <x v="1"/>
    <x v="1"/>
    <x v="0"/>
    <n v="0"/>
  </r>
  <r>
    <x v="12"/>
    <x v="0"/>
    <x v="1"/>
    <n v="754"/>
    <x v="0"/>
    <n v="26"/>
    <x v="2"/>
    <x v="3"/>
    <x v="0"/>
    <n v="1967"/>
    <x v="3"/>
    <x v="1"/>
    <n v="63"/>
    <x v="0"/>
    <x v="0"/>
    <x v="0"/>
    <x v="0"/>
    <x v="1"/>
    <x v="1288"/>
    <n v="21075"/>
    <n v="1"/>
    <s v="Y"/>
    <x v="0"/>
    <n v="11"/>
    <x v="0"/>
    <x v="3"/>
    <n v="80"/>
    <n v="0"/>
    <n v="10"/>
    <n v="4"/>
    <x v="1"/>
    <x v="1"/>
    <n v="7"/>
    <x v="0"/>
    <x v="5"/>
    <x v="1"/>
    <x v="0"/>
    <x v="0"/>
    <n v="1"/>
  </r>
  <r>
    <x v="16"/>
    <x v="0"/>
    <x v="0"/>
    <n v="1168"/>
    <x v="0"/>
    <n v="24"/>
    <x v="2"/>
    <x v="0"/>
    <x v="0"/>
    <n v="1968"/>
    <x v="3"/>
    <x v="1"/>
    <n v="66"/>
    <x v="0"/>
    <x v="2"/>
    <x v="0"/>
    <x v="3"/>
    <x v="0"/>
    <x v="1289"/>
    <n v="5843"/>
    <n v="6"/>
    <s v="Y"/>
    <x v="0"/>
    <n v="13"/>
    <x v="0"/>
    <x v="2"/>
    <n v="80"/>
    <n v="0"/>
    <n v="15"/>
    <n v="2"/>
    <x v="2"/>
    <x v="4"/>
    <n v="2"/>
    <x v="3"/>
    <x v="3"/>
    <x v="3"/>
    <x v="1"/>
    <x v="3"/>
    <n v="1"/>
  </r>
  <r>
    <x v="33"/>
    <x v="1"/>
    <x v="0"/>
    <n v="155"/>
    <x v="1"/>
    <n v="9"/>
    <x v="0"/>
    <x v="0"/>
    <x v="0"/>
    <n v="1969"/>
    <x v="3"/>
    <x v="0"/>
    <n v="67"/>
    <x v="0"/>
    <x v="0"/>
    <x v="1"/>
    <x v="2"/>
    <x v="1"/>
    <x v="1290"/>
    <n v="22474"/>
    <n v="3"/>
    <s v="Y"/>
    <x v="1"/>
    <n v="11"/>
    <x v="0"/>
    <x v="3"/>
    <n v="80"/>
    <n v="2"/>
    <n v="9"/>
    <n v="6"/>
    <x v="2"/>
    <x v="9"/>
    <n v="3"/>
    <x v="3"/>
    <x v="6"/>
    <x v="3"/>
    <x v="2"/>
    <x v="1"/>
    <n v="0"/>
  </r>
  <r>
    <x v="3"/>
    <x v="1"/>
    <x v="1"/>
    <n v="1303"/>
    <x v="1"/>
    <n v="7"/>
    <x v="0"/>
    <x v="0"/>
    <x v="0"/>
    <n v="1970"/>
    <x v="2"/>
    <x v="1"/>
    <n v="36"/>
    <x v="0"/>
    <x v="0"/>
    <x v="4"/>
    <x v="2"/>
    <x v="2"/>
    <x v="1291"/>
    <n v="18079"/>
    <n v="1"/>
    <s v="Y"/>
    <x v="1"/>
    <n v="20"/>
    <x v="1"/>
    <x v="3"/>
    <n v="80"/>
    <n v="3"/>
    <n v="9"/>
    <n v="2"/>
    <x v="1"/>
    <x v="7"/>
    <n v="7"/>
    <x v="3"/>
    <x v="5"/>
    <x v="1"/>
    <x v="0"/>
    <x v="0"/>
    <n v="0"/>
  </r>
  <r>
    <x v="23"/>
    <x v="1"/>
    <x v="0"/>
    <n v="574"/>
    <x v="1"/>
    <n v="11"/>
    <x v="3"/>
    <x v="0"/>
    <x v="0"/>
    <n v="1971"/>
    <x v="3"/>
    <x v="1"/>
    <n v="30"/>
    <x v="0"/>
    <x v="2"/>
    <x v="4"/>
    <x v="2"/>
    <x v="1"/>
    <x v="1292"/>
    <n v="16873"/>
    <n v="1"/>
    <s v="Y"/>
    <x v="1"/>
    <n v="17"/>
    <x v="0"/>
    <x v="2"/>
    <n v="80"/>
    <n v="1"/>
    <n v="10"/>
    <n v="1"/>
    <x v="1"/>
    <x v="1"/>
    <n v="9"/>
    <x v="0"/>
    <x v="12"/>
    <x v="0"/>
    <x v="0"/>
    <x v="0"/>
    <n v="0"/>
  </r>
  <r>
    <x v="8"/>
    <x v="1"/>
    <x v="1"/>
    <n v="1444"/>
    <x v="2"/>
    <n v="1"/>
    <x v="2"/>
    <x v="1"/>
    <x v="0"/>
    <n v="1972"/>
    <x v="2"/>
    <x v="1"/>
    <n v="88"/>
    <x v="0"/>
    <x v="1"/>
    <x v="8"/>
    <x v="1"/>
    <x v="1"/>
    <x v="1293"/>
    <n v="5224"/>
    <n v="0"/>
    <s v="Y"/>
    <x v="0"/>
    <n v="11"/>
    <x v="0"/>
    <x v="2"/>
    <n v="80"/>
    <n v="1"/>
    <n v="7"/>
    <n v="2"/>
    <x v="1"/>
    <x v="0"/>
    <n v="2"/>
    <x v="1"/>
    <x v="3"/>
    <x v="1"/>
    <x v="0"/>
    <x v="1"/>
    <n v="0"/>
  </r>
  <r>
    <x v="27"/>
    <x v="1"/>
    <x v="0"/>
    <n v="189"/>
    <x v="2"/>
    <n v="26"/>
    <x v="2"/>
    <x v="5"/>
    <x v="0"/>
    <n v="1973"/>
    <x v="1"/>
    <x v="1"/>
    <n v="71"/>
    <x v="2"/>
    <x v="4"/>
    <x v="5"/>
    <x v="1"/>
    <x v="1"/>
    <x v="1294"/>
    <n v="25811"/>
    <n v="4"/>
    <s v="Y"/>
    <x v="0"/>
    <n v="18"/>
    <x v="0"/>
    <x v="0"/>
    <n v="80"/>
    <n v="1"/>
    <n v="35"/>
    <n v="0"/>
    <x v="1"/>
    <x v="1"/>
    <n v="9"/>
    <x v="1"/>
    <x v="10"/>
    <x v="3"/>
    <x v="0"/>
    <x v="2"/>
    <n v="0"/>
  </r>
  <r>
    <x v="12"/>
    <x v="1"/>
    <x v="0"/>
    <n v="1276"/>
    <x v="1"/>
    <n v="2"/>
    <x v="1"/>
    <x v="2"/>
    <x v="0"/>
    <n v="1974"/>
    <x v="2"/>
    <x v="0"/>
    <n v="59"/>
    <x v="3"/>
    <x v="1"/>
    <x v="2"/>
    <x v="0"/>
    <x v="2"/>
    <x v="1295"/>
    <n v="17536"/>
    <n v="1"/>
    <s v="Y"/>
    <x v="0"/>
    <n v="11"/>
    <x v="0"/>
    <x v="3"/>
    <n v="80"/>
    <n v="3"/>
    <n v="1"/>
    <n v="4"/>
    <x v="1"/>
    <x v="6"/>
    <n v="0"/>
    <x v="0"/>
    <x v="2"/>
    <x v="1"/>
    <x v="1"/>
    <x v="1"/>
    <n v="0"/>
  </r>
  <r>
    <x v="22"/>
    <x v="1"/>
    <x v="0"/>
    <n v="119"/>
    <x v="0"/>
    <n v="15"/>
    <x v="2"/>
    <x v="3"/>
    <x v="0"/>
    <n v="1975"/>
    <x v="0"/>
    <x v="1"/>
    <n v="77"/>
    <x v="0"/>
    <x v="3"/>
    <x v="0"/>
    <x v="3"/>
    <x v="0"/>
    <x v="1296"/>
    <n v="25098"/>
    <n v="0"/>
    <s v="Y"/>
    <x v="1"/>
    <n v="12"/>
    <x v="0"/>
    <x v="0"/>
    <n v="80"/>
    <n v="0"/>
    <n v="21"/>
    <n v="3"/>
    <x v="1"/>
    <x v="23"/>
    <n v="8"/>
    <x v="14"/>
    <x v="13"/>
    <x v="1"/>
    <x v="3"/>
    <x v="3"/>
    <n v="0"/>
  </r>
  <r>
    <x v="19"/>
    <x v="1"/>
    <x v="2"/>
    <n v="335"/>
    <x v="1"/>
    <n v="23"/>
    <x v="0"/>
    <x v="0"/>
    <x v="0"/>
    <n v="1976"/>
    <x v="2"/>
    <x v="1"/>
    <n v="37"/>
    <x v="1"/>
    <x v="0"/>
    <x v="1"/>
    <x v="2"/>
    <x v="0"/>
    <x v="1297"/>
    <n v="14811"/>
    <n v="1"/>
    <s v="Y"/>
    <x v="1"/>
    <n v="12"/>
    <x v="0"/>
    <x v="1"/>
    <n v="80"/>
    <n v="0"/>
    <n v="20"/>
    <n v="2"/>
    <x v="1"/>
    <x v="23"/>
    <n v="9"/>
    <x v="2"/>
    <x v="1"/>
    <x v="0"/>
    <x v="3"/>
    <x v="1"/>
    <n v="0"/>
  </r>
  <r>
    <x v="12"/>
    <x v="1"/>
    <x v="2"/>
    <n v="697"/>
    <x v="1"/>
    <n v="10"/>
    <x v="3"/>
    <x v="2"/>
    <x v="0"/>
    <n v="1979"/>
    <x v="1"/>
    <x v="0"/>
    <n v="40"/>
    <x v="0"/>
    <x v="2"/>
    <x v="7"/>
    <x v="2"/>
    <x v="1"/>
    <x v="1298"/>
    <n v="26862"/>
    <n v="4"/>
    <s v="Y"/>
    <x v="1"/>
    <n v="20"/>
    <x v="1"/>
    <x v="3"/>
    <n v="80"/>
    <n v="1"/>
    <n v="13"/>
    <n v="2"/>
    <x v="3"/>
    <x v="19"/>
    <n v="7"/>
    <x v="5"/>
    <x v="5"/>
    <x v="1"/>
    <x v="3"/>
    <x v="3"/>
    <n v="0"/>
  </r>
  <r>
    <x v="33"/>
    <x v="1"/>
    <x v="0"/>
    <n v="157"/>
    <x v="1"/>
    <n v="10"/>
    <x v="3"/>
    <x v="2"/>
    <x v="0"/>
    <n v="1980"/>
    <x v="1"/>
    <x v="0"/>
    <n v="77"/>
    <x v="0"/>
    <x v="0"/>
    <x v="3"/>
    <x v="3"/>
    <x v="0"/>
    <x v="1299"/>
    <n v="25198"/>
    <n v="6"/>
    <s v="Y"/>
    <x v="0"/>
    <n v="19"/>
    <x v="0"/>
    <x v="1"/>
    <n v="80"/>
    <n v="0"/>
    <n v="9"/>
    <n v="3"/>
    <x v="1"/>
    <x v="8"/>
    <n v="2"/>
    <x v="1"/>
    <x v="10"/>
    <x v="3"/>
    <x v="2"/>
    <x v="1"/>
    <n v="0"/>
  </r>
  <r>
    <x v="17"/>
    <x v="1"/>
    <x v="0"/>
    <n v="771"/>
    <x v="1"/>
    <n v="1"/>
    <x v="0"/>
    <x v="0"/>
    <x v="0"/>
    <n v="1981"/>
    <x v="0"/>
    <x v="1"/>
    <n v="45"/>
    <x v="1"/>
    <x v="0"/>
    <x v="4"/>
    <x v="2"/>
    <x v="0"/>
    <x v="1300"/>
    <n v="14120"/>
    <n v="1"/>
    <s v="Y"/>
    <x v="1"/>
    <n v="12"/>
    <x v="0"/>
    <x v="2"/>
    <n v="80"/>
    <n v="0"/>
    <n v="4"/>
    <n v="2"/>
    <x v="2"/>
    <x v="9"/>
    <n v="3"/>
    <x v="1"/>
    <x v="3"/>
    <x v="2"/>
    <x v="2"/>
    <x v="1"/>
    <n v="0"/>
  </r>
  <r>
    <x v="30"/>
    <x v="1"/>
    <x v="0"/>
    <n v="571"/>
    <x v="1"/>
    <n v="12"/>
    <x v="0"/>
    <x v="1"/>
    <x v="0"/>
    <n v="1982"/>
    <x v="2"/>
    <x v="1"/>
    <n v="78"/>
    <x v="0"/>
    <x v="1"/>
    <x v="2"/>
    <x v="0"/>
    <x v="0"/>
    <x v="1301"/>
    <n v="13672"/>
    <n v="1"/>
    <s v="Y"/>
    <x v="1"/>
    <n v="13"/>
    <x v="0"/>
    <x v="3"/>
    <n v="80"/>
    <n v="0"/>
    <n v="5"/>
    <n v="6"/>
    <x v="3"/>
    <x v="8"/>
    <n v="2"/>
    <x v="1"/>
    <x v="10"/>
    <x v="2"/>
    <x v="2"/>
    <x v="1"/>
    <n v="0"/>
  </r>
  <r>
    <x v="32"/>
    <x v="1"/>
    <x v="1"/>
    <n v="692"/>
    <x v="1"/>
    <n v="11"/>
    <x v="3"/>
    <x v="4"/>
    <x v="0"/>
    <n v="1985"/>
    <x v="2"/>
    <x v="0"/>
    <n v="73"/>
    <x v="0"/>
    <x v="0"/>
    <x v="2"/>
    <x v="2"/>
    <x v="1"/>
    <x v="1302"/>
    <n v="26849"/>
    <n v="1"/>
    <s v="Y"/>
    <x v="1"/>
    <n v="11"/>
    <x v="0"/>
    <x v="0"/>
    <n v="80"/>
    <n v="1"/>
    <n v="10"/>
    <n v="2"/>
    <x v="3"/>
    <x v="1"/>
    <n v="9"/>
    <x v="10"/>
    <x v="10"/>
    <x v="0"/>
    <x v="0"/>
    <x v="0"/>
    <n v="0"/>
  </r>
  <r>
    <x v="32"/>
    <x v="1"/>
    <x v="0"/>
    <n v="444"/>
    <x v="0"/>
    <n v="2"/>
    <x v="0"/>
    <x v="3"/>
    <x v="0"/>
    <n v="1986"/>
    <x v="0"/>
    <x v="0"/>
    <n v="92"/>
    <x v="0"/>
    <x v="0"/>
    <x v="0"/>
    <x v="1"/>
    <x v="1"/>
    <x v="1303"/>
    <n v="4258"/>
    <n v="3"/>
    <s v="Y"/>
    <x v="1"/>
    <n v="14"/>
    <x v="0"/>
    <x v="3"/>
    <n v="80"/>
    <n v="1"/>
    <n v="15"/>
    <n v="4"/>
    <x v="1"/>
    <x v="19"/>
    <n v="8"/>
    <x v="8"/>
    <x v="13"/>
    <x v="0"/>
    <x v="3"/>
    <x v="0"/>
    <n v="0"/>
  </r>
  <r>
    <x v="36"/>
    <x v="1"/>
    <x v="0"/>
    <n v="309"/>
    <x v="2"/>
    <n v="2"/>
    <x v="3"/>
    <x v="5"/>
    <x v="0"/>
    <n v="1987"/>
    <x v="1"/>
    <x v="0"/>
    <n v="82"/>
    <x v="0"/>
    <x v="1"/>
    <x v="8"/>
    <x v="1"/>
    <x v="1"/>
    <x v="467"/>
    <n v="19655"/>
    <n v="4"/>
    <s v="Y"/>
    <x v="1"/>
    <n v="14"/>
    <x v="0"/>
    <x v="3"/>
    <n v="80"/>
    <n v="0"/>
    <n v="6"/>
    <n v="3"/>
    <x v="1"/>
    <x v="4"/>
    <n v="0"/>
    <x v="1"/>
    <x v="3"/>
    <x v="2"/>
    <x v="1"/>
    <x v="1"/>
    <n v="0"/>
  </r>
  <r>
    <x v="7"/>
    <x v="1"/>
    <x v="0"/>
    <n v="911"/>
    <x v="1"/>
    <n v="1"/>
    <x v="0"/>
    <x v="2"/>
    <x v="0"/>
    <n v="1989"/>
    <x v="2"/>
    <x v="1"/>
    <n v="76"/>
    <x v="0"/>
    <x v="1"/>
    <x v="2"/>
    <x v="1"/>
    <x v="1"/>
    <x v="1304"/>
    <n v="4077"/>
    <n v="1"/>
    <s v="Y"/>
    <x v="1"/>
    <n v="13"/>
    <x v="0"/>
    <x v="3"/>
    <n v="80"/>
    <n v="0"/>
    <n v="12"/>
    <n v="6"/>
    <x v="2"/>
    <x v="12"/>
    <n v="8"/>
    <x v="1"/>
    <x v="1"/>
    <x v="1"/>
    <x v="3"/>
    <x v="1"/>
    <n v="0"/>
  </r>
  <r>
    <x v="36"/>
    <x v="1"/>
    <x v="0"/>
    <n v="977"/>
    <x v="1"/>
    <n v="2"/>
    <x v="1"/>
    <x v="1"/>
    <x v="0"/>
    <n v="1992"/>
    <x v="2"/>
    <x v="1"/>
    <n v="57"/>
    <x v="0"/>
    <x v="1"/>
    <x v="2"/>
    <x v="2"/>
    <x v="2"/>
    <x v="1305"/>
    <n v="7298"/>
    <n v="6"/>
    <s v="Y"/>
    <x v="0"/>
    <n v="19"/>
    <x v="0"/>
    <x v="3"/>
    <n v="80"/>
    <n v="1"/>
    <n v="7"/>
    <n v="2"/>
    <x v="2"/>
    <x v="4"/>
    <n v="2"/>
    <x v="0"/>
    <x v="3"/>
    <x v="2"/>
    <x v="1"/>
    <x v="1"/>
    <n v="0"/>
  </r>
  <r>
    <x v="40"/>
    <x v="1"/>
    <x v="0"/>
    <n v="1180"/>
    <x v="1"/>
    <n v="25"/>
    <x v="3"/>
    <x v="2"/>
    <x v="0"/>
    <n v="1993"/>
    <x v="3"/>
    <x v="1"/>
    <n v="84"/>
    <x v="0"/>
    <x v="2"/>
    <x v="4"/>
    <x v="2"/>
    <x v="0"/>
    <x v="1306"/>
    <n v="13084"/>
    <n v="2"/>
    <s v="Y"/>
    <x v="1"/>
    <n v="23"/>
    <x v="1"/>
    <x v="2"/>
    <n v="80"/>
    <n v="0"/>
    <n v="25"/>
    <n v="3"/>
    <x v="1"/>
    <x v="18"/>
    <n v="14"/>
    <x v="12"/>
    <x v="7"/>
    <x v="0"/>
    <x v="3"/>
    <x v="0"/>
    <n v="0"/>
  </r>
  <r>
    <x v="3"/>
    <x v="1"/>
    <x v="2"/>
    <n v="1313"/>
    <x v="1"/>
    <n v="1"/>
    <x v="0"/>
    <x v="2"/>
    <x v="0"/>
    <n v="1994"/>
    <x v="0"/>
    <x v="1"/>
    <n v="59"/>
    <x v="1"/>
    <x v="1"/>
    <x v="2"/>
    <x v="2"/>
    <x v="2"/>
    <x v="641"/>
    <n v="20439"/>
    <n v="1"/>
    <s v="Y"/>
    <x v="1"/>
    <n v="12"/>
    <x v="0"/>
    <x v="3"/>
    <n v="80"/>
    <n v="3"/>
    <n v="1"/>
    <n v="2"/>
    <x v="2"/>
    <x v="6"/>
    <n v="1"/>
    <x v="0"/>
    <x v="2"/>
    <x v="1"/>
    <x v="1"/>
    <x v="1"/>
    <n v="0"/>
  </r>
  <r>
    <x v="8"/>
    <x v="1"/>
    <x v="0"/>
    <n v="1321"/>
    <x v="0"/>
    <n v="1"/>
    <x v="2"/>
    <x v="0"/>
    <x v="0"/>
    <n v="1995"/>
    <x v="2"/>
    <x v="1"/>
    <n v="86"/>
    <x v="0"/>
    <x v="0"/>
    <x v="0"/>
    <x v="1"/>
    <x v="1"/>
    <x v="1299"/>
    <n v="7636"/>
    <n v="0"/>
    <s v="Y"/>
    <x v="1"/>
    <n v="15"/>
    <x v="0"/>
    <x v="0"/>
    <n v="80"/>
    <n v="2"/>
    <n v="16"/>
    <n v="3"/>
    <x v="1"/>
    <x v="15"/>
    <n v="13"/>
    <x v="8"/>
    <x v="5"/>
    <x v="1"/>
    <x v="3"/>
    <x v="1"/>
    <n v="0"/>
  </r>
  <r>
    <x v="12"/>
    <x v="1"/>
    <x v="0"/>
    <n v="1154"/>
    <x v="0"/>
    <n v="2"/>
    <x v="0"/>
    <x v="0"/>
    <x v="0"/>
    <n v="1996"/>
    <x v="3"/>
    <x v="1"/>
    <n v="54"/>
    <x v="0"/>
    <x v="1"/>
    <x v="6"/>
    <x v="2"/>
    <x v="1"/>
    <x v="1307"/>
    <n v="6393"/>
    <n v="0"/>
    <s v="Y"/>
    <x v="1"/>
    <n v="19"/>
    <x v="0"/>
    <x v="3"/>
    <n v="80"/>
    <n v="1"/>
    <n v="3"/>
    <n v="1"/>
    <x v="1"/>
    <x v="4"/>
    <n v="2"/>
    <x v="1"/>
    <x v="3"/>
    <x v="1"/>
    <x v="1"/>
    <x v="1"/>
    <n v="0"/>
  </r>
  <r>
    <x v="8"/>
    <x v="1"/>
    <x v="1"/>
    <n v="508"/>
    <x v="1"/>
    <n v="6"/>
    <x v="2"/>
    <x v="0"/>
    <x v="0"/>
    <n v="1997"/>
    <x v="3"/>
    <x v="1"/>
    <n v="72"/>
    <x v="1"/>
    <x v="0"/>
    <x v="3"/>
    <x v="2"/>
    <x v="1"/>
    <x v="1308"/>
    <n v="14284"/>
    <n v="2"/>
    <s v="Y"/>
    <x v="1"/>
    <n v="11"/>
    <x v="0"/>
    <x v="1"/>
    <n v="80"/>
    <n v="1"/>
    <n v="10"/>
    <n v="1"/>
    <x v="1"/>
    <x v="3"/>
    <n v="3"/>
    <x v="4"/>
    <x v="1"/>
    <x v="1"/>
    <x v="0"/>
    <x v="0"/>
    <n v="0"/>
  </r>
  <r>
    <x v="19"/>
    <x v="1"/>
    <x v="0"/>
    <n v="557"/>
    <x v="1"/>
    <n v="18"/>
    <x v="2"/>
    <x v="0"/>
    <x v="0"/>
    <n v="1998"/>
    <x v="2"/>
    <x v="1"/>
    <n v="35"/>
    <x v="0"/>
    <x v="0"/>
    <x v="1"/>
    <x v="3"/>
    <x v="2"/>
    <x v="874"/>
    <n v="11189"/>
    <n v="6"/>
    <s v="Y"/>
    <x v="0"/>
    <n v="17"/>
    <x v="0"/>
    <x v="3"/>
    <n v="80"/>
    <n v="1"/>
    <n v="9"/>
    <n v="3"/>
    <x v="2"/>
    <x v="9"/>
    <n v="3"/>
    <x v="1"/>
    <x v="3"/>
    <x v="0"/>
    <x v="2"/>
    <x v="0"/>
    <n v="0"/>
  </r>
  <r>
    <x v="0"/>
    <x v="1"/>
    <x v="0"/>
    <n v="642"/>
    <x v="1"/>
    <n v="1"/>
    <x v="3"/>
    <x v="0"/>
    <x v="0"/>
    <n v="1999"/>
    <x v="2"/>
    <x v="1"/>
    <n v="76"/>
    <x v="0"/>
    <x v="1"/>
    <x v="1"/>
    <x v="0"/>
    <x v="1"/>
    <x v="553"/>
    <n v="21412"/>
    <n v="3"/>
    <s v="Y"/>
    <x v="1"/>
    <n v="22"/>
    <x v="1"/>
    <x v="0"/>
    <n v="80"/>
    <n v="1"/>
    <n v="12"/>
    <n v="3"/>
    <x v="1"/>
    <x v="8"/>
    <n v="3"/>
    <x v="1"/>
    <x v="2"/>
    <x v="0"/>
    <x v="2"/>
    <x v="1"/>
    <n v="0"/>
  </r>
  <r>
    <x v="40"/>
    <x v="1"/>
    <x v="2"/>
    <n v="1162"/>
    <x v="1"/>
    <n v="1"/>
    <x v="1"/>
    <x v="2"/>
    <x v="0"/>
    <n v="2000"/>
    <x v="1"/>
    <x v="0"/>
    <n v="98"/>
    <x v="0"/>
    <x v="2"/>
    <x v="7"/>
    <x v="1"/>
    <x v="1"/>
    <x v="1309"/>
    <n v="17231"/>
    <n v="0"/>
    <s v="Y"/>
    <x v="1"/>
    <n v="18"/>
    <x v="0"/>
    <x v="0"/>
    <n v="80"/>
    <n v="2"/>
    <n v="14"/>
    <n v="3"/>
    <x v="0"/>
    <x v="20"/>
    <n v="8"/>
    <x v="8"/>
    <x v="11"/>
    <x v="0"/>
    <x v="3"/>
    <x v="3"/>
    <n v="0"/>
  </r>
  <r>
    <x v="10"/>
    <x v="1"/>
    <x v="0"/>
    <n v="1490"/>
    <x v="1"/>
    <n v="11"/>
    <x v="2"/>
    <x v="2"/>
    <x v="0"/>
    <n v="2003"/>
    <x v="2"/>
    <x v="1"/>
    <n v="43"/>
    <x v="0"/>
    <x v="1"/>
    <x v="2"/>
    <x v="2"/>
    <x v="1"/>
    <x v="1310"/>
    <n v="20232"/>
    <n v="7"/>
    <s v="Y"/>
    <x v="0"/>
    <n v="11"/>
    <x v="0"/>
    <x v="3"/>
    <n v="80"/>
    <n v="1"/>
    <n v="5"/>
    <n v="3"/>
    <x v="1"/>
    <x v="4"/>
    <n v="2"/>
    <x v="3"/>
    <x v="3"/>
    <x v="1"/>
    <x v="1"/>
    <x v="1"/>
    <n v="0"/>
  </r>
  <r>
    <x v="15"/>
    <x v="1"/>
    <x v="0"/>
    <n v="581"/>
    <x v="1"/>
    <n v="1"/>
    <x v="0"/>
    <x v="0"/>
    <x v="0"/>
    <n v="2007"/>
    <x v="2"/>
    <x v="1"/>
    <n v="63"/>
    <x v="0"/>
    <x v="1"/>
    <x v="1"/>
    <x v="2"/>
    <x v="0"/>
    <x v="1311"/>
    <n v="17624"/>
    <n v="0"/>
    <s v="Y"/>
    <x v="1"/>
    <n v="12"/>
    <x v="0"/>
    <x v="1"/>
    <n v="80"/>
    <n v="0"/>
    <n v="4"/>
    <n v="2"/>
    <x v="3"/>
    <x v="11"/>
    <n v="2"/>
    <x v="1"/>
    <x v="3"/>
    <x v="2"/>
    <x v="2"/>
    <x v="1"/>
    <n v="0"/>
  </r>
  <r>
    <x v="10"/>
    <x v="1"/>
    <x v="0"/>
    <n v="1395"/>
    <x v="1"/>
    <n v="9"/>
    <x v="2"/>
    <x v="2"/>
    <x v="0"/>
    <n v="2008"/>
    <x v="0"/>
    <x v="1"/>
    <n v="48"/>
    <x v="0"/>
    <x v="0"/>
    <x v="1"/>
    <x v="2"/>
    <x v="0"/>
    <x v="1312"/>
    <n v="18698"/>
    <n v="1"/>
    <s v="Y"/>
    <x v="1"/>
    <n v="19"/>
    <x v="0"/>
    <x v="2"/>
    <n v="80"/>
    <n v="0"/>
    <n v="10"/>
    <n v="5"/>
    <x v="1"/>
    <x v="1"/>
    <n v="7"/>
    <x v="0"/>
    <x v="5"/>
    <x v="1"/>
    <x v="0"/>
    <x v="0"/>
    <n v="0"/>
  </r>
  <r>
    <x v="3"/>
    <x v="1"/>
    <x v="0"/>
    <n v="501"/>
    <x v="1"/>
    <n v="15"/>
    <x v="0"/>
    <x v="2"/>
    <x v="0"/>
    <n v="2009"/>
    <x v="0"/>
    <x v="0"/>
    <n v="95"/>
    <x v="0"/>
    <x v="0"/>
    <x v="4"/>
    <x v="0"/>
    <x v="1"/>
    <x v="1313"/>
    <n v="21653"/>
    <n v="0"/>
    <s v="Y"/>
    <x v="0"/>
    <n v="13"/>
    <x v="0"/>
    <x v="0"/>
    <n v="80"/>
    <n v="1"/>
    <n v="10"/>
    <n v="6"/>
    <x v="1"/>
    <x v="7"/>
    <n v="7"/>
    <x v="6"/>
    <x v="9"/>
    <x v="1"/>
    <x v="0"/>
    <x v="1"/>
    <n v="0"/>
  </r>
  <r>
    <x v="5"/>
    <x v="1"/>
    <x v="0"/>
    <n v="267"/>
    <x v="1"/>
    <n v="29"/>
    <x v="2"/>
    <x v="0"/>
    <x v="0"/>
    <n v="2010"/>
    <x v="1"/>
    <x v="0"/>
    <n v="49"/>
    <x v="1"/>
    <x v="1"/>
    <x v="2"/>
    <x v="1"/>
    <x v="0"/>
    <x v="1314"/>
    <n v="15919"/>
    <n v="1"/>
    <s v="Y"/>
    <x v="1"/>
    <n v="13"/>
    <x v="0"/>
    <x v="3"/>
    <n v="80"/>
    <n v="0"/>
    <n v="6"/>
    <n v="3"/>
    <x v="1"/>
    <x v="0"/>
    <n v="2"/>
    <x v="5"/>
    <x v="9"/>
    <x v="1"/>
    <x v="0"/>
    <x v="1"/>
    <n v="0"/>
  </r>
  <r>
    <x v="32"/>
    <x v="1"/>
    <x v="0"/>
    <n v="543"/>
    <x v="1"/>
    <n v="1"/>
    <x v="2"/>
    <x v="0"/>
    <x v="0"/>
    <n v="2012"/>
    <x v="3"/>
    <x v="1"/>
    <n v="83"/>
    <x v="0"/>
    <x v="1"/>
    <x v="2"/>
    <x v="0"/>
    <x v="1"/>
    <x v="58"/>
    <n v="4060"/>
    <n v="8"/>
    <s v="Y"/>
    <x v="1"/>
    <n v="19"/>
    <x v="0"/>
    <x v="3"/>
    <n v="80"/>
    <n v="2"/>
    <n v="8"/>
    <n v="3"/>
    <x v="2"/>
    <x v="6"/>
    <n v="0"/>
    <x v="0"/>
    <x v="2"/>
    <x v="0"/>
    <x v="1"/>
    <x v="1"/>
    <n v="0"/>
  </r>
  <r>
    <x v="5"/>
    <x v="1"/>
    <x v="0"/>
    <n v="234"/>
    <x v="0"/>
    <n v="1"/>
    <x v="2"/>
    <x v="2"/>
    <x v="0"/>
    <n v="2013"/>
    <x v="0"/>
    <x v="1"/>
    <n v="68"/>
    <x v="1"/>
    <x v="1"/>
    <x v="6"/>
    <x v="1"/>
    <x v="1"/>
    <x v="47"/>
    <n v="18024"/>
    <n v="0"/>
    <s v="Y"/>
    <x v="1"/>
    <n v="14"/>
    <x v="0"/>
    <x v="2"/>
    <n v="80"/>
    <n v="1"/>
    <n v="3"/>
    <n v="2"/>
    <x v="1"/>
    <x v="4"/>
    <n v="2"/>
    <x v="3"/>
    <x v="3"/>
    <x v="1"/>
    <x v="1"/>
    <x v="1"/>
    <n v="0"/>
  </r>
  <r>
    <x v="22"/>
    <x v="1"/>
    <x v="0"/>
    <n v="116"/>
    <x v="1"/>
    <n v="24"/>
    <x v="1"/>
    <x v="0"/>
    <x v="0"/>
    <n v="2014"/>
    <x v="3"/>
    <x v="1"/>
    <n v="52"/>
    <x v="0"/>
    <x v="0"/>
    <x v="1"/>
    <x v="0"/>
    <x v="0"/>
    <x v="1315"/>
    <n v="5340"/>
    <n v="7"/>
    <s v="Y"/>
    <x v="1"/>
    <n v="13"/>
    <x v="0"/>
    <x v="0"/>
    <n v="80"/>
    <n v="0"/>
    <n v="18"/>
    <n v="2"/>
    <x v="1"/>
    <x v="5"/>
    <n v="7"/>
    <x v="1"/>
    <x v="1"/>
    <x v="1"/>
    <x v="0"/>
    <x v="1"/>
    <n v="0"/>
  </r>
  <r>
    <x v="8"/>
    <x v="1"/>
    <x v="0"/>
    <n v="201"/>
    <x v="1"/>
    <n v="10"/>
    <x v="3"/>
    <x v="2"/>
    <x v="0"/>
    <n v="2015"/>
    <x v="0"/>
    <x v="0"/>
    <n v="99"/>
    <x v="3"/>
    <x v="2"/>
    <x v="7"/>
    <x v="2"/>
    <x v="1"/>
    <x v="1316"/>
    <n v="3376"/>
    <n v="3"/>
    <s v="Y"/>
    <x v="1"/>
    <n v="12"/>
    <x v="0"/>
    <x v="0"/>
    <n v="80"/>
    <n v="1"/>
    <n v="20"/>
    <n v="3"/>
    <x v="1"/>
    <x v="29"/>
    <n v="16"/>
    <x v="1"/>
    <x v="7"/>
    <x v="1"/>
    <x v="3"/>
    <x v="3"/>
    <n v="0"/>
  </r>
  <r>
    <x v="5"/>
    <x v="1"/>
    <x v="0"/>
    <n v="801"/>
    <x v="0"/>
    <n v="1"/>
    <x v="2"/>
    <x v="3"/>
    <x v="0"/>
    <n v="2016"/>
    <x v="1"/>
    <x v="0"/>
    <n v="48"/>
    <x v="0"/>
    <x v="2"/>
    <x v="0"/>
    <x v="0"/>
    <x v="1"/>
    <x v="1317"/>
    <n v="24032"/>
    <n v="1"/>
    <s v="Y"/>
    <x v="1"/>
    <n v="19"/>
    <x v="0"/>
    <x v="3"/>
    <n v="80"/>
    <n v="2"/>
    <n v="14"/>
    <n v="3"/>
    <x v="1"/>
    <x v="13"/>
    <n v="10"/>
    <x v="8"/>
    <x v="1"/>
    <x v="1"/>
    <x v="3"/>
    <x v="3"/>
    <n v="0"/>
  </r>
  <r>
    <x v="2"/>
    <x v="1"/>
    <x v="0"/>
    <n v="161"/>
    <x v="1"/>
    <n v="10"/>
    <x v="3"/>
    <x v="0"/>
    <x v="0"/>
    <n v="2017"/>
    <x v="1"/>
    <x v="0"/>
    <n v="42"/>
    <x v="2"/>
    <x v="2"/>
    <x v="7"/>
    <x v="0"/>
    <x v="1"/>
    <x v="1318"/>
    <n v="15471"/>
    <n v="1"/>
    <s v="Y"/>
    <x v="0"/>
    <n v="25"/>
    <x v="1"/>
    <x v="0"/>
    <n v="80"/>
    <n v="1"/>
    <n v="16"/>
    <n v="2"/>
    <x v="1"/>
    <x v="22"/>
    <n v="11"/>
    <x v="7"/>
    <x v="5"/>
    <x v="1"/>
    <x v="3"/>
    <x v="3"/>
    <n v="0"/>
  </r>
  <r>
    <x v="36"/>
    <x v="1"/>
    <x v="0"/>
    <n v="1382"/>
    <x v="0"/>
    <n v="8"/>
    <x v="0"/>
    <x v="1"/>
    <x v="0"/>
    <n v="2018"/>
    <x v="3"/>
    <x v="0"/>
    <n v="85"/>
    <x v="0"/>
    <x v="0"/>
    <x v="0"/>
    <x v="2"/>
    <x v="2"/>
    <x v="274"/>
    <n v="13684"/>
    <n v="0"/>
    <s v="Y"/>
    <x v="0"/>
    <n v="22"/>
    <x v="1"/>
    <x v="2"/>
    <n v="80"/>
    <n v="1"/>
    <n v="6"/>
    <n v="3"/>
    <x v="2"/>
    <x v="8"/>
    <n v="3"/>
    <x v="0"/>
    <x v="10"/>
    <x v="2"/>
    <x v="2"/>
    <x v="1"/>
    <n v="0"/>
  </r>
  <r>
    <x v="39"/>
    <x v="1"/>
    <x v="2"/>
    <n v="585"/>
    <x v="0"/>
    <n v="29"/>
    <x v="2"/>
    <x v="0"/>
    <x v="0"/>
    <n v="2019"/>
    <x v="3"/>
    <x v="1"/>
    <n v="40"/>
    <x v="0"/>
    <x v="1"/>
    <x v="6"/>
    <x v="0"/>
    <x v="2"/>
    <x v="1319"/>
    <n v="19788"/>
    <n v="2"/>
    <s v="Y"/>
    <x v="1"/>
    <n v="15"/>
    <x v="0"/>
    <x v="2"/>
    <n v="80"/>
    <n v="2"/>
    <n v="16"/>
    <n v="3"/>
    <x v="2"/>
    <x v="7"/>
    <n v="8"/>
    <x v="0"/>
    <x v="2"/>
    <x v="3"/>
    <x v="0"/>
    <x v="1"/>
    <n v="0"/>
  </r>
  <r>
    <x v="20"/>
    <x v="1"/>
    <x v="0"/>
    <n v="1037"/>
    <x v="1"/>
    <n v="1"/>
    <x v="3"/>
    <x v="2"/>
    <x v="0"/>
    <n v="2020"/>
    <x v="0"/>
    <x v="1"/>
    <n v="42"/>
    <x v="0"/>
    <x v="1"/>
    <x v="1"/>
    <x v="0"/>
    <x v="0"/>
    <x v="230"/>
    <n v="13422"/>
    <n v="6"/>
    <s v="Y"/>
    <x v="0"/>
    <n v="12"/>
    <x v="0"/>
    <x v="3"/>
    <n v="80"/>
    <n v="0"/>
    <n v="6"/>
    <n v="2"/>
    <x v="1"/>
    <x v="9"/>
    <n v="3"/>
    <x v="1"/>
    <x v="3"/>
    <x v="0"/>
    <x v="2"/>
    <x v="1"/>
    <n v="0"/>
  </r>
  <r>
    <x v="18"/>
    <x v="1"/>
    <x v="0"/>
    <n v="501"/>
    <x v="0"/>
    <n v="5"/>
    <x v="1"/>
    <x v="2"/>
    <x v="0"/>
    <n v="2021"/>
    <x v="1"/>
    <x v="1"/>
    <n v="58"/>
    <x v="0"/>
    <x v="1"/>
    <x v="6"/>
    <x v="3"/>
    <x v="0"/>
    <x v="631"/>
    <n v="25479"/>
    <n v="1"/>
    <s v="Y"/>
    <x v="0"/>
    <n v="11"/>
    <x v="0"/>
    <x v="1"/>
    <n v="80"/>
    <n v="0"/>
    <n v="2"/>
    <n v="6"/>
    <x v="1"/>
    <x v="4"/>
    <n v="2"/>
    <x v="1"/>
    <x v="3"/>
    <x v="2"/>
    <x v="1"/>
    <x v="1"/>
    <n v="0"/>
  </r>
  <r>
    <x v="22"/>
    <x v="1"/>
    <x v="2"/>
    <n v="105"/>
    <x v="1"/>
    <n v="9"/>
    <x v="3"/>
    <x v="0"/>
    <x v="0"/>
    <n v="2022"/>
    <x v="2"/>
    <x v="1"/>
    <n v="87"/>
    <x v="0"/>
    <x v="4"/>
    <x v="5"/>
    <x v="0"/>
    <x v="0"/>
    <x v="1320"/>
    <n v="15302"/>
    <n v="2"/>
    <s v="Y"/>
    <x v="1"/>
    <n v="13"/>
    <x v="0"/>
    <x v="3"/>
    <n v="80"/>
    <n v="0"/>
    <n v="21"/>
    <n v="3"/>
    <x v="2"/>
    <x v="0"/>
    <n v="0"/>
    <x v="1"/>
    <x v="6"/>
    <x v="1"/>
    <x v="0"/>
    <x v="2"/>
    <n v="0"/>
  </r>
  <r>
    <x v="30"/>
    <x v="0"/>
    <x v="1"/>
    <n v="638"/>
    <x v="0"/>
    <n v="9"/>
    <x v="3"/>
    <x v="3"/>
    <x v="0"/>
    <n v="2023"/>
    <x v="2"/>
    <x v="1"/>
    <n v="33"/>
    <x v="0"/>
    <x v="1"/>
    <x v="6"/>
    <x v="3"/>
    <x v="1"/>
    <x v="1321"/>
    <n v="26956"/>
    <n v="1"/>
    <s v="Y"/>
    <x v="1"/>
    <n v="19"/>
    <x v="0"/>
    <x v="0"/>
    <n v="80"/>
    <n v="1"/>
    <n v="1"/>
    <n v="3"/>
    <x v="2"/>
    <x v="6"/>
    <n v="0"/>
    <x v="1"/>
    <x v="2"/>
    <x v="2"/>
    <x v="1"/>
    <x v="1"/>
    <n v="1"/>
  </r>
  <r>
    <x v="9"/>
    <x v="1"/>
    <x v="0"/>
    <n v="557"/>
    <x v="0"/>
    <n v="3"/>
    <x v="3"/>
    <x v="2"/>
    <x v="0"/>
    <n v="2024"/>
    <x v="3"/>
    <x v="0"/>
    <n v="94"/>
    <x v="1"/>
    <x v="2"/>
    <x v="0"/>
    <x v="0"/>
    <x v="1"/>
    <x v="1322"/>
    <n v="12695"/>
    <n v="0"/>
    <s v="Y"/>
    <x v="1"/>
    <n v="19"/>
    <x v="0"/>
    <x v="3"/>
    <n v="80"/>
    <n v="2"/>
    <n v="10"/>
    <n v="2"/>
    <x v="1"/>
    <x v="7"/>
    <n v="7"/>
    <x v="2"/>
    <x v="10"/>
    <x v="1"/>
    <x v="0"/>
    <x v="0"/>
    <n v="0"/>
  </r>
  <r>
    <x v="9"/>
    <x v="1"/>
    <x v="1"/>
    <n v="688"/>
    <x v="1"/>
    <n v="4"/>
    <x v="0"/>
    <x v="0"/>
    <x v="0"/>
    <n v="2025"/>
    <x v="2"/>
    <x v="0"/>
    <n v="97"/>
    <x v="0"/>
    <x v="0"/>
    <x v="3"/>
    <x v="1"/>
    <x v="2"/>
    <x v="1323"/>
    <n v="9192"/>
    <n v="7"/>
    <s v="Y"/>
    <x v="1"/>
    <n v="13"/>
    <x v="0"/>
    <x v="2"/>
    <n v="80"/>
    <n v="3"/>
    <n v="18"/>
    <n v="3"/>
    <x v="1"/>
    <x v="9"/>
    <n v="2"/>
    <x v="0"/>
    <x v="3"/>
    <x v="1"/>
    <x v="2"/>
    <x v="0"/>
    <n v="0"/>
  </r>
  <r>
    <x v="29"/>
    <x v="1"/>
    <x v="2"/>
    <n v="667"/>
    <x v="1"/>
    <n v="1"/>
    <x v="2"/>
    <x v="0"/>
    <x v="0"/>
    <n v="2026"/>
    <x v="1"/>
    <x v="1"/>
    <n v="57"/>
    <x v="0"/>
    <x v="0"/>
    <x v="4"/>
    <x v="2"/>
    <x v="2"/>
    <x v="1324"/>
    <n v="26236"/>
    <n v="1"/>
    <s v="Y"/>
    <x v="1"/>
    <n v="21"/>
    <x v="1"/>
    <x v="0"/>
    <n v="80"/>
    <n v="1"/>
    <n v="13"/>
    <n v="2"/>
    <x v="2"/>
    <x v="20"/>
    <n v="12"/>
    <x v="1"/>
    <x v="12"/>
    <x v="3"/>
    <x v="3"/>
    <x v="0"/>
    <n v="0"/>
  </r>
  <r>
    <x v="11"/>
    <x v="0"/>
    <x v="0"/>
    <n v="1092"/>
    <x v="1"/>
    <n v="1"/>
    <x v="2"/>
    <x v="2"/>
    <x v="0"/>
    <n v="2027"/>
    <x v="3"/>
    <x v="1"/>
    <n v="36"/>
    <x v="0"/>
    <x v="1"/>
    <x v="1"/>
    <x v="0"/>
    <x v="1"/>
    <x v="1325"/>
    <n v="26124"/>
    <n v="9"/>
    <s v="Y"/>
    <x v="0"/>
    <n v="14"/>
    <x v="0"/>
    <x v="2"/>
    <n v="80"/>
    <n v="3"/>
    <n v="4"/>
    <n v="3"/>
    <x v="3"/>
    <x v="4"/>
    <n v="2"/>
    <x v="3"/>
    <x v="3"/>
    <x v="2"/>
    <x v="1"/>
    <x v="1"/>
    <n v="1"/>
  </r>
  <r>
    <x v="19"/>
    <x v="1"/>
    <x v="0"/>
    <n v="300"/>
    <x v="1"/>
    <n v="2"/>
    <x v="3"/>
    <x v="0"/>
    <x v="0"/>
    <n v="2031"/>
    <x v="3"/>
    <x v="1"/>
    <n v="56"/>
    <x v="0"/>
    <x v="4"/>
    <x v="5"/>
    <x v="2"/>
    <x v="1"/>
    <x v="1326"/>
    <n v="17312"/>
    <n v="5"/>
    <s v="Y"/>
    <x v="1"/>
    <n v="11"/>
    <x v="0"/>
    <x v="0"/>
    <n v="80"/>
    <n v="0"/>
    <n v="24"/>
    <n v="2"/>
    <x v="2"/>
    <x v="14"/>
    <n v="6"/>
    <x v="5"/>
    <x v="17"/>
    <x v="0"/>
    <x v="3"/>
    <x v="2"/>
    <n v="0"/>
  </r>
  <r>
    <x v="29"/>
    <x v="0"/>
    <x v="0"/>
    <n v="310"/>
    <x v="1"/>
    <n v="7"/>
    <x v="0"/>
    <x v="4"/>
    <x v="0"/>
    <n v="2032"/>
    <x v="2"/>
    <x v="1"/>
    <n v="72"/>
    <x v="0"/>
    <x v="1"/>
    <x v="2"/>
    <x v="2"/>
    <x v="1"/>
    <x v="1327"/>
    <n v="3666"/>
    <n v="8"/>
    <s v="Y"/>
    <x v="1"/>
    <n v="11"/>
    <x v="0"/>
    <x v="1"/>
    <n v="80"/>
    <n v="1"/>
    <n v="14"/>
    <n v="4"/>
    <x v="0"/>
    <x v="1"/>
    <n v="9"/>
    <x v="10"/>
    <x v="5"/>
    <x v="3"/>
    <x v="0"/>
    <x v="1"/>
    <n v="1"/>
  </r>
  <r>
    <x v="0"/>
    <x v="1"/>
    <x v="0"/>
    <n v="582"/>
    <x v="1"/>
    <n v="28"/>
    <x v="2"/>
    <x v="0"/>
    <x v="0"/>
    <n v="2034"/>
    <x v="3"/>
    <x v="0"/>
    <n v="60"/>
    <x v="1"/>
    <x v="3"/>
    <x v="3"/>
    <x v="1"/>
    <x v="1"/>
    <x v="1328"/>
    <n v="5640"/>
    <n v="0"/>
    <s v="Y"/>
    <x v="1"/>
    <n v="23"/>
    <x v="1"/>
    <x v="3"/>
    <n v="80"/>
    <n v="1"/>
    <n v="21"/>
    <n v="3"/>
    <x v="1"/>
    <x v="23"/>
    <n v="7"/>
    <x v="0"/>
    <x v="13"/>
    <x v="0"/>
    <x v="3"/>
    <x v="3"/>
    <n v="0"/>
  </r>
  <r>
    <x v="13"/>
    <x v="1"/>
    <x v="0"/>
    <n v="704"/>
    <x v="0"/>
    <n v="28"/>
    <x v="3"/>
    <x v="3"/>
    <x v="0"/>
    <n v="2035"/>
    <x v="2"/>
    <x v="0"/>
    <n v="95"/>
    <x v="1"/>
    <x v="0"/>
    <x v="0"/>
    <x v="2"/>
    <x v="1"/>
    <x v="1329"/>
    <n v="8978"/>
    <n v="1"/>
    <s v="Y"/>
    <x v="1"/>
    <n v="21"/>
    <x v="1"/>
    <x v="1"/>
    <n v="80"/>
    <n v="2"/>
    <n v="8"/>
    <n v="2"/>
    <x v="1"/>
    <x v="3"/>
    <n v="7"/>
    <x v="1"/>
    <x v="1"/>
    <x v="1"/>
    <x v="0"/>
    <x v="0"/>
    <n v="0"/>
  </r>
  <r>
    <x v="9"/>
    <x v="1"/>
    <x v="2"/>
    <n v="301"/>
    <x v="0"/>
    <n v="15"/>
    <x v="2"/>
    <x v="3"/>
    <x v="0"/>
    <n v="2036"/>
    <x v="2"/>
    <x v="1"/>
    <n v="88"/>
    <x v="3"/>
    <x v="0"/>
    <x v="0"/>
    <x v="0"/>
    <x v="2"/>
    <x v="1330"/>
    <n v="10436"/>
    <n v="1"/>
    <s v="Y"/>
    <x v="1"/>
    <n v="24"/>
    <x v="1"/>
    <x v="0"/>
    <n v="80"/>
    <n v="1"/>
    <n v="15"/>
    <n v="4"/>
    <x v="2"/>
    <x v="15"/>
    <n v="12"/>
    <x v="14"/>
    <x v="7"/>
    <x v="1"/>
    <x v="3"/>
    <x v="0"/>
    <n v="0"/>
  </r>
  <r>
    <x v="0"/>
    <x v="1"/>
    <x v="0"/>
    <n v="930"/>
    <x v="0"/>
    <n v="3"/>
    <x v="3"/>
    <x v="0"/>
    <x v="0"/>
    <n v="2037"/>
    <x v="1"/>
    <x v="1"/>
    <n v="57"/>
    <x v="1"/>
    <x v="0"/>
    <x v="0"/>
    <x v="1"/>
    <x v="2"/>
    <x v="1331"/>
    <n v="12227"/>
    <n v="2"/>
    <s v="Y"/>
    <x v="1"/>
    <n v="11"/>
    <x v="0"/>
    <x v="3"/>
    <n v="80"/>
    <n v="1"/>
    <n v="14"/>
    <n v="5"/>
    <x v="1"/>
    <x v="8"/>
    <n v="4"/>
    <x v="0"/>
    <x v="10"/>
    <x v="0"/>
    <x v="2"/>
    <x v="0"/>
    <n v="0"/>
  </r>
  <r>
    <x v="5"/>
    <x v="1"/>
    <x v="0"/>
    <n v="529"/>
    <x v="1"/>
    <n v="2"/>
    <x v="3"/>
    <x v="4"/>
    <x v="0"/>
    <n v="2038"/>
    <x v="2"/>
    <x v="1"/>
    <n v="78"/>
    <x v="0"/>
    <x v="1"/>
    <x v="1"/>
    <x v="3"/>
    <x v="0"/>
    <x v="1234"/>
    <n v="11288"/>
    <n v="1"/>
    <s v="Y"/>
    <x v="1"/>
    <n v="14"/>
    <x v="0"/>
    <x v="1"/>
    <n v="80"/>
    <n v="0"/>
    <n v="4"/>
    <n v="4"/>
    <x v="1"/>
    <x v="9"/>
    <n v="2"/>
    <x v="1"/>
    <x v="3"/>
    <x v="1"/>
    <x v="2"/>
    <x v="1"/>
    <n v="0"/>
  </r>
  <r>
    <x v="10"/>
    <x v="1"/>
    <x v="0"/>
    <n v="1146"/>
    <x v="2"/>
    <n v="26"/>
    <x v="2"/>
    <x v="0"/>
    <x v="0"/>
    <n v="2040"/>
    <x v="1"/>
    <x v="0"/>
    <n v="31"/>
    <x v="0"/>
    <x v="2"/>
    <x v="8"/>
    <x v="0"/>
    <x v="0"/>
    <x v="1332"/>
    <n v="16642"/>
    <n v="1"/>
    <s v="Y"/>
    <x v="0"/>
    <n v="16"/>
    <x v="0"/>
    <x v="3"/>
    <n v="80"/>
    <n v="0"/>
    <n v="9"/>
    <n v="2"/>
    <x v="1"/>
    <x v="7"/>
    <n v="0"/>
    <x v="1"/>
    <x v="1"/>
    <x v="1"/>
    <x v="0"/>
    <x v="0"/>
    <n v="0"/>
  </r>
  <r>
    <x v="8"/>
    <x v="1"/>
    <x v="0"/>
    <n v="345"/>
    <x v="0"/>
    <n v="10"/>
    <x v="0"/>
    <x v="0"/>
    <x v="0"/>
    <n v="2041"/>
    <x v="3"/>
    <x v="0"/>
    <n v="100"/>
    <x v="0"/>
    <x v="0"/>
    <x v="0"/>
    <x v="0"/>
    <x v="1"/>
    <x v="798"/>
    <n v="5982"/>
    <n v="1"/>
    <s v="Y"/>
    <x v="1"/>
    <n v="11"/>
    <x v="0"/>
    <x v="3"/>
    <n v="80"/>
    <n v="1"/>
    <n v="10"/>
    <n v="1"/>
    <x v="1"/>
    <x v="1"/>
    <n v="7"/>
    <x v="1"/>
    <x v="12"/>
    <x v="1"/>
    <x v="0"/>
    <x v="0"/>
    <n v="0"/>
  </r>
  <r>
    <x v="24"/>
    <x v="0"/>
    <x v="1"/>
    <n v="878"/>
    <x v="0"/>
    <n v="1"/>
    <x v="2"/>
    <x v="0"/>
    <x v="0"/>
    <n v="2044"/>
    <x v="0"/>
    <x v="1"/>
    <n v="94"/>
    <x v="0"/>
    <x v="0"/>
    <x v="0"/>
    <x v="2"/>
    <x v="2"/>
    <x v="1333"/>
    <n v="14255"/>
    <n v="7"/>
    <s v="Y"/>
    <x v="1"/>
    <n v="12"/>
    <x v="0"/>
    <x v="1"/>
    <n v="80"/>
    <n v="2"/>
    <n v="12"/>
    <n v="3"/>
    <x v="1"/>
    <x v="0"/>
    <n v="3"/>
    <x v="0"/>
    <x v="9"/>
    <x v="3"/>
    <x v="0"/>
    <x v="0"/>
    <n v="1"/>
  </r>
  <r>
    <x v="9"/>
    <x v="1"/>
    <x v="0"/>
    <n v="1120"/>
    <x v="0"/>
    <n v="11"/>
    <x v="2"/>
    <x v="3"/>
    <x v="0"/>
    <n v="2045"/>
    <x v="0"/>
    <x v="0"/>
    <n v="100"/>
    <x v="1"/>
    <x v="0"/>
    <x v="0"/>
    <x v="0"/>
    <x v="1"/>
    <x v="1334"/>
    <n v="14369"/>
    <n v="4"/>
    <s v="Y"/>
    <x v="1"/>
    <n v="13"/>
    <x v="0"/>
    <x v="0"/>
    <n v="80"/>
    <n v="1"/>
    <n v="8"/>
    <n v="2"/>
    <x v="2"/>
    <x v="0"/>
    <n v="3"/>
    <x v="0"/>
    <x v="2"/>
    <x v="1"/>
    <x v="0"/>
    <x v="0"/>
    <n v="0"/>
  </r>
  <r>
    <x v="28"/>
    <x v="1"/>
    <x v="0"/>
    <n v="374"/>
    <x v="0"/>
    <n v="20"/>
    <x v="3"/>
    <x v="0"/>
    <x v="0"/>
    <n v="2046"/>
    <x v="2"/>
    <x v="0"/>
    <n v="50"/>
    <x v="0"/>
    <x v="0"/>
    <x v="0"/>
    <x v="2"/>
    <x v="0"/>
    <x v="1335"/>
    <n v="23333"/>
    <n v="8"/>
    <s v="Y"/>
    <x v="1"/>
    <n v="15"/>
    <x v="0"/>
    <x v="3"/>
    <n v="80"/>
    <n v="0"/>
    <n v="8"/>
    <n v="3"/>
    <x v="1"/>
    <x v="8"/>
    <n v="3"/>
    <x v="0"/>
    <x v="9"/>
    <x v="0"/>
    <x v="2"/>
    <x v="1"/>
    <n v="0"/>
  </r>
  <r>
    <x v="32"/>
    <x v="1"/>
    <x v="0"/>
    <n v="1322"/>
    <x v="1"/>
    <n v="2"/>
    <x v="2"/>
    <x v="0"/>
    <x v="0"/>
    <n v="2048"/>
    <x v="1"/>
    <x v="1"/>
    <n v="52"/>
    <x v="1"/>
    <x v="1"/>
    <x v="1"/>
    <x v="2"/>
    <x v="0"/>
    <x v="1336"/>
    <n v="2725"/>
    <n v="2"/>
    <s v="Y"/>
    <x v="1"/>
    <n v="14"/>
    <x v="0"/>
    <x v="1"/>
    <n v="80"/>
    <n v="0"/>
    <n v="8"/>
    <n v="2"/>
    <x v="1"/>
    <x v="4"/>
    <n v="2"/>
    <x v="3"/>
    <x v="3"/>
    <x v="0"/>
    <x v="1"/>
    <x v="1"/>
    <n v="0"/>
  </r>
  <r>
    <x v="10"/>
    <x v="1"/>
    <x v="1"/>
    <n v="1199"/>
    <x v="1"/>
    <n v="18"/>
    <x v="2"/>
    <x v="0"/>
    <x v="0"/>
    <n v="2049"/>
    <x v="1"/>
    <x v="1"/>
    <n v="80"/>
    <x v="0"/>
    <x v="0"/>
    <x v="4"/>
    <x v="2"/>
    <x v="1"/>
    <x v="1337"/>
    <n v="24594"/>
    <n v="1"/>
    <s v="Y"/>
    <x v="0"/>
    <n v="14"/>
    <x v="0"/>
    <x v="1"/>
    <n v="80"/>
    <n v="2"/>
    <n v="10"/>
    <n v="2"/>
    <x v="3"/>
    <x v="1"/>
    <n v="2"/>
    <x v="0"/>
    <x v="3"/>
    <x v="1"/>
    <x v="0"/>
    <x v="0"/>
    <n v="0"/>
  </r>
  <r>
    <x v="32"/>
    <x v="1"/>
    <x v="0"/>
    <n v="1194"/>
    <x v="1"/>
    <n v="2"/>
    <x v="2"/>
    <x v="2"/>
    <x v="0"/>
    <n v="2051"/>
    <x v="1"/>
    <x v="0"/>
    <n v="98"/>
    <x v="0"/>
    <x v="1"/>
    <x v="1"/>
    <x v="2"/>
    <x v="1"/>
    <x v="1338"/>
    <n v="12549"/>
    <n v="2"/>
    <s v="Y"/>
    <x v="1"/>
    <n v="14"/>
    <x v="0"/>
    <x v="2"/>
    <n v="80"/>
    <n v="3"/>
    <n v="20"/>
    <n v="2"/>
    <x v="1"/>
    <x v="8"/>
    <n v="3"/>
    <x v="0"/>
    <x v="3"/>
    <x v="0"/>
    <x v="2"/>
    <x v="1"/>
    <n v="0"/>
  </r>
  <r>
    <x v="10"/>
    <x v="1"/>
    <x v="0"/>
    <n v="287"/>
    <x v="1"/>
    <n v="1"/>
    <x v="2"/>
    <x v="0"/>
    <x v="0"/>
    <n v="2052"/>
    <x v="1"/>
    <x v="0"/>
    <n v="62"/>
    <x v="3"/>
    <x v="1"/>
    <x v="1"/>
    <x v="0"/>
    <x v="1"/>
    <x v="1339"/>
    <n v="8952"/>
    <n v="1"/>
    <s v="Y"/>
    <x v="1"/>
    <n v="12"/>
    <x v="0"/>
    <x v="1"/>
    <n v="80"/>
    <n v="1"/>
    <n v="4"/>
    <n v="5"/>
    <x v="1"/>
    <x v="9"/>
    <n v="3"/>
    <x v="1"/>
    <x v="9"/>
    <x v="1"/>
    <x v="2"/>
    <x v="1"/>
    <n v="0"/>
  </r>
  <r>
    <x v="11"/>
    <x v="1"/>
    <x v="0"/>
    <n v="1378"/>
    <x v="1"/>
    <n v="13"/>
    <x v="0"/>
    <x v="1"/>
    <x v="0"/>
    <n v="2053"/>
    <x v="2"/>
    <x v="1"/>
    <n v="46"/>
    <x v="1"/>
    <x v="0"/>
    <x v="2"/>
    <x v="1"/>
    <x v="1"/>
    <x v="717"/>
    <n v="23679"/>
    <n v="4"/>
    <s v="Y"/>
    <x v="0"/>
    <n v="13"/>
    <x v="0"/>
    <x v="0"/>
    <n v="80"/>
    <n v="1"/>
    <n v="10"/>
    <n v="2"/>
    <x v="1"/>
    <x v="9"/>
    <n v="3"/>
    <x v="0"/>
    <x v="6"/>
    <x v="2"/>
    <x v="2"/>
    <x v="1"/>
    <n v="0"/>
  </r>
  <r>
    <x v="11"/>
    <x v="1"/>
    <x v="0"/>
    <n v="468"/>
    <x v="1"/>
    <n v="28"/>
    <x v="2"/>
    <x v="2"/>
    <x v="0"/>
    <n v="2054"/>
    <x v="2"/>
    <x v="0"/>
    <n v="73"/>
    <x v="1"/>
    <x v="1"/>
    <x v="1"/>
    <x v="3"/>
    <x v="0"/>
    <x v="1340"/>
    <n v="8489"/>
    <n v="1"/>
    <s v="Y"/>
    <x v="1"/>
    <n v="14"/>
    <x v="0"/>
    <x v="2"/>
    <n v="80"/>
    <n v="0"/>
    <n v="5"/>
    <n v="3"/>
    <x v="0"/>
    <x v="8"/>
    <n v="4"/>
    <x v="0"/>
    <x v="10"/>
    <x v="2"/>
    <x v="2"/>
    <x v="1"/>
    <n v="0"/>
  </r>
  <r>
    <x v="24"/>
    <x v="0"/>
    <x v="0"/>
    <n v="410"/>
    <x v="0"/>
    <n v="28"/>
    <x v="3"/>
    <x v="3"/>
    <x v="0"/>
    <n v="2055"/>
    <x v="2"/>
    <x v="1"/>
    <n v="39"/>
    <x v="1"/>
    <x v="2"/>
    <x v="0"/>
    <x v="3"/>
    <x v="2"/>
    <x v="1341"/>
    <n v="16586"/>
    <n v="4"/>
    <s v="Y"/>
    <x v="0"/>
    <n v="13"/>
    <x v="0"/>
    <x v="2"/>
    <n v="80"/>
    <n v="1"/>
    <n v="20"/>
    <n v="3"/>
    <x v="1"/>
    <x v="11"/>
    <n v="2"/>
    <x v="3"/>
    <x v="2"/>
    <x v="3"/>
    <x v="2"/>
    <x v="3"/>
    <n v="1"/>
  </r>
  <r>
    <x v="22"/>
    <x v="1"/>
    <x v="0"/>
    <n v="722"/>
    <x v="0"/>
    <n v="24"/>
    <x v="1"/>
    <x v="3"/>
    <x v="0"/>
    <n v="2056"/>
    <x v="0"/>
    <x v="0"/>
    <n v="60"/>
    <x v="1"/>
    <x v="3"/>
    <x v="0"/>
    <x v="0"/>
    <x v="1"/>
    <x v="1342"/>
    <n v="8828"/>
    <n v="0"/>
    <s v="Y"/>
    <x v="1"/>
    <n v="11"/>
    <x v="0"/>
    <x v="0"/>
    <n v="80"/>
    <n v="1"/>
    <n v="21"/>
    <n v="2"/>
    <x v="2"/>
    <x v="23"/>
    <n v="9"/>
    <x v="10"/>
    <x v="4"/>
    <x v="1"/>
    <x v="3"/>
    <x v="3"/>
    <n v="0"/>
  </r>
  <r>
    <x v="12"/>
    <x v="1"/>
    <x v="2"/>
    <n v="325"/>
    <x v="1"/>
    <n v="5"/>
    <x v="3"/>
    <x v="2"/>
    <x v="0"/>
    <n v="2057"/>
    <x v="0"/>
    <x v="1"/>
    <n v="74"/>
    <x v="0"/>
    <x v="0"/>
    <x v="3"/>
    <x v="3"/>
    <x v="0"/>
    <x v="1343"/>
    <n v="3787"/>
    <n v="0"/>
    <s v="Y"/>
    <x v="1"/>
    <n v="19"/>
    <x v="0"/>
    <x v="2"/>
    <n v="80"/>
    <n v="0"/>
    <n v="10"/>
    <n v="2"/>
    <x v="1"/>
    <x v="7"/>
    <n v="4"/>
    <x v="1"/>
    <x v="1"/>
    <x v="1"/>
    <x v="0"/>
    <x v="0"/>
    <n v="0"/>
  </r>
  <r>
    <x v="25"/>
    <x v="1"/>
    <x v="0"/>
    <n v="1167"/>
    <x v="0"/>
    <n v="5"/>
    <x v="3"/>
    <x v="1"/>
    <x v="0"/>
    <n v="2060"/>
    <x v="2"/>
    <x v="0"/>
    <n v="30"/>
    <x v="1"/>
    <x v="1"/>
    <x v="6"/>
    <x v="2"/>
    <x v="0"/>
    <x v="1344"/>
    <n v="21378"/>
    <n v="0"/>
    <s v="Y"/>
    <x v="1"/>
    <n v="18"/>
    <x v="0"/>
    <x v="1"/>
    <n v="80"/>
    <n v="0"/>
    <n v="5"/>
    <n v="2"/>
    <x v="1"/>
    <x v="9"/>
    <n v="2"/>
    <x v="0"/>
    <x v="2"/>
    <x v="2"/>
    <x v="2"/>
    <x v="1"/>
    <n v="0"/>
  </r>
  <r>
    <x v="9"/>
    <x v="1"/>
    <x v="1"/>
    <n v="884"/>
    <x v="1"/>
    <n v="23"/>
    <x v="0"/>
    <x v="2"/>
    <x v="0"/>
    <n v="2061"/>
    <x v="1"/>
    <x v="1"/>
    <n v="41"/>
    <x v="2"/>
    <x v="0"/>
    <x v="2"/>
    <x v="0"/>
    <x v="1"/>
    <x v="1345"/>
    <n v="12290"/>
    <n v="4"/>
    <s v="Y"/>
    <x v="1"/>
    <n v="17"/>
    <x v="0"/>
    <x v="3"/>
    <n v="80"/>
    <n v="1"/>
    <n v="17"/>
    <n v="3"/>
    <x v="1"/>
    <x v="8"/>
    <n v="2"/>
    <x v="0"/>
    <x v="6"/>
    <x v="1"/>
    <x v="2"/>
    <x v="1"/>
    <n v="0"/>
  </r>
  <r>
    <x v="22"/>
    <x v="1"/>
    <x v="0"/>
    <n v="613"/>
    <x v="1"/>
    <n v="6"/>
    <x v="1"/>
    <x v="2"/>
    <x v="0"/>
    <n v="2062"/>
    <x v="2"/>
    <x v="1"/>
    <n v="42"/>
    <x v="1"/>
    <x v="2"/>
    <x v="4"/>
    <x v="3"/>
    <x v="1"/>
    <x v="1346"/>
    <n v="21457"/>
    <n v="4"/>
    <s v="Y"/>
    <x v="1"/>
    <n v="15"/>
    <x v="0"/>
    <x v="0"/>
    <n v="80"/>
    <n v="1"/>
    <n v="9"/>
    <n v="5"/>
    <x v="1"/>
    <x v="5"/>
    <n v="7"/>
    <x v="1"/>
    <x v="1"/>
    <x v="1"/>
    <x v="0"/>
    <x v="0"/>
    <n v="0"/>
  </r>
  <r>
    <x v="4"/>
    <x v="1"/>
    <x v="0"/>
    <n v="155"/>
    <x v="1"/>
    <n v="4"/>
    <x v="3"/>
    <x v="0"/>
    <x v="0"/>
    <n v="2064"/>
    <x v="0"/>
    <x v="1"/>
    <n v="87"/>
    <x v="2"/>
    <x v="0"/>
    <x v="3"/>
    <x v="1"/>
    <x v="1"/>
    <x v="528"/>
    <n v="5174"/>
    <n v="1"/>
    <s v="Y"/>
    <x v="0"/>
    <n v="20"/>
    <x v="1"/>
    <x v="2"/>
    <n v="80"/>
    <n v="1"/>
    <n v="6"/>
    <n v="0"/>
    <x v="1"/>
    <x v="0"/>
    <n v="2"/>
    <x v="0"/>
    <x v="6"/>
    <x v="2"/>
    <x v="0"/>
    <x v="0"/>
    <n v="0"/>
  </r>
  <r>
    <x v="1"/>
    <x v="1"/>
    <x v="1"/>
    <n v="1023"/>
    <x v="0"/>
    <n v="2"/>
    <x v="3"/>
    <x v="2"/>
    <x v="0"/>
    <n v="2065"/>
    <x v="2"/>
    <x v="1"/>
    <n v="63"/>
    <x v="1"/>
    <x v="0"/>
    <x v="0"/>
    <x v="1"/>
    <x v="1"/>
    <x v="1347"/>
    <n v="13243"/>
    <n v="2"/>
    <s v="Y"/>
    <x v="1"/>
    <n v="14"/>
    <x v="0"/>
    <x v="1"/>
    <n v="80"/>
    <n v="0"/>
    <n v="17"/>
    <n v="3"/>
    <x v="2"/>
    <x v="7"/>
    <n v="6"/>
    <x v="0"/>
    <x v="5"/>
    <x v="0"/>
    <x v="0"/>
    <x v="0"/>
    <n v="0"/>
  </r>
  <r>
    <x v="13"/>
    <x v="1"/>
    <x v="0"/>
    <n v="628"/>
    <x v="1"/>
    <n v="8"/>
    <x v="3"/>
    <x v="2"/>
    <x v="0"/>
    <n v="2068"/>
    <x v="0"/>
    <x v="1"/>
    <n v="82"/>
    <x v="2"/>
    <x v="0"/>
    <x v="2"/>
    <x v="2"/>
    <x v="1"/>
    <x v="1348"/>
    <n v="10228"/>
    <n v="2"/>
    <s v="Y"/>
    <x v="1"/>
    <n v="12"/>
    <x v="0"/>
    <x v="0"/>
    <n v="80"/>
    <n v="0"/>
    <n v="6"/>
    <n v="3"/>
    <x v="3"/>
    <x v="9"/>
    <n v="3"/>
    <x v="1"/>
    <x v="3"/>
    <x v="1"/>
    <x v="2"/>
    <x v="1"/>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673AFB8-2691-4BEB-9D4E-30C0241C7423}" name="PivotTable4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I18:J22" firstHeaderRow="1" firstDataRow="1" firstDataCol="1"/>
  <pivotFields count="39">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2"/>
  </rowFields>
  <rowItems count="4">
    <i>
      <x/>
    </i>
    <i>
      <x v="1"/>
    </i>
    <i>
      <x v="2"/>
    </i>
    <i t="grand">
      <x/>
    </i>
  </rowItems>
  <colItems count="1">
    <i/>
  </colItems>
  <dataFields count="1">
    <dataField name="Average of Attrition_flag" fld="38" subtotal="average" baseField="2" baseItem="1" numFmtId="10"/>
  </dataFields>
  <chartFormats count="2">
    <chartFormat chart="4" format="2"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B9F2804-09DC-4DBF-A804-645B7F0EAE2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T20:W25" firstHeaderRow="1" firstDataRow="2" firstDataCol="1"/>
  <pivotFields count="39">
    <pivotField showAll="0"/>
    <pivotField showAll="0">
      <items count="3">
        <item x="1"/>
        <item h="1" x="0"/>
        <item t="default"/>
      </items>
    </pivotField>
    <pivotField showAll="0"/>
    <pivotField showAll="0"/>
    <pivotField axis="axisRow" showAll="0">
      <items count="7">
        <item x="2"/>
        <item x="1"/>
        <item x="0"/>
        <item h="1" m="1" x="5"/>
        <item h="1" m="1" x="4"/>
        <item h="1" m="1" x="3"/>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Fields count="1">
    <field x="22"/>
  </colFields>
  <colItems count="3">
    <i>
      <x/>
    </i>
    <i>
      <x v="1"/>
    </i>
    <i t="grand">
      <x/>
    </i>
  </colItems>
  <dataFields count="1">
    <dataField name="Sum of Employee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E74FCDC-3946-4204-BDB8-63D49E4667BB}" name="PivotTable4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C28:D33"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350">
        <item x="495"/>
        <item x="692"/>
        <item x="723"/>
        <item x="1240"/>
        <item x="1263"/>
        <item x="173"/>
        <item x="858"/>
        <item x="1295"/>
        <item x="294"/>
        <item x="857"/>
        <item x="23"/>
        <item x="955"/>
        <item x="986"/>
        <item x="497"/>
        <item x="953"/>
        <item x="1118"/>
        <item x="734"/>
        <item x="289"/>
        <item x="146"/>
        <item x="1215"/>
        <item x="1134"/>
        <item x="1000"/>
        <item x="1069"/>
        <item x="561"/>
        <item x="916"/>
        <item x="124"/>
        <item x="405"/>
        <item x="589"/>
        <item x="1321"/>
        <item x="840"/>
        <item x="443"/>
        <item x="782"/>
        <item x="40"/>
        <item x="1338"/>
        <item x="728"/>
        <item x="641"/>
        <item x="839"/>
        <item x="1093"/>
        <item x="37"/>
        <item x="1012"/>
        <item x="608"/>
        <item x="158"/>
        <item x="14"/>
        <item x="921"/>
        <item x="462"/>
        <item x="96"/>
        <item x="633"/>
        <item x="494"/>
        <item x="213"/>
        <item x="1042"/>
        <item x="1244"/>
        <item x="995"/>
        <item x="962"/>
        <item x="266"/>
        <item x="97"/>
        <item x="1035"/>
        <item x="84"/>
        <item x="880"/>
        <item x="483"/>
        <item x="33"/>
        <item x="168"/>
        <item x="189"/>
        <item x="2"/>
        <item x="429"/>
        <item x="461"/>
        <item x="408"/>
        <item x="956"/>
        <item x="1223"/>
        <item x="815"/>
        <item x="971"/>
        <item x="278"/>
        <item x="328"/>
        <item x="657"/>
        <item x="459"/>
        <item x="685"/>
        <item x="1270"/>
        <item x="1059"/>
        <item x="574"/>
        <item x="1277"/>
        <item x="1154"/>
        <item x="1202"/>
        <item x="203"/>
        <item x="868"/>
        <item x="664"/>
        <item x="1084"/>
        <item x="810"/>
        <item x="348"/>
        <item x="256"/>
        <item x="221"/>
        <item x="1155"/>
        <item x="467"/>
        <item x="65"/>
        <item x="360"/>
        <item x="32"/>
        <item x="750"/>
        <item x="822"/>
        <item x="352"/>
        <item x="521"/>
        <item x="388"/>
        <item x="722"/>
        <item x="1265"/>
        <item x="156"/>
        <item x="236"/>
        <item x="837"/>
        <item x="145"/>
        <item x="372"/>
        <item x="384"/>
        <item x="647"/>
        <item x="228"/>
        <item x="47"/>
        <item x="678"/>
        <item x="1011"/>
        <item x="577"/>
        <item x="1125"/>
        <item x="627"/>
        <item x="187"/>
        <item x="374"/>
        <item x="175"/>
        <item x="1174"/>
        <item x="813"/>
        <item x="34"/>
        <item x="1024"/>
        <item x="532"/>
        <item x="897"/>
        <item x="1136"/>
        <item x="149"/>
        <item x="1252"/>
        <item x="1016"/>
        <item x="177"/>
        <item x="754"/>
        <item x="609"/>
        <item x="640"/>
        <item x="565"/>
        <item x="676"/>
        <item x="83"/>
        <item x="157"/>
        <item x="167"/>
        <item x="287"/>
        <item x="202"/>
        <item x="645"/>
        <item x="651"/>
        <item x="1216"/>
        <item x="1327"/>
        <item x="246"/>
        <item x="41"/>
        <item x="531"/>
        <item x="980"/>
        <item x="150"/>
        <item x="404"/>
        <item x="616"/>
        <item x="898"/>
        <item x="588"/>
        <item x="1039"/>
        <item x="122"/>
        <item x="342"/>
        <item x="872"/>
        <item x="281"/>
        <item x="799"/>
        <item x="638"/>
        <item x="1220"/>
        <item x="631"/>
        <item x="911"/>
        <item x="225"/>
        <item x="940"/>
        <item x="1181"/>
        <item x="454"/>
        <item x="639"/>
        <item x="58"/>
        <item x="1054"/>
        <item x="652"/>
        <item x="697"/>
        <item x="10"/>
        <item x="1027"/>
        <item x="1272"/>
        <item x="230"/>
        <item x="1170"/>
        <item x="1198"/>
        <item x="1234"/>
        <item x="1106"/>
        <item x="533"/>
        <item x="163"/>
        <item x="308"/>
        <item x="736"/>
        <item x="1165"/>
        <item x="1241"/>
        <item x="370"/>
        <item x="310"/>
        <item x="667"/>
        <item x="30"/>
        <item x="172"/>
        <item x="69"/>
        <item x="571"/>
        <item x="764"/>
        <item x="605"/>
        <item x="849"/>
        <item x="656"/>
        <item x="125"/>
        <item x="629"/>
        <item x="914"/>
        <item x="786"/>
        <item x="366"/>
        <item x="1259"/>
        <item x="410"/>
        <item x="804"/>
        <item x="580"/>
        <item x="594"/>
        <item x="999"/>
        <item x="411"/>
        <item x="161"/>
        <item x="1119"/>
        <item x="1345"/>
        <item x="556"/>
        <item x="377"/>
        <item x="476"/>
        <item x="1083"/>
        <item x="853"/>
        <item x="1105"/>
        <item x="1195"/>
        <item x="250"/>
        <item x="756"/>
        <item x="696"/>
        <item x="353"/>
        <item x="117"/>
        <item x="472"/>
        <item x="217"/>
        <item x="862"/>
        <item x="140"/>
        <item x="526"/>
        <item x="1029"/>
        <item x="35"/>
        <item x="1301"/>
        <item x="396"/>
        <item x="1117"/>
        <item x="210"/>
        <item x="487"/>
        <item x="1310"/>
        <item x="13"/>
        <item x="1238"/>
        <item x="6"/>
        <item x="826"/>
        <item x="1179"/>
        <item x="36"/>
        <item x="687"/>
        <item x="539"/>
        <item x="1052"/>
        <item x="485"/>
        <item x="7"/>
        <item x="562"/>
        <item x="305"/>
        <item x="341"/>
        <item x="569"/>
        <item x="68"/>
        <item x="1207"/>
        <item x="1225"/>
        <item x="232"/>
        <item x="159"/>
        <item x="359"/>
        <item x="1168"/>
        <item x="143"/>
        <item x="252"/>
        <item x="457"/>
        <item x="1110"/>
        <item x="199"/>
        <item x="975"/>
        <item x="714"/>
        <item x="181"/>
        <item x="527"/>
        <item x="1158"/>
        <item x="1171"/>
        <item x="420"/>
        <item x="480"/>
        <item x="110"/>
        <item x="637"/>
        <item x="831"/>
        <item x="553"/>
        <item x="1091"/>
        <item x="924"/>
        <item x="285"/>
        <item x="773"/>
        <item x="222"/>
        <item x="254"/>
        <item x="628"/>
        <item x="643"/>
        <item x="617"/>
        <item x="1231"/>
        <item x="1336"/>
        <item x="1279"/>
        <item x="682"/>
        <item x="1055"/>
        <item x="604"/>
        <item x="498"/>
        <item x="724"/>
        <item x="801"/>
        <item x="115"/>
        <item x="469"/>
        <item x="1314"/>
        <item x="877"/>
        <item x="781"/>
        <item x="354"/>
        <item x="811"/>
        <item x="1239"/>
        <item x="1285"/>
        <item x="78"/>
        <item x="1144"/>
        <item x="1276"/>
        <item x="1282"/>
        <item x="106"/>
        <item x="859"/>
        <item x="407"/>
        <item x="105"/>
        <item x="1290"/>
        <item x="614"/>
        <item x="336"/>
        <item x="3"/>
        <item x="12"/>
        <item x="99"/>
        <item x="1124"/>
        <item x="1161"/>
        <item x="1249"/>
        <item x="17"/>
        <item x="808"/>
        <item x="131"/>
        <item x="942"/>
        <item x="98"/>
        <item x="24"/>
        <item x="1344"/>
        <item x="1040"/>
        <item x="620"/>
        <item x="1131"/>
        <item x="338"/>
        <item x="1339"/>
        <item x="759"/>
        <item x="425"/>
        <item x="1293"/>
        <item x="856"/>
        <item x="932"/>
        <item x="45"/>
        <item x="807"/>
        <item x="375"/>
        <item x="71"/>
        <item x="477"/>
        <item x="1173"/>
        <item x="536"/>
        <item x="166"/>
        <item x="1278"/>
        <item x="1307"/>
        <item x="5"/>
        <item x="1071"/>
        <item x="169"/>
        <item x="371"/>
        <item x="1068"/>
        <item x="803"/>
        <item x="178"/>
        <item x="1189"/>
        <item x="563"/>
        <item x="279"/>
        <item x="612"/>
        <item x="992"/>
        <item x="1002"/>
        <item x="1113"/>
        <item x="819"/>
        <item x="774"/>
        <item x="403"/>
        <item x="142"/>
        <item x="263"/>
        <item x="1063"/>
        <item x="226"/>
        <item x="504"/>
        <item x="945"/>
        <item x="268"/>
        <item x="550"/>
        <item x="778"/>
        <item x="635"/>
        <item x="1149"/>
        <item x="16"/>
        <item x="1115"/>
        <item x="282"/>
        <item x="1057"/>
        <item x="238"/>
        <item x="879"/>
        <item x="154"/>
        <item x="496"/>
        <item x="1311"/>
        <item x="740"/>
        <item x="1192"/>
        <item x="66"/>
        <item x="21"/>
        <item x="424"/>
        <item x="38"/>
        <item x="959"/>
        <item x="888"/>
        <item x="592"/>
        <item x="1138"/>
        <item x="49"/>
        <item x="1157"/>
        <item x="478"/>
        <item x="380"/>
        <item x="138"/>
        <item x="315"/>
        <item x="4"/>
        <item x="1139"/>
        <item x="253"/>
        <item x="1319"/>
        <item x="258"/>
        <item x="824"/>
        <item x="961"/>
        <item x="542"/>
        <item x="871"/>
        <item x="1082"/>
        <item x="1120"/>
        <item x="1177"/>
        <item x="1230"/>
        <item x="901"/>
        <item x="191"/>
        <item x="946"/>
        <item x="834"/>
        <item x="611"/>
        <item x="1212"/>
        <item x="793"/>
        <item x="814"/>
        <item x="659"/>
        <item x="463"/>
        <item x="943"/>
        <item x="683"/>
        <item x="968"/>
        <item x="745"/>
        <item x="909"/>
        <item x="984"/>
        <item x="465"/>
        <item x="291"/>
        <item x="179"/>
        <item x="753"/>
        <item x="848"/>
        <item x="326"/>
        <item x="1180"/>
        <item x="524"/>
        <item x="972"/>
        <item x="235"/>
        <item x="587"/>
        <item x="690"/>
        <item x="1304"/>
        <item x="436"/>
        <item x="841"/>
        <item x="597"/>
        <item x="419"/>
        <item x="1340"/>
        <item x="1221"/>
        <item x="198"/>
        <item x="362"/>
        <item x="557"/>
        <item x="997"/>
        <item x="876"/>
        <item x="520"/>
        <item x="1247"/>
        <item x="430"/>
        <item x="1237"/>
        <item x="885"/>
        <item x="1142"/>
        <item x="704"/>
        <item x="26"/>
        <item x="242"/>
        <item x="176"/>
        <item x="234"/>
        <item x="1077"/>
        <item x="19"/>
        <item x="738"/>
        <item x="1227"/>
        <item x="966"/>
        <item x="1305"/>
        <item x="1258"/>
        <item x="329"/>
        <item x="1121"/>
        <item x="1114"/>
        <item x="261"/>
        <item x="1175"/>
        <item x="20"/>
        <item x="55"/>
        <item x="717"/>
        <item x="500"/>
        <item x="394"/>
        <item x="777"/>
        <item x="996"/>
        <item x="593"/>
        <item x="431"/>
        <item x="1065"/>
        <item x="1025"/>
        <item x="1187"/>
        <item x="934"/>
        <item x="938"/>
        <item x="1014"/>
        <item x="1038"/>
        <item x="470"/>
        <item x="904"/>
        <item x="1286"/>
        <item x="726"/>
        <item x="1315"/>
        <item x="816"/>
        <item x="1197"/>
        <item x="691"/>
        <item x="85"/>
        <item x="52"/>
        <item x="964"/>
        <item x="684"/>
        <item x="636"/>
        <item x="1101"/>
        <item x="1184"/>
        <item x="11"/>
        <item x="606"/>
        <item x="378"/>
        <item x="1044"/>
        <item x="137"/>
        <item x="1196"/>
        <item x="94"/>
        <item x="703"/>
        <item x="418"/>
        <item x="464"/>
        <item x="699"/>
        <item x="558"/>
        <item x="905"/>
        <item x="610"/>
        <item x="171"/>
        <item x="546"/>
        <item x="369"/>
        <item x="440"/>
        <item x="779"/>
        <item x="948"/>
        <item x="1018"/>
        <item x="486"/>
        <item x="654"/>
        <item x="196"/>
        <item x="758"/>
        <item x="383"/>
        <item x="73"/>
        <item x="139"/>
        <item x="152"/>
        <item x="1020"/>
        <item x="788"/>
        <item x="81"/>
        <item x="817"/>
        <item x="1297"/>
        <item x="548"/>
        <item x="552"/>
        <item x="220"/>
        <item x="547"/>
        <item x="981"/>
        <item x="1095"/>
        <item x="689"/>
        <item x="555"/>
        <item x="573"/>
        <item x="1060"/>
        <item x="1254"/>
        <item x="960"/>
        <item x="1129"/>
        <item x="596"/>
        <item x="1348"/>
        <item x="794"/>
        <item x="796"/>
        <item x="72"/>
        <item x="192"/>
        <item x="578"/>
        <item x="1299"/>
        <item x="867"/>
        <item x="663"/>
        <item x="1209"/>
        <item x="387"/>
        <item x="180"/>
        <item x="237"/>
        <item x="805"/>
        <item x="312"/>
        <item x="284"/>
        <item x="386"/>
        <item x="870"/>
        <item x="1132"/>
        <item x="111"/>
        <item x="1163"/>
        <item x="749"/>
        <item x="385"/>
        <item x="402"/>
        <item x="894"/>
        <item x="623"/>
        <item x="864"/>
        <item x="823"/>
        <item x="825"/>
        <item x="507"/>
        <item x="275"/>
        <item x="398"/>
        <item x="393"/>
        <item x="129"/>
        <item x="44"/>
        <item x="506"/>
        <item x="1099"/>
        <item x="998"/>
        <item x="991"/>
        <item x="665"/>
        <item x="925"/>
        <item x="735"/>
        <item x="1300"/>
        <item x="743"/>
        <item x="886"/>
        <item x="912"/>
        <item x="502"/>
        <item x="1222"/>
        <item x="340"/>
        <item x="903"/>
        <item x="1062"/>
        <item x="141"/>
        <item x="649"/>
        <item x="503"/>
        <item x="320"/>
        <item x="1213"/>
        <item x="878"/>
        <item x="453"/>
        <item x="434"/>
        <item x="655"/>
        <item x="1046"/>
        <item x="927"/>
        <item x="757"/>
        <item x="1100"/>
        <item x="345"/>
        <item x="127"/>
        <item x="277"/>
        <item x="982"/>
        <item x="632"/>
        <item x="784"/>
        <item x="985"/>
        <item x="1273"/>
        <item x="1236"/>
        <item x="603"/>
        <item x="707"/>
        <item x="586"/>
        <item x="1325"/>
        <item x="1245"/>
        <item x="1001"/>
        <item x="439"/>
        <item x="100"/>
        <item x="401"/>
        <item x="302"/>
        <item x="721"/>
        <item x="1017"/>
        <item x="1335"/>
        <item x="499"/>
        <item x="1037"/>
        <item x="446"/>
        <item x="324"/>
        <item x="204"/>
        <item x="1067"/>
        <item x="1313"/>
        <item x="884"/>
        <item x="249"/>
        <item x="987"/>
        <item x="274"/>
        <item x="630"/>
        <item x="1127"/>
        <item x="365"/>
        <item x="132"/>
        <item x="833"/>
        <item x="513"/>
        <item x="119"/>
        <item x="775"/>
        <item x="711"/>
        <item x="1145"/>
        <item x="829"/>
        <item x="93"/>
        <item x="701"/>
        <item x="170"/>
        <item x="91"/>
        <item x="76"/>
        <item x="1251"/>
        <item x="1074"/>
        <item x="314"/>
        <item x="780"/>
        <item x="1051"/>
        <item x="674"/>
        <item x="416"/>
        <item x="918"/>
        <item x="675"/>
        <item x="1275"/>
        <item x="534"/>
        <item x="575"/>
        <item x="1312"/>
        <item x="537"/>
        <item x="77"/>
        <item x="1"/>
        <item x="1323"/>
        <item x="1162"/>
        <item x="1269"/>
        <item x="1217"/>
        <item x="792"/>
        <item x="582"/>
        <item x="101"/>
        <item x="845"/>
        <item x="600"/>
        <item x="626"/>
        <item x="1087"/>
        <item x="1022"/>
        <item x="1066"/>
        <item x="89"/>
        <item x="304"/>
        <item x="828"/>
        <item x="311"/>
        <item x="615"/>
        <item x="9"/>
        <item x="319"/>
        <item x="255"/>
        <item x="363"/>
        <item x="322"/>
        <item x="355"/>
        <item x="193"/>
        <item x="1167"/>
        <item x="1088"/>
        <item x="346"/>
        <item x="983"/>
        <item x="367"/>
        <item x="535"/>
        <item x="1308"/>
        <item x="567"/>
        <item x="549"/>
        <item x="80"/>
        <item x="1061"/>
        <item x="447"/>
        <item x="798"/>
        <item x="800"/>
        <item x="1112"/>
        <item x="917"/>
        <item x="1111"/>
        <item x="1283"/>
        <item x="39"/>
        <item x="1064"/>
        <item x="1268"/>
        <item x="48"/>
        <item x="1347"/>
        <item x="508"/>
        <item x="1260"/>
        <item x="517"/>
        <item x="1330"/>
        <item x="874"/>
        <item x="276"/>
        <item x="923"/>
        <item x="1092"/>
        <item x="1081"/>
        <item x="88"/>
        <item x="50"/>
        <item x="466"/>
        <item x="931"/>
        <item x="1182"/>
        <item x="1103"/>
        <item x="698"/>
        <item x="67"/>
        <item x="1104"/>
        <item x="292"/>
        <item x="299"/>
        <item x="551"/>
        <item x="974"/>
        <item x="1261"/>
        <item x="680"/>
        <item x="1102"/>
        <item x="1253"/>
        <item x="1193"/>
        <item x="489"/>
        <item x="622"/>
        <item x="452"/>
        <item x="260"/>
        <item x="761"/>
        <item x="147"/>
        <item x="1288"/>
        <item x="958"/>
        <item x="301"/>
        <item x="295"/>
        <item x="670"/>
        <item x="1242"/>
        <item x="298"/>
        <item x="1219"/>
        <item x="1303"/>
        <item x="473"/>
        <item x="1337"/>
        <item x="787"/>
        <item x="376"/>
        <item x="785"/>
        <item x="1264"/>
        <item x="1079"/>
        <item x="104"/>
        <item x="280"/>
        <item x="1266"/>
        <item x="1194"/>
        <item x="990"/>
        <item x="1073"/>
        <item x="939"/>
        <item x="1075"/>
        <item x="46"/>
        <item x="316"/>
        <item x="957"/>
        <item x="1169"/>
        <item x="1188"/>
        <item x="286"/>
        <item x="658"/>
        <item x="1085"/>
        <item x="1028"/>
        <item x="134"/>
        <item x="1246"/>
        <item x="216"/>
        <item x="56"/>
        <item x="188"/>
        <item x="591"/>
        <item x="215"/>
        <item x="241"/>
        <item x="1291"/>
        <item x="344"/>
        <item x="554"/>
        <item x="475"/>
        <item x="0"/>
        <item x="1178"/>
        <item x="337"/>
        <item x="572"/>
        <item x="108"/>
        <item x="1033"/>
        <item x="399"/>
        <item x="330"/>
        <item x="929"/>
        <item x="908"/>
        <item x="153"/>
        <item x="1147"/>
        <item x="528"/>
        <item x="118"/>
        <item x="896"/>
        <item x="57"/>
        <item x="121"/>
        <item x="928"/>
        <item x="540"/>
        <item x="595"/>
        <item x="881"/>
        <item x="331"/>
        <item x="70"/>
        <item x="433"/>
        <item x="936"/>
        <item x="642"/>
        <item x="195"/>
        <item x="458"/>
        <item x="543"/>
        <item x="579"/>
        <item x="1159"/>
        <item x="1324"/>
        <item x="482"/>
        <item x="1302"/>
        <item x="602"/>
        <item x="136"/>
        <item x="323"/>
        <item x="922"/>
        <item x="358"/>
        <item x="1226"/>
        <item x="708"/>
        <item x="1004"/>
        <item x="529"/>
        <item x="1031"/>
        <item x="271"/>
        <item x="303"/>
        <item x="1140"/>
        <item x="243"/>
        <item x="1030"/>
        <item x="455"/>
        <item x="31"/>
        <item x="1150"/>
        <item x="806"/>
        <item x="63"/>
        <item x="559"/>
        <item x="267"/>
        <item x="1204"/>
        <item x="1141"/>
        <item x="613"/>
        <item x="382"/>
        <item x="361"/>
        <item x="247"/>
        <item x="1003"/>
        <item x="194"/>
        <item x="126"/>
        <item x="391"/>
        <item x="795"/>
        <item x="437"/>
        <item x="1256"/>
        <item x="634"/>
        <item x="850"/>
        <item x="541"/>
        <item x="259"/>
        <item x="490"/>
        <item x="979"/>
        <item x="1334"/>
        <item x="349"/>
        <item x="1284"/>
        <item x="200"/>
        <item x="889"/>
        <item x="926"/>
        <item x="752"/>
        <item x="212"/>
        <item x="1329"/>
        <item x="660"/>
        <item x="1333"/>
        <item x="1148"/>
        <item x="351"/>
        <item x="347"/>
        <item x="771"/>
        <item x="509"/>
        <item x="1205"/>
        <item x="197"/>
        <item x="445"/>
        <item x="844"/>
        <item x="1045"/>
        <item x="27"/>
        <item x="843"/>
        <item x="1262"/>
        <item x="1096"/>
        <item x="832"/>
        <item x="1210"/>
        <item x="710"/>
        <item x="1199"/>
        <item x="576"/>
        <item x="1143"/>
        <item x="907"/>
        <item x="296"/>
        <item x="248"/>
        <item x="648"/>
        <item x="662"/>
        <item x="1218"/>
        <item x="1116"/>
        <item x="1109"/>
        <item x="1013"/>
        <item x="887"/>
        <item x="481"/>
        <item x="747"/>
        <item x="1160"/>
        <item x="333"/>
        <item x="82"/>
        <item x="669"/>
        <item x="148"/>
        <item x="1235"/>
        <item x="789"/>
        <item x="767"/>
        <item x="827"/>
        <item x="646"/>
        <item x="438"/>
        <item x="511"/>
        <item x="112"/>
        <item x="1026"/>
        <item x="969"/>
        <item x="327"/>
        <item x="107"/>
        <item x="448"/>
        <item x="1292"/>
        <item x="720"/>
        <item x="313"/>
        <item x="949"/>
        <item x="545"/>
        <item x="373"/>
        <item x="510"/>
        <item x="426"/>
        <item x="60"/>
        <item x="201"/>
        <item x="624"/>
        <item x="1322"/>
        <item x="581"/>
        <item x="765"/>
        <item x="491"/>
        <item x="751"/>
        <item x="772"/>
        <item x="671"/>
        <item x="1128"/>
        <item x="523"/>
        <item x="1126"/>
        <item x="672"/>
        <item x="913"/>
        <item x="223"/>
        <item x="1078"/>
        <item x="395"/>
        <item x="875"/>
        <item x="947"/>
        <item x="1191"/>
        <item x="1086"/>
        <item x="290"/>
        <item x="335"/>
        <item x="1257"/>
        <item x="501"/>
        <item x="1166"/>
        <item x="130"/>
        <item x="783"/>
        <item x="1047"/>
        <item x="334"/>
        <item x="1186"/>
        <item x="1156"/>
        <item x="1008"/>
        <item x="855"/>
        <item x="484"/>
        <item x="392"/>
        <item x="727"/>
        <item x="412"/>
        <item x="892"/>
        <item x="977"/>
        <item x="207"/>
        <item x="902"/>
        <item x="1164"/>
        <item x="1224"/>
        <item x="1010"/>
        <item x="994"/>
        <item x="505"/>
        <item x="1281"/>
        <item x="1306"/>
        <item x="135"/>
        <item x="165"/>
        <item x="737"/>
        <item x="42"/>
        <item x="763"/>
        <item x="224"/>
        <item x="518"/>
        <item x="741"/>
        <item x="451"/>
        <item x="1332"/>
        <item x="493"/>
        <item x="1048"/>
        <item x="731"/>
        <item x="214"/>
        <item x="1203"/>
        <item x="1331"/>
        <item x="317"/>
        <item x="821"/>
        <item x="151"/>
        <item x="54"/>
        <item x="421"/>
        <item x="891"/>
        <item x="965"/>
        <item x="128"/>
        <item x="1130"/>
        <item x="1034"/>
        <item x="952"/>
        <item x="356"/>
        <item x="944"/>
        <item x="973"/>
        <item x="205"/>
        <item x="164"/>
        <item x="488"/>
        <item x="160"/>
        <item x="1123"/>
        <item x="8"/>
        <item x="184"/>
        <item x="748"/>
        <item x="468"/>
        <item x="1151"/>
        <item x="297"/>
        <item x="86"/>
        <item x="1211"/>
        <item x="1201"/>
        <item x="1287"/>
        <item x="350"/>
        <item x="653"/>
        <item x="1243"/>
        <item x="1032"/>
        <item x="1019"/>
        <item x="64"/>
        <item x="718"/>
        <item x="114"/>
        <item x="1153"/>
        <item x="427"/>
        <item x="895"/>
        <item x="1267"/>
        <item x="51"/>
        <item x="1280"/>
        <item x="1228"/>
        <item x="1043"/>
        <item x="1343"/>
        <item x="428"/>
        <item x="739"/>
        <item x="15"/>
        <item x="208"/>
        <item x="325"/>
        <item x="1346"/>
        <item x="933"/>
        <item x="910"/>
        <item x="244"/>
        <item x="61"/>
        <item x="1021"/>
        <item x="1036"/>
        <item x="993"/>
        <item x="585"/>
        <item x="873"/>
        <item x="79"/>
        <item x="28"/>
        <item x="830"/>
        <item x="415"/>
        <item x="797"/>
        <item x="1076"/>
        <item x="123"/>
        <item x="742"/>
        <item x="661"/>
        <item x="1208"/>
        <item x="1146"/>
        <item x="836"/>
        <item x="694"/>
        <item x="206"/>
        <item x="1317"/>
        <item x="1072"/>
        <item x="762"/>
        <item x="1200"/>
        <item x="1289"/>
        <item x="174"/>
        <item x="988"/>
        <item x="514"/>
        <item x="746"/>
        <item x="357"/>
        <item x="838"/>
        <item x="866"/>
        <item x="449"/>
        <item x="644"/>
        <item x="930"/>
        <item x="219"/>
        <item x="422"/>
        <item x="133"/>
        <item x="90"/>
        <item x="607"/>
        <item x="730"/>
        <item x="492"/>
        <item x="693"/>
        <item x="1133"/>
        <item x="599"/>
        <item x="967"/>
        <item x="733"/>
        <item x="768"/>
        <item x="688"/>
        <item x="970"/>
        <item x="1341"/>
        <item x="155"/>
        <item x="715"/>
        <item x="1122"/>
        <item x="619"/>
        <item x="935"/>
        <item x="444"/>
        <item x="598"/>
        <item x="245"/>
        <item x="364"/>
        <item x="744"/>
        <item x="700"/>
        <item x="1298"/>
        <item x="530"/>
        <item x="512"/>
        <item x="1005"/>
        <item x="1056"/>
        <item x="695"/>
        <item x="332"/>
        <item x="442"/>
        <item x="113"/>
        <item x="566"/>
        <item x="522"/>
        <item x="618"/>
        <item x="265"/>
        <item x="306"/>
        <item x="719"/>
        <item x="893"/>
        <item x="409"/>
        <item x="1309"/>
        <item x="22"/>
        <item x="270"/>
        <item x="1342"/>
        <item x="300"/>
        <item x="769"/>
        <item x="218"/>
        <item x="209"/>
        <item x="343"/>
        <item x="702"/>
        <item x="584"/>
        <item x="1135"/>
        <item x="1176"/>
        <item x="1183"/>
        <item x="776"/>
        <item x="915"/>
        <item x="835"/>
        <item x="673"/>
        <item x="1316"/>
        <item x="390"/>
        <item x="1229"/>
        <item x="435"/>
        <item x="74"/>
        <item x="937"/>
        <item x="1090"/>
        <item x="713"/>
        <item x="1296"/>
        <item x="1255"/>
        <item x="920"/>
        <item x="53"/>
        <item x="1190"/>
        <item x="262"/>
        <item x="790"/>
        <item x="87"/>
        <item x="288"/>
        <item x="92"/>
        <item x="1328"/>
        <item x="861"/>
        <item x="650"/>
        <item x="211"/>
        <item x="269"/>
        <item x="423"/>
        <item x="75"/>
        <item x="240"/>
        <item x="919"/>
        <item x="706"/>
        <item x="185"/>
        <item x="1318"/>
        <item x="976"/>
        <item x="791"/>
        <item x="525"/>
        <item x="601"/>
        <item x="95"/>
        <item x="309"/>
        <item x="1094"/>
        <item x="686"/>
        <item x="906"/>
        <item x="413"/>
        <item x="621"/>
        <item x="379"/>
        <item x="1015"/>
        <item x="951"/>
        <item x="62"/>
        <item x="515"/>
        <item x="668"/>
        <item x="1080"/>
        <item x="1108"/>
        <item x="474"/>
        <item x="18"/>
        <item x="1214"/>
        <item x="1107"/>
        <item x="339"/>
        <item x="293"/>
        <item x="1006"/>
        <item x="231"/>
        <item x="852"/>
        <item x="441"/>
        <item x="1206"/>
        <item x="590"/>
        <item x="1007"/>
        <item x="1089"/>
        <item x="954"/>
        <item x="1023"/>
        <item x="397"/>
        <item x="450"/>
        <item x="978"/>
        <item x="1009"/>
        <item x="471"/>
        <item x="368"/>
        <item x="1137"/>
        <item x="568"/>
        <item x="732"/>
        <item x="190"/>
        <item x="941"/>
        <item x="1248"/>
        <item x="432"/>
        <item x="538"/>
        <item x="257"/>
        <item x="890"/>
        <item x="760"/>
        <item x="116"/>
        <item x="989"/>
        <item x="414"/>
        <item x="812"/>
        <item x="307"/>
        <item x="666"/>
        <item x="883"/>
        <item x="583"/>
        <item x="963"/>
        <item x="1250"/>
        <item x="144"/>
        <item x="109"/>
        <item x="679"/>
        <item x="1097"/>
        <item x="677"/>
        <item x="766"/>
        <item x="1053"/>
        <item x="273"/>
        <item x="1098"/>
        <item x="564"/>
        <item x="716"/>
        <item x="755"/>
        <item x="842"/>
        <item x="818"/>
        <item x="417"/>
        <item x="1271"/>
        <item x="625"/>
        <item x="406"/>
        <item x="882"/>
        <item x="103"/>
        <item x="460"/>
        <item x="854"/>
        <item x="851"/>
        <item x="321"/>
        <item x="705"/>
        <item x="560"/>
        <item x="809"/>
        <item x="283"/>
        <item x="847"/>
        <item x="183"/>
        <item x="59"/>
        <item x="863"/>
        <item x="860"/>
        <item x="102"/>
        <item x="1326"/>
        <item x="29"/>
        <item x="182"/>
        <item x="1172"/>
        <item x="264"/>
        <item x="1058"/>
        <item x="233"/>
        <item x="820"/>
        <item x="25"/>
        <item x="516"/>
        <item x="272"/>
        <item x="1274"/>
        <item x="899"/>
        <item x="519"/>
        <item x="869"/>
        <item x="389"/>
        <item x="239"/>
        <item x="227"/>
        <item x="725"/>
        <item x="570"/>
        <item x="318"/>
        <item x="1185"/>
        <item x="1049"/>
        <item x="1232"/>
        <item x="381"/>
        <item x="681"/>
        <item x="1320"/>
        <item x="251"/>
        <item x="456"/>
        <item x="479"/>
        <item x="229"/>
        <item x="120"/>
        <item x="43"/>
        <item x="400"/>
        <item x="1041"/>
        <item x="1050"/>
        <item x="770"/>
        <item x="729"/>
        <item x="1294"/>
        <item x="1070"/>
        <item x="1233"/>
        <item x="950"/>
        <item x="900"/>
        <item x="846"/>
        <item x="1152"/>
        <item x="712"/>
        <item x="865"/>
        <item x="544"/>
        <item x="162"/>
        <item x="802"/>
        <item x="709"/>
        <item x="18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1"/>
        <item x="0"/>
        <item x="3"/>
        <item x="2"/>
        <item t="default"/>
      </items>
    </pivotField>
    <pivotField dataField="1" showAll="0"/>
  </pivotFields>
  <rowFields count="1">
    <field x="37"/>
  </rowFields>
  <rowItems count="5">
    <i>
      <x/>
    </i>
    <i>
      <x v="1"/>
    </i>
    <i>
      <x v="2"/>
    </i>
    <i>
      <x v="3"/>
    </i>
    <i t="grand">
      <x/>
    </i>
  </rowItems>
  <colItems count="1">
    <i/>
  </colItems>
  <dataFields count="1">
    <dataField name="Average of Attrition_flag" fld="38" subtotal="average" baseField="37" baseItem="1" numFmtId="9"/>
  </dataFields>
  <chartFormats count="3">
    <chartFormat chart="4" format="2"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0"/>
          </reference>
        </references>
      </pivotArea>
    </chartFormat>
    <chartFormat chart="21"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36A2CA6-E08A-44E3-AD5A-8748D67B7030}" name="PivotTable4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D12:E22"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1">
        <item x="4"/>
        <item m="1" x="9"/>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5"/>
  </rowFields>
  <rowItems count="10">
    <i>
      <x/>
    </i>
    <i>
      <x v="2"/>
    </i>
    <i>
      <x v="3"/>
    </i>
    <i>
      <x v="4"/>
    </i>
    <i>
      <x v="5"/>
    </i>
    <i>
      <x v="6"/>
    </i>
    <i>
      <x v="7"/>
    </i>
    <i>
      <x v="8"/>
    </i>
    <i>
      <x v="9"/>
    </i>
    <i t="grand">
      <x/>
    </i>
  </rowItems>
  <colItems count="1">
    <i/>
  </colItems>
  <dataFields count="1">
    <dataField name="Average of Attrition_flag" fld="38" subtotal="average" baseField="15" baseItem="2" numFmtId="10"/>
  </dataFields>
  <chartFormats count="2">
    <chartFormat chart="3" format="2"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8EB6FC5-E1CE-4F61-B84D-BDF3258C0B3A}" name="PivotTable3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J1:K7"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6">
        <item x="1"/>
        <item x="0"/>
        <item x="2"/>
        <item x="3"/>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4"/>
  </rowFields>
  <rowItems count="6">
    <i>
      <x/>
    </i>
    <i>
      <x v="2"/>
    </i>
    <i>
      <x v="1"/>
    </i>
    <i>
      <x v="4"/>
    </i>
    <i>
      <x v="3"/>
    </i>
    <i t="grand">
      <x/>
    </i>
  </rowItems>
  <colItems count="1">
    <i/>
  </colItems>
  <dataFields count="1">
    <dataField name="Average of Attrition_flag" fld="38" subtotal="average" baseField="14" baseItem="0" numFmtId="10"/>
  </dataFields>
  <chartFormats count="2">
    <chartFormat chart="8" format="2"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27EC83-A4E6-4CE9-ADD7-B2178EDCBF23}" name="PivotTable3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6">
  <location ref="C23:D27" firstHeaderRow="1" firstDataRow="1" firstDataCol="1"/>
  <pivotFields count="39">
    <pivotField showAll="0"/>
    <pivotField showAll="0"/>
    <pivotField showAll="0"/>
    <pivotField showAll="0"/>
    <pivotField axis="axisRow" showAll="0">
      <items count="7">
        <item m="1" x="4"/>
        <item x="2"/>
        <item m="1" x="5"/>
        <item m="1" x="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4"/>
  </rowFields>
  <rowItems count="4">
    <i>
      <x v="1"/>
    </i>
    <i>
      <x v="4"/>
    </i>
    <i>
      <x v="5"/>
    </i>
    <i t="grand">
      <x/>
    </i>
  </rowItems>
  <colItems count="1">
    <i/>
  </colItems>
  <dataFields count="1">
    <dataField name="Average of Attrition_flag" fld="38" subtotal="average" baseField="4" baseItem="4" numFmtId="10"/>
  </dataFields>
  <chartFormats count="5">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20" format="5" series="1">
      <pivotArea type="data" outline="0" fieldPosition="0">
        <references count="1">
          <reference field="4294967294" count="1" selected="0">
            <x v="0"/>
          </reference>
        </references>
      </pivotArea>
    </chartFormat>
    <chartFormat chart="25"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98690B-AA7C-4F94-8552-597191F4DDCA}"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6" firstHeaderRow="0" firstDataRow="0" firstDataCol="0" rowPageCount="1" colPageCount="1"/>
  <pivotFields count="39">
    <pivotField showAll="0"/>
    <pivotField axis="axisPage" showAll="0">
      <items count="3">
        <item x="1"/>
        <item x="0"/>
        <item t="default"/>
      </items>
    </pivotField>
    <pivotField showAll="0"/>
    <pivotField showAll="0"/>
    <pivotField showAll="0">
      <items count="7">
        <item h="1" m="1" x="4"/>
        <item x="2"/>
        <item h="1" m="1" x="5"/>
        <item h="1" m="1" x="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pageFields count="1">
    <pageField fld="1" item="0"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D035FC-AA55-4840-B587-09DD861EDE64}" name="PivotTable4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I10:J15"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showAll="0"/>
    <pivotField showAll="0"/>
    <pivotField showAll="0"/>
    <pivotField showAll="0"/>
    <pivotField axis="axisRow" showAll="0">
      <items count="5">
        <item x="1"/>
        <item x="2"/>
        <item x="0"/>
        <item x="3"/>
        <item t="default"/>
      </items>
    </pivotField>
    <pivotField showAll="0"/>
    <pivotField dataField="1" showAll="0"/>
  </pivotFields>
  <rowFields count="1">
    <field x="36"/>
  </rowFields>
  <rowItems count="5">
    <i>
      <x/>
    </i>
    <i>
      <x v="1"/>
    </i>
    <i>
      <x v="2"/>
    </i>
    <i>
      <x v="3"/>
    </i>
    <i t="grand">
      <x/>
    </i>
  </rowItems>
  <colItems count="1">
    <i/>
  </colItems>
  <dataFields count="1">
    <dataField name="Average of Attrition_flag" fld="38" subtotal="average" baseField="36" baseItem="0" numFmtId="9"/>
  </dataFields>
  <chartFormats count="2">
    <chartFormat chart="4" format="2"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B3F7D0D-7529-4104-B748-0F1F8A3DAAB4}" name="PivotTable4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H24:I29"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0"/>
        <item x="2"/>
        <item x="1"/>
        <item x="3"/>
        <item t="default"/>
      </items>
    </pivotField>
    <pivotField showAll="0"/>
    <pivotField showAll="0"/>
    <pivotField showAll="0"/>
    <pivotField showAll="0"/>
    <pivotField showAll="0"/>
    <pivotField showAll="0"/>
    <pivotField showAll="0"/>
    <pivotField dataField="1" showAll="0"/>
  </pivotFields>
  <rowFields count="1">
    <field x="30"/>
  </rowFields>
  <rowItems count="5">
    <i>
      <x/>
    </i>
    <i>
      <x v="1"/>
    </i>
    <i>
      <x v="2"/>
    </i>
    <i>
      <x v="3"/>
    </i>
    <i t="grand">
      <x/>
    </i>
  </rowItems>
  <colItems count="1">
    <i/>
  </colItems>
  <dataFields count="1">
    <dataField name="Average of Attrition_flag" fld="38" subtotal="average" baseField="30" baseItem="1" numFmtId="10"/>
  </dataFields>
  <chartFormats count="3">
    <chartFormat chart="4" format="2"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 chart="15"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35AFFE7-45B2-4DE2-B48E-85BC36AADDF3}" name="PivotTable3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D2:E5"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22"/>
  </rowFields>
  <rowItems count="3">
    <i>
      <x/>
    </i>
    <i>
      <x v="1"/>
    </i>
    <i t="grand">
      <x/>
    </i>
  </rowItems>
  <colItems count="1">
    <i/>
  </colItems>
  <dataFields count="1">
    <dataField name="Sum of Attrition_flag" fld="38" baseField="0" baseItem="0"/>
  </dataFields>
  <chartFormats count="6">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22" count="1" selected="0">
            <x v="0"/>
          </reference>
        </references>
      </pivotArea>
    </chartFormat>
    <chartFormat chart="7" format="6">
      <pivotArea type="data" outline="0" fieldPosition="0">
        <references count="2">
          <reference field="4294967294" count="1" selected="0">
            <x v="0"/>
          </reference>
          <reference field="22" count="1" selected="0">
            <x v="1"/>
          </reference>
        </references>
      </pivotArea>
    </chartFormat>
    <chartFormat chart="13" format="13" series="1">
      <pivotArea type="data" outline="0" fieldPosition="0">
        <references count="1">
          <reference field="4294967294" count="1" selected="0">
            <x v="0"/>
          </reference>
        </references>
      </pivotArea>
    </chartFormat>
    <chartFormat chart="13" format="14">
      <pivotArea type="data" outline="0" fieldPosition="0">
        <references count="2">
          <reference field="4294967294" count="1" selected="0">
            <x v="0"/>
          </reference>
          <reference field="22" count="1" selected="0">
            <x v="0"/>
          </reference>
        </references>
      </pivotArea>
    </chartFormat>
    <chartFormat chart="13" format="15">
      <pivotArea type="data" outline="0" fieldPosition="0">
        <references count="2">
          <reference field="4294967294" count="1" selected="0">
            <x v="0"/>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948CA4B-376A-4AD5-A76B-1C6A13A90142}" name="PivotTable3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F2:G8"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4"/>
        <item x="2"/>
        <item x="1"/>
        <item x="0"/>
        <item x="3"/>
        <item t="default"/>
      </items>
    </pivotField>
    <pivotField showAll="0"/>
    <pivotField showAll="0"/>
    <pivotField dataField="1" showAll="0"/>
  </pivotFields>
  <rowFields count="1">
    <field x="35"/>
  </rowFields>
  <rowItems count="6">
    <i>
      <x/>
    </i>
    <i>
      <x v="1"/>
    </i>
    <i>
      <x v="2"/>
    </i>
    <i>
      <x v="3"/>
    </i>
    <i>
      <x v="4"/>
    </i>
    <i t="grand">
      <x/>
    </i>
  </rowItems>
  <colItems count="1">
    <i/>
  </colItems>
  <dataFields count="1">
    <dataField name="Average of Attrition_flag" fld="38" subtotal="average" baseField="35" baseItem="1" numFmtId="10"/>
  </dataFields>
  <chartFormats count="4">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A653685-889A-4DF4-9A51-77FEB5BEB427}" autoFormatId="16" applyNumberFormats="0" applyBorderFormats="0" applyFontFormats="0" applyPatternFormats="0" applyAlignmentFormats="0" applyWidthHeightFormats="0">
  <queryTableRefresh nextId="41" unboundColumnsRight="4">
    <queryTableFields count="39">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Count" tableColumnId="9"/>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2" name="Over18" tableColumnId="22"/>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8" dataBound="0" tableColumnId="38"/>
      <queryTableField id="39" dataBound="0" tableColumnId="37"/>
      <queryTableField id="40" dataBound="0" tableColumnId="3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C49F62BC-C616-4140-AE66-93E943D57CB9}" sourceName="Attrition">
  <pivotTables>
    <pivotTable tabId="1" name="PivotTable4"/>
    <pivotTable tabId="1" name="PivotTable22"/>
  </pivotTables>
  <data>
    <tabular pivotCacheId="1280773970">
      <items count="2">
        <i x="1" s="1"/>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BD434869-6D81-45F0-A3B7-71324F21CDF6}" sourceName="Department">
  <pivotTables>
    <pivotTable tabId="1" name="PivotTable22"/>
    <pivotTable tabId="1" name="PivotTable4"/>
  </pivotTables>
  <data>
    <tabular pivotCacheId="1280773970">
      <items count="6">
        <i x="2" s="1"/>
        <i x="1" s="1"/>
        <i x="0" s="1"/>
        <i x="4" nd="1"/>
        <i x="5" nd="1"/>
        <i x="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D003E97E-A34D-4FD0-BE11-E75DDFF20CF4}" sourceName="Gender">
  <data>
    <tabular pivotCacheId="1280773970">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4562B093-DE94-42B1-923B-29506859817A}" sourceName="OverTime">
  <data>
    <tabular pivotCacheId="1280773970">
      <items count="2">
        <i x="1" s="1"/>
        <i x="0"/>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sinessTravel" xr10:uid="{46108AA4-AB0D-4C6E-A437-17936B72CE34}" sourceName="BusinessTravel">
  <data>
    <tabular pivotCacheId="1280773970">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xr10:uid="{3F3A718D-B317-43DF-B1A6-5CA8397AE601}" cache="Slicer_Attrition" caption="Attrition" style="SlicerStyleLight6" rowHeight="234950"/>
  <slicer name="Department" xr10:uid="{623C5C44-3FA1-48D7-B489-31CEA859E9AA}" cache="Slicer_Department" caption="Department" style="SlicerStyleLight6" rowHeight="234950"/>
  <slicer name="Gender" xr10:uid="{A6745820-AA96-4568-8217-DE8CA9D07161}" cache="Slicer_Gender" caption="Gender" style="SlicerStyleLight6" rowHeight="234950"/>
  <slicer name="OverTime" xr10:uid="{C63DF92E-AF9F-4183-AF8C-3C3E3B6768C1}" cache="Slicer_OverTime" caption="OverTime" style="SlicerStyleLight6" rowHeight="234950"/>
  <slicer name="BusinessTravel" xr10:uid="{CEC03190-BD29-4E69-AE87-BFC33DAB4C1B}" cache="Slicer_BusinessTravel" caption="BusinessTravel" style="SlicerStyleLight6"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2FEB74A-3FA7-4F26-A0E8-42D2F3496FD6}" name="HR_Employee_Attrition" displayName="HR_Employee_Attrition" ref="A1:AM1471" tableType="queryTable" totalsRowShown="0">
  <autoFilter ref="A1:AM1471" xr:uid="{22FEB74A-3FA7-4F26-A0E8-42D2F3496FD6}"/>
  <tableColumns count="39">
    <tableColumn id="1" xr3:uid="{B9EFCEBC-718D-482E-977C-440CCA7FDD8A}" uniqueName="1" name="Age" queryTableFieldId="1"/>
    <tableColumn id="2" xr3:uid="{0137903D-62FB-4D69-9C4A-749AF7C6EF4C}" uniqueName="2" name="Attrition" queryTableFieldId="2" dataDxfId="12"/>
    <tableColumn id="3" xr3:uid="{A1266794-4207-4C9E-B7EB-D168A2D8C708}" uniqueName="3" name="BusinessTravel" queryTableFieldId="3" dataDxfId="11"/>
    <tableColumn id="4" xr3:uid="{686A811C-A526-4504-93B8-CBE5A6541525}" uniqueName="4" name="DailyRate" queryTableFieldId="4"/>
    <tableColumn id="5" xr3:uid="{5CE4B2B3-92CB-4E69-B97C-48EB3480019F}" uniqueName="5" name="Department" queryTableFieldId="5" dataDxfId="10"/>
    <tableColumn id="6" xr3:uid="{023A9933-2315-4EFC-85DF-C1F0B77058E4}" uniqueName="6" name="DistanceFromHome" queryTableFieldId="6"/>
    <tableColumn id="7" xr3:uid="{E5445738-19B8-4F92-978E-115D03F282BD}" uniqueName="7" name="Education" queryTableFieldId="7"/>
    <tableColumn id="8" xr3:uid="{8FAB1832-599B-458E-8771-8E218ACAC695}" uniqueName="8" name="EducationField" queryTableFieldId="8" dataDxfId="9"/>
    <tableColumn id="9" xr3:uid="{398AFF13-EF6A-4ECA-A945-1AD2047ACBB9}" uniqueName="9" name="EmployeeCount" queryTableFieldId="9"/>
    <tableColumn id="10" xr3:uid="{90A84C82-420D-409F-97F7-7C4E5630CE53}" uniqueName="10" name="EmployeeNumber" queryTableFieldId="10"/>
    <tableColumn id="11" xr3:uid="{E4F5C693-A93D-4835-8FF0-7CBDE3B93FCF}" uniqueName="11" name="EnvironmentSatisfaction" queryTableFieldId="11"/>
    <tableColumn id="12" xr3:uid="{18957B9F-91E3-480C-9198-133CD19AC054}" uniqueName="12" name="Gender" queryTableFieldId="12" dataDxfId="8"/>
    <tableColumn id="13" xr3:uid="{EC756061-ABB8-4EBF-BCDA-6B53C7081A78}" uniqueName="13" name="HourlyRate" queryTableFieldId="13"/>
    <tableColumn id="14" xr3:uid="{4E56DD33-EEF7-4263-B8DA-6EF279C25EB2}" uniqueName="14" name="JobInvolvement" queryTableFieldId="14"/>
    <tableColumn id="15" xr3:uid="{D92CF619-FE56-4AA6-BA6E-1B15F64FB61B}" uniqueName="15" name="JobLevel" queryTableFieldId="15"/>
    <tableColumn id="16" xr3:uid="{1DFFDD02-6005-4A7A-831A-ADC2FB340278}" uniqueName="16" name="JobRole" queryTableFieldId="16" dataDxfId="7"/>
    <tableColumn id="17" xr3:uid="{A86C6F67-9A6D-4EA2-B1EC-9B8C7E34D328}" uniqueName="17" name="JobSatisfaction" queryTableFieldId="17"/>
    <tableColumn id="18" xr3:uid="{10B83CCF-822C-4108-A7D7-1BF50A15584B}" uniqueName="18" name="MaritalStatus" queryTableFieldId="18" dataDxfId="6"/>
    <tableColumn id="19" xr3:uid="{79BE7070-E0BB-4DDA-B946-D86F82BEF9F0}" uniqueName="19" name="MonthlyIncome" queryTableFieldId="19"/>
    <tableColumn id="20" xr3:uid="{6101D259-89F4-44AA-B5D1-701A4703D0E2}" uniqueName="20" name="MonthlyRate" queryTableFieldId="20"/>
    <tableColumn id="21" xr3:uid="{4C538CCF-CB51-4AD7-B6DD-6F121AC1DB70}" uniqueName="21" name="NumCompaniesWorked" queryTableFieldId="21"/>
    <tableColumn id="22" xr3:uid="{57E0B990-2710-451E-B052-190F3499CF43}" uniqueName="22" name="Over18" queryTableFieldId="22" dataDxfId="5"/>
    <tableColumn id="23" xr3:uid="{42B27446-3D73-4651-BEE8-F14116AA7A2B}" uniqueName="23" name="OverTime" queryTableFieldId="23" dataDxfId="4"/>
    <tableColumn id="24" xr3:uid="{37FC8870-2380-40D6-B3FD-64A5020049BA}" uniqueName="24" name="PercentSalaryHike" queryTableFieldId="24"/>
    <tableColumn id="25" xr3:uid="{2CD7F85B-BFD6-41DC-AA74-09BC731B869A}" uniqueName="25" name="PerformanceRating" queryTableFieldId="25"/>
    <tableColumn id="26" xr3:uid="{F1F308EC-AE09-443B-93FD-A0E6D36B0657}" uniqueName="26" name="RelationshipSatisfaction" queryTableFieldId="26"/>
    <tableColumn id="27" xr3:uid="{71B2B95F-6942-484D-8027-B51622D1FB3A}" uniqueName="27" name="StandardHours" queryTableFieldId="27"/>
    <tableColumn id="28" xr3:uid="{DC968403-89AB-4CC8-85E2-18DD39803360}" uniqueName="28" name="StockOptionLevel" queryTableFieldId="28"/>
    <tableColumn id="29" xr3:uid="{132AFE2A-1FA0-4155-AB72-FA275E09318C}" uniqueName="29" name="TotalWorkingYears" queryTableFieldId="29"/>
    <tableColumn id="30" xr3:uid="{6BD1CA69-21D8-47FC-A1D4-67288A447967}" uniqueName="30" name="TrainingTimesLastYear" queryTableFieldId="30"/>
    <tableColumn id="31" xr3:uid="{92FC46DC-360B-4E5B-BC51-483DBEE9FEF7}" uniqueName="31" name="WorkLifeBalance" queryTableFieldId="31"/>
    <tableColumn id="32" xr3:uid="{3E8DC884-F7A2-4D73-9A5E-8AACDE0EDE27}" uniqueName="32" name="YearsAtCompany" queryTableFieldId="32"/>
    <tableColumn id="33" xr3:uid="{DA3BB5DC-4AAC-4217-8B29-B6FC2791BB28}" uniqueName="33" name="YearsInCurrentRole" queryTableFieldId="33"/>
    <tableColumn id="34" xr3:uid="{813BDD47-76FE-466C-BBEA-302E2E15C5AF}" uniqueName="34" name="YearsSinceLastPromotion" queryTableFieldId="34"/>
    <tableColumn id="35" xr3:uid="{4AF486D6-D958-4FD7-B349-00311FE3914A}" uniqueName="35" name="YearsWithCurrManager" queryTableFieldId="35"/>
    <tableColumn id="36" xr3:uid="{2BC274BF-994E-486B-8102-3B3E1F85D027}" uniqueName="36" name="Age group" queryTableFieldId="36" dataDxfId="3">
      <calculatedColumnFormula>IF(HR_Employee_Attrition[[#This Row],[Age]]&gt;60,"60+",IF(HR_Employee_Attrition[[#This Row],[Age]]&gt;=50,"50-59",IF(HR_Employee_Attrition[[#This Row],[Age]]&gt;=40,"40-49",IF(HR_Employee_Attrition[[#This Row],[Age]]&gt;=30,"30-39",IF(HR_Employee_Attrition[[#This Row],[Age]]&gt;=20,"20-29",IF(HR_Employee_Attrition[[#This Row],[Age]]&gt;=18,"18-20"))))))</calculatedColumnFormula>
    </tableColumn>
    <tableColumn id="38" xr3:uid="{F097E736-40E7-46B9-86AD-321439CA36A6}" uniqueName="38" name="worked years" queryTableFieldId="38" dataDxfId="2">
      <calculatedColumnFormula array="1">_xlfn.IFS(HR_Employee_Attrition[[#This Row],[YearsAtCompany]]&lt;=2,"0-2",HR_Employee_Attrition[[#This Row],[YearsAtCompany]]&lt;=5,"3-5",HR_Employee_Attrition[[#This Row],[YearsAtCompany]]&lt;=10,"6-10",HR_Employee_Attrition[[#This Row],[YearsAtCompany]]&gt;10,"10+")</calculatedColumnFormula>
    </tableColumn>
    <tableColumn id="37" xr3:uid="{BB5B4F71-067F-4BEB-AF4E-02B11D4A9663}" uniqueName="37" name="monthly incomerange" queryTableFieldId="39" dataDxfId="1">
      <calculatedColumnFormula array="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calculatedColumnFormula>
    </tableColumn>
    <tableColumn id="39" xr3:uid="{71B96674-4512-46CC-88E0-E8E7DD3A11DA}" uniqueName="39" name="Attrition_flag" queryTableFieldId="40" dataDxfId="0">
      <calculatedColumnFormula>IF(HR_Employee_Attrition[[#This Row],[Attrition]]="Yes",1,0)</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5A30D-8C42-4C8D-B1E9-25DC9CBF3C0B}">
  <sheetPr codeName="Sheet2"/>
  <dimension ref="A1:AM1471"/>
  <sheetViews>
    <sheetView topLeftCell="AC1" zoomScale="66" workbookViewId="0">
      <selection activeCell="AO5" sqref="AO5"/>
    </sheetView>
  </sheetViews>
  <sheetFormatPr defaultRowHeight="14.4" x14ac:dyDescent="0.3"/>
  <cols>
    <col min="1" max="1" width="7.6640625" bestFit="1" customWidth="1"/>
    <col min="2" max="2" width="11.44140625" bestFit="1" customWidth="1"/>
    <col min="3" max="3" width="17.77734375" bestFit="1" customWidth="1"/>
    <col min="4" max="4" width="12.77734375" bestFit="1" customWidth="1"/>
    <col min="5" max="5" width="24.6640625" bestFit="1" customWidth="1"/>
    <col min="6" max="6" width="21.44140625" bestFit="1" customWidth="1"/>
    <col min="7" max="7" width="12.5546875" bestFit="1" customWidth="1"/>
    <col min="8" max="8" width="18" bestFit="1" customWidth="1"/>
    <col min="9" max="9" width="17.6640625" bestFit="1" customWidth="1"/>
    <col min="10" max="10" width="19.6640625" bestFit="1" customWidth="1"/>
    <col min="11" max="11" width="25.33203125" bestFit="1" customWidth="1"/>
    <col min="12" max="12" width="10.5546875" bestFit="1" customWidth="1"/>
    <col min="13" max="13" width="13.88671875" bestFit="1" customWidth="1"/>
    <col min="14" max="14" width="17.77734375" bestFit="1" customWidth="1"/>
    <col min="15" max="15" width="11.5546875" bestFit="1" customWidth="1"/>
    <col min="16" max="16" width="26.33203125" bestFit="1" customWidth="1"/>
    <col min="17" max="17" width="17.109375" bestFit="1" customWidth="1"/>
    <col min="18" max="18" width="15.77734375" bestFit="1" customWidth="1"/>
    <col min="19" max="19" width="17.6640625" bestFit="1" customWidth="1"/>
    <col min="20" max="20" width="15.21875" bestFit="1" customWidth="1"/>
    <col min="21" max="21" width="24.5546875" bestFit="1" customWidth="1"/>
    <col min="22" max="22" width="10.5546875" bestFit="1" customWidth="1"/>
    <col min="23" max="23" width="12.77734375" bestFit="1" customWidth="1"/>
    <col min="24" max="24" width="20" bestFit="1" customWidth="1"/>
    <col min="25" max="25" width="20.6640625" bestFit="1" customWidth="1"/>
    <col min="26" max="26" width="24.88671875" bestFit="1" customWidth="1"/>
    <col min="27" max="27" width="17" bestFit="1" customWidth="1"/>
    <col min="28" max="28" width="19.109375" bestFit="1" customWidth="1"/>
    <col min="29" max="29" width="20.44140625" bestFit="1" customWidth="1"/>
    <col min="30" max="30" width="23.6640625" bestFit="1" customWidth="1"/>
    <col min="31" max="32" width="18.77734375" bestFit="1" customWidth="1"/>
    <col min="33" max="33" width="20.44140625" bestFit="1" customWidth="1"/>
    <col min="34" max="34" width="25.88671875" bestFit="1" customWidth="1"/>
    <col min="35" max="35" width="24.21875" bestFit="1" customWidth="1"/>
    <col min="36" max="36" width="12.88671875" bestFit="1" customWidth="1"/>
    <col min="37" max="37" width="15.77734375" bestFit="1" customWidth="1"/>
    <col min="38" max="38" width="23.88671875" bestFit="1" customWidth="1"/>
  </cols>
  <sheetData>
    <row r="1" spans="1:3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69</v>
      </c>
      <c r="AK1" t="s">
        <v>77</v>
      </c>
      <c r="AL1" t="s">
        <v>97</v>
      </c>
      <c r="AM1" t="s">
        <v>93</v>
      </c>
    </row>
    <row r="2" spans="1:39" x14ac:dyDescent="0.3">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c r="AJ2" t="str">
        <f>IF(HR_Employee_Attrition[[#This Row],[Age]]&gt;60,"60+",IF(HR_Employee_Attrition[[#This Row],[Age]]&gt;=50,"50-59",IF(HR_Employee_Attrition[[#This Row],[Age]]&gt;=40,"40-49",IF(HR_Employee_Attrition[[#This Row],[Age]]&gt;=30,"30-39",IF(HR_Employee_Attrition[[#This Row],[Age]]&gt;=20,"20-29",IF(HR_Employee_Attrition[[#This Row],[Age]]&gt;=18,"18-20"))))))</f>
        <v>40-49</v>
      </c>
      <c r="AK2" t="str" cm="1">
        <f t="array" ref="AK2">_xlfn.IFS(HR_Employee_Attrition[[#This Row],[YearsAtCompany]]&lt;=2,"0-2",HR_Employee_Attrition[[#This Row],[YearsAtCompany]]&lt;=5,"3-5",HR_Employee_Attrition[[#This Row],[YearsAtCompany]]&lt;=10,"6-10",HR_Employee_Attrition[[#This Row],[YearsAtCompany]]&gt;10,"10+")</f>
        <v>6-10</v>
      </c>
      <c r="AL2" t="str" cm="1">
        <f t="array" ref="AL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
        <f>IF(HR_Employee_Attrition[[#This Row],[Attrition]]="Yes",1,0)</f>
        <v>1</v>
      </c>
    </row>
    <row r="3" spans="1:39" x14ac:dyDescent="0.3">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c r="AJ3" t="str">
        <f>IF(HR_Employee_Attrition[[#This Row],[Age]]&gt;60,"60+",IF(HR_Employee_Attrition[[#This Row],[Age]]&gt;=50,"50-59",IF(HR_Employee_Attrition[[#This Row],[Age]]&gt;=40,"40-49",IF(HR_Employee_Attrition[[#This Row],[Age]]&gt;=30,"30-39",IF(HR_Employee_Attrition[[#This Row],[Age]]&gt;=20,"20-29",IF(HR_Employee_Attrition[[#This Row],[Age]]&gt;=18,"18-20"))))))</f>
        <v>40-49</v>
      </c>
      <c r="AK3" t="str" cm="1">
        <f t="array" ref="AK3">_xlfn.IFS(HR_Employee_Attrition[[#This Row],[YearsAtCompany]]&lt;=2,"0-2",HR_Employee_Attrition[[#This Row],[YearsAtCompany]]&lt;=5,"3-5",HR_Employee_Attrition[[#This Row],[YearsAtCompany]]&lt;=10,"6-10",HR_Employee_Attrition[[#This Row],[YearsAtCompany]]&gt;10,"10+")</f>
        <v>6-10</v>
      </c>
      <c r="AL3" t="str" cm="1">
        <f t="array" ref="AL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
        <f>IF(HR_Employee_Attrition[[#This Row],[Attrition]]="Yes",1,0)</f>
        <v>0</v>
      </c>
    </row>
    <row r="4" spans="1:39" x14ac:dyDescent="0.3">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c r="AJ4" t="str">
        <f>IF(HR_Employee_Attrition[[#This Row],[Age]]&gt;60,"60+",IF(HR_Employee_Attrition[[#This Row],[Age]]&gt;=50,"50-59",IF(HR_Employee_Attrition[[#This Row],[Age]]&gt;=40,"40-49",IF(HR_Employee_Attrition[[#This Row],[Age]]&gt;=30,"30-39",IF(HR_Employee_Attrition[[#This Row],[Age]]&gt;=20,"20-29",IF(HR_Employee_Attrition[[#This Row],[Age]]&gt;=18,"18-20"))))))</f>
        <v>30-39</v>
      </c>
      <c r="AK4" t="str" cm="1">
        <f t="array" ref="AK4">_xlfn.IFS(HR_Employee_Attrition[[#This Row],[YearsAtCompany]]&lt;=2,"0-2",HR_Employee_Attrition[[#This Row],[YearsAtCompany]]&lt;=5,"3-5",HR_Employee_Attrition[[#This Row],[YearsAtCompany]]&lt;=10,"6-10",HR_Employee_Attrition[[#This Row],[YearsAtCompany]]&gt;10,"10+")</f>
        <v>0-2</v>
      </c>
      <c r="AL4" t="str" cm="1">
        <f t="array" ref="AL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
        <f>IF(HR_Employee_Attrition[[#This Row],[Attrition]]="Yes",1,0)</f>
        <v>1</v>
      </c>
    </row>
    <row r="5" spans="1:39" x14ac:dyDescent="0.3">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c r="AJ5" t="str">
        <f>IF(HR_Employee_Attrition[[#This Row],[Age]]&gt;60,"60+",IF(HR_Employee_Attrition[[#This Row],[Age]]&gt;=50,"50-59",IF(HR_Employee_Attrition[[#This Row],[Age]]&gt;=40,"40-49",IF(HR_Employee_Attrition[[#This Row],[Age]]&gt;=30,"30-39",IF(HR_Employee_Attrition[[#This Row],[Age]]&gt;=20,"20-29",IF(HR_Employee_Attrition[[#This Row],[Age]]&gt;=18,"18-20"))))))</f>
        <v>30-39</v>
      </c>
      <c r="AK5" t="str" cm="1">
        <f t="array" ref="AK5">_xlfn.IFS(HR_Employee_Attrition[[#This Row],[YearsAtCompany]]&lt;=2,"0-2",HR_Employee_Attrition[[#This Row],[YearsAtCompany]]&lt;=5,"3-5",HR_Employee_Attrition[[#This Row],[YearsAtCompany]]&lt;=10,"6-10",HR_Employee_Attrition[[#This Row],[YearsAtCompany]]&gt;10,"10+")</f>
        <v>6-10</v>
      </c>
      <c r="AL5" t="str" cm="1">
        <f t="array" ref="AL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
        <f>IF(HR_Employee_Attrition[[#This Row],[Attrition]]="Yes",1,0)</f>
        <v>0</v>
      </c>
    </row>
    <row r="6" spans="1:39" x14ac:dyDescent="0.3">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c r="AJ6" t="str">
        <f>IF(HR_Employee_Attrition[[#This Row],[Age]]&gt;60,"60+",IF(HR_Employee_Attrition[[#This Row],[Age]]&gt;=50,"50-59",IF(HR_Employee_Attrition[[#This Row],[Age]]&gt;=40,"40-49",IF(HR_Employee_Attrition[[#This Row],[Age]]&gt;=30,"30-39",IF(HR_Employee_Attrition[[#This Row],[Age]]&gt;=20,"20-29",IF(HR_Employee_Attrition[[#This Row],[Age]]&gt;=18,"18-20"))))))</f>
        <v>20-29</v>
      </c>
      <c r="AK6" t="str" cm="1">
        <f t="array" ref="AK6">_xlfn.IFS(HR_Employee_Attrition[[#This Row],[YearsAtCompany]]&lt;=2,"0-2",HR_Employee_Attrition[[#This Row],[YearsAtCompany]]&lt;=5,"3-5",HR_Employee_Attrition[[#This Row],[YearsAtCompany]]&lt;=10,"6-10",HR_Employee_Attrition[[#This Row],[YearsAtCompany]]&gt;10,"10+")</f>
        <v>0-2</v>
      </c>
      <c r="AL6" t="str" cm="1">
        <f t="array" ref="AL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
        <f>IF(HR_Employee_Attrition[[#This Row],[Attrition]]="Yes",1,0)</f>
        <v>0</v>
      </c>
    </row>
    <row r="7" spans="1:39" x14ac:dyDescent="0.3">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c r="AJ7" t="str">
        <f>IF(HR_Employee_Attrition[[#This Row],[Age]]&gt;60,"60+",IF(HR_Employee_Attrition[[#This Row],[Age]]&gt;=50,"50-59",IF(HR_Employee_Attrition[[#This Row],[Age]]&gt;=40,"40-49",IF(HR_Employee_Attrition[[#This Row],[Age]]&gt;=30,"30-39",IF(HR_Employee_Attrition[[#This Row],[Age]]&gt;=20,"20-29",IF(HR_Employee_Attrition[[#This Row],[Age]]&gt;=18,"18-20"))))))</f>
        <v>30-39</v>
      </c>
      <c r="AK7" t="str" cm="1">
        <f t="array" ref="AK7">_xlfn.IFS(HR_Employee_Attrition[[#This Row],[YearsAtCompany]]&lt;=2,"0-2",HR_Employee_Attrition[[#This Row],[YearsAtCompany]]&lt;=5,"3-5",HR_Employee_Attrition[[#This Row],[YearsAtCompany]]&lt;=10,"6-10",HR_Employee_Attrition[[#This Row],[YearsAtCompany]]&gt;10,"10+")</f>
        <v>6-10</v>
      </c>
      <c r="AL7" t="str" cm="1">
        <f t="array" ref="AL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
        <f>IF(HR_Employee_Attrition[[#This Row],[Attrition]]="Yes",1,0)</f>
        <v>0</v>
      </c>
    </row>
    <row r="8" spans="1:39" x14ac:dyDescent="0.3">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c r="AJ8" t="str">
        <f>IF(HR_Employee_Attrition[[#This Row],[Age]]&gt;60,"60+",IF(HR_Employee_Attrition[[#This Row],[Age]]&gt;=50,"50-59",IF(HR_Employee_Attrition[[#This Row],[Age]]&gt;=40,"40-49",IF(HR_Employee_Attrition[[#This Row],[Age]]&gt;=30,"30-39",IF(HR_Employee_Attrition[[#This Row],[Age]]&gt;=20,"20-29",IF(HR_Employee_Attrition[[#This Row],[Age]]&gt;=18,"18-20"))))))</f>
        <v>50-59</v>
      </c>
      <c r="AK8" t="str" cm="1">
        <f t="array" ref="AK8">_xlfn.IFS(HR_Employee_Attrition[[#This Row],[YearsAtCompany]]&lt;=2,"0-2",HR_Employee_Attrition[[#This Row],[YearsAtCompany]]&lt;=5,"3-5",HR_Employee_Attrition[[#This Row],[YearsAtCompany]]&lt;=10,"6-10",HR_Employee_Attrition[[#This Row],[YearsAtCompany]]&gt;10,"10+")</f>
        <v>0-2</v>
      </c>
      <c r="AL8" t="str" cm="1">
        <f t="array" ref="AL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
        <f>IF(HR_Employee_Attrition[[#This Row],[Attrition]]="Yes",1,0)</f>
        <v>0</v>
      </c>
    </row>
    <row r="9" spans="1:39" x14ac:dyDescent="0.3">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c r="AJ9" t="str">
        <f>IF(HR_Employee_Attrition[[#This Row],[Age]]&gt;60,"60+",IF(HR_Employee_Attrition[[#This Row],[Age]]&gt;=50,"50-59",IF(HR_Employee_Attrition[[#This Row],[Age]]&gt;=40,"40-49",IF(HR_Employee_Attrition[[#This Row],[Age]]&gt;=30,"30-39",IF(HR_Employee_Attrition[[#This Row],[Age]]&gt;=20,"20-29",IF(HR_Employee_Attrition[[#This Row],[Age]]&gt;=18,"18-20"))))))</f>
        <v>30-39</v>
      </c>
      <c r="AK9" t="str" cm="1">
        <f t="array" ref="AK9">_xlfn.IFS(HR_Employee_Attrition[[#This Row],[YearsAtCompany]]&lt;=2,"0-2",HR_Employee_Attrition[[#This Row],[YearsAtCompany]]&lt;=5,"3-5",HR_Employee_Attrition[[#This Row],[YearsAtCompany]]&lt;=10,"6-10",HR_Employee_Attrition[[#This Row],[YearsAtCompany]]&gt;10,"10+")</f>
        <v>0-2</v>
      </c>
      <c r="AL9" t="str" cm="1">
        <f t="array" ref="AL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
        <f>IF(HR_Employee_Attrition[[#This Row],[Attrition]]="Yes",1,0)</f>
        <v>0</v>
      </c>
    </row>
    <row r="10" spans="1:39" x14ac:dyDescent="0.3">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c r="AJ10" t="str">
        <f>IF(HR_Employee_Attrition[[#This Row],[Age]]&gt;60,"60+",IF(HR_Employee_Attrition[[#This Row],[Age]]&gt;=50,"50-59",IF(HR_Employee_Attrition[[#This Row],[Age]]&gt;=40,"40-49",IF(HR_Employee_Attrition[[#This Row],[Age]]&gt;=30,"30-39",IF(HR_Employee_Attrition[[#This Row],[Age]]&gt;=20,"20-29",IF(HR_Employee_Attrition[[#This Row],[Age]]&gt;=18,"18-20"))))))</f>
        <v>30-39</v>
      </c>
      <c r="AK10" t="str" cm="1">
        <f t="array" ref="AK10">_xlfn.IFS(HR_Employee_Attrition[[#This Row],[YearsAtCompany]]&lt;=2,"0-2",HR_Employee_Attrition[[#This Row],[YearsAtCompany]]&lt;=5,"3-5",HR_Employee_Attrition[[#This Row],[YearsAtCompany]]&lt;=10,"6-10",HR_Employee_Attrition[[#This Row],[YearsAtCompany]]&gt;10,"10+")</f>
        <v>6-10</v>
      </c>
      <c r="AL10" t="str" cm="1">
        <f t="array" ref="AL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
        <f>IF(HR_Employee_Attrition[[#This Row],[Attrition]]="Yes",1,0)</f>
        <v>0</v>
      </c>
    </row>
    <row r="11" spans="1:39" x14ac:dyDescent="0.3">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c r="AJ11" t="str">
        <f>IF(HR_Employee_Attrition[[#This Row],[Age]]&gt;60,"60+",IF(HR_Employee_Attrition[[#This Row],[Age]]&gt;=50,"50-59",IF(HR_Employee_Attrition[[#This Row],[Age]]&gt;=40,"40-49",IF(HR_Employee_Attrition[[#This Row],[Age]]&gt;=30,"30-39",IF(HR_Employee_Attrition[[#This Row],[Age]]&gt;=20,"20-29",IF(HR_Employee_Attrition[[#This Row],[Age]]&gt;=18,"18-20"))))))</f>
        <v>30-39</v>
      </c>
      <c r="AK11" t="str" cm="1">
        <f t="array" ref="AK11">_xlfn.IFS(HR_Employee_Attrition[[#This Row],[YearsAtCompany]]&lt;=2,"0-2",HR_Employee_Attrition[[#This Row],[YearsAtCompany]]&lt;=5,"3-5",HR_Employee_Attrition[[#This Row],[YearsAtCompany]]&lt;=10,"6-10",HR_Employee_Attrition[[#This Row],[YearsAtCompany]]&gt;10,"10+")</f>
        <v>6-10</v>
      </c>
      <c r="AL11" t="str" cm="1">
        <f t="array" ref="AL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
        <f>IF(HR_Employee_Attrition[[#This Row],[Attrition]]="Yes",1,0)</f>
        <v>0</v>
      </c>
    </row>
    <row r="12" spans="1:39" x14ac:dyDescent="0.3">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c r="AJ12" t="str">
        <f>IF(HR_Employee_Attrition[[#This Row],[Age]]&gt;60,"60+",IF(HR_Employee_Attrition[[#This Row],[Age]]&gt;=50,"50-59",IF(HR_Employee_Attrition[[#This Row],[Age]]&gt;=40,"40-49",IF(HR_Employee_Attrition[[#This Row],[Age]]&gt;=30,"30-39",IF(HR_Employee_Attrition[[#This Row],[Age]]&gt;=20,"20-29",IF(HR_Employee_Attrition[[#This Row],[Age]]&gt;=18,"18-20"))))))</f>
        <v>30-39</v>
      </c>
      <c r="AK12" t="str" cm="1">
        <f t="array" ref="AK12">_xlfn.IFS(HR_Employee_Attrition[[#This Row],[YearsAtCompany]]&lt;=2,"0-2",HR_Employee_Attrition[[#This Row],[YearsAtCompany]]&lt;=5,"3-5",HR_Employee_Attrition[[#This Row],[YearsAtCompany]]&lt;=10,"6-10",HR_Employee_Attrition[[#This Row],[YearsAtCompany]]&gt;10,"10+")</f>
        <v>3-5</v>
      </c>
      <c r="AL12" t="str" cm="1">
        <f t="array" ref="AL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
        <f>IF(HR_Employee_Attrition[[#This Row],[Attrition]]="Yes",1,0)</f>
        <v>0</v>
      </c>
    </row>
    <row r="13" spans="1:39" x14ac:dyDescent="0.3">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c r="AJ13" t="str">
        <f>IF(HR_Employee_Attrition[[#This Row],[Age]]&gt;60,"60+",IF(HR_Employee_Attrition[[#This Row],[Age]]&gt;=50,"50-59",IF(HR_Employee_Attrition[[#This Row],[Age]]&gt;=40,"40-49",IF(HR_Employee_Attrition[[#This Row],[Age]]&gt;=30,"30-39",IF(HR_Employee_Attrition[[#This Row],[Age]]&gt;=20,"20-29",IF(HR_Employee_Attrition[[#This Row],[Age]]&gt;=18,"18-20"))))))</f>
        <v>20-29</v>
      </c>
      <c r="AK13" t="str" cm="1">
        <f t="array" ref="AK13">_xlfn.IFS(HR_Employee_Attrition[[#This Row],[YearsAtCompany]]&lt;=2,"0-2",HR_Employee_Attrition[[#This Row],[YearsAtCompany]]&lt;=5,"3-5",HR_Employee_Attrition[[#This Row],[YearsAtCompany]]&lt;=10,"6-10",HR_Employee_Attrition[[#This Row],[YearsAtCompany]]&gt;10,"10+")</f>
        <v>6-10</v>
      </c>
      <c r="AL13" t="str" cm="1">
        <f t="array" ref="AL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
        <f>IF(HR_Employee_Attrition[[#This Row],[Attrition]]="Yes",1,0)</f>
        <v>0</v>
      </c>
    </row>
    <row r="14" spans="1:39" x14ac:dyDescent="0.3">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c r="AJ14" t="str">
        <f>IF(HR_Employee_Attrition[[#This Row],[Age]]&gt;60,"60+",IF(HR_Employee_Attrition[[#This Row],[Age]]&gt;=50,"50-59",IF(HR_Employee_Attrition[[#This Row],[Age]]&gt;=40,"40-49",IF(HR_Employee_Attrition[[#This Row],[Age]]&gt;=30,"30-39",IF(HR_Employee_Attrition[[#This Row],[Age]]&gt;=20,"20-29",IF(HR_Employee_Attrition[[#This Row],[Age]]&gt;=18,"18-20"))))))</f>
        <v>30-39</v>
      </c>
      <c r="AK14" t="str" cm="1">
        <f t="array" ref="AK14">_xlfn.IFS(HR_Employee_Attrition[[#This Row],[YearsAtCompany]]&lt;=2,"0-2",HR_Employee_Attrition[[#This Row],[YearsAtCompany]]&lt;=5,"3-5",HR_Employee_Attrition[[#This Row],[YearsAtCompany]]&lt;=10,"6-10",HR_Employee_Attrition[[#This Row],[YearsAtCompany]]&gt;10,"10+")</f>
        <v>3-5</v>
      </c>
      <c r="AL14" t="str" cm="1">
        <f t="array" ref="AL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
        <f>IF(HR_Employee_Attrition[[#This Row],[Attrition]]="Yes",1,0)</f>
        <v>0</v>
      </c>
    </row>
    <row r="15" spans="1:39" x14ac:dyDescent="0.3">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c r="AJ15" t="str">
        <f>IF(HR_Employee_Attrition[[#This Row],[Age]]&gt;60,"60+",IF(HR_Employee_Attrition[[#This Row],[Age]]&gt;=50,"50-59",IF(HR_Employee_Attrition[[#This Row],[Age]]&gt;=40,"40-49",IF(HR_Employee_Attrition[[#This Row],[Age]]&gt;=30,"30-39",IF(HR_Employee_Attrition[[#This Row],[Age]]&gt;=20,"20-29",IF(HR_Employee_Attrition[[#This Row],[Age]]&gt;=18,"18-20"))))))</f>
        <v>30-39</v>
      </c>
      <c r="AK15" t="str" cm="1">
        <f t="array" ref="AK15">_xlfn.IFS(HR_Employee_Attrition[[#This Row],[YearsAtCompany]]&lt;=2,"0-2",HR_Employee_Attrition[[#This Row],[YearsAtCompany]]&lt;=5,"3-5",HR_Employee_Attrition[[#This Row],[YearsAtCompany]]&lt;=10,"6-10",HR_Employee_Attrition[[#This Row],[YearsAtCompany]]&gt;10,"10+")</f>
        <v>0-2</v>
      </c>
      <c r="AL15" t="str" cm="1">
        <f t="array" ref="AL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5">
        <f>IF(HR_Employee_Attrition[[#This Row],[Attrition]]="Yes",1,0)</f>
        <v>0</v>
      </c>
    </row>
    <row r="16" spans="1:39" x14ac:dyDescent="0.3">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c r="AJ16" t="str">
        <f>IF(HR_Employee_Attrition[[#This Row],[Age]]&gt;60,"60+",IF(HR_Employee_Attrition[[#This Row],[Age]]&gt;=50,"50-59",IF(HR_Employee_Attrition[[#This Row],[Age]]&gt;=40,"40-49",IF(HR_Employee_Attrition[[#This Row],[Age]]&gt;=30,"30-39",IF(HR_Employee_Attrition[[#This Row],[Age]]&gt;=20,"20-29",IF(HR_Employee_Attrition[[#This Row],[Age]]&gt;=18,"18-20"))))))</f>
        <v>20-29</v>
      </c>
      <c r="AK16" t="str" cm="1">
        <f t="array" ref="AK16">_xlfn.IFS(HR_Employee_Attrition[[#This Row],[YearsAtCompany]]&lt;=2,"0-2",HR_Employee_Attrition[[#This Row],[YearsAtCompany]]&lt;=5,"3-5",HR_Employee_Attrition[[#This Row],[YearsAtCompany]]&lt;=10,"6-10",HR_Employee_Attrition[[#This Row],[YearsAtCompany]]&gt;10,"10+")</f>
        <v>3-5</v>
      </c>
      <c r="AL16" t="str" cm="1">
        <f t="array" ref="AL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6">
        <f>IF(HR_Employee_Attrition[[#This Row],[Attrition]]="Yes",1,0)</f>
        <v>1</v>
      </c>
    </row>
    <row r="17" spans="1:39" x14ac:dyDescent="0.3">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c r="AJ17" t="str">
        <f>IF(HR_Employee_Attrition[[#This Row],[Age]]&gt;60,"60+",IF(HR_Employee_Attrition[[#This Row],[Age]]&gt;=50,"50-59",IF(HR_Employee_Attrition[[#This Row],[Age]]&gt;=40,"40-49",IF(HR_Employee_Attrition[[#This Row],[Age]]&gt;=30,"30-39",IF(HR_Employee_Attrition[[#This Row],[Age]]&gt;=20,"20-29",IF(HR_Employee_Attrition[[#This Row],[Age]]&gt;=18,"18-20"))))))</f>
        <v>20-29</v>
      </c>
      <c r="AK17" t="str" cm="1">
        <f t="array" ref="AK17">_xlfn.IFS(HR_Employee_Attrition[[#This Row],[YearsAtCompany]]&lt;=2,"0-2",HR_Employee_Attrition[[#This Row],[YearsAtCompany]]&lt;=5,"3-5",HR_Employee_Attrition[[#This Row],[YearsAtCompany]]&lt;=10,"6-10",HR_Employee_Attrition[[#This Row],[YearsAtCompany]]&gt;10,"10+")</f>
        <v>6-10</v>
      </c>
      <c r="AL17" t="str" cm="1">
        <f t="array" ref="AL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7">
        <f>IF(HR_Employee_Attrition[[#This Row],[Attrition]]="Yes",1,0)</f>
        <v>0</v>
      </c>
    </row>
    <row r="18" spans="1:39" x14ac:dyDescent="0.3">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c r="AJ18" t="str">
        <f>IF(HR_Employee_Attrition[[#This Row],[Age]]&gt;60,"60+",IF(HR_Employee_Attrition[[#This Row],[Age]]&gt;=50,"50-59",IF(HR_Employee_Attrition[[#This Row],[Age]]&gt;=40,"40-49",IF(HR_Employee_Attrition[[#This Row],[Age]]&gt;=30,"30-39",IF(HR_Employee_Attrition[[#This Row],[Age]]&gt;=20,"20-29",IF(HR_Employee_Attrition[[#This Row],[Age]]&gt;=18,"18-20"))))))</f>
        <v>30-39</v>
      </c>
      <c r="AK18" t="str" cm="1">
        <f t="array" ref="AK18">_xlfn.IFS(HR_Employee_Attrition[[#This Row],[YearsAtCompany]]&lt;=2,"0-2",HR_Employee_Attrition[[#This Row],[YearsAtCompany]]&lt;=5,"3-5",HR_Employee_Attrition[[#This Row],[YearsAtCompany]]&lt;=10,"6-10",HR_Employee_Attrition[[#This Row],[YearsAtCompany]]&gt;10,"10+")</f>
        <v>6-10</v>
      </c>
      <c r="AL18" t="str" cm="1">
        <f t="array" ref="AL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
        <f>IF(HR_Employee_Attrition[[#This Row],[Attrition]]="Yes",1,0)</f>
        <v>0</v>
      </c>
    </row>
    <row r="19" spans="1:39" x14ac:dyDescent="0.3">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c r="AJ19" t="str">
        <f>IF(HR_Employee_Attrition[[#This Row],[Age]]&gt;60,"60+",IF(HR_Employee_Attrition[[#This Row],[Age]]&gt;=50,"50-59",IF(HR_Employee_Attrition[[#This Row],[Age]]&gt;=40,"40-49",IF(HR_Employee_Attrition[[#This Row],[Age]]&gt;=30,"30-39",IF(HR_Employee_Attrition[[#This Row],[Age]]&gt;=20,"20-29",IF(HR_Employee_Attrition[[#This Row],[Age]]&gt;=18,"18-20"))))))</f>
        <v>20-29</v>
      </c>
      <c r="AK19" t="str" cm="1">
        <f t="array" ref="AK19">_xlfn.IFS(HR_Employee_Attrition[[#This Row],[YearsAtCompany]]&lt;=2,"0-2",HR_Employee_Attrition[[#This Row],[YearsAtCompany]]&lt;=5,"3-5",HR_Employee_Attrition[[#This Row],[YearsAtCompany]]&lt;=10,"6-10",HR_Employee_Attrition[[#This Row],[YearsAtCompany]]&gt;10,"10+")</f>
        <v>0-2</v>
      </c>
      <c r="AL19" t="str" cm="1">
        <f t="array" ref="AL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9">
        <f>IF(HR_Employee_Attrition[[#This Row],[Attrition]]="Yes",1,0)</f>
        <v>0</v>
      </c>
    </row>
    <row r="20" spans="1:39" x14ac:dyDescent="0.3">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c r="AJ20" t="str">
        <f>IF(HR_Employee_Attrition[[#This Row],[Age]]&gt;60,"60+",IF(HR_Employee_Attrition[[#This Row],[Age]]&gt;=50,"50-59",IF(HR_Employee_Attrition[[#This Row],[Age]]&gt;=40,"40-49",IF(HR_Employee_Attrition[[#This Row],[Age]]&gt;=30,"30-39",IF(HR_Employee_Attrition[[#This Row],[Age]]&gt;=20,"20-29",IF(HR_Employee_Attrition[[#This Row],[Age]]&gt;=18,"18-20"))))))</f>
        <v>50-59</v>
      </c>
      <c r="AK20" t="str" cm="1">
        <f t="array" ref="AK20">_xlfn.IFS(HR_Employee_Attrition[[#This Row],[YearsAtCompany]]&lt;=2,"0-2",HR_Employee_Attrition[[#This Row],[YearsAtCompany]]&lt;=5,"3-5",HR_Employee_Attrition[[#This Row],[YearsAtCompany]]&lt;=10,"6-10",HR_Employee_Attrition[[#This Row],[YearsAtCompany]]&gt;10,"10+")</f>
        <v>10+</v>
      </c>
      <c r="AL20" t="str" cm="1">
        <f t="array" ref="AL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0">
        <f>IF(HR_Employee_Attrition[[#This Row],[Attrition]]="Yes",1,0)</f>
        <v>0</v>
      </c>
    </row>
    <row r="21" spans="1:39" x14ac:dyDescent="0.3">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c r="AJ21" t="str">
        <f>IF(HR_Employee_Attrition[[#This Row],[Age]]&gt;60,"60+",IF(HR_Employee_Attrition[[#This Row],[Age]]&gt;=50,"50-59",IF(HR_Employee_Attrition[[#This Row],[Age]]&gt;=40,"40-49",IF(HR_Employee_Attrition[[#This Row],[Age]]&gt;=30,"30-39",IF(HR_Employee_Attrition[[#This Row],[Age]]&gt;=20,"20-29",IF(HR_Employee_Attrition[[#This Row],[Age]]&gt;=18,"18-20"))))))</f>
        <v>30-39</v>
      </c>
      <c r="AK21" t="str" cm="1">
        <f t="array" ref="AK21">_xlfn.IFS(HR_Employee_Attrition[[#This Row],[YearsAtCompany]]&lt;=2,"0-2",HR_Employee_Attrition[[#This Row],[YearsAtCompany]]&lt;=5,"3-5",HR_Employee_Attrition[[#This Row],[YearsAtCompany]]&lt;=10,"6-10",HR_Employee_Attrition[[#This Row],[YearsAtCompany]]&gt;10,"10+")</f>
        <v>3-5</v>
      </c>
      <c r="AL21" t="str" cm="1">
        <f t="array" ref="AL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1">
        <f>IF(HR_Employee_Attrition[[#This Row],[Attrition]]="Yes",1,0)</f>
        <v>0</v>
      </c>
    </row>
    <row r="22" spans="1:39" x14ac:dyDescent="0.3">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c r="AJ22" t="str">
        <f>IF(HR_Employee_Attrition[[#This Row],[Age]]&gt;60,"60+",IF(HR_Employee_Attrition[[#This Row],[Age]]&gt;=50,"50-59",IF(HR_Employee_Attrition[[#This Row],[Age]]&gt;=40,"40-49",IF(HR_Employee_Attrition[[#This Row],[Age]]&gt;=30,"30-39",IF(HR_Employee_Attrition[[#This Row],[Age]]&gt;=20,"20-29",IF(HR_Employee_Attrition[[#This Row],[Age]]&gt;=18,"18-20"))))))</f>
        <v>20-29</v>
      </c>
      <c r="AK22" t="str" cm="1">
        <f t="array" ref="AK22">_xlfn.IFS(HR_Employee_Attrition[[#This Row],[YearsAtCompany]]&lt;=2,"0-2",HR_Employee_Attrition[[#This Row],[YearsAtCompany]]&lt;=5,"3-5",HR_Employee_Attrition[[#This Row],[YearsAtCompany]]&lt;=10,"6-10",HR_Employee_Attrition[[#This Row],[YearsAtCompany]]&gt;10,"10+")</f>
        <v>3-5</v>
      </c>
      <c r="AL22" t="str" cm="1">
        <f t="array" ref="AL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2">
        <f>IF(HR_Employee_Attrition[[#This Row],[Attrition]]="Yes",1,0)</f>
        <v>0</v>
      </c>
    </row>
    <row r="23" spans="1:39" x14ac:dyDescent="0.3">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c r="AJ23" t="str">
        <f>IF(HR_Employee_Attrition[[#This Row],[Age]]&gt;60,"60+",IF(HR_Employee_Attrition[[#This Row],[Age]]&gt;=50,"50-59",IF(HR_Employee_Attrition[[#This Row],[Age]]&gt;=40,"40-49",IF(HR_Employee_Attrition[[#This Row],[Age]]&gt;=30,"30-39",IF(HR_Employee_Attrition[[#This Row],[Age]]&gt;=20,"20-29",IF(HR_Employee_Attrition[[#This Row],[Age]]&gt;=18,"18-20"))))))</f>
        <v>30-39</v>
      </c>
      <c r="AK23" t="str" cm="1">
        <f t="array" ref="AK23">_xlfn.IFS(HR_Employee_Attrition[[#This Row],[YearsAtCompany]]&lt;=2,"0-2",HR_Employee_Attrition[[#This Row],[YearsAtCompany]]&lt;=5,"3-5",HR_Employee_Attrition[[#This Row],[YearsAtCompany]]&lt;=10,"6-10",HR_Employee_Attrition[[#This Row],[YearsAtCompany]]&gt;10,"10+")</f>
        <v>3-5</v>
      </c>
      <c r="AL23" t="str" cm="1">
        <f t="array" ref="AL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3">
        <f>IF(HR_Employee_Attrition[[#This Row],[Attrition]]="Yes",1,0)</f>
        <v>1</v>
      </c>
    </row>
    <row r="24" spans="1:39" x14ac:dyDescent="0.3">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c r="AJ24" t="str">
        <f>IF(HR_Employee_Attrition[[#This Row],[Age]]&gt;60,"60+",IF(HR_Employee_Attrition[[#This Row],[Age]]&gt;=50,"50-59",IF(HR_Employee_Attrition[[#This Row],[Age]]&gt;=40,"40-49",IF(HR_Employee_Attrition[[#This Row],[Age]]&gt;=30,"30-39",IF(HR_Employee_Attrition[[#This Row],[Age]]&gt;=20,"20-29",IF(HR_Employee_Attrition[[#This Row],[Age]]&gt;=18,"18-20"))))))</f>
        <v>30-39</v>
      </c>
      <c r="AK24" t="str" cm="1">
        <f t="array" ref="AK24">_xlfn.IFS(HR_Employee_Attrition[[#This Row],[YearsAtCompany]]&lt;=2,"0-2",HR_Employee_Attrition[[#This Row],[YearsAtCompany]]&lt;=5,"3-5",HR_Employee_Attrition[[#This Row],[YearsAtCompany]]&lt;=10,"6-10",HR_Employee_Attrition[[#This Row],[YearsAtCompany]]&gt;10,"10+")</f>
        <v>10+</v>
      </c>
      <c r="AL24" t="str" cm="1">
        <f t="array" ref="AL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4">
        <f>IF(HR_Employee_Attrition[[#This Row],[Attrition]]="Yes",1,0)</f>
        <v>0</v>
      </c>
    </row>
    <row r="25" spans="1:39" x14ac:dyDescent="0.3">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c r="AJ25" t="str">
        <f>IF(HR_Employee_Attrition[[#This Row],[Age]]&gt;60,"60+",IF(HR_Employee_Attrition[[#This Row],[Age]]&gt;=50,"50-59",IF(HR_Employee_Attrition[[#This Row],[Age]]&gt;=40,"40-49",IF(HR_Employee_Attrition[[#This Row],[Age]]&gt;=30,"30-39",IF(HR_Employee_Attrition[[#This Row],[Age]]&gt;=20,"20-29",IF(HR_Employee_Attrition[[#This Row],[Age]]&gt;=18,"18-20"))))))</f>
        <v>20-29</v>
      </c>
      <c r="AK25" t="str" cm="1">
        <f t="array" ref="AK25">_xlfn.IFS(HR_Employee_Attrition[[#This Row],[YearsAtCompany]]&lt;=2,"0-2",HR_Employee_Attrition[[#This Row],[YearsAtCompany]]&lt;=5,"3-5",HR_Employee_Attrition[[#This Row],[YearsAtCompany]]&lt;=10,"6-10",HR_Employee_Attrition[[#This Row],[YearsAtCompany]]&gt;10,"10+")</f>
        <v>0-2</v>
      </c>
      <c r="AL25" t="str" cm="1">
        <f t="array" ref="AL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5">
        <f>IF(HR_Employee_Attrition[[#This Row],[Attrition]]="Yes",1,0)</f>
        <v>0</v>
      </c>
    </row>
    <row r="26" spans="1:39" x14ac:dyDescent="0.3">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c r="AJ26" t="str">
        <f>IF(HR_Employee_Attrition[[#This Row],[Age]]&gt;60,"60+",IF(HR_Employee_Attrition[[#This Row],[Age]]&gt;=50,"50-59",IF(HR_Employee_Attrition[[#This Row],[Age]]&gt;=40,"40-49",IF(HR_Employee_Attrition[[#This Row],[Age]]&gt;=30,"30-39",IF(HR_Employee_Attrition[[#This Row],[Age]]&gt;=20,"20-29",IF(HR_Employee_Attrition[[#This Row],[Age]]&gt;=18,"18-20"))))))</f>
        <v>30-39</v>
      </c>
      <c r="AK26" t="str" cm="1">
        <f t="array" ref="AK26">_xlfn.IFS(HR_Employee_Attrition[[#This Row],[YearsAtCompany]]&lt;=2,"0-2",HR_Employee_Attrition[[#This Row],[YearsAtCompany]]&lt;=5,"3-5",HR_Employee_Attrition[[#This Row],[YearsAtCompany]]&lt;=10,"6-10",HR_Employee_Attrition[[#This Row],[YearsAtCompany]]&gt;10,"10+")</f>
        <v>3-5</v>
      </c>
      <c r="AL26" t="str" cm="1">
        <f t="array" ref="AL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6">
        <f>IF(HR_Employee_Attrition[[#This Row],[Attrition]]="Yes",1,0)</f>
        <v>1</v>
      </c>
    </row>
    <row r="27" spans="1:39" x14ac:dyDescent="0.3">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c r="AJ27" t="str">
        <f>IF(HR_Employee_Attrition[[#This Row],[Age]]&gt;60,"60+",IF(HR_Employee_Attrition[[#This Row],[Age]]&gt;=50,"50-59",IF(HR_Employee_Attrition[[#This Row],[Age]]&gt;=40,"40-49",IF(HR_Employee_Attrition[[#This Row],[Age]]&gt;=30,"30-39",IF(HR_Employee_Attrition[[#This Row],[Age]]&gt;=20,"20-29",IF(HR_Employee_Attrition[[#This Row],[Age]]&gt;=18,"18-20"))))))</f>
        <v>50-59</v>
      </c>
      <c r="AK27" t="str" cm="1">
        <f t="array" ref="AK27">_xlfn.IFS(HR_Employee_Attrition[[#This Row],[YearsAtCompany]]&lt;=2,"0-2",HR_Employee_Attrition[[#This Row],[YearsAtCompany]]&lt;=5,"3-5",HR_Employee_Attrition[[#This Row],[YearsAtCompany]]&lt;=10,"6-10",HR_Employee_Attrition[[#This Row],[YearsAtCompany]]&gt;10,"10+")</f>
        <v>10+</v>
      </c>
      <c r="AL27" t="str" cm="1">
        <f t="array" ref="AL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7">
        <f>IF(HR_Employee_Attrition[[#This Row],[Attrition]]="Yes",1,0)</f>
        <v>0</v>
      </c>
    </row>
    <row r="28" spans="1:39" x14ac:dyDescent="0.3">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c r="AJ28" t="str">
        <f>IF(HR_Employee_Attrition[[#This Row],[Age]]&gt;60,"60+",IF(HR_Employee_Attrition[[#This Row],[Age]]&gt;=50,"50-59",IF(HR_Employee_Attrition[[#This Row],[Age]]&gt;=40,"40-49",IF(HR_Employee_Attrition[[#This Row],[Age]]&gt;=30,"30-39",IF(HR_Employee_Attrition[[#This Row],[Age]]&gt;=20,"20-29",IF(HR_Employee_Attrition[[#This Row],[Age]]&gt;=18,"18-20"))))))</f>
        <v>30-39</v>
      </c>
      <c r="AK28" t="str" cm="1">
        <f t="array" ref="AK28">_xlfn.IFS(HR_Employee_Attrition[[#This Row],[YearsAtCompany]]&lt;=2,"0-2",HR_Employee_Attrition[[#This Row],[YearsAtCompany]]&lt;=5,"3-5",HR_Employee_Attrition[[#This Row],[YearsAtCompany]]&lt;=10,"6-10",HR_Employee_Attrition[[#This Row],[YearsAtCompany]]&gt;10,"10+")</f>
        <v>6-10</v>
      </c>
      <c r="AL28" t="str" cm="1">
        <f t="array" ref="AL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8">
        <f>IF(HR_Employee_Attrition[[#This Row],[Attrition]]="Yes",1,0)</f>
        <v>1</v>
      </c>
    </row>
    <row r="29" spans="1:39" x14ac:dyDescent="0.3">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c r="AJ29" t="str">
        <f>IF(HR_Employee_Attrition[[#This Row],[Age]]&gt;60,"60+",IF(HR_Employee_Attrition[[#This Row],[Age]]&gt;=50,"50-59",IF(HR_Employee_Attrition[[#This Row],[Age]]&gt;=40,"40-49",IF(HR_Employee_Attrition[[#This Row],[Age]]&gt;=30,"30-39",IF(HR_Employee_Attrition[[#This Row],[Age]]&gt;=20,"20-29",IF(HR_Employee_Attrition[[#This Row],[Age]]&gt;=18,"18-20"))))))</f>
        <v>40-49</v>
      </c>
      <c r="AK29" t="str" cm="1">
        <f t="array" ref="AK29">_xlfn.IFS(HR_Employee_Attrition[[#This Row],[YearsAtCompany]]&lt;=2,"0-2",HR_Employee_Attrition[[#This Row],[YearsAtCompany]]&lt;=5,"3-5",HR_Employee_Attrition[[#This Row],[YearsAtCompany]]&lt;=10,"6-10",HR_Employee_Attrition[[#This Row],[YearsAtCompany]]&gt;10,"10+")</f>
        <v>6-10</v>
      </c>
      <c r="AL29" t="str" cm="1">
        <f t="array" ref="AL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9">
        <f>IF(HR_Employee_Attrition[[#This Row],[Attrition]]="Yes",1,0)</f>
        <v>0</v>
      </c>
    </row>
    <row r="30" spans="1:39" x14ac:dyDescent="0.3">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c r="AJ30" t="str">
        <f>IF(HR_Employee_Attrition[[#This Row],[Age]]&gt;60,"60+",IF(HR_Employee_Attrition[[#This Row],[Age]]&gt;=50,"50-59",IF(HR_Employee_Attrition[[#This Row],[Age]]&gt;=40,"40-49",IF(HR_Employee_Attrition[[#This Row],[Age]]&gt;=30,"30-39",IF(HR_Employee_Attrition[[#This Row],[Age]]&gt;=20,"20-29",IF(HR_Employee_Attrition[[#This Row],[Age]]&gt;=18,"18-20"))))))</f>
        <v>40-49</v>
      </c>
      <c r="AK30" t="str" cm="1">
        <f t="array" ref="AK30">_xlfn.IFS(HR_Employee_Attrition[[#This Row],[YearsAtCompany]]&lt;=2,"0-2",HR_Employee_Attrition[[#This Row],[YearsAtCompany]]&lt;=5,"3-5",HR_Employee_Attrition[[#This Row],[YearsAtCompany]]&lt;=10,"6-10",HR_Employee_Attrition[[#This Row],[YearsAtCompany]]&gt;10,"10+")</f>
        <v>10+</v>
      </c>
      <c r="AL30" t="str" cm="1">
        <f t="array" ref="AL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0">
        <f>IF(HR_Employee_Attrition[[#This Row],[Attrition]]="Yes",1,0)</f>
        <v>0</v>
      </c>
    </row>
    <row r="31" spans="1:39" x14ac:dyDescent="0.3">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c r="AJ31" t="str">
        <f>IF(HR_Employee_Attrition[[#This Row],[Age]]&gt;60,"60+",IF(HR_Employee_Attrition[[#This Row],[Age]]&gt;=50,"50-59",IF(HR_Employee_Attrition[[#This Row],[Age]]&gt;=40,"40-49",IF(HR_Employee_Attrition[[#This Row],[Age]]&gt;=30,"30-39",IF(HR_Employee_Attrition[[#This Row],[Age]]&gt;=20,"20-29",IF(HR_Employee_Attrition[[#This Row],[Age]]&gt;=18,"18-20"))))))</f>
        <v>40-49</v>
      </c>
      <c r="AK31" t="str" cm="1">
        <f t="array" ref="AK31">_xlfn.IFS(HR_Employee_Attrition[[#This Row],[YearsAtCompany]]&lt;=2,"0-2",HR_Employee_Attrition[[#This Row],[YearsAtCompany]]&lt;=5,"3-5",HR_Employee_Attrition[[#This Row],[YearsAtCompany]]&lt;=10,"6-10",HR_Employee_Attrition[[#This Row],[YearsAtCompany]]&gt;10,"10+")</f>
        <v>0-2</v>
      </c>
      <c r="AL31" t="str" cm="1">
        <f t="array" ref="AL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1">
        <f>IF(HR_Employee_Attrition[[#This Row],[Attrition]]="Yes",1,0)</f>
        <v>0</v>
      </c>
    </row>
    <row r="32" spans="1:39" x14ac:dyDescent="0.3">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c r="AJ32" t="str">
        <f>IF(HR_Employee_Attrition[[#This Row],[Age]]&gt;60,"60+",IF(HR_Employee_Attrition[[#This Row],[Age]]&gt;=50,"50-59",IF(HR_Employee_Attrition[[#This Row],[Age]]&gt;=40,"40-49",IF(HR_Employee_Attrition[[#This Row],[Age]]&gt;=30,"30-39",IF(HR_Employee_Attrition[[#This Row],[Age]]&gt;=20,"20-29",IF(HR_Employee_Attrition[[#This Row],[Age]]&gt;=18,"18-20"))))))</f>
        <v>30-39</v>
      </c>
      <c r="AK32" t="str" cm="1">
        <f t="array" ref="AK32">_xlfn.IFS(HR_Employee_Attrition[[#This Row],[YearsAtCompany]]&lt;=2,"0-2",HR_Employee_Attrition[[#This Row],[YearsAtCompany]]&lt;=5,"3-5",HR_Employee_Attrition[[#This Row],[YearsAtCompany]]&lt;=10,"6-10",HR_Employee_Attrition[[#This Row],[YearsAtCompany]]&gt;10,"10+")</f>
        <v>0-2</v>
      </c>
      <c r="AL32" t="str" cm="1">
        <f t="array" ref="AL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2">
        <f>IF(HR_Employee_Attrition[[#This Row],[Attrition]]="Yes",1,0)</f>
        <v>0</v>
      </c>
    </row>
    <row r="33" spans="1:39" x14ac:dyDescent="0.3">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c r="AJ33" t="str">
        <f>IF(HR_Employee_Attrition[[#This Row],[Age]]&gt;60,"60+",IF(HR_Employee_Attrition[[#This Row],[Age]]&gt;=50,"50-59",IF(HR_Employee_Attrition[[#This Row],[Age]]&gt;=40,"40-49",IF(HR_Employee_Attrition[[#This Row],[Age]]&gt;=30,"30-39",IF(HR_Employee_Attrition[[#This Row],[Age]]&gt;=20,"20-29",IF(HR_Employee_Attrition[[#This Row],[Age]]&gt;=18,"18-20"))))))</f>
        <v>40-49</v>
      </c>
      <c r="AK33" t="str" cm="1">
        <f t="array" ref="AK33">_xlfn.IFS(HR_Employee_Attrition[[#This Row],[YearsAtCompany]]&lt;=2,"0-2",HR_Employee_Attrition[[#This Row],[YearsAtCompany]]&lt;=5,"3-5",HR_Employee_Attrition[[#This Row],[YearsAtCompany]]&lt;=10,"6-10",HR_Employee_Attrition[[#This Row],[YearsAtCompany]]&gt;10,"10+")</f>
        <v>3-5</v>
      </c>
      <c r="AL33" t="str" cm="1">
        <f t="array" ref="AL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3">
        <f>IF(HR_Employee_Attrition[[#This Row],[Attrition]]="Yes",1,0)</f>
        <v>0</v>
      </c>
    </row>
    <row r="34" spans="1:39" x14ac:dyDescent="0.3">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c r="AJ34" t="str">
        <f>IF(HR_Employee_Attrition[[#This Row],[Age]]&gt;60,"60+",IF(HR_Employee_Attrition[[#This Row],[Age]]&gt;=50,"50-59",IF(HR_Employee_Attrition[[#This Row],[Age]]&gt;=40,"40-49",IF(HR_Employee_Attrition[[#This Row],[Age]]&gt;=30,"30-39",IF(HR_Employee_Attrition[[#This Row],[Age]]&gt;=20,"20-29",IF(HR_Employee_Attrition[[#This Row],[Age]]&gt;=18,"18-20"))))))</f>
        <v>30-39</v>
      </c>
      <c r="AK34" t="str" cm="1">
        <f t="array" ref="AK34">_xlfn.IFS(HR_Employee_Attrition[[#This Row],[YearsAtCompany]]&lt;=2,"0-2",HR_Employee_Attrition[[#This Row],[YearsAtCompany]]&lt;=5,"3-5",HR_Employee_Attrition[[#This Row],[YearsAtCompany]]&lt;=10,"6-10",HR_Employee_Attrition[[#This Row],[YearsAtCompany]]&gt;10,"10+")</f>
        <v>6-10</v>
      </c>
      <c r="AL34" t="str" cm="1">
        <f t="array" ref="AL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4">
        <f>IF(HR_Employee_Attrition[[#This Row],[Attrition]]="Yes",1,0)</f>
        <v>0</v>
      </c>
    </row>
    <row r="35" spans="1:39" x14ac:dyDescent="0.3">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c r="AJ35" t="str">
        <f>IF(HR_Employee_Attrition[[#This Row],[Age]]&gt;60,"60+",IF(HR_Employee_Attrition[[#This Row],[Age]]&gt;=50,"50-59",IF(HR_Employee_Attrition[[#This Row],[Age]]&gt;=40,"40-49",IF(HR_Employee_Attrition[[#This Row],[Age]]&gt;=30,"30-39",IF(HR_Employee_Attrition[[#This Row],[Age]]&gt;=20,"20-29",IF(HR_Employee_Attrition[[#This Row],[Age]]&gt;=18,"18-20"))))))</f>
        <v>30-39</v>
      </c>
      <c r="AK35" t="str" cm="1">
        <f t="array" ref="AK35">_xlfn.IFS(HR_Employee_Attrition[[#This Row],[YearsAtCompany]]&lt;=2,"0-2",HR_Employee_Attrition[[#This Row],[YearsAtCompany]]&lt;=5,"3-5",HR_Employee_Attrition[[#This Row],[YearsAtCompany]]&lt;=10,"6-10",HR_Employee_Attrition[[#This Row],[YearsAtCompany]]&gt;10,"10+")</f>
        <v>0-2</v>
      </c>
      <c r="AL35" t="str" cm="1">
        <f t="array" ref="AL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5">
        <f>IF(HR_Employee_Attrition[[#This Row],[Attrition]]="Yes",1,0)</f>
        <v>1</v>
      </c>
    </row>
    <row r="36" spans="1:39" x14ac:dyDescent="0.3">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c r="AJ36" t="str">
        <f>IF(HR_Employee_Attrition[[#This Row],[Age]]&gt;60,"60+",IF(HR_Employee_Attrition[[#This Row],[Age]]&gt;=50,"50-59",IF(HR_Employee_Attrition[[#This Row],[Age]]&gt;=40,"40-49",IF(HR_Employee_Attrition[[#This Row],[Age]]&gt;=30,"30-39",IF(HR_Employee_Attrition[[#This Row],[Age]]&gt;=20,"20-29",IF(HR_Employee_Attrition[[#This Row],[Age]]&gt;=18,"18-20"))))))</f>
        <v>20-29</v>
      </c>
      <c r="AK36" t="str" cm="1">
        <f t="array" ref="AK36">_xlfn.IFS(HR_Employee_Attrition[[#This Row],[YearsAtCompany]]&lt;=2,"0-2",HR_Employee_Attrition[[#This Row],[YearsAtCompany]]&lt;=5,"3-5",HR_Employee_Attrition[[#This Row],[YearsAtCompany]]&lt;=10,"6-10",HR_Employee_Attrition[[#This Row],[YearsAtCompany]]&gt;10,"10+")</f>
        <v>0-2</v>
      </c>
      <c r="AL36" t="str" cm="1">
        <f t="array" ref="AL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6">
        <f>IF(HR_Employee_Attrition[[#This Row],[Attrition]]="Yes",1,0)</f>
        <v>1</v>
      </c>
    </row>
    <row r="37" spans="1:39" x14ac:dyDescent="0.3">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c r="AJ37" t="str">
        <f>IF(HR_Employee_Attrition[[#This Row],[Age]]&gt;60,"60+",IF(HR_Employee_Attrition[[#This Row],[Age]]&gt;=50,"50-59",IF(HR_Employee_Attrition[[#This Row],[Age]]&gt;=40,"40-49",IF(HR_Employee_Attrition[[#This Row],[Age]]&gt;=30,"30-39",IF(HR_Employee_Attrition[[#This Row],[Age]]&gt;=20,"20-29",IF(HR_Employee_Attrition[[#This Row],[Age]]&gt;=18,"18-20"))))))</f>
        <v>40-49</v>
      </c>
      <c r="AK37" t="str" cm="1">
        <f t="array" ref="AK37">_xlfn.IFS(HR_Employee_Attrition[[#This Row],[YearsAtCompany]]&lt;=2,"0-2",HR_Employee_Attrition[[#This Row],[YearsAtCompany]]&lt;=5,"3-5",HR_Employee_Attrition[[#This Row],[YearsAtCompany]]&lt;=10,"6-10",HR_Employee_Attrition[[#This Row],[YearsAtCompany]]&gt;10,"10+")</f>
        <v>3-5</v>
      </c>
      <c r="AL37" t="str" cm="1">
        <f t="array" ref="AL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7">
        <f>IF(HR_Employee_Attrition[[#This Row],[Attrition]]="Yes",1,0)</f>
        <v>0</v>
      </c>
    </row>
    <row r="38" spans="1:39" x14ac:dyDescent="0.3">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c r="AJ38" t="str">
        <f>IF(HR_Employee_Attrition[[#This Row],[Age]]&gt;60,"60+",IF(HR_Employee_Attrition[[#This Row],[Age]]&gt;=50,"50-59",IF(HR_Employee_Attrition[[#This Row],[Age]]&gt;=40,"40-49",IF(HR_Employee_Attrition[[#This Row],[Age]]&gt;=30,"30-39",IF(HR_Employee_Attrition[[#This Row],[Age]]&gt;=20,"20-29",IF(HR_Employee_Attrition[[#This Row],[Age]]&gt;=18,"18-20"))))))</f>
        <v>50-59</v>
      </c>
      <c r="AK38" t="str" cm="1">
        <f t="array" ref="AK38">_xlfn.IFS(HR_Employee_Attrition[[#This Row],[YearsAtCompany]]&lt;=2,"0-2",HR_Employee_Attrition[[#This Row],[YearsAtCompany]]&lt;=5,"3-5",HR_Employee_Attrition[[#This Row],[YearsAtCompany]]&lt;=10,"6-10",HR_Employee_Attrition[[#This Row],[YearsAtCompany]]&gt;10,"10+")</f>
        <v>3-5</v>
      </c>
      <c r="AL38" t="str" cm="1">
        <f t="array" ref="AL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8">
        <f>IF(HR_Employee_Attrition[[#This Row],[Attrition]]="Yes",1,0)</f>
        <v>1</v>
      </c>
    </row>
    <row r="39" spans="1:39" x14ac:dyDescent="0.3">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c r="AJ39" t="str">
        <f>IF(HR_Employee_Attrition[[#This Row],[Age]]&gt;60,"60+",IF(HR_Employee_Attrition[[#This Row],[Age]]&gt;=50,"50-59",IF(HR_Employee_Attrition[[#This Row],[Age]]&gt;=40,"40-49",IF(HR_Employee_Attrition[[#This Row],[Age]]&gt;=30,"30-39",IF(HR_Employee_Attrition[[#This Row],[Age]]&gt;=20,"20-29",IF(HR_Employee_Attrition[[#This Row],[Age]]&gt;=18,"18-20"))))))</f>
        <v>30-39</v>
      </c>
      <c r="AK39" t="str" cm="1">
        <f t="array" ref="AK39">_xlfn.IFS(HR_Employee_Attrition[[#This Row],[YearsAtCompany]]&lt;=2,"0-2",HR_Employee_Attrition[[#This Row],[YearsAtCompany]]&lt;=5,"3-5",HR_Employee_Attrition[[#This Row],[YearsAtCompany]]&lt;=10,"6-10",HR_Employee_Attrition[[#This Row],[YearsAtCompany]]&gt;10,"10+")</f>
        <v>0-2</v>
      </c>
      <c r="AL39" t="str" cm="1">
        <f t="array" ref="AL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
        <f>IF(HR_Employee_Attrition[[#This Row],[Attrition]]="Yes",1,0)</f>
        <v>0</v>
      </c>
    </row>
    <row r="40" spans="1:39" x14ac:dyDescent="0.3">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c r="AJ40" t="str">
        <f>IF(HR_Employee_Attrition[[#This Row],[Age]]&gt;60,"60+",IF(HR_Employee_Attrition[[#This Row],[Age]]&gt;=50,"50-59",IF(HR_Employee_Attrition[[#This Row],[Age]]&gt;=40,"40-49",IF(HR_Employee_Attrition[[#This Row],[Age]]&gt;=30,"30-39",IF(HR_Employee_Attrition[[#This Row],[Age]]&gt;=20,"20-29",IF(HR_Employee_Attrition[[#This Row],[Age]]&gt;=18,"18-20"))))))</f>
        <v>30-39</v>
      </c>
      <c r="AK40" t="str" cm="1">
        <f t="array" ref="AK40">_xlfn.IFS(HR_Employee_Attrition[[#This Row],[YearsAtCompany]]&lt;=2,"0-2",HR_Employee_Attrition[[#This Row],[YearsAtCompany]]&lt;=5,"3-5",HR_Employee_Attrition[[#This Row],[YearsAtCompany]]&lt;=10,"6-10",HR_Employee_Attrition[[#This Row],[YearsAtCompany]]&gt;10,"10+")</f>
        <v>0-2</v>
      </c>
      <c r="AL40" t="str" cm="1">
        <f t="array" ref="AL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0">
        <f>IF(HR_Employee_Attrition[[#This Row],[Attrition]]="Yes",1,0)</f>
        <v>0</v>
      </c>
    </row>
    <row r="41" spans="1:39" x14ac:dyDescent="0.3">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c r="AJ41" t="str">
        <f>IF(HR_Employee_Attrition[[#This Row],[Age]]&gt;60,"60+",IF(HR_Employee_Attrition[[#This Row],[Age]]&gt;=50,"50-59",IF(HR_Employee_Attrition[[#This Row],[Age]]&gt;=40,"40-49",IF(HR_Employee_Attrition[[#This Row],[Age]]&gt;=30,"30-39",IF(HR_Employee_Attrition[[#This Row],[Age]]&gt;=20,"20-29",IF(HR_Employee_Attrition[[#This Row],[Age]]&gt;=18,"18-20"))))))</f>
        <v>30-39</v>
      </c>
      <c r="AK41" t="str" cm="1">
        <f t="array" ref="AK41">_xlfn.IFS(HR_Employee_Attrition[[#This Row],[YearsAtCompany]]&lt;=2,"0-2",HR_Employee_Attrition[[#This Row],[YearsAtCompany]]&lt;=5,"3-5",HR_Employee_Attrition[[#This Row],[YearsAtCompany]]&lt;=10,"6-10",HR_Employee_Attrition[[#This Row],[YearsAtCompany]]&gt;10,"10+")</f>
        <v>3-5</v>
      </c>
      <c r="AL41" t="str" cm="1">
        <f t="array" ref="AL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1">
        <f>IF(HR_Employee_Attrition[[#This Row],[Attrition]]="Yes",1,0)</f>
        <v>0</v>
      </c>
    </row>
    <row r="42" spans="1:39" x14ac:dyDescent="0.3">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c r="AJ42" t="str">
        <f>IF(HR_Employee_Attrition[[#This Row],[Age]]&gt;60,"60+",IF(HR_Employee_Attrition[[#This Row],[Age]]&gt;=50,"50-59",IF(HR_Employee_Attrition[[#This Row],[Age]]&gt;=40,"40-49",IF(HR_Employee_Attrition[[#This Row],[Age]]&gt;=30,"30-39",IF(HR_Employee_Attrition[[#This Row],[Age]]&gt;=20,"20-29",IF(HR_Employee_Attrition[[#This Row],[Age]]&gt;=18,"18-20"))))))</f>
        <v>30-39</v>
      </c>
      <c r="AK42" t="str" cm="1">
        <f t="array" ref="AK42">_xlfn.IFS(HR_Employee_Attrition[[#This Row],[YearsAtCompany]]&lt;=2,"0-2",HR_Employee_Attrition[[#This Row],[YearsAtCompany]]&lt;=5,"3-5",HR_Employee_Attrition[[#This Row],[YearsAtCompany]]&lt;=10,"6-10",HR_Employee_Attrition[[#This Row],[YearsAtCompany]]&gt;10,"10+")</f>
        <v>0-2</v>
      </c>
      <c r="AL42" t="str" cm="1">
        <f t="array" ref="AL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2">
        <f>IF(HR_Employee_Attrition[[#This Row],[Attrition]]="Yes",1,0)</f>
        <v>0</v>
      </c>
    </row>
    <row r="43" spans="1:39" x14ac:dyDescent="0.3">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c r="AJ43" t="str">
        <f>IF(HR_Employee_Attrition[[#This Row],[Age]]&gt;60,"60+",IF(HR_Employee_Attrition[[#This Row],[Age]]&gt;=50,"50-59",IF(HR_Employee_Attrition[[#This Row],[Age]]&gt;=40,"40-49",IF(HR_Employee_Attrition[[#This Row],[Age]]&gt;=30,"30-39",IF(HR_Employee_Attrition[[#This Row],[Age]]&gt;=20,"20-29",IF(HR_Employee_Attrition[[#This Row],[Age]]&gt;=18,"18-20"))))))</f>
        <v>20-29</v>
      </c>
      <c r="AK43" t="str" cm="1">
        <f t="array" ref="AK43">_xlfn.IFS(HR_Employee_Attrition[[#This Row],[YearsAtCompany]]&lt;=2,"0-2",HR_Employee_Attrition[[#This Row],[YearsAtCompany]]&lt;=5,"3-5",HR_Employee_Attrition[[#This Row],[YearsAtCompany]]&lt;=10,"6-10",HR_Employee_Attrition[[#This Row],[YearsAtCompany]]&gt;10,"10+")</f>
        <v>0-2</v>
      </c>
      <c r="AL43" t="str" cm="1">
        <f t="array" ref="AL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3">
        <f>IF(HR_Employee_Attrition[[#This Row],[Attrition]]="Yes",1,0)</f>
        <v>0</v>
      </c>
    </row>
    <row r="44" spans="1:39" x14ac:dyDescent="0.3">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c r="AJ44" t="str">
        <f>IF(HR_Employee_Attrition[[#This Row],[Age]]&gt;60,"60+",IF(HR_Employee_Attrition[[#This Row],[Age]]&gt;=50,"50-59",IF(HR_Employee_Attrition[[#This Row],[Age]]&gt;=40,"40-49",IF(HR_Employee_Attrition[[#This Row],[Age]]&gt;=30,"30-39",IF(HR_Employee_Attrition[[#This Row],[Age]]&gt;=20,"20-29",IF(HR_Employee_Attrition[[#This Row],[Age]]&gt;=18,"18-20"))))))</f>
        <v>20-29</v>
      </c>
      <c r="AK44" t="str" cm="1">
        <f t="array" ref="AK44">_xlfn.IFS(HR_Employee_Attrition[[#This Row],[YearsAtCompany]]&lt;=2,"0-2",HR_Employee_Attrition[[#This Row],[YearsAtCompany]]&lt;=5,"3-5",HR_Employee_Attrition[[#This Row],[YearsAtCompany]]&lt;=10,"6-10",HR_Employee_Attrition[[#This Row],[YearsAtCompany]]&gt;10,"10+")</f>
        <v>0-2</v>
      </c>
      <c r="AL44" t="str" cm="1">
        <f t="array" ref="AL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4">
        <f>IF(HR_Employee_Attrition[[#This Row],[Attrition]]="Yes",1,0)</f>
        <v>1</v>
      </c>
    </row>
    <row r="45" spans="1:39" x14ac:dyDescent="0.3">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c r="AJ45" t="str">
        <f>IF(HR_Employee_Attrition[[#This Row],[Age]]&gt;60,"60+",IF(HR_Employee_Attrition[[#This Row],[Age]]&gt;=50,"50-59",IF(HR_Employee_Attrition[[#This Row],[Age]]&gt;=40,"40-49",IF(HR_Employee_Attrition[[#This Row],[Age]]&gt;=30,"30-39",IF(HR_Employee_Attrition[[#This Row],[Age]]&gt;=20,"20-29",IF(HR_Employee_Attrition[[#This Row],[Age]]&gt;=18,"18-20"))))))</f>
        <v>20-29</v>
      </c>
      <c r="AK45" t="str" cm="1">
        <f t="array" ref="AK45">_xlfn.IFS(HR_Employee_Attrition[[#This Row],[YearsAtCompany]]&lt;=2,"0-2",HR_Employee_Attrition[[#This Row],[YearsAtCompany]]&lt;=5,"3-5",HR_Employee_Attrition[[#This Row],[YearsAtCompany]]&lt;=10,"6-10",HR_Employee_Attrition[[#This Row],[YearsAtCompany]]&gt;10,"10+")</f>
        <v>6-10</v>
      </c>
      <c r="AL45" t="str" cm="1">
        <f t="array" ref="AL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5">
        <f>IF(HR_Employee_Attrition[[#This Row],[Attrition]]="Yes",1,0)</f>
        <v>0</v>
      </c>
    </row>
    <row r="46" spans="1:39" x14ac:dyDescent="0.3">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c r="AJ46" t="str">
        <f>IF(HR_Employee_Attrition[[#This Row],[Age]]&gt;60,"60+",IF(HR_Employee_Attrition[[#This Row],[Age]]&gt;=50,"50-59",IF(HR_Employee_Attrition[[#This Row],[Age]]&gt;=40,"40-49",IF(HR_Employee_Attrition[[#This Row],[Age]]&gt;=30,"30-39",IF(HR_Employee_Attrition[[#This Row],[Age]]&gt;=20,"20-29",IF(HR_Employee_Attrition[[#This Row],[Age]]&gt;=18,"18-20"))))))</f>
        <v>30-39</v>
      </c>
      <c r="AK46" t="str" cm="1">
        <f t="array" ref="AK46">_xlfn.IFS(HR_Employee_Attrition[[#This Row],[YearsAtCompany]]&lt;=2,"0-2",HR_Employee_Attrition[[#This Row],[YearsAtCompany]]&lt;=5,"3-5",HR_Employee_Attrition[[#This Row],[YearsAtCompany]]&lt;=10,"6-10",HR_Employee_Attrition[[#This Row],[YearsAtCompany]]&gt;10,"10+")</f>
        <v>10+</v>
      </c>
      <c r="AL46" t="str" cm="1">
        <f t="array" ref="AL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6">
        <f>IF(HR_Employee_Attrition[[#This Row],[Attrition]]="Yes",1,0)</f>
        <v>0</v>
      </c>
    </row>
    <row r="47" spans="1:39" x14ac:dyDescent="0.3">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c r="AJ47" t="str">
        <f>IF(HR_Employee_Attrition[[#This Row],[Age]]&gt;60,"60+",IF(HR_Employee_Attrition[[#This Row],[Age]]&gt;=50,"50-59",IF(HR_Employee_Attrition[[#This Row],[Age]]&gt;=40,"40-49",IF(HR_Employee_Attrition[[#This Row],[Age]]&gt;=30,"30-39",IF(HR_Employee_Attrition[[#This Row],[Age]]&gt;=20,"20-29",IF(HR_Employee_Attrition[[#This Row],[Age]]&gt;=18,"18-20"))))))</f>
        <v>40-49</v>
      </c>
      <c r="AK47" t="str" cm="1">
        <f t="array" ref="AK47">_xlfn.IFS(HR_Employee_Attrition[[#This Row],[YearsAtCompany]]&lt;=2,"0-2",HR_Employee_Attrition[[#This Row],[YearsAtCompany]]&lt;=5,"3-5",HR_Employee_Attrition[[#This Row],[YearsAtCompany]]&lt;=10,"6-10",HR_Employee_Attrition[[#This Row],[YearsAtCompany]]&gt;10,"10+")</f>
        <v>10+</v>
      </c>
      <c r="AL47" t="str" cm="1">
        <f t="array" ref="AL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7">
        <f>IF(HR_Employee_Attrition[[#This Row],[Attrition]]="Yes",1,0)</f>
        <v>1</v>
      </c>
    </row>
    <row r="48" spans="1:39" x14ac:dyDescent="0.3">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c r="AJ48" t="str">
        <f>IF(HR_Employee_Attrition[[#This Row],[Age]]&gt;60,"60+",IF(HR_Employee_Attrition[[#This Row],[Age]]&gt;=50,"50-59",IF(HR_Employee_Attrition[[#This Row],[Age]]&gt;=40,"40-49",IF(HR_Employee_Attrition[[#This Row],[Age]]&gt;=30,"30-39",IF(HR_Employee_Attrition[[#This Row],[Age]]&gt;=20,"20-29",IF(HR_Employee_Attrition[[#This Row],[Age]]&gt;=18,"18-20"))))))</f>
        <v>30-39</v>
      </c>
      <c r="AK48" t="str" cm="1">
        <f t="array" ref="AK48">_xlfn.IFS(HR_Employee_Attrition[[#This Row],[YearsAtCompany]]&lt;=2,"0-2",HR_Employee_Attrition[[#This Row],[YearsAtCompany]]&lt;=5,"3-5",HR_Employee_Attrition[[#This Row],[YearsAtCompany]]&lt;=10,"6-10",HR_Employee_Attrition[[#This Row],[YearsAtCompany]]&gt;10,"10+")</f>
        <v>6-10</v>
      </c>
      <c r="AL48" t="str" cm="1">
        <f t="array" ref="AL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
        <f>IF(HR_Employee_Attrition[[#This Row],[Attrition]]="Yes",1,0)</f>
        <v>0</v>
      </c>
    </row>
    <row r="49" spans="1:39" x14ac:dyDescent="0.3">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c r="AJ49" t="str">
        <f>IF(HR_Employee_Attrition[[#This Row],[Age]]&gt;60,"60+",IF(HR_Employee_Attrition[[#This Row],[Age]]&gt;=50,"50-59",IF(HR_Employee_Attrition[[#This Row],[Age]]&gt;=40,"40-49",IF(HR_Employee_Attrition[[#This Row],[Age]]&gt;=30,"30-39",IF(HR_Employee_Attrition[[#This Row],[Age]]&gt;=20,"20-29",IF(HR_Employee_Attrition[[#This Row],[Age]]&gt;=18,"18-20"))))))</f>
        <v>30-39</v>
      </c>
      <c r="AK49" t="str" cm="1">
        <f t="array" ref="AK49">_xlfn.IFS(HR_Employee_Attrition[[#This Row],[YearsAtCompany]]&lt;=2,"0-2",HR_Employee_Attrition[[#This Row],[YearsAtCompany]]&lt;=5,"3-5",HR_Employee_Attrition[[#This Row],[YearsAtCompany]]&lt;=10,"6-10",HR_Employee_Attrition[[#This Row],[YearsAtCompany]]&gt;10,"10+")</f>
        <v>0-2</v>
      </c>
      <c r="AL49" t="str" cm="1">
        <f t="array" ref="AL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9">
        <f>IF(HR_Employee_Attrition[[#This Row],[Attrition]]="Yes",1,0)</f>
        <v>0</v>
      </c>
    </row>
    <row r="50" spans="1:39" x14ac:dyDescent="0.3">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c r="AJ50" t="str">
        <f>IF(HR_Employee_Attrition[[#This Row],[Age]]&gt;60,"60+",IF(HR_Employee_Attrition[[#This Row],[Age]]&gt;=50,"50-59",IF(HR_Employee_Attrition[[#This Row],[Age]]&gt;=40,"40-49",IF(HR_Employee_Attrition[[#This Row],[Age]]&gt;=30,"30-39",IF(HR_Employee_Attrition[[#This Row],[Age]]&gt;=20,"20-29",IF(HR_Employee_Attrition[[#This Row],[Age]]&gt;=18,"18-20"))))))</f>
        <v>40-49</v>
      </c>
      <c r="AK50" t="str" cm="1">
        <f t="array" ref="AK50">_xlfn.IFS(HR_Employee_Attrition[[#This Row],[YearsAtCompany]]&lt;=2,"0-2",HR_Employee_Attrition[[#This Row],[YearsAtCompany]]&lt;=5,"3-5",HR_Employee_Attrition[[#This Row],[YearsAtCompany]]&lt;=10,"6-10",HR_Employee_Attrition[[#This Row],[YearsAtCompany]]&gt;10,"10+")</f>
        <v>6-10</v>
      </c>
      <c r="AL50" t="str" cm="1">
        <f t="array" ref="AL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0">
        <f>IF(HR_Employee_Attrition[[#This Row],[Attrition]]="Yes",1,0)</f>
        <v>0</v>
      </c>
    </row>
    <row r="51" spans="1:39" x14ac:dyDescent="0.3">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c r="AJ51" t="str">
        <f>IF(HR_Employee_Attrition[[#This Row],[Age]]&gt;60,"60+",IF(HR_Employee_Attrition[[#This Row],[Age]]&gt;=50,"50-59",IF(HR_Employee_Attrition[[#This Row],[Age]]&gt;=40,"40-49",IF(HR_Employee_Attrition[[#This Row],[Age]]&gt;=30,"30-39",IF(HR_Employee_Attrition[[#This Row],[Age]]&gt;=20,"20-29",IF(HR_Employee_Attrition[[#This Row],[Age]]&gt;=18,"18-20"))))))</f>
        <v>30-39</v>
      </c>
      <c r="AK51" t="str" cm="1">
        <f t="array" ref="AK51">_xlfn.IFS(HR_Employee_Attrition[[#This Row],[YearsAtCompany]]&lt;=2,"0-2",HR_Employee_Attrition[[#This Row],[YearsAtCompany]]&lt;=5,"3-5",HR_Employee_Attrition[[#This Row],[YearsAtCompany]]&lt;=10,"6-10",HR_Employee_Attrition[[#This Row],[YearsAtCompany]]&gt;10,"10+")</f>
        <v>0-2</v>
      </c>
      <c r="AL51" t="str" cm="1">
        <f t="array" ref="AL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1">
        <f>IF(HR_Employee_Attrition[[#This Row],[Attrition]]="Yes",1,0)</f>
        <v>0</v>
      </c>
    </row>
    <row r="52" spans="1:39" x14ac:dyDescent="0.3">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c r="AJ52" t="str">
        <f>IF(HR_Employee_Attrition[[#This Row],[Age]]&gt;60,"60+",IF(HR_Employee_Attrition[[#This Row],[Age]]&gt;=50,"50-59",IF(HR_Employee_Attrition[[#This Row],[Age]]&gt;=40,"40-49",IF(HR_Employee_Attrition[[#This Row],[Age]]&gt;=30,"30-39",IF(HR_Employee_Attrition[[#This Row],[Age]]&gt;=20,"20-29",IF(HR_Employee_Attrition[[#This Row],[Age]]&gt;=18,"18-20"))))))</f>
        <v>40-49</v>
      </c>
      <c r="AK52" t="str" cm="1">
        <f t="array" ref="AK52">_xlfn.IFS(HR_Employee_Attrition[[#This Row],[YearsAtCompany]]&lt;=2,"0-2",HR_Employee_Attrition[[#This Row],[YearsAtCompany]]&lt;=5,"3-5",HR_Employee_Attrition[[#This Row],[YearsAtCompany]]&lt;=10,"6-10",HR_Employee_Attrition[[#This Row],[YearsAtCompany]]&gt;10,"10+")</f>
        <v>0-2</v>
      </c>
      <c r="AL52" t="str" cm="1">
        <f t="array" ref="AL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2">
        <f>IF(HR_Employee_Attrition[[#This Row],[Attrition]]="Yes",1,0)</f>
        <v>1</v>
      </c>
    </row>
    <row r="53" spans="1:39" x14ac:dyDescent="0.3">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c r="AJ53" t="str">
        <f>IF(HR_Employee_Attrition[[#This Row],[Age]]&gt;60,"60+",IF(HR_Employee_Attrition[[#This Row],[Age]]&gt;=50,"50-59",IF(HR_Employee_Attrition[[#This Row],[Age]]&gt;=40,"40-49",IF(HR_Employee_Attrition[[#This Row],[Age]]&gt;=30,"30-39",IF(HR_Employee_Attrition[[#This Row],[Age]]&gt;=20,"20-29",IF(HR_Employee_Attrition[[#This Row],[Age]]&gt;=18,"18-20"))))))</f>
        <v>20-29</v>
      </c>
      <c r="AK53" t="str" cm="1">
        <f t="array" ref="AK53">_xlfn.IFS(HR_Employee_Attrition[[#This Row],[YearsAtCompany]]&lt;=2,"0-2",HR_Employee_Attrition[[#This Row],[YearsAtCompany]]&lt;=5,"3-5",HR_Employee_Attrition[[#This Row],[YearsAtCompany]]&lt;=10,"6-10",HR_Employee_Attrition[[#This Row],[YearsAtCompany]]&gt;10,"10+")</f>
        <v>0-2</v>
      </c>
      <c r="AL53" t="str" cm="1">
        <f t="array" ref="AL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3">
        <f>IF(HR_Employee_Attrition[[#This Row],[Attrition]]="Yes",1,0)</f>
        <v>1</v>
      </c>
    </row>
    <row r="54" spans="1:39" x14ac:dyDescent="0.3">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c r="AJ54" t="str">
        <f>IF(HR_Employee_Attrition[[#This Row],[Age]]&gt;60,"60+",IF(HR_Employee_Attrition[[#This Row],[Age]]&gt;=50,"50-59",IF(HR_Employee_Attrition[[#This Row],[Age]]&gt;=40,"40-49",IF(HR_Employee_Attrition[[#This Row],[Age]]&gt;=30,"30-39",IF(HR_Employee_Attrition[[#This Row],[Age]]&gt;=20,"20-29",IF(HR_Employee_Attrition[[#This Row],[Age]]&gt;=18,"18-20"))))))</f>
        <v>40-49</v>
      </c>
      <c r="AK54" t="str" cm="1">
        <f t="array" ref="AK54">_xlfn.IFS(HR_Employee_Attrition[[#This Row],[YearsAtCompany]]&lt;=2,"0-2",HR_Employee_Attrition[[#This Row],[YearsAtCompany]]&lt;=5,"3-5",HR_Employee_Attrition[[#This Row],[YearsAtCompany]]&lt;=10,"6-10",HR_Employee_Attrition[[#This Row],[YearsAtCompany]]&gt;10,"10+")</f>
        <v>3-5</v>
      </c>
      <c r="AL54" t="str" cm="1">
        <f t="array" ref="AL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4">
        <f>IF(HR_Employee_Attrition[[#This Row],[Attrition]]="Yes",1,0)</f>
        <v>0</v>
      </c>
    </row>
    <row r="55" spans="1:39" x14ac:dyDescent="0.3">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c r="AJ55" t="str">
        <f>IF(HR_Employee_Attrition[[#This Row],[Age]]&gt;60,"60+",IF(HR_Employee_Attrition[[#This Row],[Age]]&gt;=50,"50-59",IF(HR_Employee_Attrition[[#This Row],[Age]]&gt;=40,"40-49",IF(HR_Employee_Attrition[[#This Row],[Age]]&gt;=30,"30-39",IF(HR_Employee_Attrition[[#This Row],[Age]]&gt;=20,"20-29",IF(HR_Employee_Attrition[[#This Row],[Age]]&gt;=18,"18-20"))))))</f>
        <v>30-39</v>
      </c>
      <c r="AK55" t="str" cm="1">
        <f t="array" ref="AK55">_xlfn.IFS(HR_Employee_Attrition[[#This Row],[YearsAtCompany]]&lt;=2,"0-2",HR_Employee_Attrition[[#This Row],[YearsAtCompany]]&lt;=5,"3-5",HR_Employee_Attrition[[#This Row],[YearsAtCompany]]&lt;=10,"6-10",HR_Employee_Attrition[[#This Row],[YearsAtCompany]]&gt;10,"10+")</f>
        <v>3-5</v>
      </c>
      <c r="AL55" t="str" cm="1">
        <f t="array" ref="AL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5">
        <f>IF(HR_Employee_Attrition[[#This Row],[Attrition]]="Yes",1,0)</f>
        <v>0</v>
      </c>
    </row>
    <row r="56" spans="1:39" x14ac:dyDescent="0.3">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c r="AJ56" t="str">
        <f>IF(HR_Employee_Attrition[[#This Row],[Age]]&gt;60,"60+",IF(HR_Employee_Attrition[[#This Row],[Age]]&gt;=50,"50-59",IF(HR_Employee_Attrition[[#This Row],[Age]]&gt;=40,"40-49",IF(HR_Employee_Attrition[[#This Row],[Age]]&gt;=30,"30-39",IF(HR_Employee_Attrition[[#This Row],[Age]]&gt;=20,"20-29",IF(HR_Employee_Attrition[[#This Row],[Age]]&gt;=18,"18-20"))))))</f>
        <v>20-29</v>
      </c>
      <c r="AK56" t="str" cm="1">
        <f t="array" ref="AK56">_xlfn.IFS(HR_Employee_Attrition[[#This Row],[YearsAtCompany]]&lt;=2,"0-2",HR_Employee_Attrition[[#This Row],[YearsAtCompany]]&lt;=5,"3-5",HR_Employee_Attrition[[#This Row],[YearsAtCompany]]&lt;=10,"6-10",HR_Employee_Attrition[[#This Row],[YearsAtCompany]]&gt;10,"10+")</f>
        <v>0-2</v>
      </c>
      <c r="AL56" t="str" cm="1">
        <f t="array" ref="AL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6">
        <f>IF(HR_Employee_Attrition[[#This Row],[Attrition]]="Yes",1,0)</f>
        <v>0</v>
      </c>
    </row>
    <row r="57" spans="1:39" x14ac:dyDescent="0.3">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c r="AJ57" t="str">
        <f>IF(HR_Employee_Attrition[[#This Row],[Age]]&gt;60,"60+",IF(HR_Employee_Attrition[[#This Row],[Age]]&gt;=50,"50-59",IF(HR_Employee_Attrition[[#This Row],[Age]]&gt;=40,"40-49",IF(HR_Employee_Attrition[[#This Row],[Age]]&gt;=30,"30-39",IF(HR_Employee_Attrition[[#This Row],[Age]]&gt;=20,"20-29",IF(HR_Employee_Attrition[[#This Row],[Age]]&gt;=18,"18-20"))))))</f>
        <v>30-39</v>
      </c>
      <c r="AK57" t="str" cm="1">
        <f t="array" ref="AK57">_xlfn.IFS(HR_Employee_Attrition[[#This Row],[YearsAtCompany]]&lt;=2,"0-2",HR_Employee_Attrition[[#This Row],[YearsAtCompany]]&lt;=5,"3-5",HR_Employee_Attrition[[#This Row],[YearsAtCompany]]&lt;=10,"6-10",HR_Employee_Attrition[[#This Row],[YearsAtCompany]]&gt;10,"10+")</f>
        <v>10+</v>
      </c>
      <c r="AL57" t="str" cm="1">
        <f t="array" ref="AL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7">
        <f>IF(HR_Employee_Attrition[[#This Row],[Attrition]]="Yes",1,0)</f>
        <v>0</v>
      </c>
    </row>
    <row r="58" spans="1:39" x14ac:dyDescent="0.3">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c r="AJ58" t="str">
        <f>IF(HR_Employee_Attrition[[#This Row],[Age]]&gt;60,"60+",IF(HR_Employee_Attrition[[#This Row],[Age]]&gt;=50,"50-59",IF(HR_Employee_Attrition[[#This Row],[Age]]&gt;=40,"40-49",IF(HR_Employee_Attrition[[#This Row],[Age]]&gt;=30,"30-39",IF(HR_Employee_Attrition[[#This Row],[Age]]&gt;=20,"20-29",IF(HR_Employee_Attrition[[#This Row],[Age]]&gt;=18,"18-20"))))))</f>
        <v>30-39</v>
      </c>
      <c r="AK58" t="str" cm="1">
        <f t="array" ref="AK58">_xlfn.IFS(HR_Employee_Attrition[[#This Row],[YearsAtCompany]]&lt;=2,"0-2",HR_Employee_Attrition[[#This Row],[YearsAtCompany]]&lt;=5,"3-5",HR_Employee_Attrition[[#This Row],[YearsAtCompany]]&lt;=10,"6-10",HR_Employee_Attrition[[#This Row],[YearsAtCompany]]&gt;10,"10+")</f>
        <v>6-10</v>
      </c>
      <c r="AL58" t="str" cm="1">
        <f t="array" ref="AL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8">
        <f>IF(HR_Employee_Attrition[[#This Row],[Attrition]]="Yes",1,0)</f>
        <v>0</v>
      </c>
    </row>
    <row r="59" spans="1:39" x14ac:dyDescent="0.3">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c r="AJ59" t="str">
        <f>IF(HR_Employee_Attrition[[#This Row],[Age]]&gt;60,"60+",IF(HR_Employee_Attrition[[#This Row],[Age]]&gt;=50,"50-59",IF(HR_Employee_Attrition[[#This Row],[Age]]&gt;=40,"40-49",IF(HR_Employee_Attrition[[#This Row],[Age]]&gt;=30,"30-39",IF(HR_Employee_Attrition[[#This Row],[Age]]&gt;=20,"20-29",IF(HR_Employee_Attrition[[#This Row],[Age]]&gt;=18,"18-20"))))))</f>
        <v>30-39</v>
      </c>
      <c r="AK59" t="str" cm="1">
        <f t="array" ref="AK59">_xlfn.IFS(HR_Employee_Attrition[[#This Row],[YearsAtCompany]]&lt;=2,"0-2",HR_Employee_Attrition[[#This Row],[YearsAtCompany]]&lt;=5,"3-5",HR_Employee_Attrition[[#This Row],[YearsAtCompany]]&lt;=10,"6-10",HR_Employee_Attrition[[#This Row],[YearsAtCompany]]&gt;10,"10+")</f>
        <v>0-2</v>
      </c>
      <c r="AL59" t="str" cm="1">
        <f t="array" ref="AL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9">
        <f>IF(HR_Employee_Attrition[[#This Row],[Attrition]]="Yes",1,0)</f>
        <v>0</v>
      </c>
    </row>
    <row r="60" spans="1:39" x14ac:dyDescent="0.3">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c r="AJ60" t="str">
        <f>IF(HR_Employee_Attrition[[#This Row],[Age]]&gt;60,"60+",IF(HR_Employee_Attrition[[#This Row],[Age]]&gt;=50,"50-59",IF(HR_Employee_Attrition[[#This Row],[Age]]&gt;=40,"40-49",IF(HR_Employee_Attrition[[#This Row],[Age]]&gt;=30,"30-39",IF(HR_Employee_Attrition[[#This Row],[Age]]&gt;=20,"20-29",IF(HR_Employee_Attrition[[#This Row],[Age]]&gt;=18,"18-20"))))))</f>
        <v>30-39</v>
      </c>
      <c r="AK60" t="str" cm="1">
        <f t="array" ref="AK60">_xlfn.IFS(HR_Employee_Attrition[[#This Row],[YearsAtCompany]]&lt;=2,"0-2",HR_Employee_Attrition[[#This Row],[YearsAtCompany]]&lt;=5,"3-5",HR_Employee_Attrition[[#This Row],[YearsAtCompany]]&lt;=10,"6-10",HR_Employee_Attrition[[#This Row],[YearsAtCompany]]&gt;10,"10+")</f>
        <v>6-10</v>
      </c>
      <c r="AL60" t="str" cm="1">
        <f t="array" ref="AL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0">
        <f>IF(HR_Employee_Attrition[[#This Row],[Attrition]]="Yes",1,0)</f>
        <v>0</v>
      </c>
    </row>
    <row r="61" spans="1:39" x14ac:dyDescent="0.3">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c r="AJ61" t="str">
        <f>IF(HR_Employee_Attrition[[#This Row],[Age]]&gt;60,"60+",IF(HR_Employee_Attrition[[#This Row],[Age]]&gt;=50,"50-59",IF(HR_Employee_Attrition[[#This Row],[Age]]&gt;=40,"40-49",IF(HR_Employee_Attrition[[#This Row],[Age]]&gt;=30,"30-39",IF(HR_Employee_Attrition[[#This Row],[Age]]&gt;=20,"20-29",IF(HR_Employee_Attrition[[#This Row],[Age]]&gt;=18,"18-20"))))))</f>
        <v>30-39</v>
      </c>
      <c r="AK61" t="str" cm="1">
        <f t="array" ref="AK61">_xlfn.IFS(HR_Employee_Attrition[[#This Row],[YearsAtCompany]]&lt;=2,"0-2",HR_Employee_Attrition[[#This Row],[YearsAtCompany]]&lt;=5,"3-5",HR_Employee_Attrition[[#This Row],[YearsAtCompany]]&lt;=10,"6-10",HR_Employee_Attrition[[#This Row],[YearsAtCompany]]&gt;10,"10+")</f>
        <v>6-10</v>
      </c>
      <c r="AL61" t="str" cm="1">
        <f t="array" ref="AL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1">
        <f>IF(HR_Employee_Attrition[[#This Row],[Attrition]]="Yes",1,0)</f>
        <v>0</v>
      </c>
    </row>
    <row r="62" spans="1:39" x14ac:dyDescent="0.3">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c r="AJ62" t="str">
        <f>IF(HR_Employee_Attrition[[#This Row],[Age]]&gt;60,"60+",IF(HR_Employee_Attrition[[#This Row],[Age]]&gt;=50,"50-59",IF(HR_Employee_Attrition[[#This Row],[Age]]&gt;=40,"40-49",IF(HR_Employee_Attrition[[#This Row],[Age]]&gt;=30,"30-39",IF(HR_Employee_Attrition[[#This Row],[Age]]&gt;=20,"20-29",IF(HR_Employee_Attrition[[#This Row],[Age]]&gt;=18,"18-20"))))))</f>
        <v>30-39</v>
      </c>
      <c r="AK62" t="str" cm="1">
        <f t="array" ref="AK62">_xlfn.IFS(HR_Employee_Attrition[[#This Row],[YearsAtCompany]]&lt;=2,"0-2",HR_Employee_Attrition[[#This Row],[YearsAtCompany]]&lt;=5,"3-5",HR_Employee_Attrition[[#This Row],[YearsAtCompany]]&lt;=10,"6-10",HR_Employee_Attrition[[#This Row],[YearsAtCompany]]&gt;10,"10+")</f>
        <v>6-10</v>
      </c>
      <c r="AL62" t="str" cm="1">
        <f t="array" ref="AL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2">
        <f>IF(HR_Employee_Attrition[[#This Row],[Attrition]]="Yes",1,0)</f>
        <v>0</v>
      </c>
    </row>
    <row r="63" spans="1:39" x14ac:dyDescent="0.3">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c r="AJ63" t="str">
        <f>IF(HR_Employee_Attrition[[#This Row],[Age]]&gt;60,"60+",IF(HR_Employee_Attrition[[#This Row],[Age]]&gt;=50,"50-59",IF(HR_Employee_Attrition[[#This Row],[Age]]&gt;=40,"40-49",IF(HR_Employee_Attrition[[#This Row],[Age]]&gt;=30,"30-39",IF(HR_Employee_Attrition[[#This Row],[Age]]&gt;=20,"20-29",IF(HR_Employee_Attrition[[#This Row],[Age]]&gt;=18,"18-20"))))))</f>
        <v>30-39</v>
      </c>
      <c r="AK63" t="str" cm="1">
        <f t="array" ref="AK63">_xlfn.IFS(HR_Employee_Attrition[[#This Row],[YearsAtCompany]]&lt;=2,"0-2",HR_Employee_Attrition[[#This Row],[YearsAtCompany]]&lt;=5,"3-5",HR_Employee_Attrition[[#This Row],[YearsAtCompany]]&lt;=10,"6-10",HR_Employee_Attrition[[#This Row],[YearsAtCompany]]&gt;10,"10+")</f>
        <v>6-10</v>
      </c>
      <c r="AL63" t="str" cm="1">
        <f t="array" ref="AL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
        <f>IF(HR_Employee_Attrition[[#This Row],[Attrition]]="Yes",1,0)</f>
        <v>0</v>
      </c>
    </row>
    <row r="64" spans="1:39" x14ac:dyDescent="0.3">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c r="AJ64" t="str">
        <f>IF(HR_Employee_Attrition[[#This Row],[Age]]&gt;60,"60+",IF(HR_Employee_Attrition[[#This Row],[Age]]&gt;=50,"50-59",IF(HR_Employee_Attrition[[#This Row],[Age]]&gt;=40,"40-49",IF(HR_Employee_Attrition[[#This Row],[Age]]&gt;=30,"30-39",IF(HR_Employee_Attrition[[#This Row],[Age]]&gt;=20,"20-29",IF(HR_Employee_Attrition[[#This Row],[Age]]&gt;=18,"18-20"))))))</f>
        <v>50-59</v>
      </c>
      <c r="AK64" t="str" cm="1">
        <f t="array" ref="AK64">_xlfn.IFS(HR_Employee_Attrition[[#This Row],[YearsAtCompany]]&lt;=2,"0-2",HR_Employee_Attrition[[#This Row],[YearsAtCompany]]&lt;=5,"3-5",HR_Employee_Attrition[[#This Row],[YearsAtCompany]]&lt;=10,"6-10",HR_Employee_Attrition[[#This Row],[YearsAtCompany]]&gt;10,"10+")</f>
        <v>10+</v>
      </c>
      <c r="AL64" t="str" cm="1">
        <f t="array" ref="AL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64">
        <f>IF(HR_Employee_Attrition[[#This Row],[Attrition]]="Yes",1,0)</f>
        <v>0</v>
      </c>
    </row>
    <row r="65" spans="1:39" x14ac:dyDescent="0.3">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c r="AJ65" t="str">
        <f>IF(HR_Employee_Attrition[[#This Row],[Age]]&gt;60,"60+",IF(HR_Employee_Attrition[[#This Row],[Age]]&gt;=50,"50-59",IF(HR_Employee_Attrition[[#This Row],[Age]]&gt;=40,"40-49",IF(HR_Employee_Attrition[[#This Row],[Age]]&gt;=30,"30-39",IF(HR_Employee_Attrition[[#This Row],[Age]]&gt;=20,"20-29",IF(HR_Employee_Attrition[[#This Row],[Age]]&gt;=18,"18-20"))))))</f>
        <v>50-59</v>
      </c>
      <c r="AK65" t="str" cm="1">
        <f t="array" ref="AK65">_xlfn.IFS(HR_Employee_Attrition[[#This Row],[YearsAtCompany]]&lt;=2,"0-2",HR_Employee_Attrition[[#This Row],[YearsAtCompany]]&lt;=5,"3-5",HR_Employee_Attrition[[#This Row],[YearsAtCompany]]&lt;=10,"6-10",HR_Employee_Attrition[[#This Row],[YearsAtCompany]]&gt;10,"10+")</f>
        <v>10+</v>
      </c>
      <c r="AL65" t="str" cm="1">
        <f t="array" ref="AL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5">
        <f>IF(HR_Employee_Attrition[[#This Row],[Attrition]]="Yes",1,0)</f>
        <v>0</v>
      </c>
    </row>
    <row r="66" spans="1:39" x14ac:dyDescent="0.3">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c r="AJ66" t="str">
        <f>IF(HR_Employee_Attrition[[#This Row],[Age]]&gt;60,"60+",IF(HR_Employee_Attrition[[#This Row],[Age]]&gt;=50,"50-59",IF(HR_Employee_Attrition[[#This Row],[Age]]&gt;=40,"40-49",IF(HR_Employee_Attrition[[#This Row],[Age]]&gt;=30,"30-39",IF(HR_Employee_Attrition[[#This Row],[Age]]&gt;=20,"20-29",IF(HR_Employee_Attrition[[#This Row],[Age]]&gt;=18,"18-20"))))))</f>
        <v>30-39</v>
      </c>
      <c r="AK66" t="str" cm="1">
        <f t="array" ref="AK66">_xlfn.IFS(HR_Employee_Attrition[[#This Row],[YearsAtCompany]]&lt;=2,"0-2",HR_Employee_Attrition[[#This Row],[YearsAtCompany]]&lt;=5,"3-5",HR_Employee_Attrition[[#This Row],[YearsAtCompany]]&lt;=10,"6-10",HR_Employee_Attrition[[#This Row],[YearsAtCompany]]&gt;10,"10+")</f>
        <v>10+</v>
      </c>
      <c r="AL66" t="str" cm="1">
        <f t="array" ref="AL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6">
        <f>IF(HR_Employee_Attrition[[#This Row],[Attrition]]="Yes",1,0)</f>
        <v>0</v>
      </c>
    </row>
    <row r="67" spans="1:39" x14ac:dyDescent="0.3">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c r="AJ67" t="str">
        <f>IF(HR_Employee_Attrition[[#This Row],[Age]]&gt;60,"60+",IF(HR_Employee_Attrition[[#This Row],[Age]]&gt;=50,"50-59",IF(HR_Employee_Attrition[[#This Row],[Age]]&gt;=40,"40-49",IF(HR_Employee_Attrition[[#This Row],[Age]]&gt;=30,"30-39",IF(HR_Employee_Attrition[[#This Row],[Age]]&gt;=20,"20-29",IF(HR_Employee_Attrition[[#This Row],[Age]]&gt;=18,"18-20"))))))</f>
        <v>50-59</v>
      </c>
      <c r="AK67" t="str" cm="1">
        <f t="array" ref="AK67">_xlfn.IFS(HR_Employee_Attrition[[#This Row],[YearsAtCompany]]&lt;=2,"0-2",HR_Employee_Attrition[[#This Row],[YearsAtCompany]]&lt;=5,"3-5",HR_Employee_Attrition[[#This Row],[YearsAtCompany]]&lt;=10,"6-10",HR_Employee_Attrition[[#This Row],[YearsAtCompany]]&gt;10,"10+")</f>
        <v>3-5</v>
      </c>
      <c r="AL67" t="str" cm="1">
        <f t="array" ref="AL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7">
        <f>IF(HR_Employee_Attrition[[#This Row],[Attrition]]="Yes",1,0)</f>
        <v>0</v>
      </c>
    </row>
    <row r="68" spans="1:39" x14ac:dyDescent="0.3">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c r="AJ68" t="str">
        <f>IF(HR_Employee_Attrition[[#This Row],[Age]]&gt;60,"60+",IF(HR_Employee_Attrition[[#This Row],[Age]]&gt;=50,"50-59",IF(HR_Employee_Attrition[[#This Row],[Age]]&gt;=40,"40-49",IF(HR_Employee_Attrition[[#This Row],[Age]]&gt;=30,"30-39",IF(HR_Employee_Attrition[[#This Row],[Age]]&gt;=20,"20-29",IF(HR_Employee_Attrition[[#This Row],[Age]]&gt;=18,"18-20"))))))</f>
        <v>30-39</v>
      </c>
      <c r="AK68" t="str" cm="1">
        <f t="array" ref="AK68">_xlfn.IFS(HR_Employee_Attrition[[#This Row],[YearsAtCompany]]&lt;=2,"0-2",HR_Employee_Attrition[[#This Row],[YearsAtCompany]]&lt;=5,"3-5",HR_Employee_Attrition[[#This Row],[YearsAtCompany]]&lt;=10,"6-10",HR_Employee_Attrition[[#This Row],[YearsAtCompany]]&gt;10,"10+")</f>
        <v>6-10</v>
      </c>
      <c r="AL68" t="str" cm="1">
        <f t="array" ref="AL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8">
        <f>IF(HR_Employee_Attrition[[#This Row],[Attrition]]="Yes",1,0)</f>
        <v>0</v>
      </c>
    </row>
    <row r="69" spans="1:39" x14ac:dyDescent="0.3">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c r="AJ69" t="str">
        <f>IF(HR_Employee_Attrition[[#This Row],[Age]]&gt;60,"60+",IF(HR_Employee_Attrition[[#This Row],[Age]]&gt;=50,"50-59",IF(HR_Employee_Attrition[[#This Row],[Age]]&gt;=40,"40-49",IF(HR_Employee_Attrition[[#This Row],[Age]]&gt;=30,"30-39",IF(HR_Employee_Attrition[[#This Row],[Age]]&gt;=20,"20-29",IF(HR_Employee_Attrition[[#This Row],[Age]]&gt;=18,"18-20"))))))</f>
        <v>40-49</v>
      </c>
      <c r="AK69" t="str" cm="1">
        <f t="array" ref="AK69">_xlfn.IFS(HR_Employee_Attrition[[#This Row],[YearsAtCompany]]&lt;=2,"0-2",HR_Employee_Attrition[[#This Row],[YearsAtCompany]]&lt;=5,"3-5",HR_Employee_Attrition[[#This Row],[YearsAtCompany]]&lt;=10,"6-10",HR_Employee_Attrition[[#This Row],[YearsAtCompany]]&gt;10,"10+")</f>
        <v>0-2</v>
      </c>
      <c r="AL69" t="str" cm="1">
        <f t="array" ref="AL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9">
        <f>IF(HR_Employee_Attrition[[#This Row],[Attrition]]="Yes",1,0)</f>
        <v>0</v>
      </c>
    </row>
    <row r="70" spans="1:39" x14ac:dyDescent="0.3">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c r="AJ70" t="str">
        <f>IF(HR_Employee_Attrition[[#This Row],[Age]]&gt;60,"60+",IF(HR_Employee_Attrition[[#This Row],[Age]]&gt;=50,"50-59",IF(HR_Employee_Attrition[[#This Row],[Age]]&gt;=40,"40-49",IF(HR_Employee_Attrition[[#This Row],[Age]]&gt;=30,"30-39",IF(HR_Employee_Attrition[[#This Row],[Age]]&gt;=20,"20-29",IF(HR_Employee_Attrition[[#This Row],[Age]]&gt;=18,"18-20"))))))</f>
        <v>30-39</v>
      </c>
      <c r="AK70" t="str" cm="1">
        <f t="array" ref="AK70">_xlfn.IFS(HR_Employee_Attrition[[#This Row],[YearsAtCompany]]&lt;=2,"0-2",HR_Employee_Attrition[[#This Row],[YearsAtCompany]]&lt;=5,"3-5",HR_Employee_Attrition[[#This Row],[YearsAtCompany]]&lt;=10,"6-10",HR_Employee_Attrition[[#This Row],[YearsAtCompany]]&gt;10,"10+")</f>
        <v>3-5</v>
      </c>
      <c r="AL70" t="str" cm="1">
        <f t="array" ref="AL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0">
        <f>IF(HR_Employee_Attrition[[#This Row],[Attrition]]="Yes",1,0)</f>
        <v>0</v>
      </c>
    </row>
    <row r="71" spans="1:39" x14ac:dyDescent="0.3">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c r="AJ71" t="str">
        <f>IF(HR_Employee_Attrition[[#This Row],[Age]]&gt;60,"60+",IF(HR_Employee_Attrition[[#This Row],[Age]]&gt;=50,"50-59",IF(HR_Employee_Attrition[[#This Row],[Age]]&gt;=40,"40-49",IF(HR_Employee_Attrition[[#This Row],[Age]]&gt;=30,"30-39",IF(HR_Employee_Attrition[[#This Row],[Age]]&gt;=20,"20-29",IF(HR_Employee_Attrition[[#This Row],[Age]]&gt;=18,"18-20"))))))</f>
        <v>30-39</v>
      </c>
      <c r="AK71" t="str" cm="1">
        <f t="array" ref="AK71">_xlfn.IFS(HR_Employee_Attrition[[#This Row],[YearsAtCompany]]&lt;=2,"0-2",HR_Employee_Attrition[[#This Row],[YearsAtCompany]]&lt;=5,"3-5",HR_Employee_Attrition[[#This Row],[YearsAtCompany]]&lt;=10,"6-10",HR_Employee_Attrition[[#This Row],[YearsAtCompany]]&gt;10,"10+")</f>
        <v>0-2</v>
      </c>
      <c r="AL71" t="str" cm="1">
        <f t="array" ref="AL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1">
        <f>IF(HR_Employee_Attrition[[#This Row],[Attrition]]="Yes",1,0)</f>
        <v>1</v>
      </c>
    </row>
    <row r="72" spans="1:39" x14ac:dyDescent="0.3">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c r="AJ72" t="str">
        <f>IF(HR_Employee_Attrition[[#This Row],[Age]]&gt;60,"60+",IF(HR_Employee_Attrition[[#This Row],[Age]]&gt;=50,"50-59",IF(HR_Employee_Attrition[[#This Row],[Age]]&gt;=40,"40-49",IF(HR_Employee_Attrition[[#This Row],[Age]]&gt;=30,"30-39",IF(HR_Employee_Attrition[[#This Row],[Age]]&gt;=20,"20-29",IF(HR_Employee_Attrition[[#This Row],[Age]]&gt;=18,"18-20"))))))</f>
        <v>50-59</v>
      </c>
      <c r="AK72" t="str" cm="1">
        <f t="array" ref="AK72">_xlfn.IFS(HR_Employee_Attrition[[#This Row],[YearsAtCompany]]&lt;=2,"0-2",HR_Employee_Attrition[[#This Row],[YearsAtCompany]]&lt;=5,"3-5",HR_Employee_Attrition[[#This Row],[YearsAtCompany]]&lt;=10,"6-10",HR_Employee_Attrition[[#This Row],[YearsAtCompany]]&gt;10,"10+")</f>
        <v>3-5</v>
      </c>
      <c r="AL72" t="str" cm="1">
        <f t="array" ref="AL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2">
        <f>IF(HR_Employee_Attrition[[#This Row],[Attrition]]="Yes",1,0)</f>
        <v>0</v>
      </c>
    </row>
    <row r="73" spans="1:39" x14ac:dyDescent="0.3">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c r="AJ73" t="str">
        <f>IF(HR_Employee_Attrition[[#This Row],[Age]]&gt;60,"60+",IF(HR_Employee_Attrition[[#This Row],[Age]]&gt;=50,"50-59",IF(HR_Employee_Attrition[[#This Row],[Age]]&gt;=40,"40-49",IF(HR_Employee_Attrition[[#This Row],[Age]]&gt;=30,"30-39",IF(HR_Employee_Attrition[[#This Row],[Age]]&gt;=20,"20-29",IF(HR_Employee_Attrition[[#This Row],[Age]]&gt;=18,"18-20"))))))</f>
        <v>20-29</v>
      </c>
      <c r="AK73" t="str" cm="1">
        <f t="array" ref="AK73">_xlfn.IFS(HR_Employee_Attrition[[#This Row],[YearsAtCompany]]&lt;=2,"0-2",HR_Employee_Attrition[[#This Row],[YearsAtCompany]]&lt;=5,"3-5",HR_Employee_Attrition[[#This Row],[YearsAtCompany]]&lt;=10,"6-10",HR_Employee_Attrition[[#This Row],[YearsAtCompany]]&gt;10,"10+")</f>
        <v>3-5</v>
      </c>
      <c r="AL73" t="str" cm="1">
        <f t="array" ref="AL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3">
        <f>IF(HR_Employee_Attrition[[#This Row],[Attrition]]="Yes",1,0)</f>
        <v>0</v>
      </c>
    </row>
    <row r="74" spans="1:39" x14ac:dyDescent="0.3">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c r="AJ74" t="str">
        <f>IF(HR_Employee_Attrition[[#This Row],[Age]]&gt;60,"60+",IF(HR_Employee_Attrition[[#This Row],[Age]]&gt;=50,"50-59",IF(HR_Employee_Attrition[[#This Row],[Age]]&gt;=40,"40-49",IF(HR_Employee_Attrition[[#This Row],[Age]]&gt;=30,"30-39",IF(HR_Employee_Attrition[[#This Row],[Age]]&gt;=20,"20-29",IF(HR_Employee_Attrition[[#This Row],[Age]]&gt;=18,"18-20"))))))</f>
        <v>30-39</v>
      </c>
      <c r="AK74" t="str" cm="1">
        <f t="array" ref="AK74">_xlfn.IFS(HR_Employee_Attrition[[#This Row],[YearsAtCompany]]&lt;=2,"0-2",HR_Employee_Attrition[[#This Row],[YearsAtCompany]]&lt;=5,"3-5",HR_Employee_Attrition[[#This Row],[YearsAtCompany]]&lt;=10,"6-10",HR_Employee_Attrition[[#This Row],[YearsAtCompany]]&gt;10,"10+")</f>
        <v>0-2</v>
      </c>
      <c r="AL74" t="str" cm="1">
        <f t="array" ref="AL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4">
        <f>IF(HR_Employee_Attrition[[#This Row],[Attrition]]="Yes",1,0)</f>
        <v>0</v>
      </c>
    </row>
    <row r="75" spans="1:39" x14ac:dyDescent="0.3">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c r="AJ75" t="str">
        <f>IF(HR_Employee_Attrition[[#This Row],[Age]]&gt;60,"60+",IF(HR_Employee_Attrition[[#This Row],[Age]]&gt;=50,"50-59",IF(HR_Employee_Attrition[[#This Row],[Age]]&gt;=40,"40-49",IF(HR_Employee_Attrition[[#This Row],[Age]]&gt;=30,"30-39",IF(HR_Employee_Attrition[[#This Row],[Age]]&gt;=20,"20-29",IF(HR_Employee_Attrition[[#This Row],[Age]]&gt;=18,"18-20"))))))</f>
        <v>30-39</v>
      </c>
      <c r="AK75" t="str" cm="1">
        <f t="array" ref="AK75">_xlfn.IFS(HR_Employee_Attrition[[#This Row],[YearsAtCompany]]&lt;=2,"0-2",HR_Employee_Attrition[[#This Row],[YearsAtCompany]]&lt;=5,"3-5",HR_Employee_Attrition[[#This Row],[YearsAtCompany]]&lt;=10,"6-10",HR_Employee_Attrition[[#This Row],[YearsAtCompany]]&gt;10,"10+")</f>
        <v>6-10</v>
      </c>
      <c r="AL75" t="str" cm="1">
        <f t="array" ref="AL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5">
        <f>IF(HR_Employee_Attrition[[#This Row],[Attrition]]="Yes",1,0)</f>
        <v>0</v>
      </c>
    </row>
    <row r="76" spans="1:39" x14ac:dyDescent="0.3">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c r="AJ76" t="str">
        <f>IF(HR_Employee_Attrition[[#This Row],[Age]]&gt;60,"60+",IF(HR_Employee_Attrition[[#This Row],[Age]]&gt;=50,"50-59",IF(HR_Employee_Attrition[[#This Row],[Age]]&gt;=40,"40-49",IF(HR_Employee_Attrition[[#This Row],[Age]]&gt;=30,"30-39",IF(HR_Employee_Attrition[[#This Row],[Age]]&gt;=20,"20-29",IF(HR_Employee_Attrition[[#This Row],[Age]]&gt;=18,"18-20"))))))</f>
        <v>30-39</v>
      </c>
      <c r="AK76" t="str" cm="1">
        <f t="array" ref="AK76">_xlfn.IFS(HR_Employee_Attrition[[#This Row],[YearsAtCompany]]&lt;=2,"0-2",HR_Employee_Attrition[[#This Row],[YearsAtCompany]]&lt;=5,"3-5",HR_Employee_Attrition[[#This Row],[YearsAtCompany]]&lt;=10,"6-10",HR_Employee_Attrition[[#This Row],[YearsAtCompany]]&gt;10,"10+")</f>
        <v>0-2</v>
      </c>
      <c r="AL76" t="str" cm="1">
        <f t="array" ref="AL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
        <f>IF(HR_Employee_Attrition[[#This Row],[Attrition]]="Yes",1,0)</f>
        <v>0</v>
      </c>
    </row>
    <row r="77" spans="1:39" x14ac:dyDescent="0.3">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c r="AJ77" t="str">
        <f>IF(HR_Employee_Attrition[[#This Row],[Age]]&gt;60,"60+",IF(HR_Employee_Attrition[[#This Row],[Age]]&gt;=50,"50-59",IF(HR_Employee_Attrition[[#This Row],[Age]]&gt;=40,"40-49",IF(HR_Employee_Attrition[[#This Row],[Age]]&gt;=30,"30-39",IF(HR_Employee_Attrition[[#This Row],[Age]]&gt;=20,"20-29",IF(HR_Employee_Attrition[[#This Row],[Age]]&gt;=18,"18-20"))))))</f>
        <v>30-39</v>
      </c>
      <c r="AK77" t="str" cm="1">
        <f t="array" ref="AK77">_xlfn.IFS(HR_Employee_Attrition[[#This Row],[YearsAtCompany]]&lt;=2,"0-2",HR_Employee_Attrition[[#This Row],[YearsAtCompany]]&lt;=5,"3-5",HR_Employee_Attrition[[#This Row],[YearsAtCompany]]&lt;=10,"6-10",HR_Employee_Attrition[[#This Row],[YearsAtCompany]]&gt;10,"10+")</f>
        <v>10+</v>
      </c>
      <c r="AL77" t="str" cm="1">
        <f t="array" ref="AL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7">
        <f>IF(HR_Employee_Attrition[[#This Row],[Attrition]]="Yes",1,0)</f>
        <v>0</v>
      </c>
    </row>
    <row r="78" spans="1:39" x14ac:dyDescent="0.3">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c r="AJ78" t="str">
        <f>IF(HR_Employee_Attrition[[#This Row],[Age]]&gt;60,"60+",IF(HR_Employee_Attrition[[#This Row],[Age]]&gt;=50,"50-59",IF(HR_Employee_Attrition[[#This Row],[Age]]&gt;=40,"40-49",IF(HR_Employee_Attrition[[#This Row],[Age]]&gt;=30,"30-39",IF(HR_Employee_Attrition[[#This Row],[Age]]&gt;=20,"20-29",IF(HR_Employee_Attrition[[#This Row],[Age]]&gt;=18,"18-20"))))))</f>
        <v>30-39</v>
      </c>
      <c r="AK78" t="str" cm="1">
        <f t="array" ref="AK78">_xlfn.IFS(HR_Employee_Attrition[[#This Row],[YearsAtCompany]]&lt;=2,"0-2",HR_Employee_Attrition[[#This Row],[YearsAtCompany]]&lt;=5,"3-5",HR_Employee_Attrition[[#This Row],[YearsAtCompany]]&lt;=10,"6-10",HR_Employee_Attrition[[#This Row],[YearsAtCompany]]&gt;10,"10+")</f>
        <v>10+</v>
      </c>
      <c r="AL78" t="str" cm="1">
        <f t="array" ref="AL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8">
        <f>IF(HR_Employee_Attrition[[#This Row],[Attrition]]="Yes",1,0)</f>
        <v>0</v>
      </c>
    </row>
    <row r="79" spans="1:39" x14ac:dyDescent="0.3">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c r="AJ79" t="str">
        <f>IF(HR_Employee_Attrition[[#This Row],[Age]]&gt;60,"60+",IF(HR_Employee_Attrition[[#This Row],[Age]]&gt;=50,"50-59",IF(HR_Employee_Attrition[[#This Row],[Age]]&gt;=40,"40-49",IF(HR_Employee_Attrition[[#This Row],[Age]]&gt;=30,"30-39",IF(HR_Employee_Attrition[[#This Row],[Age]]&gt;=20,"20-29",IF(HR_Employee_Attrition[[#This Row],[Age]]&gt;=18,"18-20"))))))</f>
        <v>40-49</v>
      </c>
      <c r="AK79" t="str" cm="1">
        <f t="array" ref="AK79">_xlfn.IFS(HR_Employee_Attrition[[#This Row],[YearsAtCompany]]&lt;=2,"0-2",HR_Employee_Attrition[[#This Row],[YearsAtCompany]]&lt;=5,"3-5",HR_Employee_Attrition[[#This Row],[YearsAtCompany]]&lt;=10,"6-10",HR_Employee_Attrition[[#This Row],[YearsAtCompany]]&gt;10,"10+")</f>
        <v>0-2</v>
      </c>
      <c r="AL79" t="str" cm="1">
        <f t="array" ref="AL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9">
        <f>IF(HR_Employee_Attrition[[#This Row],[Attrition]]="Yes",1,0)</f>
        <v>0</v>
      </c>
    </row>
    <row r="80" spans="1:39" x14ac:dyDescent="0.3">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c r="AJ80" t="str">
        <f>IF(HR_Employee_Attrition[[#This Row],[Age]]&gt;60,"60+",IF(HR_Employee_Attrition[[#This Row],[Age]]&gt;=50,"50-59",IF(HR_Employee_Attrition[[#This Row],[Age]]&gt;=40,"40-49",IF(HR_Employee_Attrition[[#This Row],[Age]]&gt;=30,"30-39",IF(HR_Employee_Attrition[[#This Row],[Age]]&gt;=20,"20-29",IF(HR_Employee_Attrition[[#This Row],[Age]]&gt;=18,"18-20"))))))</f>
        <v>30-39</v>
      </c>
      <c r="AK80" t="str" cm="1">
        <f t="array" ref="AK80">_xlfn.IFS(HR_Employee_Attrition[[#This Row],[YearsAtCompany]]&lt;=2,"0-2",HR_Employee_Attrition[[#This Row],[YearsAtCompany]]&lt;=5,"3-5",HR_Employee_Attrition[[#This Row],[YearsAtCompany]]&lt;=10,"6-10",HR_Employee_Attrition[[#This Row],[YearsAtCompany]]&gt;10,"10+")</f>
        <v>3-5</v>
      </c>
      <c r="AL80" t="str" cm="1">
        <f t="array" ref="AL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0">
        <f>IF(HR_Employee_Attrition[[#This Row],[Attrition]]="Yes",1,0)</f>
        <v>0</v>
      </c>
    </row>
    <row r="81" spans="1:39" x14ac:dyDescent="0.3">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c r="AJ81" t="str">
        <f>IF(HR_Employee_Attrition[[#This Row],[Age]]&gt;60,"60+",IF(HR_Employee_Attrition[[#This Row],[Age]]&gt;=50,"50-59",IF(HR_Employee_Attrition[[#This Row],[Age]]&gt;=40,"40-49",IF(HR_Employee_Attrition[[#This Row],[Age]]&gt;=30,"30-39",IF(HR_Employee_Attrition[[#This Row],[Age]]&gt;=20,"20-29",IF(HR_Employee_Attrition[[#This Row],[Age]]&gt;=18,"18-20"))))))</f>
        <v>40-49</v>
      </c>
      <c r="AK81" t="str" cm="1">
        <f t="array" ref="AK81">_xlfn.IFS(HR_Employee_Attrition[[#This Row],[YearsAtCompany]]&lt;=2,"0-2",HR_Employee_Attrition[[#This Row],[YearsAtCompany]]&lt;=5,"3-5",HR_Employee_Attrition[[#This Row],[YearsAtCompany]]&lt;=10,"6-10",HR_Employee_Attrition[[#This Row],[YearsAtCompany]]&gt;10,"10+")</f>
        <v>3-5</v>
      </c>
      <c r="AL81" t="str" cm="1">
        <f t="array" ref="AL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1">
        <f>IF(HR_Employee_Attrition[[#This Row],[Attrition]]="Yes",1,0)</f>
        <v>0</v>
      </c>
    </row>
    <row r="82" spans="1:39" x14ac:dyDescent="0.3">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c r="AJ82" t="str">
        <f>IF(HR_Employee_Attrition[[#This Row],[Age]]&gt;60,"60+",IF(HR_Employee_Attrition[[#This Row],[Age]]&gt;=50,"50-59",IF(HR_Employee_Attrition[[#This Row],[Age]]&gt;=40,"40-49",IF(HR_Employee_Attrition[[#This Row],[Age]]&gt;=30,"30-39",IF(HR_Employee_Attrition[[#This Row],[Age]]&gt;=20,"20-29",IF(HR_Employee_Attrition[[#This Row],[Age]]&gt;=18,"18-20"))))))</f>
        <v>30-39</v>
      </c>
      <c r="AK82" t="str" cm="1">
        <f t="array" ref="AK82">_xlfn.IFS(HR_Employee_Attrition[[#This Row],[YearsAtCompany]]&lt;=2,"0-2",HR_Employee_Attrition[[#This Row],[YearsAtCompany]]&lt;=5,"3-5",HR_Employee_Attrition[[#This Row],[YearsAtCompany]]&lt;=10,"6-10",HR_Employee_Attrition[[#This Row],[YearsAtCompany]]&gt;10,"10+")</f>
        <v>6-10</v>
      </c>
      <c r="AL82" t="str" cm="1">
        <f t="array" ref="AL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2">
        <f>IF(HR_Employee_Attrition[[#This Row],[Attrition]]="Yes",1,0)</f>
        <v>0</v>
      </c>
    </row>
    <row r="83" spans="1:39" x14ac:dyDescent="0.3">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c r="AJ83" t="str">
        <f>IF(HR_Employee_Attrition[[#This Row],[Age]]&gt;60,"60+",IF(HR_Employee_Attrition[[#This Row],[Age]]&gt;=50,"50-59",IF(HR_Employee_Attrition[[#This Row],[Age]]&gt;=40,"40-49",IF(HR_Employee_Attrition[[#This Row],[Age]]&gt;=30,"30-39",IF(HR_Employee_Attrition[[#This Row],[Age]]&gt;=20,"20-29",IF(HR_Employee_Attrition[[#This Row],[Age]]&gt;=18,"18-20"))))))</f>
        <v>30-39</v>
      </c>
      <c r="AK83" t="str" cm="1">
        <f t="array" ref="AK83">_xlfn.IFS(HR_Employee_Attrition[[#This Row],[YearsAtCompany]]&lt;=2,"0-2",HR_Employee_Attrition[[#This Row],[YearsAtCompany]]&lt;=5,"3-5",HR_Employee_Attrition[[#This Row],[YearsAtCompany]]&lt;=10,"6-10",HR_Employee_Attrition[[#This Row],[YearsAtCompany]]&gt;10,"10+")</f>
        <v>6-10</v>
      </c>
      <c r="AL83" t="str" cm="1">
        <f t="array" ref="AL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3">
        <f>IF(HR_Employee_Attrition[[#This Row],[Attrition]]="Yes",1,0)</f>
        <v>0</v>
      </c>
    </row>
    <row r="84" spans="1:39" x14ac:dyDescent="0.3">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c r="AJ84" t="str">
        <f>IF(HR_Employee_Attrition[[#This Row],[Age]]&gt;60,"60+",IF(HR_Employee_Attrition[[#This Row],[Age]]&gt;=50,"50-59",IF(HR_Employee_Attrition[[#This Row],[Age]]&gt;=40,"40-49",IF(HR_Employee_Attrition[[#This Row],[Age]]&gt;=30,"30-39",IF(HR_Employee_Attrition[[#This Row],[Age]]&gt;=20,"20-29",IF(HR_Employee_Attrition[[#This Row],[Age]]&gt;=18,"18-20"))))))</f>
        <v>50-59</v>
      </c>
      <c r="AK84" t="str" cm="1">
        <f t="array" ref="AK84">_xlfn.IFS(HR_Employee_Attrition[[#This Row],[YearsAtCompany]]&lt;=2,"0-2",HR_Employee_Attrition[[#This Row],[YearsAtCompany]]&lt;=5,"3-5",HR_Employee_Attrition[[#This Row],[YearsAtCompany]]&lt;=10,"6-10",HR_Employee_Attrition[[#This Row],[YearsAtCompany]]&gt;10,"10+")</f>
        <v>0-2</v>
      </c>
      <c r="AL84" t="str" cm="1">
        <f t="array" ref="AL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4">
        <f>IF(HR_Employee_Attrition[[#This Row],[Attrition]]="Yes",1,0)</f>
        <v>0</v>
      </c>
    </row>
    <row r="85" spans="1:39" x14ac:dyDescent="0.3">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c r="AJ85" t="str">
        <f>IF(HR_Employee_Attrition[[#This Row],[Age]]&gt;60,"60+",IF(HR_Employee_Attrition[[#This Row],[Age]]&gt;=50,"50-59",IF(HR_Employee_Attrition[[#This Row],[Age]]&gt;=40,"40-49",IF(HR_Employee_Attrition[[#This Row],[Age]]&gt;=30,"30-39",IF(HR_Employee_Attrition[[#This Row],[Age]]&gt;=20,"20-29",IF(HR_Employee_Attrition[[#This Row],[Age]]&gt;=18,"18-20"))))))</f>
        <v>30-39</v>
      </c>
      <c r="AK85" t="str" cm="1">
        <f t="array" ref="AK85">_xlfn.IFS(HR_Employee_Attrition[[#This Row],[YearsAtCompany]]&lt;=2,"0-2",HR_Employee_Attrition[[#This Row],[YearsAtCompany]]&lt;=5,"3-5",HR_Employee_Attrition[[#This Row],[YearsAtCompany]]&lt;=10,"6-10",HR_Employee_Attrition[[#This Row],[YearsAtCompany]]&gt;10,"10+")</f>
        <v>10+</v>
      </c>
      <c r="AL85" t="str" cm="1">
        <f t="array" ref="AL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5">
        <f>IF(HR_Employee_Attrition[[#This Row],[Attrition]]="Yes",1,0)</f>
        <v>0</v>
      </c>
    </row>
    <row r="86" spans="1:39" x14ac:dyDescent="0.3">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c r="AJ86" t="str">
        <f>IF(HR_Employee_Attrition[[#This Row],[Age]]&gt;60,"60+",IF(HR_Employee_Attrition[[#This Row],[Age]]&gt;=50,"50-59",IF(HR_Employee_Attrition[[#This Row],[Age]]&gt;=40,"40-49",IF(HR_Employee_Attrition[[#This Row],[Age]]&gt;=30,"30-39",IF(HR_Employee_Attrition[[#This Row],[Age]]&gt;=20,"20-29",IF(HR_Employee_Attrition[[#This Row],[Age]]&gt;=18,"18-20"))))))</f>
        <v>30-39</v>
      </c>
      <c r="AK86" t="str" cm="1">
        <f t="array" ref="AK86">_xlfn.IFS(HR_Employee_Attrition[[#This Row],[YearsAtCompany]]&lt;=2,"0-2",HR_Employee_Attrition[[#This Row],[YearsAtCompany]]&lt;=5,"3-5",HR_Employee_Attrition[[#This Row],[YearsAtCompany]]&lt;=10,"6-10",HR_Employee_Attrition[[#This Row],[YearsAtCompany]]&gt;10,"10+")</f>
        <v>3-5</v>
      </c>
      <c r="AL86" t="str" cm="1">
        <f t="array" ref="AL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
        <f>IF(HR_Employee_Attrition[[#This Row],[Attrition]]="Yes",1,0)</f>
        <v>0</v>
      </c>
    </row>
    <row r="87" spans="1:39" x14ac:dyDescent="0.3">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c r="AJ87" t="str">
        <f>IF(HR_Employee_Attrition[[#This Row],[Age]]&gt;60,"60+",IF(HR_Employee_Attrition[[#This Row],[Age]]&gt;=50,"50-59",IF(HR_Employee_Attrition[[#This Row],[Age]]&gt;=40,"40-49",IF(HR_Employee_Attrition[[#This Row],[Age]]&gt;=30,"30-39",IF(HR_Employee_Attrition[[#This Row],[Age]]&gt;=20,"20-29",IF(HR_Employee_Attrition[[#This Row],[Age]]&gt;=18,"18-20"))))))</f>
        <v>50-59</v>
      </c>
      <c r="AK87" t="str" cm="1">
        <f t="array" ref="AK87">_xlfn.IFS(HR_Employee_Attrition[[#This Row],[YearsAtCompany]]&lt;=2,"0-2",HR_Employee_Attrition[[#This Row],[YearsAtCompany]]&lt;=5,"3-5",HR_Employee_Attrition[[#This Row],[YearsAtCompany]]&lt;=10,"6-10",HR_Employee_Attrition[[#This Row],[YearsAtCompany]]&gt;10,"10+")</f>
        <v>6-10</v>
      </c>
      <c r="AL87" t="str" cm="1">
        <f t="array" ref="AL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7">
        <f>IF(HR_Employee_Attrition[[#This Row],[Attrition]]="Yes",1,0)</f>
        <v>0</v>
      </c>
    </row>
    <row r="88" spans="1:39" x14ac:dyDescent="0.3">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c r="AJ88" t="str">
        <f>IF(HR_Employee_Attrition[[#This Row],[Age]]&gt;60,"60+",IF(HR_Employee_Attrition[[#This Row],[Age]]&gt;=50,"50-59",IF(HR_Employee_Attrition[[#This Row],[Age]]&gt;=40,"40-49",IF(HR_Employee_Attrition[[#This Row],[Age]]&gt;=30,"30-39",IF(HR_Employee_Attrition[[#This Row],[Age]]&gt;=20,"20-29",IF(HR_Employee_Attrition[[#This Row],[Age]]&gt;=18,"18-20"))))))</f>
        <v>20-29</v>
      </c>
      <c r="AK88" t="str" cm="1">
        <f t="array" ref="AK88">_xlfn.IFS(HR_Employee_Attrition[[#This Row],[YearsAtCompany]]&lt;=2,"0-2",HR_Employee_Attrition[[#This Row],[YearsAtCompany]]&lt;=5,"3-5",HR_Employee_Attrition[[#This Row],[YearsAtCompany]]&lt;=10,"6-10",HR_Employee_Attrition[[#This Row],[YearsAtCompany]]&gt;10,"10+")</f>
        <v>0-2</v>
      </c>
      <c r="AL88" t="str" cm="1">
        <f t="array" ref="AL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8">
        <f>IF(HR_Employee_Attrition[[#This Row],[Attrition]]="Yes",1,0)</f>
        <v>0</v>
      </c>
    </row>
    <row r="89" spans="1:39" x14ac:dyDescent="0.3">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c r="AJ89" t="str">
        <f>IF(HR_Employee_Attrition[[#This Row],[Age]]&gt;60,"60+",IF(HR_Employee_Attrition[[#This Row],[Age]]&gt;=50,"50-59",IF(HR_Employee_Attrition[[#This Row],[Age]]&gt;=40,"40-49",IF(HR_Employee_Attrition[[#This Row],[Age]]&gt;=30,"30-39",IF(HR_Employee_Attrition[[#This Row],[Age]]&gt;=20,"20-29",IF(HR_Employee_Attrition[[#This Row],[Age]]&gt;=18,"18-20"))))))</f>
        <v>50-59</v>
      </c>
      <c r="AK89" t="str" cm="1">
        <f t="array" ref="AK89">_xlfn.IFS(HR_Employee_Attrition[[#This Row],[YearsAtCompany]]&lt;=2,"0-2",HR_Employee_Attrition[[#This Row],[YearsAtCompany]]&lt;=5,"3-5",HR_Employee_Attrition[[#This Row],[YearsAtCompany]]&lt;=10,"6-10",HR_Employee_Attrition[[#This Row],[YearsAtCompany]]&gt;10,"10+")</f>
        <v>3-5</v>
      </c>
      <c r="AL89" t="str" cm="1">
        <f t="array" ref="AL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9">
        <f>IF(HR_Employee_Attrition[[#This Row],[Attrition]]="Yes",1,0)</f>
        <v>0</v>
      </c>
    </row>
    <row r="90" spans="1:39" x14ac:dyDescent="0.3">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c r="AJ90" t="str">
        <f>IF(HR_Employee_Attrition[[#This Row],[Age]]&gt;60,"60+",IF(HR_Employee_Attrition[[#This Row],[Age]]&gt;=50,"50-59",IF(HR_Employee_Attrition[[#This Row],[Age]]&gt;=40,"40-49",IF(HR_Employee_Attrition[[#This Row],[Age]]&gt;=30,"30-39",IF(HR_Employee_Attrition[[#This Row],[Age]]&gt;=20,"20-29",IF(HR_Employee_Attrition[[#This Row],[Age]]&gt;=18,"18-20"))))))</f>
        <v>30-39</v>
      </c>
      <c r="AK90" t="str" cm="1">
        <f t="array" ref="AK90">_xlfn.IFS(HR_Employee_Attrition[[#This Row],[YearsAtCompany]]&lt;=2,"0-2",HR_Employee_Attrition[[#This Row],[YearsAtCompany]]&lt;=5,"3-5",HR_Employee_Attrition[[#This Row],[YearsAtCompany]]&lt;=10,"6-10",HR_Employee_Attrition[[#This Row],[YearsAtCompany]]&gt;10,"10+")</f>
        <v>10+</v>
      </c>
      <c r="AL90" t="str" cm="1">
        <f t="array" ref="AL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0">
        <f>IF(HR_Employee_Attrition[[#This Row],[Attrition]]="Yes",1,0)</f>
        <v>0</v>
      </c>
    </row>
    <row r="91" spans="1:39" x14ac:dyDescent="0.3">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c r="AJ91" t="str">
        <f>IF(HR_Employee_Attrition[[#This Row],[Age]]&gt;60,"60+",IF(HR_Employee_Attrition[[#This Row],[Age]]&gt;=50,"50-59",IF(HR_Employee_Attrition[[#This Row],[Age]]&gt;=40,"40-49",IF(HR_Employee_Attrition[[#This Row],[Age]]&gt;=30,"30-39",IF(HR_Employee_Attrition[[#This Row],[Age]]&gt;=20,"20-29",IF(HR_Employee_Attrition[[#This Row],[Age]]&gt;=18,"18-20"))))))</f>
        <v>40-49</v>
      </c>
      <c r="AK91" t="str" cm="1">
        <f t="array" ref="AK91">_xlfn.IFS(HR_Employee_Attrition[[#This Row],[YearsAtCompany]]&lt;=2,"0-2",HR_Employee_Attrition[[#This Row],[YearsAtCompany]]&lt;=5,"3-5",HR_Employee_Attrition[[#This Row],[YearsAtCompany]]&lt;=10,"6-10",HR_Employee_Attrition[[#This Row],[YearsAtCompany]]&gt;10,"10+")</f>
        <v>6-10</v>
      </c>
      <c r="AL91" t="str" cm="1">
        <f t="array" ref="AL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1">
        <f>IF(HR_Employee_Attrition[[#This Row],[Attrition]]="Yes",1,0)</f>
        <v>1</v>
      </c>
    </row>
    <row r="92" spans="1:39" x14ac:dyDescent="0.3">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c r="AJ92" t="str">
        <f>IF(HR_Employee_Attrition[[#This Row],[Age]]&gt;60,"60+",IF(HR_Employee_Attrition[[#This Row],[Age]]&gt;=50,"50-59",IF(HR_Employee_Attrition[[#This Row],[Age]]&gt;=40,"40-49",IF(HR_Employee_Attrition[[#This Row],[Age]]&gt;=30,"30-39",IF(HR_Employee_Attrition[[#This Row],[Age]]&gt;=20,"20-29",IF(HR_Employee_Attrition[[#This Row],[Age]]&gt;=18,"18-20"))))))</f>
        <v>40-49</v>
      </c>
      <c r="AK92" t="str" cm="1">
        <f t="array" ref="AK92">_xlfn.IFS(HR_Employee_Attrition[[#This Row],[YearsAtCompany]]&lt;=2,"0-2",HR_Employee_Attrition[[#This Row],[YearsAtCompany]]&lt;=5,"3-5",HR_Employee_Attrition[[#This Row],[YearsAtCompany]]&lt;=10,"6-10",HR_Employee_Attrition[[#This Row],[YearsAtCompany]]&gt;10,"10+")</f>
        <v>10+</v>
      </c>
      <c r="AL92" t="str" cm="1">
        <f t="array" ref="AL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2">
        <f>IF(HR_Employee_Attrition[[#This Row],[Attrition]]="Yes",1,0)</f>
        <v>0</v>
      </c>
    </row>
    <row r="93" spans="1:39" x14ac:dyDescent="0.3">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c r="AJ93" t="str">
        <f>IF(HR_Employee_Attrition[[#This Row],[Age]]&gt;60,"60+",IF(HR_Employee_Attrition[[#This Row],[Age]]&gt;=50,"50-59",IF(HR_Employee_Attrition[[#This Row],[Age]]&gt;=40,"40-49",IF(HR_Employee_Attrition[[#This Row],[Age]]&gt;=30,"30-39",IF(HR_Employee_Attrition[[#This Row],[Age]]&gt;=20,"20-29",IF(HR_Employee_Attrition[[#This Row],[Age]]&gt;=18,"18-20"))))))</f>
        <v>50-59</v>
      </c>
      <c r="AK93" t="str" cm="1">
        <f t="array" ref="AK93">_xlfn.IFS(HR_Employee_Attrition[[#This Row],[YearsAtCompany]]&lt;=2,"0-2",HR_Employee_Attrition[[#This Row],[YearsAtCompany]]&lt;=5,"3-5",HR_Employee_Attrition[[#This Row],[YearsAtCompany]]&lt;=10,"6-10",HR_Employee_Attrition[[#This Row],[YearsAtCompany]]&gt;10,"10+")</f>
        <v>6-10</v>
      </c>
      <c r="AL93" t="str" cm="1">
        <f t="array" ref="AL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3">
        <f>IF(HR_Employee_Attrition[[#This Row],[Attrition]]="Yes",1,0)</f>
        <v>0</v>
      </c>
    </row>
    <row r="94" spans="1:39" x14ac:dyDescent="0.3">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c r="AJ94" t="str">
        <f>IF(HR_Employee_Attrition[[#This Row],[Age]]&gt;60,"60+",IF(HR_Employee_Attrition[[#This Row],[Age]]&gt;=50,"50-59",IF(HR_Employee_Attrition[[#This Row],[Age]]&gt;=40,"40-49",IF(HR_Employee_Attrition[[#This Row],[Age]]&gt;=30,"30-39",IF(HR_Employee_Attrition[[#This Row],[Age]]&gt;=20,"20-29",IF(HR_Employee_Attrition[[#This Row],[Age]]&gt;=18,"18-20"))))))</f>
        <v>30-39</v>
      </c>
      <c r="AK94" t="str" cm="1">
        <f t="array" ref="AK94">_xlfn.IFS(HR_Employee_Attrition[[#This Row],[YearsAtCompany]]&lt;=2,"0-2",HR_Employee_Attrition[[#This Row],[YearsAtCompany]]&lt;=5,"3-5",HR_Employee_Attrition[[#This Row],[YearsAtCompany]]&lt;=10,"6-10",HR_Employee_Attrition[[#This Row],[YearsAtCompany]]&gt;10,"10+")</f>
        <v>10+</v>
      </c>
      <c r="AL94" t="str" cm="1">
        <f t="array" ref="AL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4">
        <f>IF(HR_Employee_Attrition[[#This Row],[Attrition]]="Yes",1,0)</f>
        <v>0</v>
      </c>
    </row>
    <row r="95" spans="1:39" x14ac:dyDescent="0.3">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c r="AJ95" t="str">
        <f>IF(HR_Employee_Attrition[[#This Row],[Age]]&gt;60,"60+",IF(HR_Employee_Attrition[[#This Row],[Age]]&gt;=50,"50-59",IF(HR_Employee_Attrition[[#This Row],[Age]]&gt;=40,"40-49",IF(HR_Employee_Attrition[[#This Row],[Age]]&gt;=30,"30-39",IF(HR_Employee_Attrition[[#This Row],[Age]]&gt;=20,"20-29",IF(HR_Employee_Attrition[[#This Row],[Age]]&gt;=18,"18-20"))))))</f>
        <v>40-49</v>
      </c>
      <c r="AK95" t="str" cm="1">
        <f t="array" ref="AK95">_xlfn.IFS(HR_Employee_Attrition[[#This Row],[YearsAtCompany]]&lt;=2,"0-2",HR_Employee_Attrition[[#This Row],[YearsAtCompany]]&lt;=5,"3-5",HR_Employee_Attrition[[#This Row],[YearsAtCompany]]&lt;=10,"6-10",HR_Employee_Attrition[[#This Row],[YearsAtCompany]]&gt;10,"10+")</f>
        <v>6-10</v>
      </c>
      <c r="AL95" t="str" cm="1">
        <f t="array" ref="AL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5">
        <f>IF(HR_Employee_Attrition[[#This Row],[Attrition]]="Yes",1,0)</f>
        <v>0</v>
      </c>
    </row>
    <row r="96" spans="1:39" x14ac:dyDescent="0.3">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c r="AJ96" t="str">
        <f>IF(HR_Employee_Attrition[[#This Row],[Age]]&gt;60,"60+",IF(HR_Employee_Attrition[[#This Row],[Age]]&gt;=50,"50-59",IF(HR_Employee_Attrition[[#This Row],[Age]]&gt;=40,"40-49",IF(HR_Employee_Attrition[[#This Row],[Age]]&gt;=30,"30-39",IF(HR_Employee_Attrition[[#This Row],[Age]]&gt;=20,"20-29",IF(HR_Employee_Attrition[[#This Row],[Age]]&gt;=18,"18-20"))))))</f>
        <v>30-39</v>
      </c>
      <c r="AK96" t="str" cm="1">
        <f t="array" ref="AK96">_xlfn.IFS(HR_Employee_Attrition[[#This Row],[YearsAtCompany]]&lt;=2,"0-2",HR_Employee_Attrition[[#This Row],[YearsAtCompany]]&lt;=5,"3-5",HR_Employee_Attrition[[#This Row],[YearsAtCompany]]&lt;=10,"6-10",HR_Employee_Attrition[[#This Row],[YearsAtCompany]]&gt;10,"10+")</f>
        <v>10+</v>
      </c>
      <c r="AL96" t="str" cm="1">
        <f t="array" ref="AL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6">
        <f>IF(HR_Employee_Attrition[[#This Row],[Attrition]]="Yes",1,0)</f>
        <v>0</v>
      </c>
    </row>
    <row r="97" spans="1:39" x14ac:dyDescent="0.3">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c r="AJ97" t="str">
        <f>IF(HR_Employee_Attrition[[#This Row],[Age]]&gt;60,"60+",IF(HR_Employee_Attrition[[#This Row],[Age]]&gt;=50,"50-59",IF(HR_Employee_Attrition[[#This Row],[Age]]&gt;=40,"40-49",IF(HR_Employee_Attrition[[#This Row],[Age]]&gt;=30,"30-39",IF(HR_Employee_Attrition[[#This Row],[Age]]&gt;=20,"20-29",IF(HR_Employee_Attrition[[#This Row],[Age]]&gt;=18,"18-20"))))))</f>
        <v>50-59</v>
      </c>
      <c r="AK97" t="str" cm="1">
        <f t="array" ref="AK97">_xlfn.IFS(HR_Employee_Attrition[[#This Row],[YearsAtCompany]]&lt;=2,"0-2",HR_Employee_Attrition[[#This Row],[YearsAtCompany]]&lt;=5,"3-5",HR_Employee_Attrition[[#This Row],[YearsAtCompany]]&lt;=10,"6-10",HR_Employee_Attrition[[#This Row],[YearsAtCompany]]&gt;10,"10+")</f>
        <v>3-5</v>
      </c>
      <c r="AL97" t="str" cm="1">
        <f t="array" ref="AL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7">
        <f>IF(HR_Employee_Attrition[[#This Row],[Attrition]]="Yes",1,0)</f>
        <v>0</v>
      </c>
    </row>
    <row r="98" spans="1:39" x14ac:dyDescent="0.3">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c r="AJ98" t="str">
        <f>IF(HR_Employee_Attrition[[#This Row],[Age]]&gt;60,"60+",IF(HR_Employee_Attrition[[#This Row],[Age]]&gt;=50,"50-59",IF(HR_Employee_Attrition[[#This Row],[Age]]&gt;=40,"40-49",IF(HR_Employee_Attrition[[#This Row],[Age]]&gt;=30,"30-39",IF(HR_Employee_Attrition[[#This Row],[Age]]&gt;=20,"20-29",IF(HR_Employee_Attrition[[#This Row],[Age]]&gt;=18,"18-20"))))))</f>
        <v>20-29</v>
      </c>
      <c r="AK98" t="str" cm="1">
        <f t="array" ref="AK98">_xlfn.IFS(HR_Employee_Attrition[[#This Row],[YearsAtCompany]]&lt;=2,"0-2",HR_Employee_Attrition[[#This Row],[YearsAtCompany]]&lt;=5,"3-5",HR_Employee_Attrition[[#This Row],[YearsAtCompany]]&lt;=10,"6-10",HR_Employee_Attrition[[#This Row],[YearsAtCompany]]&gt;10,"10+")</f>
        <v>3-5</v>
      </c>
      <c r="AL98" t="str" cm="1">
        <f t="array" ref="AL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8">
        <f>IF(HR_Employee_Attrition[[#This Row],[Attrition]]="Yes",1,0)</f>
        <v>0</v>
      </c>
    </row>
    <row r="99" spans="1:39" x14ac:dyDescent="0.3">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c r="AJ99" t="str">
        <f>IF(HR_Employee_Attrition[[#This Row],[Age]]&gt;60,"60+",IF(HR_Employee_Attrition[[#This Row],[Age]]&gt;=50,"50-59",IF(HR_Employee_Attrition[[#This Row],[Age]]&gt;=40,"40-49",IF(HR_Employee_Attrition[[#This Row],[Age]]&gt;=30,"30-39",IF(HR_Employee_Attrition[[#This Row],[Age]]&gt;=20,"20-29",IF(HR_Employee_Attrition[[#This Row],[Age]]&gt;=18,"18-20"))))))</f>
        <v>20-29</v>
      </c>
      <c r="AK99" t="str" cm="1">
        <f t="array" ref="AK99">_xlfn.IFS(HR_Employee_Attrition[[#This Row],[YearsAtCompany]]&lt;=2,"0-2",HR_Employee_Attrition[[#This Row],[YearsAtCompany]]&lt;=5,"3-5",HR_Employee_Attrition[[#This Row],[YearsAtCompany]]&lt;=10,"6-10",HR_Employee_Attrition[[#This Row],[YearsAtCompany]]&gt;10,"10+")</f>
        <v>3-5</v>
      </c>
      <c r="AL99" t="str" cm="1">
        <f t="array" ref="AL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9">
        <f>IF(HR_Employee_Attrition[[#This Row],[Attrition]]="Yes",1,0)</f>
        <v>0</v>
      </c>
    </row>
    <row r="100" spans="1:39" x14ac:dyDescent="0.3">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c r="AJ100" t="str">
        <f>IF(HR_Employee_Attrition[[#This Row],[Age]]&gt;60,"60+",IF(HR_Employee_Attrition[[#This Row],[Age]]&gt;=50,"50-59",IF(HR_Employee_Attrition[[#This Row],[Age]]&gt;=40,"40-49",IF(HR_Employee_Attrition[[#This Row],[Age]]&gt;=30,"30-39",IF(HR_Employee_Attrition[[#This Row],[Age]]&gt;=20,"20-29",IF(HR_Employee_Attrition[[#This Row],[Age]]&gt;=18,"18-20"))))))</f>
        <v>50-59</v>
      </c>
      <c r="AK100" t="str" cm="1">
        <f t="array" ref="AK100">_xlfn.IFS(HR_Employee_Attrition[[#This Row],[YearsAtCompany]]&lt;=2,"0-2",HR_Employee_Attrition[[#This Row],[YearsAtCompany]]&lt;=5,"3-5",HR_Employee_Attrition[[#This Row],[YearsAtCompany]]&lt;=10,"6-10",HR_Employee_Attrition[[#This Row],[YearsAtCompany]]&gt;10,"10+")</f>
        <v>10+</v>
      </c>
      <c r="AL100" t="str" cm="1">
        <f t="array" ref="AL1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0">
        <f>IF(HR_Employee_Attrition[[#This Row],[Attrition]]="Yes",1,0)</f>
        <v>0</v>
      </c>
    </row>
    <row r="101" spans="1:39" x14ac:dyDescent="0.3">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c r="AJ101" t="str">
        <f>IF(HR_Employee_Attrition[[#This Row],[Age]]&gt;60,"60+",IF(HR_Employee_Attrition[[#This Row],[Age]]&gt;=50,"50-59",IF(HR_Employee_Attrition[[#This Row],[Age]]&gt;=40,"40-49",IF(HR_Employee_Attrition[[#This Row],[Age]]&gt;=30,"30-39",IF(HR_Employee_Attrition[[#This Row],[Age]]&gt;=20,"20-29",IF(HR_Employee_Attrition[[#This Row],[Age]]&gt;=18,"18-20"))))))</f>
        <v>40-49</v>
      </c>
      <c r="AK101" t="str" cm="1">
        <f t="array" ref="AK101">_xlfn.IFS(HR_Employee_Attrition[[#This Row],[YearsAtCompany]]&lt;=2,"0-2",HR_Employee_Attrition[[#This Row],[YearsAtCompany]]&lt;=5,"3-5",HR_Employee_Attrition[[#This Row],[YearsAtCompany]]&lt;=10,"6-10",HR_Employee_Attrition[[#This Row],[YearsAtCompany]]&gt;10,"10+")</f>
        <v>3-5</v>
      </c>
      <c r="AL101" t="str" cm="1">
        <f t="array" ref="AL1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1">
        <f>IF(HR_Employee_Attrition[[#This Row],[Attrition]]="Yes",1,0)</f>
        <v>0</v>
      </c>
    </row>
    <row r="102" spans="1:39" x14ac:dyDescent="0.3">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c r="AJ102" t="str">
        <f>IF(HR_Employee_Attrition[[#This Row],[Age]]&gt;60,"60+",IF(HR_Employee_Attrition[[#This Row],[Age]]&gt;=50,"50-59",IF(HR_Employee_Attrition[[#This Row],[Age]]&gt;=40,"40-49",IF(HR_Employee_Attrition[[#This Row],[Age]]&gt;=30,"30-39",IF(HR_Employee_Attrition[[#This Row],[Age]]&gt;=20,"20-29",IF(HR_Employee_Attrition[[#This Row],[Age]]&gt;=18,"18-20"))))))</f>
        <v>30-39</v>
      </c>
      <c r="AK102" t="str" cm="1">
        <f t="array" ref="AK102">_xlfn.IFS(HR_Employee_Attrition[[#This Row],[YearsAtCompany]]&lt;=2,"0-2",HR_Employee_Attrition[[#This Row],[YearsAtCompany]]&lt;=5,"3-5",HR_Employee_Attrition[[#This Row],[YearsAtCompany]]&lt;=10,"6-10",HR_Employee_Attrition[[#This Row],[YearsAtCompany]]&gt;10,"10+")</f>
        <v>3-5</v>
      </c>
      <c r="AL102" t="str" cm="1">
        <f t="array" ref="AL1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2">
        <f>IF(HR_Employee_Attrition[[#This Row],[Attrition]]="Yes",1,0)</f>
        <v>1</v>
      </c>
    </row>
    <row r="103" spans="1:39" x14ac:dyDescent="0.3">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c r="AJ103" t="str">
        <f>IF(HR_Employee_Attrition[[#This Row],[Age]]&gt;60,"60+",IF(HR_Employee_Attrition[[#This Row],[Age]]&gt;=50,"50-59",IF(HR_Employee_Attrition[[#This Row],[Age]]&gt;=40,"40-49",IF(HR_Employee_Attrition[[#This Row],[Age]]&gt;=30,"30-39",IF(HR_Employee_Attrition[[#This Row],[Age]]&gt;=20,"20-29",IF(HR_Employee_Attrition[[#This Row],[Age]]&gt;=18,"18-20"))))))</f>
        <v>30-39</v>
      </c>
      <c r="AK103" t="str" cm="1">
        <f t="array" ref="AK103">_xlfn.IFS(HR_Employee_Attrition[[#This Row],[YearsAtCompany]]&lt;=2,"0-2",HR_Employee_Attrition[[#This Row],[YearsAtCompany]]&lt;=5,"3-5",HR_Employee_Attrition[[#This Row],[YearsAtCompany]]&lt;=10,"6-10",HR_Employee_Attrition[[#This Row],[YearsAtCompany]]&gt;10,"10+")</f>
        <v>0-2</v>
      </c>
      <c r="AL103" t="str" cm="1">
        <f t="array" ref="AL1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3">
        <f>IF(HR_Employee_Attrition[[#This Row],[Attrition]]="Yes",1,0)</f>
        <v>0</v>
      </c>
    </row>
    <row r="104" spans="1:39" x14ac:dyDescent="0.3">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c r="AJ104" t="str">
        <f>IF(HR_Employee_Attrition[[#This Row],[Age]]&gt;60,"60+",IF(HR_Employee_Attrition[[#This Row],[Age]]&gt;=50,"50-59",IF(HR_Employee_Attrition[[#This Row],[Age]]&gt;=40,"40-49",IF(HR_Employee_Attrition[[#This Row],[Age]]&gt;=30,"30-39",IF(HR_Employee_Attrition[[#This Row],[Age]]&gt;=20,"20-29",IF(HR_Employee_Attrition[[#This Row],[Age]]&gt;=18,"18-20"))))))</f>
        <v>20-29</v>
      </c>
      <c r="AK104" t="str" cm="1">
        <f t="array" ref="AK104">_xlfn.IFS(HR_Employee_Attrition[[#This Row],[YearsAtCompany]]&lt;=2,"0-2",HR_Employee_Attrition[[#This Row],[YearsAtCompany]]&lt;=5,"3-5",HR_Employee_Attrition[[#This Row],[YearsAtCompany]]&lt;=10,"6-10",HR_Employee_Attrition[[#This Row],[YearsAtCompany]]&gt;10,"10+")</f>
        <v>0-2</v>
      </c>
      <c r="AL104" t="str" cm="1">
        <f t="array" ref="AL1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4">
        <f>IF(HR_Employee_Attrition[[#This Row],[Attrition]]="Yes",1,0)</f>
        <v>1</v>
      </c>
    </row>
    <row r="105" spans="1:39" x14ac:dyDescent="0.3">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c r="AJ105" t="str">
        <f>IF(HR_Employee_Attrition[[#This Row],[Age]]&gt;60,"60+",IF(HR_Employee_Attrition[[#This Row],[Age]]&gt;=50,"50-59",IF(HR_Employee_Attrition[[#This Row],[Age]]&gt;=40,"40-49",IF(HR_Employee_Attrition[[#This Row],[Age]]&gt;=30,"30-39",IF(HR_Employee_Attrition[[#This Row],[Age]]&gt;=20,"20-29",IF(HR_Employee_Attrition[[#This Row],[Age]]&gt;=18,"18-20"))))))</f>
        <v>30-39</v>
      </c>
      <c r="AK105" t="str" cm="1">
        <f t="array" ref="AK105">_xlfn.IFS(HR_Employee_Attrition[[#This Row],[YearsAtCompany]]&lt;=2,"0-2",HR_Employee_Attrition[[#This Row],[YearsAtCompany]]&lt;=5,"3-5",HR_Employee_Attrition[[#This Row],[YearsAtCompany]]&lt;=10,"6-10",HR_Employee_Attrition[[#This Row],[YearsAtCompany]]&gt;10,"10+")</f>
        <v>10+</v>
      </c>
      <c r="AL105" t="str" cm="1">
        <f t="array" ref="AL1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5">
        <f>IF(HR_Employee_Attrition[[#This Row],[Attrition]]="Yes",1,0)</f>
        <v>0</v>
      </c>
    </row>
    <row r="106" spans="1:39" x14ac:dyDescent="0.3">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c r="AJ106" t="str">
        <f>IF(HR_Employee_Attrition[[#This Row],[Age]]&gt;60,"60+",IF(HR_Employee_Attrition[[#This Row],[Age]]&gt;=50,"50-59",IF(HR_Employee_Attrition[[#This Row],[Age]]&gt;=40,"40-49",IF(HR_Employee_Attrition[[#This Row],[Age]]&gt;=30,"30-39",IF(HR_Employee_Attrition[[#This Row],[Age]]&gt;=20,"20-29",IF(HR_Employee_Attrition[[#This Row],[Age]]&gt;=18,"18-20"))))))</f>
        <v>30-39</v>
      </c>
      <c r="AK106" t="str" cm="1">
        <f t="array" ref="AK106">_xlfn.IFS(HR_Employee_Attrition[[#This Row],[YearsAtCompany]]&lt;=2,"0-2",HR_Employee_Attrition[[#This Row],[YearsAtCompany]]&lt;=5,"3-5",HR_Employee_Attrition[[#This Row],[YearsAtCompany]]&lt;=10,"6-10",HR_Employee_Attrition[[#This Row],[YearsAtCompany]]&gt;10,"10+")</f>
        <v>0-2</v>
      </c>
      <c r="AL106" t="str" cm="1">
        <f t="array" ref="AL1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6">
        <f>IF(HR_Employee_Attrition[[#This Row],[Attrition]]="Yes",1,0)</f>
        <v>0</v>
      </c>
    </row>
    <row r="107" spans="1:39" x14ac:dyDescent="0.3">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c r="AJ107" t="str">
        <f>IF(HR_Employee_Attrition[[#This Row],[Age]]&gt;60,"60+",IF(HR_Employee_Attrition[[#This Row],[Age]]&gt;=50,"50-59",IF(HR_Employee_Attrition[[#This Row],[Age]]&gt;=40,"40-49",IF(HR_Employee_Attrition[[#This Row],[Age]]&gt;=30,"30-39",IF(HR_Employee_Attrition[[#This Row],[Age]]&gt;=20,"20-29",IF(HR_Employee_Attrition[[#This Row],[Age]]&gt;=18,"18-20"))))))</f>
        <v>50-59</v>
      </c>
      <c r="AK107" t="str" cm="1">
        <f t="array" ref="AK107">_xlfn.IFS(HR_Employee_Attrition[[#This Row],[YearsAtCompany]]&lt;=2,"0-2",HR_Employee_Attrition[[#This Row],[YearsAtCompany]]&lt;=5,"3-5",HR_Employee_Attrition[[#This Row],[YearsAtCompany]]&lt;=10,"6-10",HR_Employee_Attrition[[#This Row],[YearsAtCompany]]&gt;10,"10+")</f>
        <v>3-5</v>
      </c>
      <c r="AL107" t="str" cm="1">
        <f t="array" ref="AL1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7">
        <f>IF(HR_Employee_Attrition[[#This Row],[Attrition]]="Yes",1,0)</f>
        <v>0</v>
      </c>
    </row>
    <row r="108" spans="1:39" x14ac:dyDescent="0.3">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c r="AJ108" t="str">
        <f>IF(HR_Employee_Attrition[[#This Row],[Age]]&gt;60,"60+",IF(HR_Employee_Attrition[[#This Row],[Age]]&gt;=50,"50-59",IF(HR_Employee_Attrition[[#This Row],[Age]]&gt;=40,"40-49",IF(HR_Employee_Attrition[[#This Row],[Age]]&gt;=30,"30-39",IF(HR_Employee_Attrition[[#This Row],[Age]]&gt;=20,"20-29",IF(HR_Employee_Attrition[[#This Row],[Age]]&gt;=18,"18-20"))))))</f>
        <v>50-59</v>
      </c>
      <c r="AK108" t="str" cm="1">
        <f t="array" ref="AK108">_xlfn.IFS(HR_Employee_Attrition[[#This Row],[YearsAtCompany]]&lt;=2,"0-2",HR_Employee_Attrition[[#This Row],[YearsAtCompany]]&lt;=5,"3-5",HR_Employee_Attrition[[#This Row],[YearsAtCompany]]&lt;=10,"6-10",HR_Employee_Attrition[[#This Row],[YearsAtCompany]]&gt;10,"10+")</f>
        <v>6-10</v>
      </c>
      <c r="AL108" t="str" cm="1">
        <f t="array" ref="AL1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8">
        <f>IF(HR_Employee_Attrition[[#This Row],[Attrition]]="Yes",1,0)</f>
        <v>0</v>
      </c>
    </row>
    <row r="109" spans="1:39" x14ac:dyDescent="0.3">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c r="AJ109" t="str">
        <f>IF(HR_Employee_Attrition[[#This Row],[Age]]&gt;60,"60+",IF(HR_Employee_Attrition[[#This Row],[Age]]&gt;=50,"50-59",IF(HR_Employee_Attrition[[#This Row],[Age]]&gt;=40,"40-49",IF(HR_Employee_Attrition[[#This Row],[Age]]&gt;=30,"30-39",IF(HR_Employee_Attrition[[#This Row],[Age]]&gt;=20,"20-29",IF(HR_Employee_Attrition[[#This Row],[Age]]&gt;=18,"18-20"))))))</f>
        <v>20-29</v>
      </c>
      <c r="AK109" t="str" cm="1">
        <f t="array" ref="AK109">_xlfn.IFS(HR_Employee_Attrition[[#This Row],[YearsAtCompany]]&lt;=2,"0-2",HR_Employee_Attrition[[#This Row],[YearsAtCompany]]&lt;=5,"3-5",HR_Employee_Attrition[[#This Row],[YearsAtCompany]]&lt;=10,"6-10",HR_Employee_Attrition[[#This Row],[YearsAtCompany]]&gt;10,"10+")</f>
        <v>6-10</v>
      </c>
      <c r="AL109" t="str" cm="1">
        <f t="array" ref="AL1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9">
        <f>IF(HR_Employee_Attrition[[#This Row],[Attrition]]="Yes",1,0)</f>
        <v>1</v>
      </c>
    </row>
    <row r="110" spans="1:39" x14ac:dyDescent="0.3">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c r="AJ110" t="str">
        <f>IF(HR_Employee_Attrition[[#This Row],[Age]]&gt;60,"60+",IF(HR_Employee_Attrition[[#This Row],[Age]]&gt;=50,"50-59",IF(HR_Employee_Attrition[[#This Row],[Age]]&gt;=40,"40-49",IF(HR_Employee_Attrition[[#This Row],[Age]]&gt;=30,"30-39",IF(HR_Employee_Attrition[[#This Row],[Age]]&gt;=20,"20-29",IF(HR_Employee_Attrition[[#This Row],[Age]]&gt;=18,"18-20"))))))</f>
        <v>20-29</v>
      </c>
      <c r="AK110" t="str" cm="1">
        <f t="array" ref="AK110">_xlfn.IFS(HR_Employee_Attrition[[#This Row],[YearsAtCompany]]&lt;=2,"0-2",HR_Employee_Attrition[[#This Row],[YearsAtCompany]]&lt;=5,"3-5",HR_Employee_Attrition[[#This Row],[YearsAtCompany]]&lt;=10,"6-10",HR_Employee_Attrition[[#This Row],[YearsAtCompany]]&gt;10,"10+")</f>
        <v>0-2</v>
      </c>
      <c r="AL110" t="str" cm="1">
        <f t="array" ref="AL1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0">
        <f>IF(HR_Employee_Attrition[[#This Row],[Attrition]]="Yes",1,0)</f>
        <v>0</v>
      </c>
    </row>
    <row r="111" spans="1:39" x14ac:dyDescent="0.3">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c r="AJ111" t="str">
        <f>IF(HR_Employee_Attrition[[#This Row],[Age]]&gt;60,"60+",IF(HR_Employee_Attrition[[#This Row],[Age]]&gt;=50,"50-59",IF(HR_Employee_Attrition[[#This Row],[Age]]&gt;=40,"40-49",IF(HR_Employee_Attrition[[#This Row],[Age]]&gt;=30,"30-39",IF(HR_Employee_Attrition[[#This Row],[Age]]&gt;=20,"20-29",IF(HR_Employee_Attrition[[#This Row],[Age]]&gt;=18,"18-20"))))))</f>
        <v>20-29</v>
      </c>
      <c r="AK111" t="str" cm="1">
        <f t="array" ref="AK111">_xlfn.IFS(HR_Employee_Attrition[[#This Row],[YearsAtCompany]]&lt;=2,"0-2",HR_Employee_Attrition[[#This Row],[YearsAtCompany]]&lt;=5,"3-5",HR_Employee_Attrition[[#This Row],[YearsAtCompany]]&lt;=10,"6-10",HR_Employee_Attrition[[#This Row],[YearsAtCompany]]&gt;10,"10+")</f>
        <v>0-2</v>
      </c>
      <c r="AL111" t="str" cm="1">
        <f t="array" ref="AL1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1">
        <f>IF(HR_Employee_Attrition[[#This Row],[Attrition]]="Yes",1,0)</f>
        <v>0</v>
      </c>
    </row>
    <row r="112" spans="1:39" x14ac:dyDescent="0.3">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c r="AJ112" t="str">
        <f>IF(HR_Employee_Attrition[[#This Row],[Age]]&gt;60,"60+",IF(HR_Employee_Attrition[[#This Row],[Age]]&gt;=50,"50-59",IF(HR_Employee_Attrition[[#This Row],[Age]]&gt;=40,"40-49",IF(HR_Employee_Attrition[[#This Row],[Age]]&gt;=30,"30-39",IF(HR_Employee_Attrition[[#This Row],[Age]]&gt;=20,"20-29",IF(HR_Employee_Attrition[[#This Row],[Age]]&gt;=18,"18-20"))))))</f>
        <v>50-59</v>
      </c>
      <c r="AK112" t="str" cm="1">
        <f t="array" ref="AK112">_xlfn.IFS(HR_Employee_Attrition[[#This Row],[YearsAtCompany]]&lt;=2,"0-2",HR_Employee_Attrition[[#This Row],[YearsAtCompany]]&lt;=5,"3-5",HR_Employee_Attrition[[#This Row],[YearsAtCompany]]&lt;=10,"6-10",HR_Employee_Attrition[[#This Row],[YearsAtCompany]]&gt;10,"10+")</f>
        <v>10+</v>
      </c>
      <c r="AL112" t="str" cm="1">
        <f t="array" ref="AL1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2">
        <f>IF(HR_Employee_Attrition[[#This Row],[Attrition]]="Yes",1,0)</f>
        <v>0</v>
      </c>
    </row>
    <row r="113" spans="1:39" x14ac:dyDescent="0.3">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c r="AJ113" t="str">
        <f>IF(HR_Employee_Attrition[[#This Row],[Age]]&gt;60,"60+",IF(HR_Employee_Attrition[[#This Row],[Age]]&gt;=50,"50-59",IF(HR_Employee_Attrition[[#This Row],[Age]]&gt;=40,"40-49",IF(HR_Employee_Attrition[[#This Row],[Age]]&gt;=30,"30-39",IF(HR_Employee_Attrition[[#This Row],[Age]]&gt;=20,"20-29",IF(HR_Employee_Attrition[[#This Row],[Age]]&gt;=18,"18-20"))))))</f>
        <v>30-39</v>
      </c>
      <c r="AK113" t="str" cm="1">
        <f t="array" ref="AK113">_xlfn.IFS(HR_Employee_Attrition[[#This Row],[YearsAtCompany]]&lt;=2,"0-2",HR_Employee_Attrition[[#This Row],[YearsAtCompany]]&lt;=5,"3-5",HR_Employee_Attrition[[#This Row],[YearsAtCompany]]&lt;=10,"6-10",HR_Employee_Attrition[[#This Row],[YearsAtCompany]]&gt;10,"10+")</f>
        <v>6-10</v>
      </c>
      <c r="AL113" t="str" cm="1">
        <f t="array" ref="AL1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3">
        <f>IF(HR_Employee_Attrition[[#This Row],[Attrition]]="Yes",1,0)</f>
        <v>1</v>
      </c>
    </row>
    <row r="114" spans="1:39" x14ac:dyDescent="0.3">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c r="AJ114" t="str">
        <f>IF(HR_Employee_Attrition[[#This Row],[Age]]&gt;60,"60+",IF(HR_Employee_Attrition[[#This Row],[Age]]&gt;=50,"50-59",IF(HR_Employee_Attrition[[#This Row],[Age]]&gt;=40,"40-49",IF(HR_Employee_Attrition[[#This Row],[Age]]&gt;=30,"30-39",IF(HR_Employee_Attrition[[#This Row],[Age]]&gt;=20,"20-29",IF(HR_Employee_Attrition[[#This Row],[Age]]&gt;=18,"18-20"))))))</f>
        <v>50-59</v>
      </c>
      <c r="AK114" t="str" cm="1">
        <f t="array" ref="AK114">_xlfn.IFS(HR_Employee_Attrition[[#This Row],[YearsAtCompany]]&lt;=2,"0-2",HR_Employee_Attrition[[#This Row],[YearsAtCompany]]&lt;=5,"3-5",HR_Employee_Attrition[[#This Row],[YearsAtCompany]]&lt;=10,"6-10",HR_Employee_Attrition[[#This Row],[YearsAtCompany]]&gt;10,"10+")</f>
        <v>3-5</v>
      </c>
      <c r="AL114" t="str" cm="1">
        <f t="array" ref="AL1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4">
        <f>IF(HR_Employee_Attrition[[#This Row],[Attrition]]="Yes",1,0)</f>
        <v>0</v>
      </c>
    </row>
    <row r="115" spans="1:39" x14ac:dyDescent="0.3">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c r="AJ115" t="str">
        <f>IF(HR_Employee_Attrition[[#This Row],[Age]]&gt;60,"60+",IF(HR_Employee_Attrition[[#This Row],[Age]]&gt;=50,"50-59",IF(HR_Employee_Attrition[[#This Row],[Age]]&gt;=40,"40-49",IF(HR_Employee_Attrition[[#This Row],[Age]]&gt;=30,"30-39",IF(HR_Employee_Attrition[[#This Row],[Age]]&gt;=20,"20-29",IF(HR_Employee_Attrition[[#This Row],[Age]]&gt;=18,"18-20"))))))</f>
        <v>20-29</v>
      </c>
      <c r="AK115" t="str" cm="1">
        <f t="array" ref="AK115">_xlfn.IFS(HR_Employee_Attrition[[#This Row],[YearsAtCompany]]&lt;=2,"0-2",HR_Employee_Attrition[[#This Row],[YearsAtCompany]]&lt;=5,"3-5",HR_Employee_Attrition[[#This Row],[YearsAtCompany]]&lt;=10,"6-10",HR_Employee_Attrition[[#This Row],[YearsAtCompany]]&gt;10,"10+")</f>
        <v>3-5</v>
      </c>
      <c r="AL115" t="str" cm="1">
        <f t="array" ref="AL1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5">
        <f>IF(HR_Employee_Attrition[[#This Row],[Attrition]]="Yes",1,0)</f>
        <v>0</v>
      </c>
    </row>
    <row r="116" spans="1:39" x14ac:dyDescent="0.3">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c r="AJ116" t="str">
        <f>IF(HR_Employee_Attrition[[#This Row],[Age]]&gt;60,"60+",IF(HR_Employee_Attrition[[#This Row],[Age]]&gt;=50,"50-59",IF(HR_Employee_Attrition[[#This Row],[Age]]&gt;=40,"40-49",IF(HR_Employee_Attrition[[#This Row],[Age]]&gt;=30,"30-39",IF(HR_Employee_Attrition[[#This Row],[Age]]&gt;=20,"20-29",IF(HR_Employee_Attrition[[#This Row],[Age]]&gt;=18,"18-20"))))))</f>
        <v>30-39</v>
      </c>
      <c r="AK116" t="str" cm="1">
        <f t="array" ref="AK116">_xlfn.IFS(HR_Employee_Attrition[[#This Row],[YearsAtCompany]]&lt;=2,"0-2",HR_Employee_Attrition[[#This Row],[YearsAtCompany]]&lt;=5,"3-5",HR_Employee_Attrition[[#This Row],[YearsAtCompany]]&lt;=10,"6-10",HR_Employee_Attrition[[#This Row],[YearsAtCompany]]&gt;10,"10+")</f>
        <v>0-2</v>
      </c>
      <c r="AL116" t="str" cm="1">
        <f t="array" ref="AL1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6">
        <f>IF(HR_Employee_Attrition[[#This Row],[Attrition]]="Yes",1,0)</f>
        <v>0</v>
      </c>
    </row>
    <row r="117" spans="1:39" x14ac:dyDescent="0.3">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c r="AJ117" t="str">
        <f>IF(HR_Employee_Attrition[[#This Row],[Age]]&gt;60,"60+",IF(HR_Employee_Attrition[[#This Row],[Age]]&gt;=50,"50-59",IF(HR_Employee_Attrition[[#This Row],[Age]]&gt;=40,"40-49",IF(HR_Employee_Attrition[[#This Row],[Age]]&gt;=30,"30-39",IF(HR_Employee_Attrition[[#This Row],[Age]]&gt;=20,"20-29",IF(HR_Employee_Attrition[[#This Row],[Age]]&gt;=18,"18-20"))))))</f>
        <v>30-39</v>
      </c>
      <c r="AK117" t="str" cm="1">
        <f t="array" ref="AK117">_xlfn.IFS(HR_Employee_Attrition[[#This Row],[YearsAtCompany]]&lt;=2,"0-2",HR_Employee_Attrition[[#This Row],[YearsAtCompany]]&lt;=5,"3-5",HR_Employee_Attrition[[#This Row],[YearsAtCompany]]&lt;=10,"6-10",HR_Employee_Attrition[[#This Row],[YearsAtCompany]]&gt;10,"10+")</f>
        <v>3-5</v>
      </c>
      <c r="AL117" t="str" cm="1">
        <f t="array" ref="AL1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7">
        <f>IF(HR_Employee_Attrition[[#This Row],[Attrition]]="Yes",1,0)</f>
        <v>0</v>
      </c>
    </row>
    <row r="118" spans="1:39" x14ac:dyDescent="0.3">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c r="AJ118" t="str">
        <f>IF(HR_Employee_Attrition[[#This Row],[Age]]&gt;60,"60+",IF(HR_Employee_Attrition[[#This Row],[Age]]&gt;=50,"50-59",IF(HR_Employee_Attrition[[#This Row],[Age]]&gt;=40,"40-49",IF(HR_Employee_Attrition[[#This Row],[Age]]&gt;=30,"30-39",IF(HR_Employee_Attrition[[#This Row],[Age]]&gt;=20,"20-29",IF(HR_Employee_Attrition[[#This Row],[Age]]&gt;=18,"18-20"))))))</f>
        <v>30-39</v>
      </c>
      <c r="AK118" t="str" cm="1">
        <f t="array" ref="AK118">_xlfn.IFS(HR_Employee_Attrition[[#This Row],[YearsAtCompany]]&lt;=2,"0-2",HR_Employee_Attrition[[#This Row],[YearsAtCompany]]&lt;=5,"3-5",HR_Employee_Attrition[[#This Row],[YearsAtCompany]]&lt;=10,"6-10",HR_Employee_Attrition[[#This Row],[YearsAtCompany]]&gt;10,"10+")</f>
        <v>10+</v>
      </c>
      <c r="AL118" t="str" cm="1">
        <f t="array" ref="AL1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18">
        <f>IF(HR_Employee_Attrition[[#This Row],[Attrition]]="Yes",1,0)</f>
        <v>0</v>
      </c>
    </row>
    <row r="119" spans="1:39" x14ac:dyDescent="0.3">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c r="AJ119" t="str">
        <f>IF(HR_Employee_Attrition[[#This Row],[Age]]&gt;60,"60+",IF(HR_Employee_Attrition[[#This Row],[Age]]&gt;=50,"50-59",IF(HR_Employee_Attrition[[#This Row],[Age]]&gt;=40,"40-49",IF(HR_Employee_Attrition[[#This Row],[Age]]&gt;=30,"30-39",IF(HR_Employee_Attrition[[#This Row],[Age]]&gt;=20,"20-29",IF(HR_Employee_Attrition[[#This Row],[Age]]&gt;=18,"18-20"))))))</f>
        <v>30-39</v>
      </c>
      <c r="AK119" t="str" cm="1">
        <f t="array" ref="AK119">_xlfn.IFS(HR_Employee_Attrition[[#This Row],[YearsAtCompany]]&lt;=2,"0-2",HR_Employee_Attrition[[#This Row],[YearsAtCompany]]&lt;=5,"3-5",HR_Employee_Attrition[[#This Row],[YearsAtCompany]]&lt;=10,"6-10",HR_Employee_Attrition[[#This Row],[YearsAtCompany]]&gt;10,"10+")</f>
        <v>6-10</v>
      </c>
      <c r="AL119" t="str" cm="1">
        <f t="array" ref="AL1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9">
        <f>IF(HR_Employee_Attrition[[#This Row],[Attrition]]="Yes",1,0)</f>
        <v>0</v>
      </c>
    </row>
    <row r="120" spans="1:39" x14ac:dyDescent="0.3">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c r="AJ120" t="str">
        <f>IF(HR_Employee_Attrition[[#This Row],[Age]]&gt;60,"60+",IF(HR_Employee_Attrition[[#This Row],[Age]]&gt;=50,"50-59",IF(HR_Employee_Attrition[[#This Row],[Age]]&gt;=40,"40-49",IF(HR_Employee_Attrition[[#This Row],[Age]]&gt;=30,"30-39",IF(HR_Employee_Attrition[[#This Row],[Age]]&gt;=20,"20-29",IF(HR_Employee_Attrition[[#This Row],[Age]]&gt;=18,"18-20"))))))</f>
        <v>30-39</v>
      </c>
      <c r="AK120" t="str" cm="1">
        <f t="array" ref="AK120">_xlfn.IFS(HR_Employee_Attrition[[#This Row],[YearsAtCompany]]&lt;=2,"0-2",HR_Employee_Attrition[[#This Row],[YearsAtCompany]]&lt;=5,"3-5",HR_Employee_Attrition[[#This Row],[YearsAtCompany]]&lt;=10,"6-10",HR_Employee_Attrition[[#This Row],[YearsAtCompany]]&gt;10,"10+")</f>
        <v>0-2</v>
      </c>
      <c r="AL120" t="str" cm="1">
        <f t="array" ref="AL1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
        <f>IF(HR_Employee_Attrition[[#This Row],[Attrition]]="Yes",1,0)</f>
        <v>0</v>
      </c>
    </row>
    <row r="121" spans="1:39" x14ac:dyDescent="0.3">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c r="AJ121" t="str">
        <f>IF(HR_Employee_Attrition[[#This Row],[Age]]&gt;60,"60+",IF(HR_Employee_Attrition[[#This Row],[Age]]&gt;=50,"50-59",IF(HR_Employee_Attrition[[#This Row],[Age]]&gt;=40,"40-49",IF(HR_Employee_Attrition[[#This Row],[Age]]&gt;=30,"30-39",IF(HR_Employee_Attrition[[#This Row],[Age]]&gt;=20,"20-29",IF(HR_Employee_Attrition[[#This Row],[Age]]&gt;=18,"18-20"))))))</f>
        <v>40-49</v>
      </c>
      <c r="AK121" t="str" cm="1">
        <f t="array" ref="AK121">_xlfn.IFS(HR_Employee_Attrition[[#This Row],[YearsAtCompany]]&lt;=2,"0-2",HR_Employee_Attrition[[#This Row],[YearsAtCompany]]&lt;=5,"3-5",HR_Employee_Attrition[[#This Row],[YearsAtCompany]]&lt;=10,"6-10",HR_Employee_Attrition[[#This Row],[YearsAtCompany]]&gt;10,"10+")</f>
        <v>10+</v>
      </c>
      <c r="AL121" t="str" cm="1">
        <f t="array" ref="AL1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21">
        <f>IF(HR_Employee_Attrition[[#This Row],[Attrition]]="Yes",1,0)</f>
        <v>0</v>
      </c>
    </row>
    <row r="122" spans="1:39" x14ac:dyDescent="0.3">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c r="AJ122" t="str">
        <f>IF(HR_Employee_Attrition[[#This Row],[Age]]&gt;60,"60+",IF(HR_Employee_Attrition[[#This Row],[Age]]&gt;=50,"50-59",IF(HR_Employee_Attrition[[#This Row],[Age]]&gt;=40,"40-49",IF(HR_Employee_Attrition[[#This Row],[Age]]&gt;=30,"30-39",IF(HR_Employee_Attrition[[#This Row],[Age]]&gt;=20,"20-29",IF(HR_Employee_Attrition[[#This Row],[Age]]&gt;=18,"18-20"))))))</f>
        <v>30-39</v>
      </c>
      <c r="AK122" t="str" cm="1">
        <f t="array" ref="AK122">_xlfn.IFS(HR_Employee_Attrition[[#This Row],[YearsAtCompany]]&lt;=2,"0-2",HR_Employee_Attrition[[#This Row],[YearsAtCompany]]&lt;=5,"3-5",HR_Employee_Attrition[[#This Row],[YearsAtCompany]]&lt;=10,"6-10",HR_Employee_Attrition[[#This Row],[YearsAtCompany]]&gt;10,"10+")</f>
        <v>6-10</v>
      </c>
      <c r="AL122" t="str" cm="1">
        <f t="array" ref="AL1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2">
        <f>IF(HR_Employee_Attrition[[#This Row],[Attrition]]="Yes",1,0)</f>
        <v>0</v>
      </c>
    </row>
    <row r="123" spans="1:39" x14ac:dyDescent="0.3">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c r="AJ123" t="str">
        <f>IF(HR_Employee_Attrition[[#This Row],[Age]]&gt;60,"60+",IF(HR_Employee_Attrition[[#This Row],[Age]]&gt;=50,"50-59",IF(HR_Employee_Attrition[[#This Row],[Age]]&gt;=40,"40-49",IF(HR_Employee_Attrition[[#This Row],[Age]]&gt;=30,"30-39",IF(HR_Employee_Attrition[[#This Row],[Age]]&gt;=20,"20-29",IF(HR_Employee_Attrition[[#This Row],[Age]]&gt;=18,"18-20"))))))</f>
        <v>30-39</v>
      </c>
      <c r="AK123" t="str" cm="1">
        <f t="array" ref="AK123">_xlfn.IFS(HR_Employee_Attrition[[#This Row],[YearsAtCompany]]&lt;=2,"0-2",HR_Employee_Attrition[[#This Row],[YearsAtCompany]]&lt;=5,"3-5",HR_Employee_Attrition[[#This Row],[YearsAtCompany]]&lt;=10,"6-10",HR_Employee_Attrition[[#This Row],[YearsAtCompany]]&gt;10,"10+")</f>
        <v>6-10</v>
      </c>
      <c r="AL123" t="str" cm="1">
        <f t="array" ref="AL1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3">
        <f>IF(HR_Employee_Attrition[[#This Row],[Attrition]]="Yes",1,0)</f>
        <v>0</v>
      </c>
    </row>
    <row r="124" spans="1:39" x14ac:dyDescent="0.3">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c r="AJ124" t="str">
        <f>IF(HR_Employee_Attrition[[#This Row],[Age]]&gt;60,"60+",IF(HR_Employee_Attrition[[#This Row],[Age]]&gt;=50,"50-59",IF(HR_Employee_Attrition[[#This Row],[Age]]&gt;=40,"40-49",IF(HR_Employee_Attrition[[#This Row],[Age]]&gt;=30,"30-39",IF(HR_Employee_Attrition[[#This Row],[Age]]&gt;=20,"20-29",IF(HR_Employee_Attrition[[#This Row],[Age]]&gt;=18,"18-20"))))))</f>
        <v>50-59</v>
      </c>
      <c r="AK124" t="str" cm="1">
        <f t="array" ref="AK124">_xlfn.IFS(HR_Employee_Attrition[[#This Row],[YearsAtCompany]]&lt;=2,"0-2",HR_Employee_Attrition[[#This Row],[YearsAtCompany]]&lt;=5,"3-5",HR_Employee_Attrition[[#This Row],[YearsAtCompany]]&lt;=10,"6-10",HR_Employee_Attrition[[#This Row],[YearsAtCompany]]&gt;10,"10+")</f>
        <v>3-5</v>
      </c>
      <c r="AL124" t="str" cm="1">
        <f t="array" ref="AL1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4">
        <f>IF(HR_Employee_Attrition[[#This Row],[Attrition]]="Yes",1,0)</f>
        <v>1</v>
      </c>
    </row>
    <row r="125" spans="1:39" x14ac:dyDescent="0.3">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c r="AJ125" t="str">
        <f>IF(HR_Employee_Attrition[[#This Row],[Age]]&gt;60,"60+",IF(HR_Employee_Attrition[[#This Row],[Age]]&gt;=50,"50-59",IF(HR_Employee_Attrition[[#This Row],[Age]]&gt;=40,"40-49",IF(HR_Employee_Attrition[[#This Row],[Age]]&gt;=30,"30-39",IF(HR_Employee_Attrition[[#This Row],[Age]]&gt;=20,"20-29",IF(HR_Employee_Attrition[[#This Row],[Age]]&gt;=18,"18-20"))))))</f>
        <v>50-59</v>
      </c>
      <c r="AK125" t="str" cm="1">
        <f t="array" ref="AK125">_xlfn.IFS(HR_Employee_Attrition[[#This Row],[YearsAtCompany]]&lt;=2,"0-2",HR_Employee_Attrition[[#This Row],[YearsAtCompany]]&lt;=5,"3-5",HR_Employee_Attrition[[#This Row],[YearsAtCompany]]&lt;=10,"6-10",HR_Employee_Attrition[[#This Row],[YearsAtCompany]]&gt;10,"10+")</f>
        <v>10+</v>
      </c>
      <c r="AL125" t="str" cm="1">
        <f t="array" ref="AL1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25">
        <f>IF(HR_Employee_Attrition[[#This Row],[Attrition]]="Yes",1,0)</f>
        <v>0</v>
      </c>
    </row>
    <row r="126" spans="1:39" x14ac:dyDescent="0.3">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c r="AJ126" t="str">
        <f>IF(HR_Employee_Attrition[[#This Row],[Age]]&gt;60,"60+",IF(HR_Employee_Attrition[[#This Row],[Age]]&gt;=50,"50-59",IF(HR_Employee_Attrition[[#This Row],[Age]]&gt;=40,"40-49",IF(HR_Employee_Attrition[[#This Row],[Age]]&gt;=30,"30-39",IF(HR_Employee_Attrition[[#This Row],[Age]]&gt;=20,"20-29",IF(HR_Employee_Attrition[[#This Row],[Age]]&gt;=18,"18-20"))))))</f>
        <v>30-39</v>
      </c>
      <c r="AK126" t="str" cm="1">
        <f t="array" ref="AK126">_xlfn.IFS(HR_Employee_Attrition[[#This Row],[YearsAtCompany]]&lt;=2,"0-2",HR_Employee_Attrition[[#This Row],[YearsAtCompany]]&lt;=5,"3-5",HR_Employee_Attrition[[#This Row],[YearsAtCompany]]&lt;=10,"6-10",HR_Employee_Attrition[[#This Row],[YearsAtCompany]]&gt;10,"10+")</f>
        <v>6-10</v>
      </c>
      <c r="AL126" t="str" cm="1">
        <f t="array" ref="AL1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6">
        <f>IF(HR_Employee_Attrition[[#This Row],[Attrition]]="Yes",1,0)</f>
        <v>1</v>
      </c>
    </row>
    <row r="127" spans="1:39" x14ac:dyDescent="0.3">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c r="AJ127" t="str">
        <f>IF(HR_Employee_Attrition[[#This Row],[Age]]&gt;60,"60+",IF(HR_Employee_Attrition[[#This Row],[Age]]&gt;=50,"50-59",IF(HR_Employee_Attrition[[#This Row],[Age]]&gt;=40,"40-49",IF(HR_Employee_Attrition[[#This Row],[Age]]&gt;=30,"30-39",IF(HR_Employee_Attrition[[#This Row],[Age]]&gt;=20,"20-29",IF(HR_Employee_Attrition[[#This Row],[Age]]&gt;=18,"18-20"))))))</f>
        <v>20-29</v>
      </c>
      <c r="AK127" t="str" cm="1">
        <f t="array" ref="AK127">_xlfn.IFS(HR_Employee_Attrition[[#This Row],[YearsAtCompany]]&lt;=2,"0-2",HR_Employee_Attrition[[#This Row],[YearsAtCompany]]&lt;=5,"3-5",HR_Employee_Attrition[[#This Row],[YearsAtCompany]]&lt;=10,"6-10",HR_Employee_Attrition[[#This Row],[YearsAtCompany]]&gt;10,"10+")</f>
        <v>3-5</v>
      </c>
      <c r="AL127" t="str" cm="1">
        <f t="array" ref="AL1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7">
        <f>IF(HR_Employee_Attrition[[#This Row],[Attrition]]="Yes",1,0)</f>
        <v>0</v>
      </c>
    </row>
    <row r="128" spans="1:39" x14ac:dyDescent="0.3">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c r="AJ128" t="str">
        <f>IF(HR_Employee_Attrition[[#This Row],[Age]]&gt;60,"60+",IF(HR_Employee_Attrition[[#This Row],[Age]]&gt;=50,"50-59",IF(HR_Employee_Attrition[[#This Row],[Age]]&gt;=40,"40-49",IF(HR_Employee_Attrition[[#This Row],[Age]]&gt;=30,"30-39",IF(HR_Employee_Attrition[[#This Row],[Age]]&gt;=20,"20-29",IF(HR_Employee_Attrition[[#This Row],[Age]]&gt;=18,"18-20"))))))</f>
        <v>50-59</v>
      </c>
      <c r="AK128" t="str" cm="1">
        <f t="array" ref="AK128">_xlfn.IFS(HR_Employee_Attrition[[#This Row],[YearsAtCompany]]&lt;=2,"0-2",HR_Employee_Attrition[[#This Row],[YearsAtCompany]]&lt;=5,"3-5",HR_Employee_Attrition[[#This Row],[YearsAtCompany]]&lt;=10,"6-10",HR_Employee_Attrition[[#This Row],[YearsAtCompany]]&gt;10,"10+")</f>
        <v>10+</v>
      </c>
      <c r="AL128" t="str" cm="1">
        <f t="array" ref="AL1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8">
        <f>IF(HR_Employee_Attrition[[#This Row],[Attrition]]="Yes",1,0)</f>
        <v>1</v>
      </c>
    </row>
    <row r="129" spans="1:39" x14ac:dyDescent="0.3">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c r="AJ129" t="str">
        <f>IF(HR_Employee_Attrition[[#This Row],[Age]]&gt;60,"60+",IF(HR_Employee_Attrition[[#This Row],[Age]]&gt;=50,"50-59",IF(HR_Employee_Attrition[[#This Row],[Age]]&gt;=40,"40-49",IF(HR_Employee_Attrition[[#This Row],[Age]]&gt;=30,"30-39",IF(HR_Employee_Attrition[[#This Row],[Age]]&gt;=20,"20-29",IF(HR_Employee_Attrition[[#This Row],[Age]]&gt;=18,"18-20"))))))</f>
        <v>18-20</v>
      </c>
      <c r="AK129" t="str" cm="1">
        <f t="array" ref="AK129">_xlfn.IFS(HR_Employee_Attrition[[#This Row],[YearsAtCompany]]&lt;=2,"0-2",HR_Employee_Attrition[[#This Row],[YearsAtCompany]]&lt;=5,"3-5",HR_Employee_Attrition[[#This Row],[YearsAtCompany]]&lt;=10,"6-10",HR_Employee_Attrition[[#This Row],[YearsAtCompany]]&gt;10,"10+")</f>
        <v>0-2</v>
      </c>
      <c r="AL129" t="str" cm="1">
        <f t="array" ref="AL1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9">
        <f>IF(HR_Employee_Attrition[[#This Row],[Attrition]]="Yes",1,0)</f>
        <v>1</v>
      </c>
    </row>
    <row r="130" spans="1:39" x14ac:dyDescent="0.3">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c r="AJ130" t="str">
        <f>IF(HR_Employee_Attrition[[#This Row],[Age]]&gt;60,"60+",IF(HR_Employee_Attrition[[#This Row],[Age]]&gt;=50,"50-59",IF(HR_Employee_Attrition[[#This Row],[Age]]&gt;=40,"40-49",IF(HR_Employee_Attrition[[#This Row],[Age]]&gt;=30,"30-39",IF(HR_Employee_Attrition[[#This Row],[Age]]&gt;=20,"20-29",IF(HR_Employee_Attrition[[#This Row],[Age]]&gt;=18,"18-20"))))))</f>
        <v>20-29</v>
      </c>
      <c r="AK130" t="str" cm="1">
        <f t="array" ref="AK130">_xlfn.IFS(HR_Employee_Attrition[[#This Row],[YearsAtCompany]]&lt;=2,"0-2",HR_Employee_Attrition[[#This Row],[YearsAtCompany]]&lt;=5,"3-5",HR_Employee_Attrition[[#This Row],[YearsAtCompany]]&lt;=10,"6-10",HR_Employee_Attrition[[#This Row],[YearsAtCompany]]&gt;10,"10+")</f>
        <v>0-2</v>
      </c>
      <c r="AL130" t="str" cm="1">
        <f t="array" ref="AL1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0">
        <f>IF(HR_Employee_Attrition[[#This Row],[Attrition]]="Yes",1,0)</f>
        <v>0</v>
      </c>
    </row>
    <row r="131" spans="1:39" x14ac:dyDescent="0.3">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c r="AJ131" t="str">
        <f>IF(HR_Employee_Attrition[[#This Row],[Age]]&gt;60,"60+",IF(HR_Employee_Attrition[[#This Row],[Age]]&gt;=50,"50-59",IF(HR_Employee_Attrition[[#This Row],[Age]]&gt;=40,"40-49",IF(HR_Employee_Attrition[[#This Row],[Age]]&gt;=30,"30-39",IF(HR_Employee_Attrition[[#This Row],[Age]]&gt;=20,"20-29",IF(HR_Employee_Attrition[[#This Row],[Age]]&gt;=18,"18-20"))))))</f>
        <v>40-49</v>
      </c>
      <c r="AK131" t="str" cm="1">
        <f t="array" ref="AK131">_xlfn.IFS(HR_Employee_Attrition[[#This Row],[YearsAtCompany]]&lt;=2,"0-2",HR_Employee_Attrition[[#This Row],[YearsAtCompany]]&lt;=5,"3-5",HR_Employee_Attrition[[#This Row],[YearsAtCompany]]&lt;=10,"6-10",HR_Employee_Attrition[[#This Row],[YearsAtCompany]]&gt;10,"10+")</f>
        <v>10+</v>
      </c>
      <c r="AL131" t="str" cm="1">
        <f t="array" ref="AL1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1">
        <f>IF(HR_Employee_Attrition[[#This Row],[Attrition]]="Yes",1,0)</f>
        <v>0</v>
      </c>
    </row>
    <row r="132" spans="1:39" x14ac:dyDescent="0.3">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c r="AJ132" t="str">
        <f>IF(HR_Employee_Attrition[[#This Row],[Age]]&gt;60,"60+",IF(HR_Employee_Attrition[[#This Row],[Age]]&gt;=50,"50-59",IF(HR_Employee_Attrition[[#This Row],[Age]]&gt;=40,"40-49",IF(HR_Employee_Attrition[[#This Row],[Age]]&gt;=30,"30-39",IF(HR_Employee_Attrition[[#This Row],[Age]]&gt;=20,"20-29",IF(HR_Employee_Attrition[[#This Row],[Age]]&gt;=18,"18-20"))))))</f>
        <v>40-49</v>
      </c>
      <c r="AK132" t="str" cm="1">
        <f t="array" ref="AK132">_xlfn.IFS(HR_Employee_Attrition[[#This Row],[YearsAtCompany]]&lt;=2,"0-2",HR_Employee_Attrition[[#This Row],[YearsAtCompany]]&lt;=5,"3-5",HR_Employee_Attrition[[#This Row],[YearsAtCompany]]&lt;=10,"6-10",HR_Employee_Attrition[[#This Row],[YearsAtCompany]]&gt;10,"10+")</f>
        <v>3-5</v>
      </c>
      <c r="AL132" t="str" cm="1">
        <f t="array" ref="AL1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2">
        <f>IF(HR_Employee_Attrition[[#This Row],[Attrition]]="Yes",1,0)</f>
        <v>0</v>
      </c>
    </row>
    <row r="133" spans="1:39" x14ac:dyDescent="0.3">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c r="AJ133" t="str">
        <f>IF(HR_Employee_Attrition[[#This Row],[Age]]&gt;60,"60+",IF(HR_Employee_Attrition[[#This Row],[Age]]&gt;=50,"50-59",IF(HR_Employee_Attrition[[#This Row],[Age]]&gt;=40,"40-49",IF(HR_Employee_Attrition[[#This Row],[Age]]&gt;=30,"30-39",IF(HR_Employee_Attrition[[#This Row],[Age]]&gt;=20,"20-29",IF(HR_Employee_Attrition[[#This Row],[Age]]&gt;=18,"18-20"))))))</f>
        <v>50-59</v>
      </c>
      <c r="AK133" t="str" cm="1">
        <f t="array" ref="AK133">_xlfn.IFS(HR_Employee_Attrition[[#This Row],[YearsAtCompany]]&lt;=2,"0-2",HR_Employee_Attrition[[#This Row],[YearsAtCompany]]&lt;=5,"3-5",HR_Employee_Attrition[[#This Row],[YearsAtCompany]]&lt;=10,"6-10",HR_Employee_Attrition[[#This Row],[YearsAtCompany]]&gt;10,"10+")</f>
        <v>0-2</v>
      </c>
      <c r="AL133" t="str" cm="1">
        <f t="array" ref="AL1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3">
        <f>IF(HR_Employee_Attrition[[#This Row],[Attrition]]="Yes",1,0)</f>
        <v>0</v>
      </c>
    </row>
    <row r="134" spans="1:39" x14ac:dyDescent="0.3">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c r="AJ134" t="str">
        <f>IF(HR_Employee_Attrition[[#This Row],[Age]]&gt;60,"60+",IF(HR_Employee_Attrition[[#This Row],[Age]]&gt;=50,"50-59",IF(HR_Employee_Attrition[[#This Row],[Age]]&gt;=40,"40-49",IF(HR_Employee_Attrition[[#This Row],[Age]]&gt;=30,"30-39",IF(HR_Employee_Attrition[[#This Row],[Age]]&gt;=20,"20-29",IF(HR_Employee_Attrition[[#This Row],[Age]]&gt;=18,"18-20"))))))</f>
        <v>30-39</v>
      </c>
      <c r="AK134" t="str" cm="1">
        <f t="array" ref="AK134">_xlfn.IFS(HR_Employee_Attrition[[#This Row],[YearsAtCompany]]&lt;=2,"0-2",HR_Employee_Attrition[[#This Row],[YearsAtCompany]]&lt;=5,"3-5",HR_Employee_Attrition[[#This Row],[YearsAtCompany]]&lt;=10,"6-10",HR_Employee_Attrition[[#This Row],[YearsAtCompany]]&gt;10,"10+")</f>
        <v>0-2</v>
      </c>
      <c r="AL134" t="str" cm="1">
        <f t="array" ref="AL1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
        <f>IF(HR_Employee_Attrition[[#This Row],[Attrition]]="Yes",1,0)</f>
        <v>1</v>
      </c>
    </row>
    <row r="135" spans="1:39" x14ac:dyDescent="0.3">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c r="AJ135" t="str">
        <f>IF(HR_Employee_Attrition[[#This Row],[Age]]&gt;60,"60+",IF(HR_Employee_Attrition[[#This Row],[Age]]&gt;=50,"50-59",IF(HR_Employee_Attrition[[#This Row],[Age]]&gt;=40,"40-49",IF(HR_Employee_Attrition[[#This Row],[Age]]&gt;=30,"30-39",IF(HR_Employee_Attrition[[#This Row],[Age]]&gt;=20,"20-29",IF(HR_Employee_Attrition[[#This Row],[Age]]&gt;=18,"18-20"))))))</f>
        <v>40-49</v>
      </c>
      <c r="AK135" t="str" cm="1">
        <f t="array" ref="AK135">_xlfn.IFS(HR_Employee_Attrition[[#This Row],[YearsAtCompany]]&lt;=2,"0-2",HR_Employee_Attrition[[#This Row],[YearsAtCompany]]&lt;=5,"3-5",HR_Employee_Attrition[[#This Row],[YearsAtCompany]]&lt;=10,"6-10",HR_Employee_Attrition[[#This Row],[YearsAtCompany]]&gt;10,"10+")</f>
        <v>6-10</v>
      </c>
      <c r="AL135" t="str" cm="1">
        <f t="array" ref="AL1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5">
        <f>IF(HR_Employee_Attrition[[#This Row],[Attrition]]="Yes",1,0)</f>
        <v>0</v>
      </c>
    </row>
    <row r="136" spans="1:39" x14ac:dyDescent="0.3">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c r="AJ136" t="str">
        <f>IF(HR_Employee_Attrition[[#This Row],[Age]]&gt;60,"60+",IF(HR_Employee_Attrition[[#This Row],[Age]]&gt;=50,"50-59",IF(HR_Employee_Attrition[[#This Row],[Age]]&gt;=40,"40-49",IF(HR_Employee_Attrition[[#This Row],[Age]]&gt;=30,"30-39",IF(HR_Employee_Attrition[[#This Row],[Age]]&gt;=20,"20-29",IF(HR_Employee_Attrition[[#This Row],[Age]]&gt;=18,"18-20"))))))</f>
        <v>20-29</v>
      </c>
      <c r="AK136" t="str" cm="1">
        <f t="array" ref="AK136">_xlfn.IFS(HR_Employee_Attrition[[#This Row],[YearsAtCompany]]&lt;=2,"0-2",HR_Employee_Attrition[[#This Row],[YearsAtCompany]]&lt;=5,"3-5",HR_Employee_Attrition[[#This Row],[YearsAtCompany]]&lt;=10,"6-10",HR_Employee_Attrition[[#This Row],[YearsAtCompany]]&gt;10,"10+")</f>
        <v>6-10</v>
      </c>
      <c r="AL136" t="str" cm="1">
        <f t="array" ref="AL1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6">
        <f>IF(HR_Employee_Attrition[[#This Row],[Attrition]]="Yes",1,0)</f>
        <v>0</v>
      </c>
    </row>
    <row r="137" spans="1:39" x14ac:dyDescent="0.3">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c r="AJ137" t="str">
        <f>IF(HR_Employee_Attrition[[#This Row],[Age]]&gt;60,"60+",IF(HR_Employee_Attrition[[#This Row],[Age]]&gt;=50,"50-59",IF(HR_Employee_Attrition[[#This Row],[Age]]&gt;=40,"40-49",IF(HR_Employee_Attrition[[#This Row],[Age]]&gt;=30,"30-39",IF(HR_Employee_Attrition[[#This Row],[Age]]&gt;=20,"20-29",IF(HR_Employee_Attrition[[#This Row],[Age]]&gt;=18,"18-20"))))))</f>
        <v>30-39</v>
      </c>
      <c r="AK137" t="str" cm="1">
        <f t="array" ref="AK137">_xlfn.IFS(HR_Employee_Attrition[[#This Row],[YearsAtCompany]]&lt;=2,"0-2",HR_Employee_Attrition[[#This Row],[YearsAtCompany]]&lt;=5,"3-5",HR_Employee_Attrition[[#This Row],[YearsAtCompany]]&lt;=10,"6-10",HR_Employee_Attrition[[#This Row],[YearsAtCompany]]&gt;10,"10+")</f>
        <v>3-5</v>
      </c>
      <c r="AL137" t="str" cm="1">
        <f t="array" ref="AL1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7">
        <f>IF(HR_Employee_Attrition[[#This Row],[Attrition]]="Yes",1,0)</f>
        <v>0</v>
      </c>
    </row>
    <row r="138" spans="1:39" x14ac:dyDescent="0.3">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c r="AJ138" t="str">
        <f>IF(HR_Employee_Attrition[[#This Row],[Age]]&gt;60,"60+",IF(HR_Employee_Attrition[[#This Row],[Age]]&gt;=50,"50-59",IF(HR_Employee_Attrition[[#This Row],[Age]]&gt;=40,"40-49",IF(HR_Employee_Attrition[[#This Row],[Age]]&gt;=30,"30-39",IF(HR_Employee_Attrition[[#This Row],[Age]]&gt;=20,"20-29",IF(HR_Employee_Attrition[[#This Row],[Age]]&gt;=18,"18-20"))))))</f>
        <v>50-59</v>
      </c>
      <c r="AK138" t="str" cm="1">
        <f t="array" ref="AK138">_xlfn.IFS(HR_Employee_Attrition[[#This Row],[YearsAtCompany]]&lt;=2,"0-2",HR_Employee_Attrition[[#This Row],[YearsAtCompany]]&lt;=5,"3-5",HR_Employee_Attrition[[#This Row],[YearsAtCompany]]&lt;=10,"6-10",HR_Employee_Attrition[[#This Row],[YearsAtCompany]]&gt;10,"10+")</f>
        <v>3-5</v>
      </c>
      <c r="AL138" t="str" cm="1">
        <f t="array" ref="AL1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38">
        <f>IF(HR_Employee_Attrition[[#This Row],[Attrition]]="Yes",1,0)</f>
        <v>1</v>
      </c>
    </row>
    <row r="139" spans="1:39" x14ac:dyDescent="0.3">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c r="AJ139" t="str">
        <f>IF(HR_Employee_Attrition[[#This Row],[Age]]&gt;60,"60+",IF(HR_Employee_Attrition[[#This Row],[Age]]&gt;=50,"50-59",IF(HR_Employee_Attrition[[#This Row],[Age]]&gt;=40,"40-49",IF(HR_Employee_Attrition[[#This Row],[Age]]&gt;=30,"30-39",IF(HR_Employee_Attrition[[#This Row],[Age]]&gt;=20,"20-29",IF(HR_Employee_Attrition[[#This Row],[Age]]&gt;=18,"18-20"))))))</f>
        <v>30-39</v>
      </c>
      <c r="AK139" t="str" cm="1">
        <f t="array" ref="AK139">_xlfn.IFS(HR_Employee_Attrition[[#This Row],[YearsAtCompany]]&lt;=2,"0-2",HR_Employee_Attrition[[#This Row],[YearsAtCompany]]&lt;=5,"3-5",HR_Employee_Attrition[[#This Row],[YearsAtCompany]]&lt;=10,"6-10",HR_Employee_Attrition[[#This Row],[YearsAtCompany]]&gt;10,"10+")</f>
        <v>10+</v>
      </c>
      <c r="AL139" t="str" cm="1">
        <f t="array" ref="AL1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9">
        <f>IF(HR_Employee_Attrition[[#This Row],[Attrition]]="Yes",1,0)</f>
        <v>0</v>
      </c>
    </row>
    <row r="140" spans="1:39" x14ac:dyDescent="0.3">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c r="AJ140" t="str">
        <f>IF(HR_Employee_Attrition[[#This Row],[Age]]&gt;60,"60+",IF(HR_Employee_Attrition[[#This Row],[Age]]&gt;=50,"50-59",IF(HR_Employee_Attrition[[#This Row],[Age]]&gt;=40,"40-49",IF(HR_Employee_Attrition[[#This Row],[Age]]&gt;=30,"30-39",IF(HR_Employee_Attrition[[#This Row],[Age]]&gt;=20,"20-29",IF(HR_Employee_Attrition[[#This Row],[Age]]&gt;=18,"18-20"))))))</f>
        <v>20-29</v>
      </c>
      <c r="AK140" t="str" cm="1">
        <f t="array" ref="AK140">_xlfn.IFS(HR_Employee_Attrition[[#This Row],[YearsAtCompany]]&lt;=2,"0-2",HR_Employee_Attrition[[#This Row],[YearsAtCompany]]&lt;=5,"3-5",HR_Employee_Attrition[[#This Row],[YearsAtCompany]]&lt;=10,"6-10",HR_Employee_Attrition[[#This Row],[YearsAtCompany]]&gt;10,"10+")</f>
        <v>0-2</v>
      </c>
      <c r="AL140" t="str" cm="1">
        <f t="array" ref="AL1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0">
        <f>IF(HR_Employee_Attrition[[#This Row],[Attrition]]="Yes",1,0)</f>
        <v>0</v>
      </c>
    </row>
    <row r="141" spans="1:39" x14ac:dyDescent="0.3">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c r="AJ141" t="str">
        <f>IF(HR_Employee_Attrition[[#This Row],[Age]]&gt;60,"60+",IF(HR_Employee_Attrition[[#This Row],[Age]]&gt;=50,"50-59",IF(HR_Employee_Attrition[[#This Row],[Age]]&gt;=40,"40-49",IF(HR_Employee_Attrition[[#This Row],[Age]]&gt;=30,"30-39",IF(HR_Employee_Attrition[[#This Row],[Age]]&gt;=20,"20-29",IF(HR_Employee_Attrition[[#This Row],[Age]]&gt;=18,"18-20"))))))</f>
        <v>30-39</v>
      </c>
      <c r="AK141" t="str" cm="1">
        <f t="array" ref="AK141">_xlfn.IFS(HR_Employee_Attrition[[#This Row],[YearsAtCompany]]&lt;=2,"0-2",HR_Employee_Attrition[[#This Row],[YearsAtCompany]]&lt;=5,"3-5",HR_Employee_Attrition[[#This Row],[YearsAtCompany]]&lt;=10,"6-10",HR_Employee_Attrition[[#This Row],[YearsAtCompany]]&gt;10,"10+")</f>
        <v>10+</v>
      </c>
      <c r="AL141" t="str" cm="1">
        <f t="array" ref="AL1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1">
        <f>IF(HR_Employee_Attrition[[#This Row],[Attrition]]="Yes",1,0)</f>
        <v>0</v>
      </c>
    </row>
    <row r="142" spans="1:39" x14ac:dyDescent="0.3">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c r="AJ142" t="str">
        <f>IF(HR_Employee_Attrition[[#This Row],[Age]]&gt;60,"60+",IF(HR_Employee_Attrition[[#This Row],[Age]]&gt;=50,"50-59",IF(HR_Employee_Attrition[[#This Row],[Age]]&gt;=40,"40-49",IF(HR_Employee_Attrition[[#This Row],[Age]]&gt;=30,"30-39",IF(HR_Employee_Attrition[[#This Row],[Age]]&gt;=20,"20-29",IF(HR_Employee_Attrition[[#This Row],[Age]]&gt;=18,"18-20"))))))</f>
        <v>30-39</v>
      </c>
      <c r="AK142" t="str" cm="1">
        <f t="array" ref="AK142">_xlfn.IFS(HR_Employee_Attrition[[#This Row],[YearsAtCompany]]&lt;=2,"0-2",HR_Employee_Attrition[[#This Row],[YearsAtCompany]]&lt;=5,"3-5",HR_Employee_Attrition[[#This Row],[YearsAtCompany]]&lt;=10,"6-10",HR_Employee_Attrition[[#This Row],[YearsAtCompany]]&gt;10,"10+")</f>
        <v>3-5</v>
      </c>
      <c r="AL142" t="str" cm="1">
        <f t="array" ref="AL1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2">
        <f>IF(HR_Employee_Attrition[[#This Row],[Attrition]]="Yes",1,0)</f>
        <v>1</v>
      </c>
    </row>
    <row r="143" spans="1:39" x14ac:dyDescent="0.3">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c r="AJ143" t="str">
        <f>IF(HR_Employee_Attrition[[#This Row],[Age]]&gt;60,"60+",IF(HR_Employee_Attrition[[#This Row],[Age]]&gt;=50,"50-59",IF(HR_Employee_Attrition[[#This Row],[Age]]&gt;=40,"40-49",IF(HR_Employee_Attrition[[#This Row],[Age]]&gt;=30,"30-39",IF(HR_Employee_Attrition[[#This Row],[Age]]&gt;=20,"20-29",IF(HR_Employee_Attrition[[#This Row],[Age]]&gt;=18,"18-20"))))))</f>
        <v>40-49</v>
      </c>
      <c r="AK143" t="str" cm="1">
        <f t="array" ref="AK143">_xlfn.IFS(HR_Employee_Attrition[[#This Row],[YearsAtCompany]]&lt;=2,"0-2",HR_Employee_Attrition[[#This Row],[YearsAtCompany]]&lt;=5,"3-5",HR_Employee_Attrition[[#This Row],[YearsAtCompany]]&lt;=10,"6-10",HR_Employee_Attrition[[#This Row],[YearsAtCompany]]&gt;10,"10+")</f>
        <v>6-10</v>
      </c>
      <c r="AL143" t="str" cm="1">
        <f t="array" ref="AL1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3">
        <f>IF(HR_Employee_Attrition[[#This Row],[Attrition]]="Yes",1,0)</f>
        <v>0</v>
      </c>
    </row>
    <row r="144" spans="1:39" x14ac:dyDescent="0.3">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c r="AJ144" t="str">
        <f>IF(HR_Employee_Attrition[[#This Row],[Age]]&gt;60,"60+",IF(HR_Employee_Attrition[[#This Row],[Age]]&gt;=50,"50-59",IF(HR_Employee_Attrition[[#This Row],[Age]]&gt;=40,"40-49",IF(HR_Employee_Attrition[[#This Row],[Age]]&gt;=30,"30-39",IF(HR_Employee_Attrition[[#This Row],[Age]]&gt;=20,"20-29",IF(HR_Employee_Attrition[[#This Row],[Age]]&gt;=18,"18-20"))))))</f>
        <v>30-39</v>
      </c>
      <c r="AK144" t="str" cm="1">
        <f t="array" ref="AK144">_xlfn.IFS(HR_Employee_Attrition[[#This Row],[YearsAtCompany]]&lt;=2,"0-2",HR_Employee_Attrition[[#This Row],[YearsAtCompany]]&lt;=5,"3-5",HR_Employee_Attrition[[#This Row],[YearsAtCompany]]&lt;=10,"6-10",HR_Employee_Attrition[[#This Row],[YearsAtCompany]]&gt;10,"10+")</f>
        <v>3-5</v>
      </c>
      <c r="AL144" t="str" cm="1">
        <f t="array" ref="AL1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4">
        <f>IF(HR_Employee_Attrition[[#This Row],[Attrition]]="Yes",1,0)</f>
        <v>0</v>
      </c>
    </row>
    <row r="145" spans="1:39" x14ac:dyDescent="0.3">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c r="AJ145" t="str">
        <f>IF(HR_Employee_Attrition[[#This Row],[Age]]&gt;60,"60+",IF(HR_Employee_Attrition[[#This Row],[Age]]&gt;=50,"50-59",IF(HR_Employee_Attrition[[#This Row],[Age]]&gt;=40,"40-49",IF(HR_Employee_Attrition[[#This Row],[Age]]&gt;=30,"30-39",IF(HR_Employee_Attrition[[#This Row],[Age]]&gt;=20,"20-29",IF(HR_Employee_Attrition[[#This Row],[Age]]&gt;=18,"18-20"))))))</f>
        <v>30-39</v>
      </c>
      <c r="AK145" t="str" cm="1">
        <f t="array" ref="AK145">_xlfn.IFS(HR_Employee_Attrition[[#This Row],[YearsAtCompany]]&lt;=2,"0-2",HR_Employee_Attrition[[#This Row],[YearsAtCompany]]&lt;=5,"3-5",HR_Employee_Attrition[[#This Row],[YearsAtCompany]]&lt;=10,"6-10",HR_Employee_Attrition[[#This Row],[YearsAtCompany]]&gt;10,"10+")</f>
        <v>3-5</v>
      </c>
      <c r="AL145" t="str" cm="1">
        <f t="array" ref="AL1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5">
        <f>IF(HR_Employee_Attrition[[#This Row],[Attrition]]="Yes",1,0)</f>
        <v>0</v>
      </c>
    </row>
    <row r="146" spans="1:39" x14ac:dyDescent="0.3">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c r="AJ146" t="str">
        <f>IF(HR_Employee_Attrition[[#This Row],[Age]]&gt;60,"60+",IF(HR_Employee_Attrition[[#This Row],[Age]]&gt;=50,"50-59",IF(HR_Employee_Attrition[[#This Row],[Age]]&gt;=40,"40-49",IF(HR_Employee_Attrition[[#This Row],[Age]]&gt;=30,"30-39",IF(HR_Employee_Attrition[[#This Row],[Age]]&gt;=20,"20-29",IF(HR_Employee_Attrition[[#This Row],[Age]]&gt;=18,"18-20"))))))</f>
        <v>30-39</v>
      </c>
      <c r="AK146" t="str" cm="1">
        <f t="array" ref="AK146">_xlfn.IFS(HR_Employee_Attrition[[#This Row],[YearsAtCompany]]&lt;=2,"0-2",HR_Employee_Attrition[[#This Row],[YearsAtCompany]]&lt;=5,"3-5",HR_Employee_Attrition[[#This Row],[YearsAtCompany]]&lt;=10,"6-10",HR_Employee_Attrition[[#This Row],[YearsAtCompany]]&gt;10,"10+")</f>
        <v>6-10</v>
      </c>
      <c r="AL146" t="str" cm="1">
        <f t="array" ref="AL1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6">
        <f>IF(HR_Employee_Attrition[[#This Row],[Attrition]]="Yes",1,0)</f>
        <v>0</v>
      </c>
    </row>
    <row r="147" spans="1:39" x14ac:dyDescent="0.3">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c r="AJ147" t="str">
        <f>IF(HR_Employee_Attrition[[#This Row],[Age]]&gt;60,"60+",IF(HR_Employee_Attrition[[#This Row],[Age]]&gt;=50,"50-59",IF(HR_Employee_Attrition[[#This Row],[Age]]&gt;=40,"40-49",IF(HR_Employee_Attrition[[#This Row],[Age]]&gt;=30,"30-39",IF(HR_Employee_Attrition[[#This Row],[Age]]&gt;=20,"20-29",IF(HR_Employee_Attrition[[#This Row],[Age]]&gt;=18,"18-20"))))))</f>
        <v>30-39</v>
      </c>
      <c r="AK147" t="str" cm="1">
        <f t="array" ref="AK147">_xlfn.IFS(HR_Employee_Attrition[[#This Row],[YearsAtCompany]]&lt;=2,"0-2",HR_Employee_Attrition[[#This Row],[YearsAtCompany]]&lt;=5,"3-5",HR_Employee_Attrition[[#This Row],[YearsAtCompany]]&lt;=10,"6-10",HR_Employee_Attrition[[#This Row],[YearsAtCompany]]&gt;10,"10+")</f>
        <v>3-5</v>
      </c>
      <c r="AL147" t="str" cm="1">
        <f t="array" ref="AL1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7">
        <f>IF(HR_Employee_Attrition[[#This Row],[Attrition]]="Yes",1,0)</f>
        <v>0</v>
      </c>
    </row>
    <row r="148" spans="1:39" x14ac:dyDescent="0.3">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c r="AJ148" t="str">
        <f>IF(HR_Employee_Attrition[[#This Row],[Age]]&gt;60,"60+",IF(HR_Employee_Attrition[[#This Row],[Age]]&gt;=50,"50-59",IF(HR_Employee_Attrition[[#This Row],[Age]]&gt;=40,"40-49",IF(HR_Employee_Attrition[[#This Row],[Age]]&gt;=30,"30-39",IF(HR_Employee_Attrition[[#This Row],[Age]]&gt;=20,"20-29",IF(HR_Employee_Attrition[[#This Row],[Age]]&gt;=18,"18-20"))))))</f>
        <v>30-39</v>
      </c>
      <c r="AK148" t="str" cm="1">
        <f t="array" ref="AK148">_xlfn.IFS(HR_Employee_Attrition[[#This Row],[YearsAtCompany]]&lt;=2,"0-2",HR_Employee_Attrition[[#This Row],[YearsAtCompany]]&lt;=5,"3-5",HR_Employee_Attrition[[#This Row],[YearsAtCompany]]&lt;=10,"6-10",HR_Employee_Attrition[[#This Row],[YearsAtCompany]]&gt;10,"10+")</f>
        <v>3-5</v>
      </c>
      <c r="AL148" t="str" cm="1">
        <f t="array" ref="AL1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8">
        <f>IF(HR_Employee_Attrition[[#This Row],[Attrition]]="Yes",1,0)</f>
        <v>0</v>
      </c>
    </row>
    <row r="149" spans="1:39" x14ac:dyDescent="0.3">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c r="AJ149" t="str">
        <f>IF(HR_Employee_Attrition[[#This Row],[Age]]&gt;60,"60+",IF(HR_Employee_Attrition[[#This Row],[Age]]&gt;=50,"50-59",IF(HR_Employee_Attrition[[#This Row],[Age]]&gt;=40,"40-49",IF(HR_Employee_Attrition[[#This Row],[Age]]&gt;=30,"30-39",IF(HR_Employee_Attrition[[#This Row],[Age]]&gt;=20,"20-29",IF(HR_Employee_Attrition[[#This Row],[Age]]&gt;=18,"18-20"))))))</f>
        <v>40-49</v>
      </c>
      <c r="AK149" t="str" cm="1">
        <f t="array" ref="AK149">_xlfn.IFS(HR_Employee_Attrition[[#This Row],[YearsAtCompany]]&lt;=2,"0-2",HR_Employee_Attrition[[#This Row],[YearsAtCompany]]&lt;=5,"3-5",HR_Employee_Attrition[[#This Row],[YearsAtCompany]]&lt;=10,"6-10",HR_Employee_Attrition[[#This Row],[YearsAtCompany]]&gt;10,"10+")</f>
        <v>6-10</v>
      </c>
      <c r="AL149" t="str" cm="1">
        <f t="array" ref="AL1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49">
        <f>IF(HR_Employee_Attrition[[#This Row],[Attrition]]="Yes",1,0)</f>
        <v>0</v>
      </c>
    </row>
    <row r="150" spans="1:39" x14ac:dyDescent="0.3">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c r="AJ150" t="str">
        <f>IF(HR_Employee_Attrition[[#This Row],[Age]]&gt;60,"60+",IF(HR_Employee_Attrition[[#This Row],[Age]]&gt;=50,"50-59",IF(HR_Employee_Attrition[[#This Row],[Age]]&gt;=40,"40-49",IF(HR_Employee_Attrition[[#This Row],[Age]]&gt;=30,"30-39",IF(HR_Employee_Attrition[[#This Row],[Age]]&gt;=20,"20-29",IF(HR_Employee_Attrition[[#This Row],[Age]]&gt;=18,"18-20"))))))</f>
        <v>40-49</v>
      </c>
      <c r="AK150" t="str" cm="1">
        <f t="array" ref="AK150">_xlfn.IFS(HR_Employee_Attrition[[#This Row],[YearsAtCompany]]&lt;=2,"0-2",HR_Employee_Attrition[[#This Row],[YearsAtCompany]]&lt;=5,"3-5",HR_Employee_Attrition[[#This Row],[YearsAtCompany]]&lt;=10,"6-10",HR_Employee_Attrition[[#This Row],[YearsAtCompany]]&gt;10,"10+")</f>
        <v>3-5</v>
      </c>
      <c r="AL150" t="str" cm="1">
        <f t="array" ref="AL1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50">
        <f>IF(HR_Employee_Attrition[[#This Row],[Attrition]]="Yes",1,0)</f>
        <v>0</v>
      </c>
    </row>
    <row r="151" spans="1:39" x14ac:dyDescent="0.3">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c r="AJ151" t="str">
        <f>IF(HR_Employee_Attrition[[#This Row],[Age]]&gt;60,"60+",IF(HR_Employee_Attrition[[#This Row],[Age]]&gt;=50,"50-59",IF(HR_Employee_Attrition[[#This Row],[Age]]&gt;=40,"40-49",IF(HR_Employee_Attrition[[#This Row],[Age]]&gt;=30,"30-39",IF(HR_Employee_Attrition[[#This Row],[Age]]&gt;=20,"20-29",IF(HR_Employee_Attrition[[#This Row],[Age]]&gt;=18,"18-20"))))))</f>
        <v>18-20</v>
      </c>
      <c r="AK151" t="str" cm="1">
        <f t="array" ref="AK151">_xlfn.IFS(HR_Employee_Attrition[[#This Row],[YearsAtCompany]]&lt;=2,"0-2",HR_Employee_Attrition[[#This Row],[YearsAtCompany]]&lt;=5,"3-5",HR_Employee_Attrition[[#This Row],[YearsAtCompany]]&lt;=10,"6-10",HR_Employee_Attrition[[#This Row],[YearsAtCompany]]&gt;10,"10+")</f>
        <v>0-2</v>
      </c>
      <c r="AL151" t="str" cm="1">
        <f t="array" ref="AL1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51">
        <f>IF(HR_Employee_Attrition[[#This Row],[Attrition]]="Yes",1,0)</f>
        <v>0</v>
      </c>
    </row>
    <row r="152" spans="1:39" x14ac:dyDescent="0.3">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c r="AJ152" t="str">
        <f>IF(HR_Employee_Attrition[[#This Row],[Age]]&gt;60,"60+",IF(HR_Employee_Attrition[[#This Row],[Age]]&gt;=50,"50-59",IF(HR_Employee_Attrition[[#This Row],[Age]]&gt;=40,"40-49",IF(HR_Employee_Attrition[[#This Row],[Age]]&gt;=30,"30-39",IF(HR_Employee_Attrition[[#This Row],[Age]]&gt;=20,"20-29",IF(HR_Employee_Attrition[[#This Row],[Age]]&gt;=18,"18-20"))))))</f>
        <v>40-49</v>
      </c>
      <c r="AK152" t="str" cm="1">
        <f t="array" ref="AK152">_xlfn.IFS(HR_Employee_Attrition[[#This Row],[YearsAtCompany]]&lt;=2,"0-2",HR_Employee_Attrition[[#This Row],[YearsAtCompany]]&lt;=5,"3-5",HR_Employee_Attrition[[#This Row],[YearsAtCompany]]&lt;=10,"6-10",HR_Employee_Attrition[[#This Row],[YearsAtCompany]]&gt;10,"10+")</f>
        <v>10+</v>
      </c>
      <c r="AL152" t="str" cm="1">
        <f t="array" ref="AL1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52">
        <f>IF(HR_Employee_Attrition[[#This Row],[Attrition]]="Yes",1,0)</f>
        <v>0</v>
      </c>
    </row>
    <row r="153" spans="1:39" x14ac:dyDescent="0.3">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c r="AJ153" t="str">
        <f>IF(HR_Employee_Attrition[[#This Row],[Age]]&gt;60,"60+",IF(HR_Employee_Attrition[[#This Row],[Age]]&gt;=50,"50-59",IF(HR_Employee_Attrition[[#This Row],[Age]]&gt;=40,"40-49",IF(HR_Employee_Attrition[[#This Row],[Age]]&gt;=30,"30-39",IF(HR_Employee_Attrition[[#This Row],[Age]]&gt;=20,"20-29",IF(HR_Employee_Attrition[[#This Row],[Age]]&gt;=18,"18-20"))))))</f>
        <v>30-39</v>
      </c>
      <c r="AK153" t="str" cm="1">
        <f t="array" ref="AK153">_xlfn.IFS(HR_Employee_Attrition[[#This Row],[YearsAtCompany]]&lt;=2,"0-2",HR_Employee_Attrition[[#This Row],[YearsAtCompany]]&lt;=5,"3-5",HR_Employee_Attrition[[#This Row],[YearsAtCompany]]&lt;=10,"6-10",HR_Employee_Attrition[[#This Row],[YearsAtCompany]]&gt;10,"10+")</f>
        <v>6-10</v>
      </c>
      <c r="AL153" t="str" cm="1">
        <f t="array" ref="AL1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53">
        <f>IF(HR_Employee_Attrition[[#This Row],[Attrition]]="Yes",1,0)</f>
        <v>0</v>
      </c>
    </row>
    <row r="154" spans="1:39" x14ac:dyDescent="0.3">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c r="AJ154" t="str">
        <f>IF(HR_Employee_Attrition[[#This Row],[Age]]&gt;60,"60+",IF(HR_Employee_Attrition[[#This Row],[Age]]&gt;=50,"50-59",IF(HR_Employee_Attrition[[#This Row],[Age]]&gt;=40,"40-49",IF(HR_Employee_Attrition[[#This Row],[Age]]&gt;=30,"30-39",IF(HR_Employee_Attrition[[#This Row],[Age]]&gt;=20,"20-29",IF(HR_Employee_Attrition[[#This Row],[Age]]&gt;=18,"18-20"))))))</f>
        <v>50-59</v>
      </c>
      <c r="AK154" t="str" cm="1">
        <f t="array" ref="AK154">_xlfn.IFS(HR_Employee_Attrition[[#This Row],[YearsAtCompany]]&lt;=2,"0-2",HR_Employee_Attrition[[#This Row],[YearsAtCompany]]&lt;=5,"3-5",HR_Employee_Attrition[[#This Row],[YearsAtCompany]]&lt;=10,"6-10",HR_Employee_Attrition[[#This Row],[YearsAtCompany]]&gt;10,"10+")</f>
        <v>6-10</v>
      </c>
      <c r="AL154" t="str" cm="1">
        <f t="array" ref="AL1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54">
        <f>IF(HR_Employee_Attrition[[#This Row],[Attrition]]="Yes",1,0)</f>
        <v>0</v>
      </c>
    </row>
    <row r="155" spans="1:39" x14ac:dyDescent="0.3">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c r="AJ155" t="str">
        <f>IF(HR_Employee_Attrition[[#This Row],[Age]]&gt;60,"60+",IF(HR_Employee_Attrition[[#This Row],[Age]]&gt;=50,"50-59",IF(HR_Employee_Attrition[[#This Row],[Age]]&gt;=40,"40-49",IF(HR_Employee_Attrition[[#This Row],[Age]]&gt;=30,"30-39",IF(HR_Employee_Attrition[[#This Row],[Age]]&gt;=20,"20-29",IF(HR_Employee_Attrition[[#This Row],[Age]]&gt;=18,"18-20"))))))</f>
        <v>40-49</v>
      </c>
      <c r="AK155" t="str" cm="1">
        <f t="array" ref="AK155">_xlfn.IFS(HR_Employee_Attrition[[#This Row],[YearsAtCompany]]&lt;=2,"0-2",HR_Employee_Attrition[[#This Row],[YearsAtCompany]]&lt;=5,"3-5",HR_Employee_Attrition[[#This Row],[YearsAtCompany]]&lt;=10,"6-10",HR_Employee_Attrition[[#This Row],[YearsAtCompany]]&gt;10,"10+")</f>
        <v>10+</v>
      </c>
      <c r="AL155" t="str" cm="1">
        <f t="array" ref="AL1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55">
        <f>IF(HR_Employee_Attrition[[#This Row],[Attrition]]="Yes",1,0)</f>
        <v>0</v>
      </c>
    </row>
    <row r="156" spans="1:39" x14ac:dyDescent="0.3">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c r="AJ156" t="str">
        <f>IF(HR_Employee_Attrition[[#This Row],[Age]]&gt;60,"60+",IF(HR_Employee_Attrition[[#This Row],[Age]]&gt;=50,"50-59",IF(HR_Employee_Attrition[[#This Row],[Age]]&gt;=40,"40-49",IF(HR_Employee_Attrition[[#This Row],[Age]]&gt;=30,"30-39",IF(HR_Employee_Attrition[[#This Row],[Age]]&gt;=20,"20-29",IF(HR_Employee_Attrition[[#This Row],[Age]]&gt;=18,"18-20"))))))</f>
        <v>30-39</v>
      </c>
      <c r="AK156" t="str" cm="1">
        <f t="array" ref="AK156">_xlfn.IFS(HR_Employee_Attrition[[#This Row],[YearsAtCompany]]&lt;=2,"0-2",HR_Employee_Attrition[[#This Row],[YearsAtCompany]]&lt;=5,"3-5",HR_Employee_Attrition[[#This Row],[YearsAtCompany]]&lt;=10,"6-10",HR_Employee_Attrition[[#This Row],[YearsAtCompany]]&gt;10,"10+")</f>
        <v>6-10</v>
      </c>
      <c r="AL156" t="str" cm="1">
        <f t="array" ref="AL1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56">
        <f>IF(HR_Employee_Attrition[[#This Row],[Attrition]]="Yes",1,0)</f>
        <v>0</v>
      </c>
    </row>
    <row r="157" spans="1:39" x14ac:dyDescent="0.3">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c r="AJ157" t="str">
        <f>IF(HR_Employee_Attrition[[#This Row],[Age]]&gt;60,"60+",IF(HR_Employee_Attrition[[#This Row],[Age]]&gt;=50,"50-59",IF(HR_Employee_Attrition[[#This Row],[Age]]&gt;=40,"40-49",IF(HR_Employee_Attrition[[#This Row],[Age]]&gt;=30,"30-39",IF(HR_Employee_Attrition[[#This Row],[Age]]&gt;=20,"20-29",IF(HR_Employee_Attrition[[#This Row],[Age]]&gt;=18,"18-20"))))))</f>
        <v>20-29</v>
      </c>
      <c r="AK157" t="str" cm="1">
        <f t="array" ref="AK157">_xlfn.IFS(HR_Employee_Attrition[[#This Row],[YearsAtCompany]]&lt;=2,"0-2",HR_Employee_Attrition[[#This Row],[YearsAtCompany]]&lt;=5,"3-5",HR_Employee_Attrition[[#This Row],[YearsAtCompany]]&lt;=10,"6-10",HR_Employee_Attrition[[#This Row],[YearsAtCompany]]&gt;10,"10+")</f>
        <v>6-10</v>
      </c>
      <c r="AL157" t="str" cm="1">
        <f t="array" ref="AL1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57">
        <f>IF(HR_Employee_Attrition[[#This Row],[Attrition]]="Yes",1,0)</f>
        <v>0</v>
      </c>
    </row>
    <row r="158" spans="1:39" x14ac:dyDescent="0.3">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c r="AJ158" t="str">
        <f>IF(HR_Employee_Attrition[[#This Row],[Age]]&gt;60,"60+",IF(HR_Employee_Attrition[[#This Row],[Age]]&gt;=50,"50-59",IF(HR_Employee_Attrition[[#This Row],[Age]]&gt;=40,"40-49",IF(HR_Employee_Attrition[[#This Row],[Age]]&gt;=30,"30-39",IF(HR_Employee_Attrition[[#This Row],[Age]]&gt;=20,"20-29",IF(HR_Employee_Attrition[[#This Row],[Age]]&gt;=18,"18-20"))))))</f>
        <v>50-59</v>
      </c>
      <c r="AK158" t="str" cm="1">
        <f t="array" ref="AK158">_xlfn.IFS(HR_Employee_Attrition[[#This Row],[YearsAtCompany]]&lt;=2,"0-2",HR_Employee_Attrition[[#This Row],[YearsAtCompany]]&lt;=5,"3-5",HR_Employee_Attrition[[#This Row],[YearsAtCompany]]&lt;=10,"6-10",HR_Employee_Attrition[[#This Row],[YearsAtCompany]]&gt;10,"10+")</f>
        <v>0-2</v>
      </c>
      <c r="AL158" t="str" cm="1">
        <f t="array" ref="AL1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58">
        <f>IF(HR_Employee_Attrition[[#This Row],[Attrition]]="Yes",1,0)</f>
        <v>0</v>
      </c>
    </row>
    <row r="159" spans="1:39" x14ac:dyDescent="0.3">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c r="AJ159" t="str">
        <f>IF(HR_Employee_Attrition[[#This Row],[Age]]&gt;60,"60+",IF(HR_Employee_Attrition[[#This Row],[Age]]&gt;=50,"50-59",IF(HR_Employee_Attrition[[#This Row],[Age]]&gt;=40,"40-49",IF(HR_Employee_Attrition[[#This Row],[Age]]&gt;=30,"30-39",IF(HR_Employee_Attrition[[#This Row],[Age]]&gt;=20,"20-29",IF(HR_Employee_Attrition[[#This Row],[Age]]&gt;=18,"18-20"))))))</f>
        <v>50-59</v>
      </c>
      <c r="AK159" t="str" cm="1">
        <f t="array" ref="AK159">_xlfn.IFS(HR_Employee_Attrition[[#This Row],[YearsAtCompany]]&lt;=2,"0-2",HR_Employee_Attrition[[#This Row],[YearsAtCompany]]&lt;=5,"3-5",HR_Employee_Attrition[[#This Row],[YearsAtCompany]]&lt;=10,"6-10",HR_Employee_Attrition[[#This Row],[YearsAtCompany]]&gt;10,"10+")</f>
        <v>0-2</v>
      </c>
      <c r="AL159" t="str" cm="1">
        <f t="array" ref="AL1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59">
        <f>IF(HR_Employee_Attrition[[#This Row],[Attrition]]="Yes",1,0)</f>
        <v>0</v>
      </c>
    </row>
    <row r="160" spans="1:39" x14ac:dyDescent="0.3">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c r="AJ160" t="str">
        <f>IF(HR_Employee_Attrition[[#This Row],[Age]]&gt;60,"60+",IF(HR_Employee_Attrition[[#This Row],[Age]]&gt;=50,"50-59",IF(HR_Employee_Attrition[[#This Row],[Age]]&gt;=40,"40-49",IF(HR_Employee_Attrition[[#This Row],[Age]]&gt;=30,"30-39",IF(HR_Employee_Attrition[[#This Row],[Age]]&gt;=20,"20-29",IF(HR_Employee_Attrition[[#This Row],[Age]]&gt;=18,"18-20"))))))</f>
        <v>40-49</v>
      </c>
      <c r="AK160" t="str" cm="1">
        <f t="array" ref="AK160">_xlfn.IFS(HR_Employee_Attrition[[#This Row],[YearsAtCompany]]&lt;=2,"0-2",HR_Employee_Attrition[[#This Row],[YearsAtCompany]]&lt;=5,"3-5",HR_Employee_Attrition[[#This Row],[YearsAtCompany]]&lt;=10,"6-10",HR_Employee_Attrition[[#This Row],[YearsAtCompany]]&gt;10,"10+")</f>
        <v>10+</v>
      </c>
      <c r="AL160" t="str" cm="1">
        <f t="array" ref="AL1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60">
        <f>IF(HR_Employee_Attrition[[#This Row],[Attrition]]="Yes",1,0)</f>
        <v>0</v>
      </c>
    </row>
    <row r="161" spans="1:39" x14ac:dyDescent="0.3">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c r="AJ161" t="str">
        <f>IF(HR_Employee_Attrition[[#This Row],[Age]]&gt;60,"60+",IF(HR_Employee_Attrition[[#This Row],[Age]]&gt;=50,"50-59",IF(HR_Employee_Attrition[[#This Row],[Age]]&gt;=40,"40-49",IF(HR_Employee_Attrition[[#This Row],[Age]]&gt;=30,"30-39",IF(HR_Employee_Attrition[[#This Row],[Age]]&gt;=20,"20-29",IF(HR_Employee_Attrition[[#This Row],[Age]]&gt;=18,"18-20"))))))</f>
        <v>30-39</v>
      </c>
      <c r="AK161" t="str" cm="1">
        <f t="array" ref="AK161">_xlfn.IFS(HR_Employee_Attrition[[#This Row],[YearsAtCompany]]&lt;=2,"0-2",HR_Employee_Attrition[[#This Row],[YearsAtCompany]]&lt;=5,"3-5",HR_Employee_Attrition[[#This Row],[YearsAtCompany]]&lt;=10,"6-10",HR_Employee_Attrition[[#This Row],[YearsAtCompany]]&gt;10,"10+")</f>
        <v>3-5</v>
      </c>
      <c r="AL161" t="str" cm="1">
        <f t="array" ref="AL1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61">
        <f>IF(HR_Employee_Attrition[[#This Row],[Attrition]]="Yes",1,0)</f>
        <v>0</v>
      </c>
    </row>
    <row r="162" spans="1:39" x14ac:dyDescent="0.3">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c r="AJ162" t="str">
        <f>IF(HR_Employee_Attrition[[#This Row],[Age]]&gt;60,"60+",IF(HR_Employee_Attrition[[#This Row],[Age]]&gt;=50,"50-59",IF(HR_Employee_Attrition[[#This Row],[Age]]&gt;=40,"40-49",IF(HR_Employee_Attrition[[#This Row],[Age]]&gt;=30,"30-39",IF(HR_Employee_Attrition[[#This Row],[Age]]&gt;=20,"20-29",IF(HR_Employee_Attrition[[#This Row],[Age]]&gt;=18,"18-20"))))))</f>
        <v>20-29</v>
      </c>
      <c r="AK162" t="str" cm="1">
        <f t="array" ref="AK162">_xlfn.IFS(HR_Employee_Attrition[[#This Row],[YearsAtCompany]]&lt;=2,"0-2",HR_Employee_Attrition[[#This Row],[YearsAtCompany]]&lt;=5,"3-5",HR_Employee_Attrition[[#This Row],[YearsAtCompany]]&lt;=10,"6-10",HR_Employee_Attrition[[#This Row],[YearsAtCompany]]&gt;10,"10+")</f>
        <v>0-2</v>
      </c>
      <c r="AL162" t="str" cm="1">
        <f t="array" ref="AL1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62">
        <f>IF(HR_Employee_Attrition[[#This Row],[Attrition]]="Yes",1,0)</f>
        <v>0</v>
      </c>
    </row>
    <row r="163" spans="1:39" x14ac:dyDescent="0.3">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c r="AJ163" t="str">
        <f>IF(HR_Employee_Attrition[[#This Row],[Age]]&gt;60,"60+",IF(HR_Employee_Attrition[[#This Row],[Age]]&gt;=50,"50-59",IF(HR_Employee_Attrition[[#This Row],[Age]]&gt;=40,"40-49",IF(HR_Employee_Attrition[[#This Row],[Age]]&gt;=30,"30-39",IF(HR_Employee_Attrition[[#This Row],[Age]]&gt;=20,"20-29",IF(HR_Employee_Attrition[[#This Row],[Age]]&gt;=18,"18-20"))))))</f>
        <v>20-29</v>
      </c>
      <c r="AK163" t="str" cm="1">
        <f t="array" ref="AK163">_xlfn.IFS(HR_Employee_Attrition[[#This Row],[YearsAtCompany]]&lt;=2,"0-2",HR_Employee_Attrition[[#This Row],[YearsAtCompany]]&lt;=5,"3-5",HR_Employee_Attrition[[#This Row],[YearsAtCompany]]&lt;=10,"6-10",HR_Employee_Attrition[[#This Row],[YearsAtCompany]]&gt;10,"10+")</f>
        <v>0-2</v>
      </c>
      <c r="AL163" t="str" cm="1">
        <f t="array" ref="AL1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63">
        <f>IF(HR_Employee_Attrition[[#This Row],[Attrition]]="Yes",1,0)</f>
        <v>0</v>
      </c>
    </row>
    <row r="164" spans="1:39" x14ac:dyDescent="0.3">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c r="AJ164" t="str">
        <f>IF(HR_Employee_Attrition[[#This Row],[Age]]&gt;60,"60+",IF(HR_Employee_Attrition[[#This Row],[Age]]&gt;=50,"50-59",IF(HR_Employee_Attrition[[#This Row],[Age]]&gt;=40,"40-49",IF(HR_Employee_Attrition[[#This Row],[Age]]&gt;=30,"30-39",IF(HR_Employee_Attrition[[#This Row],[Age]]&gt;=20,"20-29",IF(HR_Employee_Attrition[[#This Row],[Age]]&gt;=18,"18-20"))))))</f>
        <v>20-29</v>
      </c>
      <c r="AK164" t="str" cm="1">
        <f t="array" ref="AK164">_xlfn.IFS(HR_Employee_Attrition[[#This Row],[YearsAtCompany]]&lt;=2,"0-2",HR_Employee_Attrition[[#This Row],[YearsAtCompany]]&lt;=5,"3-5",HR_Employee_Attrition[[#This Row],[YearsAtCompany]]&lt;=10,"6-10",HR_Employee_Attrition[[#This Row],[YearsAtCompany]]&gt;10,"10+")</f>
        <v>3-5</v>
      </c>
      <c r="AL164" t="str" cm="1">
        <f t="array" ref="AL1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64">
        <f>IF(HR_Employee_Attrition[[#This Row],[Attrition]]="Yes",1,0)</f>
        <v>0</v>
      </c>
    </row>
    <row r="165" spans="1:39" x14ac:dyDescent="0.3">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c r="AJ165" t="str">
        <f>IF(HR_Employee_Attrition[[#This Row],[Age]]&gt;60,"60+",IF(HR_Employee_Attrition[[#This Row],[Age]]&gt;=50,"50-59",IF(HR_Employee_Attrition[[#This Row],[Age]]&gt;=40,"40-49",IF(HR_Employee_Attrition[[#This Row],[Age]]&gt;=30,"30-39",IF(HR_Employee_Attrition[[#This Row],[Age]]&gt;=20,"20-29",IF(HR_Employee_Attrition[[#This Row],[Age]]&gt;=18,"18-20"))))))</f>
        <v>50-59</v>
      </c>
      <c r="AK165" t="str" cm="1">
        <f t="array" ref="AK165">_xlfn.IFS(HR_Employee_Attrition[[#This Row],[YearsAtCompany]]&lt;=2,"0-2",HR_Employee_Attrition[[#This Row],[YearsAtCompany]]&lt;=5,"3-5",HR_Employee_Attrition[[#This Row],[YearsAtCompany]]&lt;=10,"6-10",HR_Employee_Attrition[[#This Row],[YearsAtCompany]]&gt;10,"10+")</f>
        <v>3-5</v>
      </c>
      <c r="AL165" t="str" cm="1">
        <f t="array" ref="AL1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65">
        <f>IF(HR_Employee_Attrition[[#This Row],[Attrition]]="Yes",1,0)</f>
        <v>0</v>
      </c>
    </row>
    <row r="166" spans="1:39" x14ac:dyDescent="0.3">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c r="AJ166" t="str">
        <f>IF(HR_Employee_Attrition[[#This Row],[Age]]&gt;60,"60+",IF(HR_Employee_Attrition[[#This Row],[Age]]&gt;=50,"50-59",IF(HR_Employee_Attrition[[#This Row],[Age]]&gt;=40,"40-49",IF(HR_Employee_Attrition[[#This Row],[Age]]&gt;=30,"30-39",IF(HR_Employee_Attrition[[#This Row],[Age]]&gt;=20,"20-29",IF(HR_Employee_Attrition[[#This Row],[Age]]&gt;=18,"18-20"))))))</f>
        <v>20-29</v>
      </c>
      <c r="AK166" t="str" cm="1">
        <f t="array" ref="AK166">_xlfn.IFS(HR_Employee_Attrition[[#This Row],[YearsAtCompany]]&lt;=2,"0-2",HR_Employee_Attrition[[#This Row],[YearsAtCompany]]&lt;=5,"3-5",HR_Employee_Attrition[[#This Row],[YearsAtCompany]]&lt;=10,"6-10",HR_Employee_Attrition[[#This Row],[YearsAtCompany]]&gt;10,"10+")</f>
        <v>0-2</v>
      </c>
      <c r="AL166" t="str" cm="1">
        <f t="array" ref="AL1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66">
        <f>IF(HR_Employee_Attrition[[#This Row],[Attrition]]="Yes",1,0)</f>
        <v>0</v>
      </c>
    </row>
    <row r="167" spans="1:39" x14ac:dyDescent="0.3">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c r="AJ167" t="str">
        <f>IF(HR_Employee_Attrition[[#This Row],[Age]]&gt;60,"60+",IF(HR_Employee_Attrition[[#This Row],[Age]]&gt;=50,"50-59",IF(HR_Employee_Attrition[[#This Row],[Age]]&gt;=40,"40-49",IF(HR_Employee_Attrition[[#This Row],[Age]]&gt;=30,"30-39",IF(HR_Employee_Attrition[[#This Row],[Age]]&gt;=20,"20-29",IF(HR_Employee_Attrition[[#This Row],[Age]]&gt;=18,"18-20"))))))</f>
        <v>50-59</v>
      </c>
      <c r="AK167" t="str" cm="1">
        <f t="array" ref="AK167">_xlfn.IFS(HR_Employee_Attrition[[#This Row],[YearsAtCompany]]&lt;=2,"0-2",HR_Employee_Attrition[[#This Row],[YearsAtCompany]]&lt;=5,"3-5",HR_Employee_Attrition[[#This Row],[YearsAtCompany]]&lt;=10,"6-10",HR_Employee_Attrition[[#This Row],[YearsAtCompany]]&gt;10,"10+")</f>
        <v>3-5</v>
      </c>
      <c r="AL167" t="str" cm="1">
        <f t="array" ref="AL1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67">
        <f>IF(HR_Employee_Attrition[[#This Row],[Attrition]]="Yes",1,0)</f>
        <v>0</v>
      </c>
    </row>
    <row r="168" spans="1:39" x14ac:dyDescent="0.3">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c r="AJ168" t="str">
        <f>IF(HR_Employee_Attrition[[#This Row],[Age]]&gt;60,"60+",IF(HR_Employee_Attrition[[#This Row],[Age]]&gt;=50,"50-59",IF(HR_Employee_Attrition[[#This Row],[Age]]&gt;=40,"40-49",IF(HR_Employee_Attrition[[#This Row],[Age]]&gt;=30,"30-39",IF(HR_Employee_Attrition[[#This Row],[Age]]&gt;=20,"20-29",IF(HR_Employee_Attrition[[#This Row],[Age]]&gt;=18,"18-20"))))))</f>
        <v>40-49</v>
      </c>
      <c r="AK168" t="str" cm="1">
        <f t="array" ref="AK168">_xlfn.IFS(HR_Employee_Attrition[[#This Row],[YearsAtCompany]]&lt;=2,"0-2",HR_Employee_Attrition[[#This Row],[YearsAtCompany]]&lt;=5,"3-5",HR_Employee_Attrition[[#This Row],[YearsAtCompany]]&lt;=10,"6-10",HR_Employee_Attrition[[#This Row],[YearsAtCompany]]&gt;10,"10+")</f>
        <v>6-10</v>
      </c>
      <c r="AL168" t="str" cm="1">
        <f t="array" ref="AL1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68">
        <f>IF(HR_Employee_Attrition[[#This Row],[Attrition]]="Yes",1,0)</f>
        <v>0</v>
      </c>
    </row>
    <row r="169" spans="1:39" x14ac:dyDescent="0.3">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c r="AJ169" t="str">
        <f>IF(HR_Employee_Attrition[[#This Row],[Age]]&gt;60,"60+",IF(HR_Employee_Attrition[[#This Row],[Age]]&gt;=50,"50-59",IF(HR_Employee_Attrition[[#This Row],[Age]]&gt;=40,"40-49",IF(HR_Employee_Attrition[[#This Row],[Age]]&gt;=30,"30-39",IF(HR_Employee_Attrition[[#This Row],[Age]]&gt;=20,"20-29",IF(HR_Employee_Attrition[[#This Row],[Age]]&gt;=18,"18-20"))))))</f>
        <v>30-39</v>
      </c>
      <c r="AK169" t="str" cm="1">
        <f t="array" ref="AK169">_xlfn.IFS(HR_Employee_Attrition[[#This Row],[YearsAtCompany]]&lt;=2,"0-2",HR_Employee_Attrition[[#This Row],[YearsAtCompany]]&lt;=5,"3-5",HR_Employee_Attrition[[#This Row],[YearsAtCompany]]&lt;=10,"6-10",HR_Employee_Attrition[[#This Row],[YearsAtCompany]]&gt;10,"10+")</f>
        <v>6-10</v>
      </c>
      <c r="AL169" t="str" cm="1">
        <f t="array" ref="AL1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69">
        <f>IF(HR_Employee_Attrition[[#This Row],[Attrition]]="Yes",1,0)</f>
        <v>0</v>
      </c>
    </row>
    <row r="170" spans="1:39" x14ac:dyDescent="0.3">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c r="AJ170" t="str">
        <f>IF(HR_Employee_Attrition[[#This Row],[Age]]&gt;60,"60+",IF(HR_Employee_Attrition[[#This Row],[Age]]&gt;=50,"50-59",IF(HR_Employee_Attrition[[#This Row],[Age]]&gt;=40,"40-49",IF(HR_Employee_Attrition[[#This Row],[Age]]&gt;=30,"30-39",IF(HR_Employee_Attrition[[#This Row],[Age]]&gt;=20,"20-29",IF(HR_Employee_Attrition[[#This Row],[Age]]&gt;=18,"18-20"))))))</f>
        <v>30-39</v>
      </c>
      <c r="AK170" t="str" cm="1">
        <f t="array" ref="AK170">_xlfn.IFS(HR_Employee_Attrition[[#This Row],[YearsAtCompany]]&lt;=2,"0-2",HR_Employee_Attrition[[#This Row],[YearsAtCompany]]&lt;=5,"3-5",HR_Employee_Attrition[[#This Row],[YearsAtCompany]]&lt;=10,"6-10",HR_Employee_Attrition[[#This Row],[YearsAtCompany]]&gt;10,"10+")</f>
        <v>6-10</v>
      </c>
      <c r="AL170" t="str" cm="1">
        <f t="array" ref="AL1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70">
        <f>IF(HR_Employee_Attrition[[#This Row],[Attrition]]="Yes",1,0)</f>
        <v>0</v>
      </c>
    </row>
    <row r="171" spans="1:39" x14ac:dyDescent="0.3">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c r="AJ171" t="str">
        <f>IF(HR_Employee_Attrition[[#This Row],[Age]]&gt;60,"60+",IF(HR_Employee_Attrition[[#This Row],[Age]]&gt;=50,"50-59",IF(HR_Employee_Attrition[[#This Row],[Age]]&gt;=40,"40-49",IF(HR_Employee_Attrition[[#This Row],[Age]]&gt;=30,"30-39",IF(HR_Employee_Attrition[[#This Row],[Age]]&gt;=20,"20-29",IF(HR_Employee_Attrition[[#This Row],[Age]]&gt;=18,"18-20"))))))</f>
        <v>30-39</v>
      </c>
      <c r="AK171" t="str" cm="1">
        <f t="array" ref="AK171">_xlfn.IFS(HR_Employee_Attrition[[#This Row],[YearsAtCompany]]&lt;=2,"0-2",HR_Employee_Attrition[[#This Row],[YearsAtCompany]]&lt;=5,"3-5",HR_Employee_Attrition[[#This Row],[YearsAtCompany]]&lt;=10,"6-10",HR_Employee_Attrition[[#This Row],[YearsAtCompany]]&gt;10,"10+")</f>
        <v>3-5</v>
      </c>
      <c r="AL171" t="str" cm="1">
        <f t="array" ref="AL1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1">
        <f>IF(HR_Employee_Attrition[[#This Row],[Attrition]]="Yes",1,0)</f>
        <v>0</v>
      </c>
    </row>
    <row r="172" spans="1:39" x14ac:dyDescent="0.3">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c r="AJ172" t="str">
        <f>IF(HR_Employee_Attrition[[#This Row],[Age]]&gt;60,"60+",IF(HR_Employee_Attrition[[#This Row],[Age]]&gt;=50,"50-59",IF(HR_Employee_Attrition[[#This Row],[Age]]&gt;=40,"40-49",IF(HR_Employee_Attrition[[#This Row],[Age]]&gt;=30,"30-39",IF(HR_Employee_Attrition[[#This Row],[Age]]&gt;=20,"20-29",IF(HR_Employee_Attrition[[#This Row],[Age]]&gt;=18,"18-20"))))))</f>
        <v>20-29</v>
      </c>
      <c r="AK172" t="str" cm="1">
        <f t="array" ref="AK172">_xlfn.IFS(HR_Employee_Attrition[[#This Row],[YearsAtCompany]]&lt;=2,"0-2",HR_Employee_Attrition[[#This Row],[YearsAtCompany]]&lt;=5,"3-5",HR_Employee_Attrition[[#This Row],[YearsAtCompany]]&lt;=10,"6-10",HR_Employee_Attrition[[#This Row],[YearsAtCompany]]&gt;10,"10+")</f>
        <v>3-5</v>
      </c>
      <c r="AL172" t="str" cm="1">
        <f t="array" ref="AL1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2">
        <f>IF(HR_Employee_Attrition[[#This Row],[Attrition]]="Yes",1,0)</f>
        <v>0</v>
      </c>
    </row>
    <row r="173" spans="1:39" x14ac:dyDescent="0.3">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c r="AJ173" t="str">
        <f>IF(HR_Employee_Attrition[[#This Row],[Age]]&gt;60,"60+",IF(HR_Employee_Attrition[[#This Row],[Age]]&gt;=50,"50-59",IF(HR_Employee_Attrition[[#This Row],[Age]]&gt;=40,"40-49",IF(HR_Employee_Attrition[[#This Row],[Age]]&gt;=30,"30-39",IF(HR_Employee_Attrition[[#This Row],[Age]]&gt;=20,"20-29",IF(HR_Employee_Attrition[[#This Row],[Age]]&gt;=18,"18-20"))))))</f>
        <v>18-20</v>
      </c>
      <c r="AK173" t="str" cm="1">
        <f t="array" ref="AK173">_xlfn.IFS(HR_Employee_Attrition[[#This Row],[YearsAtCompany]]&lt;=2,"0-2",HR_Employee_Attrition[[#This Row],[YearsAtCompany]]&lt;=5,"3-5",HR_Employee_Attrition[[#This Row],[YearsAtCompany]]&lt;=10,"6-10",HR_Employee_Attrition[[#This Row],[YearsAtCompany]]&gt;10,"10+")</f>
        <v>0-2</v>
      </c>
      <c r="AL173" t="str" cm="1">
        <f t="array" ref="AL1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3">
        <f>IF(HR_Employee_Attrition[[#This Row],[Attrition]]="Yes",1,0)</f>
        <v>1</v>
      </c>
    </row>
    <row r="174" spans="1:39" x14ac:dyDescent="0.3">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c r="AJ174" t="str">
        <f>IF(HR_Employee_Attrition[[#This Row],[Age]]&gt;60,"60+",IF(HR_Employee_Attrition[[#This Row],[Age]]&gt;=50,"50-59",IF(HR_Employee_Attrition[[#This Row],[Age]]&gt;=40,"40-49",IF(HR_Employee_Attrition[[#This Row],[Age]]&gt;=30,"30-39",IF(HR_Employee_Attrition[[#This Row],[Age]]&gt;=20,"20-29",IF(HR_Employee_Attrition[[#This Row],[Age]]&gt;=18,"18-20"))))))</f>
        <v>30-39</v>
      </c>
      <c r="AK174" t="str" cm="1">
        <f t="array" ref="AK174">_xlfn.IFS(HR_Employee_Attrition[[#This Row],[YearsAtCompany]]&lt;=2,"0-2",HR_Employee_Attrition[[#This Row],[YearsAtCompany]]&lt;=5,"3-5",HR_Employee_Attrition[[#This Row],[YearsAtCompany]]&lt;=10,"6-10",HR_Employee_Attrition[[#This Row],[YearsAtCompany]]&gt;10,"10+")</f>
        <v>6-10</v>
      </c>
      <c r="AL174" t="str" cm="1">
        <f t="array" ref="AL1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4">
        <f>IF(HR_Employee_Attrition[[#This Row],[Attrition]]="Yes",1,0)</f>
        <v>0</v>
      </c>
    </row>
    <row r="175" spans="1:39" x14ac:dyDescent="0.3">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c r="AJ175" t="str">
        <f>IF(HR_Employee_Attrition[[#This Row],[Age]]&gt;60,"60+",IF(HR_Employee_Attrition[[#This Row],[Age]]&gt;=50,"50-59",IF(HR_Employee_Attrition[[#This Row],[Age]]&gt;=40,"40-49",IF(HR_Employee_Attrition[[#This Row],[Age]]&gt;=30,"30-39",IF(HR_Employee_Attrition[[#This Row],[Age]]&gt;=20,"20-29",IF(HR_Employee_Attrition[[#This Row],[Age]]&gt;=18,"18-20"))))))</f>
        <v>30-39</v>
      </c>
      <c r="AK175" t="str" cm="1">
        <f t="array" ref="AK175">_xlfn.IFS(HR_Employee_Attrition[[#This Row],[YearsAtCompany]]&lt;=2,"0-2",HR_Employee_Attrition[[#This Row],[YearsAtCompany]]&lt;=5,"3-5",HR_Employee_Attrition[[#This Row],[YearsAtCompany]]&lt;=10,"6-10",HR_Employee_Attrition[[#This Row],[YearsAtCompany]]&gt;10,"10+")</f>
        <v>10+</v>
      </c>
      <c r="AL175" t="str" cm="1">
        <f t="array" ref="AL1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5">
        <f>IF(HR_Employee_Attrition[[#This Row],[Attrition]]="Yes",1,0)</f>
        <v>0</v>
      </c>
    </row>
    <row r="176" spans="1:39" x14ac:dyDescent="0.3">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c r="AJ176" t="str">
        <f>IF(HR_Employee_Attrition[[#This Row],[Age]]&gt;60,"60+",IF(HR_Employee_Attrition[[#This Row],[Age]]&gt;=50,"50-59",IF(HR_Employee_Attrition[[#This Row],[Age]]&gt;=40,"40-49",IF(HR_Employee_Attrition[[#This Row],[Age]]&gt;=30,"30-39",IF(HR_Employee_Attrition[[#This Row],[Age]]&gt;=20,"20-29",IF(HR_Employee_Attrition[[#This Row],[Age]]&gt;=18,"18-20"))))))</f>
        <v>40-49</v>
      </c>
      <c r="AK176" t="str" cm="1">
        <f t="array" ref="AK176">_xlfn.IFS(HR_Employee_Attrition[[#This Row],[YearsAtCompany]]&lt;=2,"0-2",HR_Employee_Attrition[[#This Row],[YearsAtCompany]]&lt;=5,"3-5",HR_Employee_Attrition[[#This Row],[YearsAtCompany]]&lt;=10,"6-10",HR_Employee_Attrition[[#This Row],[YearsAtCompany]]&gt;10,"10+")</f>
        <v>3-5</v>
      </c>
      <c r="AL176" t="str" cm="1">
        <f t="array" ref="AL1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76">
        <f>IF(HR_Employee_Attrition[[#This Row],[Attrition]]="Yes",1,0)</f>
        <v>0</v>
      </c>
    </row>
    <row r="177" spans="1:39" x14ac:dyDescent="0.3">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c r="AJ177" t="str">
        <f>IF(HR_Employee_Attrition[[#This Row],[Age]]&gt;60,"60+",IF(HR_Employee_Attrition[[#This Row],[Age]]&gt;=50,"50-59",IF(HR_Employee_Attrition[[#This Row],[Age]]&gt;=40,"40-49",IF(HR_Employee_Attrition[[#This Row],[Age]]&gt;=30,"30-39",IF(HR_Employee_Attrition[[#This Row],[Age]]&gt;=20,"20-29",IF(HR_Employee_Attrition[[#This Row],[Age]]&gt;=18,"18-20"))))))</f>
        <v>50-59</v>
      </c>
      <c r="AK177" t="str" cm="1">
        <f t="array" ref="AK177">_xlfn.IFS(HR_Employee_Attrition[[#This Row],[YearsAtCompany]]&lt;=2,"0-2",HR_Employee_Attrition[[#This Row],[YearsAtCompany]]&lt;=5,"3-5",HR_Employee_Attrition[[#This Row],[YearsAtCompany]]&lt;=10,"6-10",HR_Employee_Attrition[[#This Row],[YearsAtCompany]]&gt;10,"10+")</f>
        <v>0-2</v>
      </c>
      <c r="AL177" t="str" cm="1">
        <f t="array" ref="AL1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7">
        <f>IF(HR_Employee_Attrition[[#This Row],[Attrition]]="Yes",1,0)</f>
        <v>0</v>
      </c>
    </row>
    <row r="178" spans="1:39" x14ac:dyDescent="0.3">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c r="AJ178" t="str">
        <f>IF(HR_Employee_Attrition[[#This Row],[Age]]&gt;60,"60+",IF(HR_Employee_Attrition[[#This Row],[Age]]&gt;=50,"50-59",IF(HR_Employee_Attrition[[#This Row],[Age]]&gt;=40,"40-49",IF(HR_Employee_Attrition[[#This Row],[Age]]&gt;=30,"30-39",IF(HR_Employee_Attrition[[#This Row],[Age]]&gt;=20,"20-29",IF(HR_Employee_Attrition[[#This Row],[Age]]&gt;=18,"18-20"))))))</f>
        <v>30-39</v>
      </c>
      <c r="AK178" t="str" cm="1">
        <f t="array" ref="AK178">_xlfn.IFS(HR_Employee_Attrition[[#This Row],[YearsAtCompany]]&lt;=2,"0-2",HR_Employee_Attrition[[#This Row],[YearsAtCompany]]&lt;=5,"3-5",HR_Employee_Attrition[[#This Row],[YearsAtCompany]]&lt;=10,"6-10",HR_Employee_Attrition[[#This Row],[YearsAtCompany]]&gt;10,"10+")</f>
        <v>3-5</v>
      </c>
      <c r="AL178" t="str" cm="1">
        <f t="array" ref="AL1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8">
        <f>IF(HR_Employee_Attrition[[#This Row],[Attrition]]="Yes",1,0)</f>
        <v>0</v>
      </c>
    </row>
    <row r="179" spans="1:39" x14ac:dyDescent="0.3">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c r="AJ179" t="str">
        <f>IF(HR_Employee_Attrition[[#This Row],[Age]]&gt;60,"60+",IF(HR_Employee_Attrition[[#This Row],[Age]]&gt;=50,"50-59",IF(HR_Employee_Attrition[[#This Row],[Age]]&gt;=40,"40-49",IF(HR_Employee_Attrition[[#This Row],[Age]]&gt;=30,"30-39",IF(HR_Employee_Attrition[[#This Row],[Age]]&gt;=20,"20-29",IF(HR_Employee_Attrition[[#This Row],[Age]]&gt;=18,"18-20"))))))</f>
        <v>18-20</v>
      </c>
      <c r="AK179" t="str" cm="1">
        <f t="array" ref="AK179">_xlfn.IFS(HR_Employee_Attrition[[#This Row],[YearsAtCompany]]&lt;=2,"0-2",HR_Employee_Attrition[[#This Row],[YearsAtCompany]]&lt;=5,"3-5",HR_Employee_Attrition[[#This Row],[YearsAtCompany]]&lt;=10,"6-10",HR_Employee_Attrition[[#This Row],[YearsAtCompany]]&gt;10,"10+")</f>
        <v>0-2</v>
      </c>
      <c r="AL179" t="str" cm="1">
        <f t="array" ref="AL1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9">
        <f>IF(HR_Employee_Attrition[[#This Row],[Attrition]]="Yes",1,0)</f>
        <v>1</v>
      </c>
    </row>
    <row r="180" spans="1:39" x14ac:dyDescent="0.3">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c r="AJ180" t="str">
        <f>IF(HR_Employee_Attrition[[#This Row],[Age]]&gt;60,"60+",IF(HR_Employee_Attrition[[#This Row],[Age]]&gt;=50,"50-59",IF(HR_Employee_Attrition[[#This Row],[Age]]&gt;=40,"40-49",IF(HR_Employee_Attrition[[#This Row],[Age]]&gt;=30,"30-39",IF(HR_Employee_Attrition[[#This Row],[Age]]&gt;=20,"20-29",IF(HR_Employee_Attrition[[#This Row],[Age]]&gt;=18,"18-20"))))))</f>
        <v>40-49</v>
      </c>
      <c r="AK180" t="str" cm="1">
        <f t="array" ref="AK180">_xlfn.IFS(HR_Employee_Attrition[[#This Row],[YearsAtCompany]]&lt;=2,"0-2",HR_Employee_Attrition[[#This Row],[YearsAtCompany]]&lt;=5,"3-5",HR_Employee_Attrition[[#This Row],[YearsAtCompany]]&lt;=10,"6-10",HR_Employee_Attrition[[#This Row],[YearsAtCompany]]&gt;10,"10+")</f>
        <v>10+</v>
      </c>
      <c r="AL180" t="str" cm="1">
        <f t="array" ref="AL1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80">
        <f>IF(HR_Employee_Attrition[[#This Row],[Attrition]]="Yes",1,0)</f>
        <v>0</v>
      </c>
    </row>
    <row r="181" spans="1:39" x14ac:dyDescent="0.3">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c r="AJ181" t="str">
        <f>IF(HR_Employee_Attrition[[#This Row],[Age]]&gt;60,"60+",IF(HR_Employee_Attrition[[#This Row],[Age]]&gt;=50,"50-59",IF(HR_Employee_Attrition[[#This Row],[Age]]&gt;=40,"40-49",IF(HR_Employee_Attrition[[#This Row],[Age]]&gt;=30,"30-39",IF(HR_Employee_Attrition[[#This Row],[Age]]&gt;=20,"20-29",IF(HR_Employee_Attrition[[#This Row],[Age]]&gt;=18,"18-20"))))))</f>
        <v>30-39</v>
      </c>
      <c r="AK181" t="str" cm="1">
        <f t="array" ref="AK181">_xlfn.IFS(HR_Employee_Attrition[[#This Row],[YearsAtCompany]]&lt;=2,"0-2",HR_Employee_Attrition[[#This Row],[YearsAtCompany]]&lt;=5,"3-5",HR_Employee_Attrition[[#This Row],[YearsAtCompany]]&lt;=10,"6-10",HR_Employee_Attrition[[#This Row],[YearsAtCompany]]&gt;10,"10+")</f>
        <v>0-2</v>
      </c>
      <c r="AL181" t="str" cm="1">
        <f t="array" ref="AL1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1">
        <f>IF(HR_Employee_Attrition[[#This Row],[Attrition]]="Yes",1,0)</f>
        <v>0</v>
      </c>
    </row>
    <row r="182" spans="1:39" x14ac:dyDescent="0.3">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c r="AJ182" t="str">
        <f>IF(HR_Employee_Attrition[[#This Row],[Age]]&gt;60,"60+",IF(HR_Employee_Attrition[[#This Row],[Age]]&gt;=50,"50-59",IF(HR_Employee_Attrition[[#This Row],[Age]]&gt;=40,"40-49",IF(HR_Employee_Attrition[[#This Row],[Age]]&gt;=30,"30-39",IF(HR_Employee_Attrition[[#This Row],[Age]]&gt;=20,"20-29",IF(HR_Employee_Attrition[[#This Row],[Age]]&gt;=18,"18-20"))))))</f>
        <v>30-39</v>
      </c>
      <c r="AK182" t="str" cm="1">
        <f t="array" ref="AK182">_xlfn.IFS(HR_Employee_Attrition[[#This Row],[YearsAtCompany]]&lt;=2,"0-2",HR_Employee_Attrition[[#This Row],[YearsAtCompany]]&lt;=5,"3-5",HR_Employee_Attrition[[#This Row],[YearsAtCompany]]&lt;=10,"6-10",HR_Employee_Attrition[[#This Row],[YearsAtCompany]]&gt;10,"10+")</f>
        <v>3-5</v>
      </c>
      <c r="AL182" t="str" cm="1">
        <f t="array" ref="AL1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2">
        <f>IF(HR_Employee_Attrition[[#This Row],[Attrition]]="Yes",1,0)</f>
        <v>0</v>
      </c>
    </row>
    <row r="183" spans="1:39" x14ac:dyDescent="0.3">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c r="AJ183" t="str">
        <f>IF(HR_Employee_Attrition[[#This Row],[Age]]&gt;60,"60+",IF(HR_Employee_Attrition[[#This Row],[Age]]&gt;=50,"50-59",IF(HR_Employee_Attrition[[#This Row],[Age]]&gt;=40,"40-49",IF(HR_Employee_Attrition[[#This Row],[Age]]&gt;=30,"30-39",IF(HR_Employee_Attrition[[#This Row],[Age]]&gt;=20,"20-29",IF(HR_Employee_Attrition[[#This Row],[Age]]&gt;=18,"18-20"))))))</f>
        <v>30-39</v>
      </c>
      <c r="AK183" t="str" cm="1">
        <f t="array" ref="AK183">_xlfn.IFS(HR_Employee_Attrition[[#This Row],[YearsAtCompany]]&lt;=2,"0-2",HR_Employee_Attrition[[#This Row],[YearsAtCompany]]&lt;=5,"3-5",HR_Employee_Attrition[[#This Row],[YearsAtCompany]]&lt;=10,"6-10",HR_Employee_Attrition[[#This Row],[YearsAtCompany]]&gt;10,"10+")</f>
        <v>3-5</v>
      </c>
      <c r="AL183" t="str" cm="1">
        <f t="array" ref="AL1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3">
        <f>IF(HR_Employee_Attrition[[#This Row],[Attrition]]="Yes",1,0)</f>
        <v>0</v>
      </c>
    </row>
    <row r="184" spans="1:39" x14ac:dyDescent="0.3">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c r="AJ184" t="str">
        <f>IF(HR_Employee_Attrition[[#This Row],[Age]]&gt;60,"60+",IF(HR_Employee_Attrition[[#This Row],[Age]]&gt;=50,"50-59",IF(HR_Employee_Attrition[[#This Row],[Age]]&gt;=40,"40-49",IF(HR_Employee_Attrition[[#This Row],[Age]]&gt;=30,"30-39",IF(HR_Employee_Attrition[[#This Row],[Age]]&gt;=20,"20-29",IF(HR_Employee_Attrition[[#This Row],[Age]]&gt;=18,"18-20"))))))</f>
        <v>40-49</v>
      </c>
      <c r="AK184" t="str" cm="1">
        <f t="array" ref="AK184">_xlfn.IFS(HR_Employee_Attrition[[#This Row],[YearsAtCompany]]&lt;=2,"0-2",HR_Employee_Attrition[[#This Row],[YearsAtCompany]]&lt;=5,"3-5",HR_Employee_Attrition[[#This Row],[YearsAtCompany]]&lt;=10,"6-10",HR_Employee_Attrition[[#This Row],[YearsAtCompany]]&gt;10,"10+")</f>
        <v>3-5</v>
      </c>
      <c r="AL184" t="str" cm="1">
        <f t="array" ref="AL1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4">
        <f>IF(HR_Employee_Attrition[[#This Row],[Attrition]]="Yes",1,0)</f>
        <v>1</v>
      </c>
    </row>
    <row r="185" spans="1:39" x14ac:dyDescent="0.3">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c r="AJ185" t="str">
        <f>IF(HR_Employee_Attrition[[#This Row],[Age]]&gt;60,"60+",IF(HR_Employee_Attrition[[#This Row],[Age]]&gt;=50,"50-59",IF(HR_Employee_Attrition[[#This Row],[Age]]&gt;=40,"40-49",IF(HR_Employee_Attrition[[#This Row],[Age]]&gt;=30,"30-39",IF(HR_Employee_Attrition[[#This Row],[Age]]&gt;=20,"20-29",IF(HR_Employee_Attrition[[#This Row],[Age]]&gt;=18,"18-20"))))))</f>
        <v>50-59</v>
      </c>
      <c r="AK185" t="str" cm="1">
        <f t="array" ref="AK185">_xlfn.IFS(HR_Employee_Attrition[[#This Row],[YearsAtCompany]]&lt;=2,"0-2",HR_Employee_Attrition[[#This Row],[YearsAtCompany]]&lt;=5,"3-5",HR_Employee_Attrition[[#This Row],[YearsAtCompany]]&lt;=10,"6-10",HR_Employee_Attrition[[#This Row],[YearsAtCompany]]&gt;10,"10+")</f>
        <v>3-5</v>
      </c>
      <c r="AL185" t="str" cm="1">
        <f t="array" ref="AL1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5">
        <f>IF(HR_Employee_Attrition[[#This Row],[Attrition]]="Yes",1,0)</f>
        <v>0</v>
      </c>
    </row>
    <row r="186" spans="1:39" x14ac:dyDescent="0.3">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c r="AJ186" t="str">
        <f>IF(HR_Employee_Attrition[[#This Row],[Age]]&gt;60,"60+",IF(HR_Employee_Attrition[[#This Row],[Age]]&gt;=50,"50-59",IF(HR_Employee_Attrition[[#This Row],[Age]]&gt;=40,"40-49",IF(HR_Employee_Attrition[[#This Row],[Age]]&gt;=30,"30-39",IF(HR_Employee_Attrition[[#This Row],[Age]]&gt;=20,"20-29",IF(HR_Employee_Attrition[[#This Row],[Age]]&gt;=18,"18-20"))))))</f>
        <v>50-59</v>
      </c>
      <c r="AK186" t="str" cm="1">
        <f t="array" ref="AK186">_xlfn.IFS(HR_Employee_Attrition[[#This Row],[YearsAtCompany]]&lt;=2,"0-2",HR_Employee_Attrition[[#This Row],[YearsAtCompany]]&lt;=5,"3-5",HR_Employee_Attrition[[#This Row],[YearsAtCompany]]&lt;=10,"6-10",HR_Employee_Attrition[[#This Row],[YearsAtCompany]]&gt;10,"10+")</f>
        <v>3-5</v>
      </c>
      <c r="AL186" t="str" cm="1">
        <f t="array" ref="AL1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6">
        <f>IF(HR_Employee_Attrition[[#This Row],[Attrition]]="Yes",1,0)</f>
        <v>0</v>
      </c>
    </row>
    <row r="187" spans="1:39" x14ac:dyDescent="0.3">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c r="AJ187" t="str">
        <f>IF(HR_Employee_Attrition[[#This Row],[Age]]&gt;60,"60+",IF(HR_Employee_Attrition[[#This Row],[Age]]&gt;=50,"50-59",IF(HR_Employee_Attrition[[#This Row],[Age]]&gt;=40,"40-49",IF(HR_Employee_Attrition[[#This Row],[Age]]&gt;=30,"30-39",IF(HR_Employee_Attrition[[#This Row],[Age]]&gt;=20,"20-29",IF(HR_Employee_Attrition[[#This Row],[Age]]&gt;=18,"18-20"))))))</f>
        <v>30-39</v>
      </c>
      <c r="AK187" t="str" cm="1">
        <f t="array" ref="AK187">_xlfn.IFS(HR_Employee_Attrition[[#This Row],[YearsAtCompany]]&lt;=2,"0-2",HR_Employee_Attrition[[#This Row],[YearsAtCompany]]&lt;=5,"3-5",HR_Employee_Attrition[[#This Row],[YearsAtCompany]]&lt;=10,"6-10",HR_Employee_Attrition[[#This Row],[YearsAtCompany]]&gt;10,"10+")</f>
        <v>6-10</v>
      </c>
      <c r="AL187" t="str" cm="1">
        <f t="array" ref="AL1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7">
        <f>IF(HR_Employee_Attrition[[#This Row],[Attrition]]="Yes",1,0)</f>
        <v>0</v>
      </c>
    </row>
    <row r="188" spans="1:39" x14ac:dyDescent="0.3">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c r="AJ188" t="str">
        <f>IF(HR_Employee_Attrition[[#This Row],[Age]]&gt;60,"60+",IF(HR_Employee_Attrition[[#This Row],[Age]]&gt;=50,"50-59",IF(HR_Employee_Attrition[[#This Row],[Age]]&gt;=40,"40-49",IF(HR_Employee_Attrition[[#This Row],[Age]]&gt;=30,"30-39",IF(HR_Employee_Attrition[[#This Row],[Age]]&gt;=20,"20-29",IF(HR_Employee_Attrition[[#This Row],[Age]]&gt;=18,"18-20"))))))</f>
        <v>40-49</v>
      </c>
      <c r="AK188" t="str" cm="1">
        <f t="array" ref="AK188">_xlfn.IFS(HR_Employee_Attrition[[#This Row],[YearsAtCompany]]&lt;=2,"0-2",HR_Employee_Attrition[[#This Row],[YearsAtCompany]]&lt;=5,"3-5",HR_Employee_Attrition[[#This Row],[YearsAtCompany]]&lt;=10,"6-10",HR_Employee_Attrition[[#This Row],[YearsAtCompany]]&gt;10,"10+")</f>
        <v>10+</v>
      </c>
      <c r="AL188" t="str" cm="1">
        <f t="array" ref="AL1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88">
        <f>IF(HR_Employee_Attrition[[#This Row],[Attrition]]="Yes",1,0)</f>
        <v>0</v>
      </c>
    </row>
    <row r="189" spans="1:39" x14ac:dyDescent="0.3">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c r="AJ189" t="str">
        <f>IF(HR_Employee_Attrition[[#This Row],[Age]]&gt;60,"60+",IF(HR_Employee_Attrition[[#This Row],[Age]]&gt;=50,"50-59",IF(HR_Employee_Attrition[[#This Row],[Age]]&gt;=40,"40-49",IF(HR_Employee_Attrition[[#This Row],[Age]]&gt;=30,"30-39",IF(HR_Employee_Attrition[[#This Row],[Age]]&gt;=20,"20-29",IF(HR_Employee_Attrition[[#This Row],[Age]]&gt;=18,"18-20"))))))</f>
        <v>50-59</v>
      </c>
      <c r="AK189" t="str" cm="1">
        <f t="array" ref="AK189">_xlfn.IFS(HR_Employee_Attrition[[#This Row],[YearsAtCompany]]&lt;=2,"0-2",HR_Employee_Attrition[[#This Row],[YearsAtCompany]]&lt;=5,"3-5",HR_Employee_Attrition[[#This Row],[YearsAtCompany]]&lt;=10,"6-10",HR_Employee_Attrition[[#This Row],[YearsAtCompany]]&gt;10,"10+")</f>
        <v>10+</v>
      </c>
      <c r="AL189" t="str" cm="1">
        <f t="array" ref="AL1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89">
        <f>IF(HR_Employee_Attrition[[#This Row],[Attrition]]="Yes",1,0)</f>
        <v>0</v>
      </c>
    </row>
    <row r="190" spans="1:39" x14ac:dyDescent="0.3">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c r="AJ190" t="str">
        <f>IF(HR_Employee_Attrition[[#This Row],[Age]]&gt;60,"60+",IF(HR_Employee_Attrition[[#This Row],[Age]]&gt;=50,"50-59",IF(HR_Employee_Attrition[[#This Row],[Age]]&gt;=40,"40-49",IF(HR_Employee_Attrition[[#This Row],[Age]]&gt;=30,"30-39",IF(HR_Employee_Attrition[[#This Row],[Age]]&gt;=20,"20-29",IF(HR_Employee_Attrition[[#This Row],[Age]]&gt;=18,"18-20"))))))</f>
        <v>30-39</v>
      </c>
      <c r="AK190" t="str" cm="1">
        <f t="array" ref="AK190">_xlfn.IFS(HR_Employee_Attrition[[#This Row],[YearsAtCompany]]&lt;=2,"0-2",HR_Employee_Attrition[[#This Row],[YearsAtCompany]]&lt;=5,"3-5",HR_Employee_Attrition[[#This Row],[YearsAtCompany]]&lt;=10,"6-10",HR_Employee_Attrition[[#This Row],[YearsAtCompany]]&gt;10,"10+")</f>
        <v>6-10</v>
      </c>
      <c r="AL190" t="str" cm="1">
        <f t="array" ref="AL1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90">
        <f>IF(HR_Employee_Attrition[[#This Row],[Attrition]]="Yes",1,0)</f>
        <v>0</v>
      </c>
    </row>
    <row r="191" spans="1:39" x14ac:dyDescent="0.3">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c r="AJ191" t="str">
        <f>IF(HR_Employee_Attrition[[#This Row],[Age]]&gt;60,"60+",IF(HR_Employee_Attrition[[#This Row],[Age]]&gt;=50,"50-59",IF(HR_Employee_Attrition[[#This Row],[Age]]&gt;=40,"40-49",IF(HR_Employee_Attrition[[#This Row],[Age]]&gt;=30,"30-39",IF(HR_Employee_Attrition[[#This Row],[Age]]&gt;=20,"20-29",IF(HR_Employee_Attrition[[#This Row],[Age]]&gt;=18,"18-20"))))))</f>
        <v>50-59</v>
      </c>
      <c r="AK191" t="str" cm="1">
        <f t="array" ref="AK191">_xlfn.IFS(HR_Employee_Attrition[[#This Row],[YearsAtCompany]]&lt;=2,"0-2",HR_Employee_Attrition[[#This Row],[YearsAtCompany]]&lt;=5,"3-5",HR_Employee_Attrition[[#This Row],[YearsAtCompany]]&lt;=10,"6-10",HR_Employee_Attrition[[#This Row],[YearsAtCompany]]&gt;10,"10+")</f>
        <v>6-10</v>
      </c>
      <c r="AL191" t="str" cm="1">
        <f t="array" ref="AL1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91">
        <f>IF(HR_Employee_Attrition[[#This Row],[Attrition]]="Yes",1,0)</f>
        <v>0</v>
      </c>
    </row>
    <row r="192" spans="1:39" x14ac:dyDescent="0.3">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c r="AJ192" t="str">
        <f>IF(HR_Employee_Attrition[[#This Row],[Age]]&gt;60,"60+",IF(HR_Employee_Attrition[[#This Row],[Age]]&gt;=50,"50-59",IF(HR_Employee_Attrition[[#This Row],[Age]]&gt;=40,"40-49",IF(HR_Employee_Attrition[[#This Row],[Age]]&gt;=30,"30-39",IF(HR_Employee_Attrition[[#This Row],[Age]]&gt;=20,"20-29",IF(HR_Employee_Attrition[[#This Row],[Age]]&gt;=18,"18-20"))))))</f>
        <v>50-59</v>
      </c>
      <c r="AK192" t="str" cm="1">
        <f t="array" ref="AK192">_xlfn.IFS(HR_Employee_Attrition[[#This Row],[YearsAtCompany]]&lt;=2,"0-2",HR_Employee_Attrition[[#This Row],[YearsAtCompany]]&lt;=5,"3-5",HR_Employee_Attrition[[#This Row],[YearsAtCompany]]&lt;=10,"6-10",HR_Employee_Attrition[[#This Row],[YearsAtCompany]]&gt;10,"10+")</f>
        <v>10+</v>
      </c>
      <c r="AL192" t="str" cm="1">
        <f t="array" ref="AL1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92">
        <f>IF(HR_Employee_Attrition[[#This Row],[Attrition]]="Yes",1,0)</f>
        <v>0</v>
      </c>
    </row>
    <row r="193" spans="1:39" x14ac:dyDescent="0.3">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c r="AJ193" t="str">
        <f>IF(HR_Employee_Attrition[[#This Row],[Age]]&gt;60,"60+",IF(HR_Employee_Attrition[[#This Row],[Age]]&gt;=50,"50-59",IF(HR_Employee_Attrition[[#This Row],[Age]]&gt;=40,"40-49",IF(HR_Employee_Attrition[[#This Row],[Age]]&gt;=30,"30-39",IF(HR_Employee_Attrition[[#This Row],[Age]]&gt;=20,"20-29",IF(HR_Employee_Attrition[[#This Row],[Age]]&gt;=18,"18-20"))))))</f>
        <v>20-29</v>
      </c>
      <c r="AK193" t="str" cm="1">
        <f t="array" ref="AK193">_xlfn.IFS(HR_Employee_Attrition[[#This Row],[YearsAtCompany]]&lt;=2,"0-2",HR_Employee_Attrition[[#This Row],[YearsAtCompany]]&lt;=5,"3-5",HR_Employee_Attrition[[#This Row],[YearsAtCompany]]&lt;=10,"6-10",HR_Employee_Attrition[[#This Row],[YearsAtCompany]]&gt;10,"10+")</f>
        <v>6-10</v>
      </c>
      <c r="AL193" t="str" cm="1">
        <f t="array" ref="AL1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93">
        <f>IF(HR_Employee_Attrition[[#This Row],[Attrition]]="Yes",1,0)</f>
        <v>0</v>
      </c>
    </row>
    <row r="194" spans="1:39" x14ac:dyDescent="0.3">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c r="AJ194" t="str">
        <f>IF(HR_Employee_Attrition[[#This Row],[Age]]&gt;60,"60+",IF(HR_Employee_Attrition[[#This Row],[Age]]&gt;=50,"50-59",IF(HR_Employee_Attrition[[#This Row],[Age]]&gt;=40,"40-49",IF(HR_Employee_Attrition[[#This Row],[Age]]&gt;=30,"30-39",IF(HR_Employee_Attrition[[#This Row],[Age]]&gt;=20,"20-29",IF(HR_Employee_Attrition[[#This Row],[Age]]&gt;=18,"18-20"))))))</f>
        <v>30-39</v>
      </c>
      <c r="AK194" t="str" cm="1">
        <f t="array" ref="AK194">_xlfn.IFS(HR_Employee_Attrition[[#This Row],[YearsAtCompany]]&lt;=2,"0-2",HR_Employee_Attrition[[#This Row],[YearsAtCompany]]&lt;=5,"3-5",HR_Employee_Attrition[[#This Row],[YearsAtCompany]]&lt;=10,"6-10",HR_Employee_Attrition[[#This Row],[YearsAtCompany]]&gt;10,"10+")</f>
        <v>0-2</v>
      </c>
      <c r="AL194" t="str" cm="1">
        <f t="array" ref="AL1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94">
        <f>IF(HR_Employee_Attrition[[#This Row],[Attrition]]="Yes",1,0)</f>
        <v>1</v>
      </c>
    </row>
    <row r="195" spans="1:39" x14ac:dyDescent="0.3">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c r="AJ195" t="str">
        <f>IF(HR_Employee_Attrition[[#This Row],[Age]]&gt;60,"60+",IF(HR_Employee_Attrition[[#This Row],[Age]]&gt;=50,"50-59",IF(HR_Employee_Attrition[[#This Row],[Age]]&gt;=40,"40-49",IF(HR_Employee_Attrition[[#This Row],[Age]]&gt;=30,"30-39",IF(HR_Employee_Attrition[[#This Row],[Age]]&gt;=20,"20-29",IF(HR_Employee_Attrition[[#This Row],[Age]]&gt;=18,"18-20"))))))</f>
        <v>40-49</v>
      </c>
      <c r="AK195" t="str" cm="1">
        <f t="array" ref="AK195">_xlfn.IFS(HR_Employee_Attrition[[#This Row],[YearsAtCompany]]&lt;=2,"0-2",HR_Employee_Attrition[[#This Row],[YearsAtCompany]]&lt;=5,"3-5",HR_Employee_Attrition[[#This Row],[YearsAtCompany]]&lt;=10,"6-10",HR_Employee_Attrition[[#This Row],[YearsAtCompany]]&gt;10,"10+")</f>
        <v>3-5</v>
      </c>
      <c r="AL195" t="str" cm="1">
        <f t="array" ref="AL1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95">
        <f>IF(HR_Employee_Attrition[[#This Row],[Attrition]]="Yes",1,0)</f>
        <v>0</v>
      </c>
    </row>
    <row r="196" spans="1:39" x14ac:dyDescent="0.3">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c r="AJ196" t="str">
        <f>IF(HR_Employee_Attrition[[#This Row],[Age]]&gt;60,"60+",IF(HR_Employee_Attrition[[#This Row],[Age]]&gt;=50,"50-59",IF(HR_Employee_Attrition[[#This Row],[Age]]&gt;=40,"40-49",IF(HR_Employee_Attrition[[#This Row],[Age]]&gt;=30,"30-39",IF(HR_Employee_Attrition[[#This Row],[Age]]&gt;=20,"20-29",IF(HR_Employee_Attrition[[#This Row],[Age]]&gt;=18,"18-20"))))))</f>
        <v>40-49</v>
      </c>
      <c r="AK196" t="str" cm="1">
        <f t="array" ref="AK196">_xlfn.IFS(HR_Employee_Attrition[[#This Row],[YearsAtCompany]]&lt;=2,"0-2",HR_Employee_Attrition[[#This Row],[YearsAtCompany]]&lt;=5,"3-5",HR_Employee_Attrition[[#This Row],[YearsAtCompany]]&lt;=10,"6-10",HR_Employee_Attrition[[#This Row],[YearsAtCompany]]&gt;10,"10+")</f>
        <v>10+</v>
      </c>
      <c r="AL196" t="str" cm="1">
        <f t="array" ref="AL1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96">
        <f>IF(HR_Employee_Attrition[[#This Row],[Attrition]]="Yes",1,0)</f>
        <v>0</v>
      </c>
    </row>
    <row r="197" spans="1:39" x14ac:dyDescent="0.3">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c r="AJ197" t="str">
        <f>IF(HR_Employee_Attrition[[#This Row],[Age]]&gt;60,"60+",IF(HR_Employee_Attrition[[#This Row],[Age]]&gt;=50,"50-59",IF(HR_Employee_Attrition[[#This Row],[Age]]&gt;=40,"40-49",IF(HR_Employee_Attrition[[#This Row],[Age]]&gt;=30,"30-39",IF(HR_Employee_Attrition[[#This Row],[Age]]&gt;=20,"20-29",IF(HR_Employee_Attrition[[#This Row],[Age]]&gt;=18,"18-20"))))))</f>
        <v>30-39</v>
      </c>
      <c r="AK197" t="str" cm="1">
        <f t="array" ref="AK197">_xlfn.IFS(HR_Employee_Attrition[[#This Row],[YearsAtCompany]]&lt;=2,"0-2",HR_Employee_Attrition[[#This Row],[YearsAtCompany]]&lt;=5,"3-5",HR_Employee_Attrition[[#This Row],[YearsAtCompany]]&lt;=10,"6-10",HR_Employee_Attrition[[#This Row],[YearsAtCompany]]&gt;10,"10+")</f>
        <v>6-10</v>
      </c>
      <c r="AL197" t="str" cm="1">
        <f t="array" ref="AL1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97">
        <f>IF(HR_Employee_Attrition[[#This Row],[Attrition]]="Yes",1,0)</f>
        <v>0</v>
      </c>
    </row>
    <row r="198" spans="1:39" x14ac:dyDescent="0.3">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c r="AJ198" t="str">
        <f>IF(HR_Employee_Attrition[[#This Row],[Age]]&gt;60,"60+",IF(HR_Employee_Attrition[[#This Row],[Age]]&gt;=50,"50-59",IF(HR_Employee_Attrition[[#This Row],[Age]]&gt;=40,"40-49",IF(HR_Employee_Attrition[[#This Row],[Age]]&gt;=30,"30-39",IF(HR_Employee_Attrition[[#This Row],[Age]]&gt;=20,"20-29",IF(HR_Employee_Attrition[[#This Row],[Age]]&gt;=18,"18-20"))))))</f>
        <v>30-39</v>
      </c>
      <c r="AK198" t="str" cm="1">
        <f t="array" ref="AK198">_xlfn.IFS(HR_Employee_Attrition[[#This Row],[YearsAtCompany]]&lt;=2,"0-2",HR_Employee_Attrition[[#This Row],[YearsAtCompany]]&lt;=5,"3-5",HR_Employee_Attrition[[#This Row],[YearsAtCompany]]&lt;=10,"6-10",HR_Employee_Attrition[[#This Row],[YearsAtCompany]]&gt;10,"10+")</f>
        <v>6-10</v>
      </c>
      <c r="AL198" t="str" cm="1">
        <f t="array" ref="AL1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98">
        <f>IF(HR_Employee_Attrition[[#This Row],[Attrition]]="Yes",1,0)</f>
        <v>0</v>
      </c>
    </row>
    <row r="199" spans="1:39" x14ac:dyDescent="0.3">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c r="AJ199" t="str">
        <f>IF(HR_Employee_Attrition[[#This Row],[Age]]&gt;60,"60+",IF(HR_Employee_Attrition[[#This Row],[Age]]&gt;=50,"50-59",IF(HR_Employee_Attrition[[#This Row],[Age]]&gt;=40,"40-49",IF(HR_Employee_Attrition[[#This Row],[Age]]&gt;=30,"30-39",IF(HR_Employee_Attrition[[#This Row],[Age]]&gt;=20,"20-29",IF(HR_Employee_Attrition[[#This Row],[Age]]&gt;=18,"18-20"))))))</f>
        <v>40-49</v>
      </c>
      <c r="AK199" t="str" cm="1">
        <f t="array" ref="AK199">_xlfn.IFS(HR_Employee_Attrition[[#This Row],[YearsAtCompany]]&lt;=2,"0-2",HR_Employee_Attrition[[#This Row],[YearsAtCompany]]&lt;=5,"3-5",HR_Employee_Attrition[[#This Row],[YearsAtCompany]]&lt;=10,"6-10",HR_Employee_Attrition[[#This Row],[YearsAtCompany]]&gt;10,"10+")</f>
        <v>3-5</v>
      </c>
      <c r="AL199" t="str" cm="1">
        <f t="array" ref="AL1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99">
        <f>IF(HR_Employee_Attrition[[#This Row],[Attrition]]="Yes",1,0)</f>
        <v>0</v>
      </c>
    </row>
    <row r="200" spans="1:39" x14ac:dyDescent="0.3">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c r="AJ200" t="str">
        <f>IF(HR_Employee_Attrition[[#This Row],[Age]]&gt;60,"60+",IF(HR_Employee_Attrition[[#This Row],[Age]]&gt;=50,"50-59",IF(HR_Employee_Attrition[[#This Row],[Age]]&gt;=40,"40-49",IF(HR_Employee_Attrition[[#This Row],[Age]]&gt;=30,"30-39",IF(HR_Employee_Attrition[[#This Row],[Age]]&gt;=20,"20-29",IF(HR_Employee_Attrition[[#This Row],[Age]]&gt;=18,"18-20"))))))</f>
        <v>30-39</v>
      </c>
      <c r="AK200" t="str" cm="1">
        <f t="array" ref="AK200">_xlfn.IFS(HR_Employee_Attrition[[#This Row],[YearsAtCompany]]&lt;=2,"0-2",HR_Employee_Attrition[[#This Row],[YearsAtCompany]]&lt;=5,"3-5",HR_Employee_Attrition[[#This Row],[YearsAtCompany]]&lt;=10,"6-10",HR_Employee_Attrition[[#This Row],[YearsAtCompany]]&gt;10,"10+")</f>
        <v>0-2</v>
      </c>
      <c r="AL200" t="str" cm="1">
        <f t="array" ref="AL2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00">
        <f>IF(HR_Employee_Attrition[[#This Row],[Attrition]]="Yes",1,0)</f>
        <v>0</v>
      </c>
    </row>
    <row r="201" spans="1:39" x14ac:dyDescent="0.3">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c r="AJ201" t="str">
        <f>IF(HR_Employee_Attrition[[#This Row],[Age]]&gt;60,"60+",IF(HR_Employee_Attrition[[#This Row],[Age]]&gt;=50,"50-59",IF(HR_Employee_Attrition[[#This Row],[Age]]&gt;=40,"40-49",IF(HR_Employee_Attrition[[#This Row],[Age]]&gt;=30,"30-39",IF(HR_Employee_Attrition[[#This Row],[Age]]&gt;=20,"20-29",IF(HR_Employee_Attrition[[#This Row],[Age]]&gt;=18,"18-20"))))))</f>
        <v>30-39</v>
      </c>
      <c r="AK201" t="str" cm="1">
        <f t="array" ref="AK201">_xlfn.IFS(HR_Employee_Attrition[[#This Row],[YearsAtCompany]]&lt;=2,"0-2",HR_Employee_Attrition[[#This Row],[YearsAtCompany]]&lt;=5,"3-5",HR_Employee_Attrition[[#This Row],[YearsAtCompany]]&lt;=10,"6-10",HR_Employee_Attrition[[#This Row],[YearsAtCompany]]&gt;10,"10+")</f>
        <v>6-10</v>
      </c>
      <c r="AL201" t="str" cm="1">
        <f t="array" ref="AL2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01">
        <f>IF(HR_Employee_Attrition[[#This Row],[Attrition]]="Yes",1,0)</f>
        <v>0</v>
      </c>
    </row>
    <row r="202" spans="1:39" x14ac:dyDescent="0.3">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c r="AJ202" t="str">
        <f>IF(HR_Employee_Attrition[[#This Row],[Age]]&gt;60,"60+",IF(HR_Employee_Attrition[[#This Row],[Age]]&gt;=50,"50-59",IF(HR_Employee_Attrition[[#This Row],[Age]]&gt;=40,"40-49",IF(HR_Employee_Attrition[[#This Row],[Age]]&gt;=30,"30-39",IF(HR_Employee_Attrition[[#This Row],[Age]]&gt;=20,"20-29",IF(HR_Employee_Attrition[[#This Row],[Age]]&gt;=18,"18-20"))))))</f>
        <v>20-29</v>
      </c>
      <c r="AK202" t="str" cm="1">
        <f t="array" ref="AK202">_xlfn.IFS(HR_Employee_Attrition[[#This Row],[YearsAtCompany]]&lt;=2,"0-2",HR_Employee_Attrition[[#This Row],[YearsAtCompany]]&lt;=5,"3-5",HR_Employee_Attrition[[#This Row],[YearsAtCompany]]&lt;=10,"6-10",HR_Employee_Attrition[[#This Row],[YearsAtCompany]]&gt;10,"10+")</f>
        <v>0-2</v>
      </c>
      <c r="AL202" t="str" cm="1">
        <f t="array" ref="AL2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02">
        <f>IF(HR_Employee_Attrition[[#This Row],[Attrition]]="Yes",1,0)</f>
        <v>0</v>
      </c>
    </row>
    <row r="203" spans="1:39" x14ac:dyDescent="0.3">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c r="AJ203" t="str">
        <f>IF(HR_Employee_Attrition[[#This Row],[Age]]&gt;60,"60+",IF(HR_Employee_Attrition[[#This Row],[Age]]&gt;=50,"50-59",IF(HR_Employee_Attrition[[#This Row],[Age]]&gt;=40,"40-49",IF(HR_Employee_Attrition[[#This Row],[Age]]&gt;=30,"30-39",IF(HR_Employee_Attrition[[#This Row],[Age]]&gt;=20,"20-29",IF(HR_Employee_Attrition[[#This Row],[Age]]&gt;=18,"18-20"))))))</f>
        <v>40-49</v>
      </c>
      <c r="AK203" t="str" cm="1">
        <f t="array" ref="AK203">_xlfn.IFS(HR_Employee_Attrition[[#This Row],[YearsAtCompany]]&lt;=2,"0-2",HR_Employee_Attrition[[#This Row],[YearsAtCompany]]&lt;=5,"3-5",HR_Employee_Attrition[[#This Row],[YearsAtCompany]]&lt;=10,"6-10",HR_Employee_Attrition[[#This Row],[YearsAtCompany]]&gt;10,"10+")</f>
        <v>6-10</v>
      </c>
      <c r="AL203" t="str" cm="1">
        <f t="array" ref="AL2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03">
        <f>IF(HR_Employee_Attrition[[#This Row],[Attrition]]="Yes",1,0)</f>
        <v>0</v>
      </c>
    </row>
    <row r="204" spans="1:39" x14ac:dyDescent="0.3">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c r="AJ204" t="str">
        <f>IF(HR_Employee_Attrition[[#This Row],[Age]]&gt;60,"60+",IF(HR_Employee_Attrition[[#This Row],[Age]]&gt;=50,"50-59",IF(HR_Employee_Attrition[[#This Row],[Age]]&gt;=40,"40-49",IF(HR_Employee_Attrition[[#This Row],[Age]]&gt;=30,"30-39",IF(HR_Employee_Attrition[[#This Row],[Age]]&gt;=20,"20-29",IF(HR_Employee_Attrition[[#This Row],[Age]]&gt;=18,"18-20"))))))</f>
        <v>30-39</v>
      </c>
      <c r="AK204" t="str" cm="1">
        <f t="array" ref="AK204">_xlfn.IFS(HR_Employee_Attrition[[#This Row],[YearsAtCompany]]&lt;=2,"0-2",HR_Employee_Attrition[[#This Row],[YearsAtCompany]]&lt;=5,"3-5",HR_Employee_Attrition[[#This Row],[YearsAtCompany]]&lt;=10,"6-10",HR_Employee_Attrition[[#This Row],[YearsAtCompany]]&gt;10,"10+")</f>
        <v>3-5</v>
      </c>
      <c r="AL204" t="str" cm="1">
        <f t="array" ref="AL2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04">
        <f>IF(HR_Employee_Attrition[[#This Row],[Attrition]]="Yes",1,0)</f>
        <v>0</v>
      </c>
    </row>
    <row r="205" spans="1:39" x14ac:dyDescent="0.3">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c r="AJ205" t="str">
        <f>IF(HR_Employee_Attrition[[#This Row],[Age]]&gt;60,"60+",IF(HR_Employee_Attrition[[#This Row],[Age]]&gt;=50,"50-59",IF(HR_Employee_Attrition[[#This Row],[Age]]&gt;=40,"40-49",IF(HR_Employee_Attrition[[#This Row],[Age]]&gt;=30,"30-39",IF(HR_Employee_Attrition[[#This Row],[Age]]&gt;=20,"20-29",IF(HR_Employee_Attrition[[#This Row],[Age]]&gt;=18,"18-20"))))))</f>
        <v>40-49</v>
      </c>
      <c r="AK205" t="str" cm="1">
        <f t="array" ref="AK205">_xlfn.IFS(HR_Employee_Attrition[[#This Row],[YearsAtCompany]]&lt;=2,"0-2",HR_Employee_Attrition[[#This Row],[YearsAtCompany]]&lt;=5,"3-5",HR_Employee_Attrition[[#This Row],[YearsAtCompany]]&lt;=10,"6-10",HR_Employee_Attrition[[#This Row],[YearsAtCompany]]&gt;10,"10+")</f>
        <v>6-10</v>
      </c>
      <c r="AL205" t="str" cm="1">
        <f t="array" ref="AL2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05">
        <f>IF(HR_Employee_Attrition[[#This Row],[Attrition]]="Yes",1,0)</f>
        <v>0</v>
      </c>
    </row>
    <row r="206" spans="1:39" x14ac:dyDescent="0.3">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c r="AJ206" t="str">
        <f>IF(HR_Employee_Attrition[[#This Row],[Age]]&gt;60,"60+",IF(HR_Employee_Attrition[[#This Row],[Age]]&gt;=50,"50-59",IF(HR_Employee_Attrition[[#This Row],[Age]]&gt;=40,"40-49",IF(HR_Employee_Attrition[[#This Row],[Age]]&gt;=30,"30-39",IF(HR_Employee_Attrition[[#This Row],[Age]]&gt;=20,"20-29",IF(HR_Employee_Attrition[[#This Row],[Age]]&gt;=18,"18-20"))))))</f>
        <v>30-39</v>
      </c>
      <c r="AK206" t="str" cm="1">
        <f t="array" ref="AK206">_xlfn.IFS(HR_Employee_Attrition[[#This Row],[YearsAtCompany]]&lt;=2,"0-2",HR_Employee_Attrition[[#This Row],[YearsAtCompany]]&lt;=5,"3-5",HR_Employee_Attrition[[#This Row],[YearsAtCompany]]&lt;=10,"6-10",HR_Employee_Attrition[[#This Row],[YearsAtCompany]]&gt;10,"10+")</f>
        <v>0-2</v>
      </c>
      <c r="AL206" t="str" cm="1">
        <f t="array" ref="AL2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06">
        <f>IF(HR_Employee_Attrition[[#This Row],[Attrition]]="Yes",1,0)</f>
        <v>1</v>
      </c>
    </row>
    <row r="207" spans="1:39" x14ac:dyDescent="0.3">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c r="AJ207" t="str">
        <f>IF(HR_Employee_Attrition[[#This Row],[Age]]&gt;60,"60+",IF(HR_Employee_Attrition[[#This Row],[Age]]&gt;=50,"50-59",IF(HR_Employee_Attrition[[#This Row],[Age]]&gt;=40,"40-49",IF(HR_Employee_Attrition[[#This Row],[Age]]&gt;=30,"30-39",IF(HR_Employee_Attrition[[#This Row],[Age]]&gt;=20,"20-29",IF(HR_Employee_Attrition[[#This Row],[Age]]&gt;=18,"18-20"))))))</f>
        <v>20-29</v>
      </c>
      <c r="AK207" t="str" cm="1">
        <f t="array" ref="AK207">_xlfn.IFS(HR_Employee_Attrition[[#This Row],[YearsAtCompany]]&lt;=2,"0-2",HR_Employee_Attrition[[#This Row],[YearsAtCompany]]&lt;=5,"3-5",HR_Employee_Attrition[[#This Row],[YearsAtCompany]]&lt;=10,"6-10",HR_Employee_Attrition[[#This Row],[YearsAtCompany]]&gt;10,"10+")</f>
        <v>6-10</v>
      </c>
      <c r="AL207" t="str" cm="1">
        <f t="array" ref="AL2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07">
        <f>IF(HR_Employee_Attrition[[#This Row],[Attrition]]="Yes",1,0)</f>
        <v>1</v>
      </c>
    </row>
    <row r="208" spans="1:39" x14ac:dyDescent="0.3">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c r="AJ208" t="str">
        <f>IF(HR_Employee_Attrition[[#This Row],[Age]]&gt;60,"60+",IF(HR_Employee_Attrition[[#This Row],[Age]]&gt;=50,"50-59",IF(HR_Employee_Attrition[[#This Row],[Age]]&gt;=40,"40-49",IF(HR_Employee_Attrition[[#This Row],[Age]]&gt;=30,"30-39",IF(HR_Employee_Attrition[[#This Row],[Age]]&gt;=20,"20-29",IF(HR_Employee_Attrition[[#This Row],[Age]]&gt;=18,"18-20"))))))</f>
        <v>20-29</v>
      </c>
      <c r="AK208" t="str" cm="1">
        <f t="array" ref="AK208">_xlfn.IFS(HR_Employee_Attrition[[#This Row],[YearsAtCompany]]&lt;=2,"0-2",HR_Employee_Attrition[[#This Row],[YearsAtCompany]]&lt;=5,"3-5",HR_Employee_Attrition[[#This Row],[YearsAtCompany]]&lt;=10,"6-10",HR_Employee_Attrition[[#This Row],[YearsAtCompany]]&gt;10,"10+")</f>
        <v>3-5</v>
      </c>
      <c r="AL208" t="str" cm="1">
        <f t="array" ref="AL2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08">
        <f>IF(HR_Employee_Attrition[[#This Row],[Attrition]]="Yes",1,0)</f>
        <v>0</v>
      </c>
    </row>
    <row r="209" spans="1:39" x14ac:dyDescent="0.3">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c r="AJ209" t="str">
        <f>IF(HR_Employee_Attrition[[#This Row],[Age]]&gt;60,"60+",IF(HR_Employee_Attrition[[#This Row],[Age]]&gt;=50,"50-59",IF(HR_Employee_Attrition[[#This Row],[Age]]&gt;=40,"40-49",IF(HR_Employee_Attrition[[#This Row],[Age]]&gt;=30,"30-39",IF(HR_Employee_Attrition[[#This Row],[Age]]&gt;=20,"20-29",IF(HR_Employee_Attrition[[#This Row],[Age]]&gt;=18,"18-20"))))))</f>
        <v>30-39</v>
      </c>
      <c r="AK209" t="str" cm="1">
        <f t="array" ref="AK209">_xlfn.IFS(HR_Employee_Attrition[[#This Row],[YearsAtCompany]]&lt;=2,"0-2",HR_Employee_Attrition[[#This Row],[YearsAtCompany]]&lt;=5,"3-5",HR_Employee_Attrition[[#This Row],[YearsAtCompany]]&lt;=10,"6-10",HR_Employee_Attrition[[#This Row],[YearsAtCompany]]&gt;10,"10+")</f>
        <v>6-10</v>
      </c>
      <c r="AL209" t="str" cm="1">
        <f t="array" ref="AL2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09">
        <f>IF(HR_Employee_Attrition[[#This Row],[Attrition]]="Yes",1,0)</f>
        <v>0</v>
      </c>
    </row>
    <row r="210" spans="1:39" x14ac:dyDescent="0.3">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c r="AJ210" t="str">
        <f>IF(HR_Employee_Attrition[[#This Row],[Age]]&gt;60,"60+",IF(HR_Employee_Attrition[[#This Row],[Age]]&gt;=50,"50-59",IF(HR_Employee_Attrition[[#This Row],[Age]]&gt;=40,"40-49",IF(HR_Employee_Attrition[[#This Row],[Age]]&gt;=30,"30-39",IF(HR_Employee_Attrition[[#This Row],[Age]]&gt;=20,"20-29",IF(HR_Employee_Attrition[[#This Row],[Age]]&gt;=18,"18-20"))))))</f>
        <v>40-49</v>
      </c>
      <c r="AK210" t="str" cm="1">
        <f t="array" ref="AK210">_xlfn.IFS(HR_Employee_Attrition[[#This Row],[YearsAtCompany]]&lt;=2,"0-2",HR_Employee_Attrition[[#This Row],[YearsAtCompany]]&lt;=5,"3-5",HR_Employee_Attrition[[#This Row],[YearsAtCompany]]&lt;=10,"6-10",HR_Employee_Attrition[[#This Row],[YearsAtCompany]]&gt;10,"10+")</f>
        <v>3-5</v>
      </c>
      <c r="AL210" t="str" cm="1">
        <f t="array" ref="AL2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10">
        <f>IF(HR_Employee_Attrition[[#This Row],[Attrition]]="Yes",1,0)</f>
        <v>0</v>
      </c>
    </row>
    <row r="211" spans="1:39" x14ac:dyDescent="0.3">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c r="AJ211" t="str">
        <f>IF(HR_Employee_Attrition[[#This Row],[Age]]&gt;60,"60+",IF(HR_Employee_Attrition[[#This Row],[Age]]&gt;=50,"50-59",IF(HR_Employee_Attrition[[#This Row],[Age]]&gt;=40,"40-49",IF(HR_Employee_Attrition[[#This Row],[Age]]&gt;=30,"30-39",IF(HR_Employee_Attrition[[#This Row],[Age]]&gt;=20,"20-29",IF(HR_Employee_Attrition[[#This Row],[Age]]&gt;=18,"18-20"))))))</f>
        <v>40-49</v>
      </c>
      <c r="AK211" t="str" cm="1">
        <f t="array" ref="AK211">_xlfn.IFS(HR_Employee_Attrition[[#This Row],[YearsAtCompany]]&lt;=2,"0-2",HR_Employee_Attrition[[#This Row],[YearsAtCompany]]&lt;=5,"3-5",HR_Employee_Attrition[[#This Row],[YearsAtCompany]]&lt;=10,"6-10",HR_Employee_Attrition[[#This Row],[YearsAtCompany]]&gt;10,"10+")</f>
        <v>3-5</v>
      </c>
      <c r="AL211" t="str" cm="1">
        <f t="array" ref="AL2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11">
        <f>IF(HR_Employee_Attrition[[#This Row],[Attrition]]="Yes",1,0)</f>
        <v>0</v>
      </c>
    </row>
    <row r="212" spans="1:39" x14ac:dyDescent="0.3">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c r="AJ212" t="str">
        <f>IF(HR_Employee_Attrition[[#This Row],[Age]]&gt;60,"60+",IF(HR_Employee_Attrition[[#This Row],[Age]]&gt;=50,"50-59",IF(HR_Employee_Attrition[[#This Row],[Age]]&gt;=40,"40-49",IF(HR_Employee_Attrition[[#This Row],[Age]]&gt;=30,"30-39",IF(HR_Employee_Attrition[[#This Row],[Age]]&gt;=20,"20-29",IF(HR_Employee_Attrition[[#This Row],[Age]]&gt;=18,"18-20"))))))</f>
        <v>30-39</v>
      </c>
      <c r="AK212" t="str" cm="1">
        <f t="array" ref="AK212">_xlfn.IFS(HR_Employee_Attrition[[#This Row],[YearsAtCompany]]&lt;=2,"0-2",HR_Employee_Attrition[[#This Row],[YearsAtCompany]]&lt;=5,"3-5",HR_Employee_Attrition[[#This Row],[YearsAtCompany]]&lt;=10,"6-10",HR_Employee_Attrition[[#This Row],[YearsAtCompany]]&gt;10,"10+")</f>
        <v>10+</v>
      </c>
      <c r="AL212" t="str" cm="1">
        <f t="array" ref="AL2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12">
        <f>IF(HR_Employee_Attrition[[#This Row],[Attrition]]="Yes",1,0)</f>
        <v>1</v>
      </c>
    </row>
    <row r="213" spans="1:39" x14ac:dyDescent="0.3">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c r="AJ213" t="str">
        <f>IF(HR_Employee_Attrition[[#This Row],[Age]]&gt;60,"60+",IF(HR_Employee_Attrition[[#This Row],[Age]]&gt;=50,"50-59",IF(HR_Employee_Attrition[[#This Row],[Age]]&gt;=40,"40-49",IF(HR_Employee_Attrition[[#This Row],[Age]]&gt;=30,"30-39",IF(HR_Employee_Attrition[[#This Row],[Age]]&gt;=20,"20-29",IF(HR_Employee_Attrition[[#This Row],[Age]]&gt;=18,"18-20"))))))</f>
        <v>30-39</v>
      </c>
      <c r="AK213" t="str" cm="1">
        <f t="array" ref="AK213">_xlfn.IFS(HR_Employee_Attrition[[#This Row],[YearsAtCompany]]&lt;=2,"0-2",HR_Employee_Attrition[[#This Row],[YearsAtCompany]]&lt;=5,"3-5",HR_Employee_Attrition[[#This Row],[YearsAtCompany]]&lt;=10,"6-10",HR_Employee_Attrition[[#This Row],[YearsAtCompany]]&gt;10,"10+")</f>
        <v>10+</v>
      </c>
      <c r="AL213" t="str" cm="1">
        <f t="array" ref="AL2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13">
        <f>IF(HR_Employee_Attrition[[#This Row],[Attrition]]="Yes",1,0)</f>
        <v>0</v>
      </c>
    </row>
    <row r="214" spans="1:39" x14ac:dyDescent="0.3">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c r="AJ214" t="str">
        <f>IF(HR_Employee_Attrition[[#This Row],[Age]]&gt;60,"60+",IF(HR_Employee_Attrition[[#This Row],[Age]]&gt;=50,"50-59",IF(HR_Employee_Attrition[[#This Row],[Age]]&gt;=40,"40-49",IF(HR_Employee_Attrition[[#This Row],[Age]]&gt;=30,"30-39",IF(HR_Employee_Attrition[[#This Row],[Age]]&gt;=20,"20-29",IF(HR_Employee_Attrition[[#This Row],[Age]]&gt;=18,"18-20"))))))</f>
        <v>20-29</v>
      </c>
      <c r="AK214" t="str" cm="1">
        <f t="array" ref="AK214">_xlfn.IFS(HR_Employee_Attrition[[#This Row],[YearsAtCompany]]&lt;=2,"0-2",HR_Employee_Attrition[[#This Row],[YearsAtCompany]]&lt;=5,"3-5",HR_Employee_Attrition[[#This Row],[YearsAtCompany]]&lt;=10,"6-10",HR_Employee_Attrition[[#This Row],[YearsAtCompany]]&gt;10,"10+")</f>
        <v>6-10</v>
      </c>
      <c r="AL214" t="str" cm="1">
        <f t="array" ref="AL2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14">
        <f>IF(HR_Employee_Attrition[[#This Row],[Attrition]]="Yes",1,0)</f>
        <v>0</v>
      </c>
    </row>
    <row r="215" spans="1:39" x14ac:dyDescent="0.3">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c r="AJ215" t="str">
        <f>IF(HR_Employee_Attrition[[#This Row],[Age]]&gt;60,"60+",IF(HR_Employee_Attrition[[#This Row],[Age]]&gt;=50,"50-59",IF(HR_Employee_Attrition[[#This Row],[Age]]&gt;=40,"40-49",IF(HR_Employee_Attrition[[#This Row],[Age]]&gt;=30,"30-39",IF(HR_Employee_Attrition[[#This Row],[Age]]&gt;=20,"20-29",IF(HR_Employee_Attrition[[#This Row],[Age]]&gt;=18,"18-20"))))))</f>
        <v>50-59</v>
      </c>
      <c r="AK215" t="str" cm="1">
        <f t="array" ref="AK215">_xlfn.IFS(HR_Employee_Attrition[[#This Row],[YearsAtCompany]]&lt;=2,"0-2",HR_Employee_Attrition[[#This Row],[YearsAtCompany]]&lt;=5,"3-5",HR_Employee_Attrition[[#This Row],[YearsAtCompany]]&lt;=10,"6-10",HR_Employee_Attrition[[#This Row],[YearsAtCompany]]&gt;10,"10+")</f>
        <v>6-10</v>
      </c>
      <c r="AL215" t="str" cm="1">
        <f t="array" ref="AL2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15">
        <f>IF(HR_Employee_Attrition[[#This Row],[Attrition]]="Yes",1,0)</f>
        <v>0</v>
      </c>
    </row>
    <row r="216" spans="1:39" x14ac:dyDescent="0.3">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c r="AJ216" t="str">
        <f>IF(HR_Employee_Attrition[[#This Row],[Age]]&gt;60,"60+",IF(HR_Employee_Attrition[[#This Row],[Age]]&gt;=50,"50-59",IF(HR_Employee_Attrition[[#This Row],[Age]]&gt;=40,"40-49",IF(HR_Employee_Attrition[[#This Row],[Age]]&gt;=30,"30-39",IF(HR_Employee_Attrition[[#This Row],[Age]]&gt;=20,"20-29",IF(HR_Employee_Attrition[[#This Row],[Age]]&gt;=18,"18-20"))))))</f>
        <v>30-39</v>
      </c>
      <c r="AK216" t="str" cm="1">
        <f t="array" ref="AK216">_xlfn.IFS(HR_Employee_Attrition[[#This Row],[YearsAtCompany]]&lt;=2,"0-2",HR_Employee_Attrition[[#This Row],[YearsAtCompany]]&lt;=5,"3-5",HR_Employee_Attrition[[#This Row],[YearsAtCompany]]&lt;=10,"6-10",HR_Employee_Attrition[[#This Row],[YearsAtCompany]]&gt;10,"10+")</f>
        <v>3-5</v>
      </c>
      <c r="AL216" t="str" cm="1">
        <f t="array" ref="AL2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16">
        <f>IF(HR_Employee_Attrition[[#This Row],[Attrition]]="Yes",1,0)</f>
        <v>1</v>
      </c>
    </row>
    <row r="217" spans="1:39" x14ac:dyDescent="0.3">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c r="AJ217" t="str">
        <f>IF(HR_Employee_Attrition[[#This Row],[Age]]&gt;60,"60+",IF(HR_Employee_Attrition[[#This Row],[Age]]&gt;=50,"50-59",IF(HR_Employee_Attrition[[#This Row],[Age]]&gt;=40,"40-49",IF(HR_Employee_Attrition[[#This Row],[Age]]&gt;=30,"30-39",IF(HR_Employee_Attrition[[#This Row],[Age]]&gt;=20,"20-29",IF(HR_Employee_Attrition[[#This Row],[Age]]&gt;=18,"18-20"))))))</f>
        <v>40-49</v>
      </c>
      <c r="AK217" t="str" cm="1">
        <f t="array" ref="AK217">_xlfn.IFS(HR_Employee_Attrition[[#This Row],[YearsAtCompany]]&lt;=2,"0-2",HR_Employee_Attrition[[#This Row],[YearsAtCompany]]&lt;=5,"3-5",HR_Employee_Attrition[[#This Row],[YearsAtCompany]]&lt;=10,"6-10",HR_Employee_Attrition[[#This Row],[YearsAtCompany]]&gt;10,"10+")</f>
        <v>0-2</v>
      </c>
      <c r="AL217" t="str" cm="1">
        <f t="array" ref="AL2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17">
        <f>IF(HR_Employee_Attrition[[#This Row],[Attrition]]="Yes",1,0)</f>
        <v>0</v>
      </c>
    </row>
    <row r="218" spans="1:39" x14ac:dyDescent="0.3">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c r="AJ218" t="str">
        <f>IF(HR_Employee_Attrition[[#This Row],[Age]]&gt;60,"60+",IF(HR_Employee_Attrition[[#This Row],[Age]]&gt;=50,"50-59",IF(HR_Employee_Attrition[[#This Row],[Age]]&gt;=40,"40-49",IF(HR_Employee_Attrition[[#This Row],[Age]]&gt;=30,"30-39",IF(HR_Employee_Attrition[[#This Row],[Age]]&gt;=20,"20-29",IF(HR_Employee_Attrition[[#This Row],[Age]]&gt;=18,"18-20"))))))</f>
        <v>30-39</v>
      </c>
      <c r="AK218" t="str" cm="1">
        <f t="array" ref="AK218">_xlfn.IFS(HR_Employee_Attrition[[#This Row],[YearsAtCompany]]&lt;=2,"0-2",HR_Employee_Attrition[[#This Row],[YearsAtCompany]]&lt;=5,"3-5",HR_Employee_Attrition[[#This Row],[YearsAtCompany]]&lt;=10,"6-10",HR_Employee_Attrition[[#This Row],[YearsAtCompany]]&gt;10,"10+")</f>
        <v>6-10</v>
      </c>
      <c r="AL218" t="str" cm="1">
        <f t="array" ref="AL2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18">
        <f>IF(HR_Employee_Attrition[[#This Row],[Attrition]]="Yes",1,0)</f>
        <v>1</v>
      </c>
    </row>
    <row r="219" spans="1:39" x14ac:dyDescent="0.3">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c r="AJ219" t="str">
        <f>IF(HR_Employee_Attrition[[#This Row],[Age]]&gt;60,"60+",IF(HR_Employee_Attrition[[#This Row],[Age]]&gt;=50,"50-59",IF(HR_Employee_Attrition[[#This Row],[Age]]&gt;=40,"40-49",IF(HR_Employee_Attrition[[#This Row],[Age]]&gt;=30,"30-39",IF(HR_Employee_Attrition[[#This Row],[Age]]&gt;=20,"20-29",IF(HR_Employee_Attrition[[#This Row],[Age]]&gt;=18,"18-20"))))))</f>
        <v>20-29</v>
      </c>
      <c r="AK219" t="str" cm="1">
        <f t="array" ref="AK219">_xlfn.IFS(HR_Employee_Attrition[[#This Row],[YearsAtCompany]]&lt;=2,"0-2",HR_Employee_Attrition[[#This Row],[YearsAtCompany]]&lt;=5,"3-5",HR_Employee_Attrition[[#This Row],[YearsAtCompany]]&lt;=10,"6-10",HR_Employee_Attrition[[#This Row],[YearsAtCompany]]&gt;10,"10+")</f>
        <v>6-10</v>
      </c>
      <c r="AL219" t="str" cm="1">
        <f t="array" ref="AL2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19">
        <f>IF(HR_Employee_Attrition[[#This Row],[Attrition]]="Yes",1,0)</f>
        <v>1</v>
      </c>
    </row>
    <row r="220" spans="1:39" x14ac:dyDescent="0.3">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c r="AJ220" t="str">
        <f>IF(HR_Employee_Attrition[[#This Row],[Age]]&gt;60,"60+",IF(HR_Employee_Attrition[[#This Row],[Age]]&gt;=50,"50-59",IF(HR_Employee_Attrition[[#This Row],[Age]]&gt;=40,"40-49",IF(HR_Employee_Attrition[[#This Row],[Age]]&gt;=30,"30-39",IF(HR_Employee_Attrition[[#This Row],[Age]]&gt;=20,"20-29",IF(HR_Employee_Attrition[[#This Row],[Age]]&gt;=18,"18-20"))))))</f>
        <v>40-49</v>
      </c>
      <c r="AK220" t="str" cm="1">
        <f t="array" ref="AK220">_xlfn.IFS(HR_Employee_Attrition[[#This Row],[YearsAtCompany]]&lt;=2,"0-2",HR_Employee_Attrition[[#This Row],[YearsAtCompany]]&lt;=5,"3-5",HR_Employee_Attrition[[#This Row],[YearsAtCompany]]&lt;=10,"6-10",HR_Employee_Attrition[[#This Row],[YearsAtCompany]]&gt;10,"10+")</f>
        <v>10+</v>
      </c>
      <c r="AL220" t="str" cm="1">
        <f t="array" ref="AL2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20">
        <f>IF(HR_Employee_Attrition[[#This Row],[Attrition]]="Yes",1,0)</f>
        <v>0</v>
      </c>
    </row>
    <row r="221" spans="1:39" x14ac:dyDescent="0.3">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c r="AJ221" t="str">
        <f>IF(HR_Employee_Attrition[[#This Row],[Age]]&gt;60,"60+",IF(HR_Employee_Attrition[[#This Row],[Age]]&gt;=50,"50-59",IF(HR_Employee_Attrition[[#This Row],[Age]]&gt;=40,"40-49",IF(HR_Employee_Attrition[[#This Row],[Age]]&gt;=30,"30-39",IF(HR_Employee_Attrition[[#This Row],[Age]]&gt;=20,"20-29",IF(HR_Employee_Attrition[[#This Row],[Age]]&gt;=18,"18-20"))))))</f>
        <v>50-59</v>
      </c>
      <c r="AK221" t="str" cm="1">
        <f t="array" ref="AK221">_xlfn.IFS(HR_Employee_Attrition[[#This Row],[YearsAtCompany]]&lt;=2,"0-2",HR_Employee_Attrition[[#This Row],[YearsAtCompany]]&lt;=5,"3-5",HR_Employee_Attrition[[#This Row],[YearsAtCompany]]&lt;=10,"6-10",HR_Employee_Attrition[[#This Row],[YearsAtCompany]]&gt;10,"10+")</f>
        <v>6-10</v>
      </c>
      <c r="AL221" t="str" cm="1">
        <f t="array" ref="AL2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21">
        <f>IF(HR_Employee_Attrition[[#This Row],[Attrition]]="Yes",1,0)</f>
        <v>0</v>
      </c>
    </row>
    <row r="222" spans="1:39" x14ac:dyDescent="0.3">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c r="AJ222" t="str">
        <f>IF(HR_Employee_Attrition[[#This Row],[Age]]&gt;60,"60+",IF(HR_Employee_Attrition[[#This Row],[Age]]&gt;=50,"50-59",IF(HR_Employee_Attrition[[#This Row],[Age]]&gt;=40,"40-49",IF(HR_Employee_Attrition[[#This Row],[Age]]&gt;=30,"30-39",IF(HR_Employee_Attrition[[#This Row],[Age]]&gt;=20,"20-29",IF(HR_Employee_Attrition[[#This Row],[Age]]&gt;=18,"18-20"))))))</f>
        <v>30-39</v>
      </c>
      <c r="AK222" t="str" cm="1">
        <f t="array" ref="AK222">_xlfn.IFS(HR_Employee_Attrition[[#This Row],[YearsAtCompany]]&lt;=2,"0-2",HR_Employee_Attrition[[#This Row],[YearsAtCompany]]&lt;=5,"3-5",HR_Employee_Attrition[[#This Row],[YearsAtCompany]]&lt;=10,"6-10",HR_Employee_Attrition[[#This Row],[YearsAtCompany]]&gt;10,"10+")</f>
        <v>10+</v>
      </c>
      <c r="AL222" t="str" cm="1">
        <f t="array" ref="AL2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22">
        <f>IF(HR_Employee_Attrition[[#This Row],[Attrition]]="Yes",1,0)</f>
        <v>0</v>
      </c>
    </row>
    <row r="223" spans="1:39" x14ac:dyDescent="0.3">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c r="AJ223" t="str">
        <f>IF(HR_Employee_Attrition[[#This Row],[Age]]&gt;60,"60+",IF(HR_Employee_Attrition[[#This Row],[Age]]&gt;=50,"50-59",IF(HR_Employee_Attrition[[#This Row],[Age]]&gt;=40,"40-49",IF(HR_Employee_Attrition[[#This Row],[Age]]&gt;=30,"30-39",IF(HR_Employee_Attrition[[#This Row],[Age]]&gt;=20,"20-29",IF(HR_Employee_Attrition[[#This Row],[Age]]&gt;=18,"18-20"))))))</f>
        <v>30-39</v>
      </c>
      <c r="AK223" t="str" cm="1">
        <f t="array" ref="AK223">_xlfn.IFS(HR_Employee_Attrition[[#This Row],[YearsAtCompany]]&lt;=2,"0-2",HR_Employee_Attrition[[#This Row],[YearsAtCompany]]&lt;=5,"3-5",HR_Employee_Attrition[[#This Row],[YearsAtCompany]]&lt;=10,"6-10",HR_Employee_Attrition[[#This Row],[YearsAtCompany]]&gt;10,"10+")</f>
        <v>3-5</v>
      </c>
      <c r="AL223" t="str" cm="1">
        <f t="array" ref="AL2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23">
        <f>IF(HR_Employee_Attrition[[#This Row],[Attrition]]="Yes",1,0)</f>
        <v>0</v>
      </c>
    </row>
    <row r="224" spans="1:39" x14ac:dyDescent="0.3">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c r="AJ224" t="str">
        <f>IF(HR_Employee_Attrition[[#This Row],[Age]]&gt;60,"60+",IF(HR_Employee_Attrition[[#This Row],[Age]]&gt;=50,"50-59",IF(HR_Employee_Attrition[[#This Row],[Age]]&gt;=40,"40-49",IF(HR_Employee_Attrition[[#This Row],[Age]]&gt;=30,"30-39",IF(HR_Employee_Attrition[[#This Row],[Age]]&gt;=20,"20-29",IF(HR_Employee_Attrition[[#This Row],[Age]]&gt;=18,"18-20"))))))</f>
        <v>30-39</v>
      </c>
      <c r="AK224" t="str" cm="1">
        <f t="array" ref="AK224">_xlfn.IFS(HR_Employee_Attrition[[#This Row],[YearsAtCompany]]&lt;=2,"0-2",HR_Employee_Attrition[[#This Row],[YearsAtCompany]]&lt;=5,"3-5",HR_Employee_Attrition[[#This Row],[YearsAtCompany]]&lt;=10,"6-10",HR_Employee_Attrition[[#This Row],[YearsAtCompany]]&gt;10,"10+")</f>
        <v>6-10</v>
      </c>
      <c r="AL224" t="str" cm="1">
        <f t="array" ref="AL2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24">
        <f>IF(HR_Employee_Attrition[[#This Row],[Attrition]]="Yes",1,0)</f>
        <v>0</v>
      </c>
    </row>
    <row r="225" spans="1:39" x14ac:dyDescent="0.3">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c r="AJ225" t="str">
        <f>IF(HR_Employee_Attrition[[#This Row],[Age]]&gt;60,"60+",IF(HR_Employee_Attrition[[#This Row],[Age]]&gt;=50,"50-59",IF(HR_Employee_Attrition[[#This Row],[Age]]&gt;=40,"40-49",IF(HR_Employee_Attrition[[#This Row],[Age]]&gt;=30,"30-39",IF(HR_Employee_Attrition[[#This Row],[Age]]&gt;=20,"20-29",IF(HR_Employee_Attrition[[#This Row],[Age]]&gt;=18,"18-20"))))))</f>
        <v>30-39</v>
      </c>
      <c r="AK225" t="str" cm="1">
        <f t="array" ref="AK225">_xlfn.IFS(HR_Employee_Attrition[[#This Row],[YearsAtCompany]]&lt;=2,"0-2",HR_Employee_Attrition[[#This Row],[YearsAtCompany]]&lt;=5,"3-5",HR_Employee_Attrition[[#This Row],[YearsAtCompany]]&lt;=10,"6-10",HR_Employee_Attrition[[#This Row],[YearsAtCompany]]&gt;10,"10+")</f>
        <v>10+</v>
      </c>
      <c r="AL225" t="str" cm="1">
        <f t="array" ref="AL2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25">
        <f>IF(HR_Employee_Attrition[[#This Row],[Attrition]]="Yes",1,0)</f>
        <v>0</v>
      </c>
    </row>
    <row r="226" spans="1:39" x14ac:dyDescent="0.3">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c r="AJ226" t="str">
        <f>IF(HR_Employee_Attrition[[#This Row],[Age]]&gt;60,"60+",IF(HR_Employee_Attrition[[#This Row],[Age]]&gt;=50,"50-59",IF(HR_Employee_Attrition[[#This Row],[Age]]&gt;=40,"40-49",IF(HR_Employee_Attrition[[#This Row],[Age]]&gt;=30,"30-39",IF(HR_Employee_Attrition[[#This Row],[Age]]&gt;=20,"20-29",IF(HR_Employee_Attrition[[#This Row],[Age]]&gt;=18,"18-20"))))))</f>
        <v>30-39</v>
      </c>
      <c r="AK226" t="str" cm="1">
        <f t="array" ref="AK226">_xlfn.IFS(HR_Employee_Attrition[[#This Row],[YearsAtCompany]]&lt;=2,"0-2",HR_Employee_Attrition[[#This Row],[YearsAtCompany]]&lt;=5,"3-5",HR_Employee_Attrition[[#This Row],[YearsAtCompany]]&lt;=10,"6-10",HR_Employee_Attrition[[#This Row],[YearsAtCompany]]&gt;10,"10+")</f>
        <v>3-5</v>
      </c>
      <c r="AL226" t="str" cm="1">
        <f t="array" ref="AL2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26">
        <f>IF(HR_Employee_Attrition[[#This Row],[Attrition]]="Yes",1,0)</f>
        <v>0</v>
      </c>
    </row>
    <row r="227" spans="1:39" x14ac:dyDescent="0.3">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c r="AJ227" t="str">
        <f>IF(HR_Employee_Attrition[[#This Row],[Age]]&gt;60,"60+",IF(HR_Employee_Attrition[[#This Row],[Age]]&gt;=50,"50-59",IF(HR_Employee_Attrition[[#This Row],[Age]]&gt;=40,"40-49",IF(HR_Employee_Attrition[[#This Row],[Age]]&gt;=30,"30-39",IF(HR_Employee_Attrition[[#This Row],[Age]]&gt;=20,"20-29",IF(HR_Employee_Attrition[[#This Row],[Age]]&gt;=18,"18-20"))))))</f>
        <v>50-59</v>
      </c>
      <c r="AK227" t="str" cm="1">
        <f t="array" ref="AK227">_xlfn.IFS(HR_Employee_Attrition[[#This Row],[YearsAtCompany]]&lt;=2,"0-2",HR_Employee_Attrition[[#This Row],[YearsAtCompany]]&lt;=5,"3-5",HR_Employee_Attrition[[#This Row],[YearsAtCompany]]&lt;=10,"6-10",HR_Employee_Attrition[[#This Row],[YearsAtCompany]]&gt;10,"10+")</f>
        <v>0-2</v>
      </c>
      <c r="AL227" t="str" cm="1">
        <f t="array" ref="AL2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27">
        <f>IF(HR_Employee_Attrition[[#This Row],[Attrition]]="Yes",1,0)</f>
        <v>0</v>
      </c>
    </row>
    <row r="228" spans="1:39" x14ac:dyDescent="0.3">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c r="AJ228" t="str">
        <f>IF(HR_Employee_Attrition[[#This Row],[Age]]&gt;60,"60+",IF(HR_Employee_Attrition[[#This Row],[Age]]&gt;=50,"50-59",IF(HR_Employee_Attrition[[#This Row],[Age]]&gt;=40,"40-49",IF(HR_Employee_Attrition[[#This Row],[Age]]&gt;=30,"30-39",IF(HR_Employee_Attrition[[#This Row],[Age]]&gt;=20,"20-29",IF(HR_Employee_Attrition[[#This Row],[Age]]&gt;=18,"18-20"))))))</f>
        <v>30-39</v>
      </c>
      <c r="AK228" t="str" cm="1">
        <f t="array" ref="AK228">_xlfn.IFS(HR_Employee_Attrition[[#This Row],[YearsAtCompany]]&lt;=2,"0-2",HR_Employee_Attrition[[#This Row],[YearsAtCompany]]&lt;=5,"3-5",HR_Employee_Attrition[[#This Row],[YearsAtCompany]]&lt;=10,"6-10",HR_Employee_Attrition[[#This Row],[YearsAtCompany]]&gt;10,"10+")</f>
        <v>6-10</v>
      </c>
      <c r="AL228" t="str" cm="1">
        <f t="array" ref="AL2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28">
        <f>IF(HR_Employee_Attrition[[#This Row],[Attrition]]="Yes",1,0)</f>
        <v>0</v>
      </c>
    </row>
    <row r="229" spans="1:39" x14ac:dyDescent="0.3">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c r="AJ229" t="str">
        <f>IF(HR_Employee_Attrition[[#This Row],[Age]]&gt;60,"60+",IF(HR_Employee_Attrition[[#This Row],[Age]]&gt;=50,"50-59",IF(HR_Employee_Attrition[[#This Row],[Age]]&gt;=40,"40-49",IF(HR_Employee_Attrition[[#This Row],[Age]]&gt;=30,"30-39",IF(HR_Employee_Attrition[[#This Row],[Age]]&gt;=20,"20-29",IF(HR_Employee_Attrition[[#This Row],[Age]]&gt;=18,"18-20"))))))</f>
        <v>20-29</v>
      </c>
      <c r="AK229" t="str" cm="1">
        <f t="array" ref="AK229">_xlfn.IFS(HR_Employee_Attrition[[#This Row],[YearsAtCompany]]&lt;=2,"0-2",HR_Employee_Attrition[[#This Row],[YearsAtCompany]]&lt;=5,"3-5",HR_Employee_Attrition[[#This Row],[YearsAtCompany]]&lt;=10,"6-10",HR_Employee_Attrition[[#This Row],[YearsAtCompany]]&gt;10,"10+")</f>
        <v>10+</v>
      </c>
      <c r="AL229" t="str" cm="1">
        <f t="array" ref="AL2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29">
        <f>IF(HR_Employee_Attrition[[#This Row],[Attrition]]="Yes",1,0)</f>
        <v>0</v>
      </c>
    </row>
    <row r="230" spans="1:39" x14ac:dyDescent="0.3">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c r="AJ230" t="str">
        <f>IF(HR_Employee_Attrition[[#This Row],[Age]]&gt;60,"60+",IF(HR_Employee_Attrition[[#This Row],[Age]]&gt;=50,"50-59",IF(HR_Employee_Attrition[[#This Row],[Age]]&gt;=40,"40-49",IF(HR_Employee_Attrition[[#This Row],[Age]]&gt;=30,"30-39",IF(HR_Employee_Attrition[[#This Row],[Age]]&gt;=20,"20-29",IF(HR_Employee_Attrition[[#This Row],[Age]]&gt;=18,"18-20"))))))</f>
        <v>30-39</v>
      </c>
      <c r="AK230" t="str" cm="1">
        <f t="array" ref="AK230">_xlfn.IFS(HR_Employee_Attrition[[#This Row],[YearsAtCompany]]&lt;=2,"0-2",HR_Employee_Attrition[[#This Row],[YearsAtCompany]]&lt;=5,"3-5",HR_Employee_Attrition[[#This Row],[YearsAtCompany]]&lt;=10,"6-10",HR_Employee_Attrition[[#This Row],[YearsAtCompany]]&gt;10,"10+")</f>
        <v>6-10</v>
      </c>
      <c r="AL230" t="str" cm="1">
        <f t="array" ref="AL2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30">
        <f>IF(HR_Employee_Attrition[[#This Row],[Attrition]]="Yes",1,0)</f>
        <v>0</v>
      </c>
    </row>
    <row r="231" spans="1:39" x14ac:dyDescent="0.3">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c r="AJ231" t="str">
        <f>IF(HR_Employee_Attrition[[#This Row],[Age]]&gt;60,"60+",IF(HR_Employee_Attrition[[#This Row],[Age]]&gt;=50,"50-59",IF(HR_Employee_Attrition[[#This Row],[Age]]&gt;=40,"40-49",IF(HR_Employee_Attrition[[#This Row],[Age]]&gt;=30,"30-39",IF(HR_Employee_Attrition[[#This Row],[Age]]&gt;=20,"20-29",IF(HR_Employee_Attrition[[#This Row],[Age]]&gt;=18,"18-20"))))))</f>
        <v>20-29</v>
      </c>
      <c r="AK231" t="str" cm="1">
        <f t="array" ref="AK231">_xlfn.IFS(HR_Employee_Attrition[[#This Row],[YearsAtCompany]]&lt;=2,"0-2",HR_Employee_Attrition[[#This Row],[YearsAtCompany]]&lt;=5,"3-5",HR_Employee_Attrition[[#This Row],[YearsAtCompany]]&lt;=10,"6-10",HR_Employee_Attrition[[#This Row],[YearsAtCompany]]&gt;10,"10+")</f>
        <v>3-5</v>
      </c>
      <c r="AL231" t="str" cm="1">
        <f t="array" ref="AL2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31">
        <f>IF(HR_Employee_Attrition[[#This Row],[Attrition]]="Yes",1,0)</f>
        <v>1</v>
      </c>
    </row>
    <row r="232" spans="1:39" x14ac:dyDescent="0.3">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c r="AJ232" t="str">
        <f>IF(HR_Employee_Attrition[[#This Row],[Age]]&gt;60,"60+",IF(HR_Employee_Attrition[[#This Row],[Age]]&gt;=50,"50-59",IF(HR_Employee_Attrition[[#This Row],[Age]]&gt;=40,"40-49",IF(HR_Employee_Attrition[[#This Row],[Age]]&gt;=30,"30-39",IF(HR_Employee_Attrition[[#This Row],[Age]]&gt;=20,"20-29",IF(HR_Employee_Attrition[[#This Row],[Age]]&gt;=18,"18-20"))))))</f>
        <v>50-59</v>
      </c>
      <c r="AK232" t="str" cm="1">
        <f t="array" ref="AK232">_xlfn.IFS(HR_Employee_Attrition[[#This Row],[YearsAtCompany]]&lt;=2,"0-2",HR_Employee_Attrition[[#This Row],[YearsAtCompany]]&lt;=5,"3-5",HR_Employee_Attrition[[#This Row],[YearsAtCompany]]&lt;=10,"6-10",HR_Employee_Attrition[[#This Row],[YearsAtCompany]]&gt;10,"10+")</f>
        <v>0-2</v>
      </c>
      <c r="AL232" t="str" cm="1">
        <f t="array" ref="AL2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32">
        <f>IF(HR_Employee_Attrition[[#This Row],[Attrition]]="Yes",1,0)</f>
        <v>0</v>
      </c>
    </row>
    <row r="233" spans="1:39" x14ac:dyDescent="0.3">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c r="AJ233" t="str">
        <f>IF(HR_Employee_Attrition[[#This Row],[Age]]&gt;60,"60+",IF(HR_Employee_Attrition[[#This Row],[Age]]&gt;=50,"50-59",IF(HR_Employee_Attrition[[#This Row],[Age]]&gt;=40,"40-49",IF(HR_Employee_Attrition[[#This Row],[Age]]&gt;=30,"30-39",IF(HR_Employee_Attrition[[#This Row],[Age]]&gt;=20,"20-29",IF(HR_Employee_Attrition[[#This Row],[Age]]&gt;=18,"18-20"))))))</f>
        <v>40-49</v>
      </c>
      <c r="AK233" t="str" cm="1">
        <f t="array" ref="AK233">_xlfn.IFS(HR_Employee_Attrition[[#This Row],[YearsAtCompany]]&lt;=2,"0-2",HR_Employee_Attrition[[#This Row],[YearsAtCompany]]&lt;=5,"3-5",HR_Employee_Attrition[[#This Row],[YearsAtCompany]]&lt;=10,"6-10",HR_Employee_Attrition[[#This Row],[YearsAtCompany]]&gt;10,"10+")</f>
        <v>10+</v>
      </c>
      <c r="AL233" t="str" cm="1">
        <f t="array" ref="AL2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33">
        <f>IF(HR_Employee_Attrition[[#This Row],[Attrition]]="Yes",1,0)</f>
        <v>0</v>
      </c>
    </row>
    <row r="234" spans="1:39" x14ac:dyDescent="0.3">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c r="AJ234" t="str">
        <f>IF(HR_Employee_Attrition[[#This Row],[Age]]&gt;60,"60+",IF(HR_Employee_Attrition[[#This Row],[Age]]&gt;=50,"50-59",IF(HR_Employee_Attrition[[#This Row],[Age]]&gt;=40,"40-49",IF(HR_Employee_Attrition[[#This Row],[Age]]&gt;=30,"30-39",IF(HR_Employee_Attrition[[#This Row],[Age]]&gt;=20,"20-29",IF(HR_Employee_Attrition[[#This Row],[Age]]&gt;=18,"18-20"))))))</f>
        <v>50-59</v>
      </c>
      <c r="AK234" t="str" cm="1">
        <f t="array" ref="AK234">_xlfn.IFS(HR_Employee_Attrition[[#This Row],[YearsAtCompany]]&lt;=2,"0-2",HR_Employee_Attrition[[#This Row],[YearsAtCompany]]&lt;=5,"3-5",HR_Employee_Attrition[[#This Row],[YearsAtCompany]]&lt;=10,"6-10",HR_Employee_Attrition[[#This Row],[YearsAtCompany]]&gt;10,"10+")</f>
        <v>0-2</v>
      </c>
      <c r="AL234" t="str" cm="1">
        <f t="array" ref="AL2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34">
        <f>IF(HR_Employee_Attrition[[#This Row],[Attrition]]="Yes",1,0)</f>
        <v>0</v>
      </c>
    </row>
    <row r="235" spans="1:39" x14ac:dyDescent="0.3">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c r="AJ235" t="str">
        <f>IF(HR_Employee_Attrition[[#This Row],[Age]]&gt;60,"60+",IF(HR_Employee_Attrition[[#This Row],[Age]]&gt;=50,"50-59",IF(HR_Employee_Attrition[[#This Row],[Age]]&gt;=40,"40-49",IF(HR_Employee_Attrition[[#This Row],[Age]]&gt;=30,"30-39",IF(HR_Employee_Attrition[[#This Row],[Age]]&gt;=20,"20-29",IF(HR_Employee_Attrition[[#This Row],[Age]]&gt;=18,"18-20"))))))</f>
        <v>50-59</v>
      </c>
      <c r="AK235" t="str" cm="1">
        <f t="array" ref="AK235">_xlfn.IFS(HR_Employee_Attrition[[#This Row],[YearsAtCompany]]&lt;=2,"0-2",HR_Employee_Attrition[[#This Row],[YearsAtCompany]]&lt;=5,"3-5",HR_Employee_Attrition[[#This Row],[YearsAtCompany]]&lt;=10,"6-10",HR_Employee_Attrition[[#This Row],[YearsAtCompany]]&gt;10,"10+")</f>
        <v>6-10</v>
      </c>
      <c r="AL235" t="str" cm="1">
        <f t="array" ref="AL2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35">
        <f>IF(HR_Employee_Attrition[[#This Row],[Attrition]]="Yes",1,0)</f>
        <v>0</v>
      </c>
    </row>
    <row r="236" spans="1:39" x14ac:dyDescent="0.3">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c r="AJ236" t="str">
        <f>IF(HR_Employee_Attrition[[#This Row],[Age]]&gt;60,"60+",IF(HR_Employee_Attrition[[#This Row],[Age]]&gt;=50,"50-59",IF(HR_Employee_Attrition[[#This Row],[Age]]&gt;=40,"40-49",IF(HR_Employee_Attrition[[#This Row],[Age]]&gt;=30,"30-39",IF(HR_Employee_Attrition[[#This Row],[Age]]&gt;=20,"20-29",IF(HR_Employee_Attrition[[#This Row],[Age]]&gt;=18,"18-20"))))))</f>
        <v>30-39</v>
      </c>
      <c r="AK236" t="str" cm="1">
        <f t="array" ref="AK236">_xlfn.IFS(HR_Employee_Attrition[[#This Row],[YearsAtCompany]]&lt;=2,"0-2",HR_Employee_Attrition[[#This Row],[YearsAtCompany]]&lt;=5,"3-5",HR_Employee_Attrition[[#This Row],[YearsAtCompany]]&lt;=10,"6-10",HR_Employee_Attrition[[#This Row],[YearsAtCompany]]&gt;10,"10+")</f>
        <v>3-5</v>
      </c>
      <c r="AL236" t="str" cm="1">
        <f t="array" ref="AL2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36">
        <f>IF(HR_Employee_Attrition[[#This Row],[Attrition]]="Yes",1,0)</f>
        <v>1</v>
      </c>
    </row>
    <row r="237" spans="1:39" x14ac:dyDescent="0.3">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c r="AJ237" t="str">
        <f>IF(HR_Employee_Attrition[[#This Row],[Age]]&gt;60,"60+",IF(HR_Employee_Attrition[[#This Row],[Age]]&gt;=50,"50-59",IF(HR_Employee_Attrition[[#This Row],[Age]]&gt;=40,"40-49",IF(HR_Employee_Attrition[[#This Row],[Age]]&gt;=30,"30-39",IF(HR_Employee_Attrition[[#This Row],[Age]]&gt;=20,"20-29",IF(HR_Employee_Attrition[[#This Row],[Age]]&gt;=18,"18-20"))))))</f>
        <v>40-49</v>
      </c>
      <c r="AK237" t="str" cm="1">
        <f t="array" ref="AK237">_xlfn.IFS(HR_Employee_Attrition[[#This Row],[YearsAtCompany]]&lt;=2,"0-2",HR_Employee_Attrition[[#This Row],[YearsAtCompany]]&lt;=5,"3-5",HR_Employee_Attrition[[#This Row],[YearsAtCompany]]&lt;=10,"6-10",HR_Employee_Attrition[[#This Row],[YearsAtCompany]]&gt;10,"10+")</f>
        <v>10+</v>
      </c>
      <c r="AL237" t="str" cm="1">
        <f t="array" ref="AL2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37">
        <f>IF(HR_Employee_Attrition[[#This Row],[Attrition]]="Yes",1,0)</f>
        <v>0</v>
      </c>
    </row>
    <row r="238" spans="1:39" x14ac:dyDescent="0.3">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c r="AJ238" t="str">
        <f>IF(HR_Employee_Attrition[[#This Row],[Age]]&gt;60,"60+",IF(HR_Employee_Attrition[[#This Row],[Age]]&gt;=50,"50-59",IF(HR_Employee_Attrition[[#This Row],[Age]]&gt;=40,"40-49",IF(HR_Employee_Attrition[[#This Row],[Age]]&gt;=30,"30-39",IF(HR_Employee_Attrition[[#This Row],[Age]]&gt;=20,"20-29",IF(HR_Employee_Attrition[[#This Row],[Age]]&gt;=18,"18-20"))))))</f>
        <v>30-39</v>
      </c>
      <c r="AK238" t="str" cm="1">
        <f t="array" ref="AK238">_xlfn.IFS(HR_Employee_Attrition[[#This Row],[YearsAtCompany]]&lt;=2,"0-2",HR_Employee_Attrition[[#This Row],[YearsAtCompany]]&lt;=5,"3-5",HR_Employee_Attrition[[#This Row],[YearsAtCompany]]&lt;=10,"6-10",HR_Employee_Attrition[[#This Row],[YearsAtCompany]]&gt;10,"10+")</f>
        <v>6-10</v>
      </c>
      <c r="AL238" t="str" cm="1">
        <f t="array" ref="AL2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38">
        <f>IF(HR_Employee_Attrition[[#This Row],[Attrition]]="Yes",1,0)</f>
        <v>1</v>
      </c>
    </row>
    <row r="239" spans="1:39" x14ac:dyDescent="0.3">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c r="AJ239" t="str">
        <f>IF(HR_Employee_Attrition[[#This Row],[Age]]&gt;60,"60+",IF(HR_Employee_Attrition[[#This Row],[Age]]&gt;=50,"50-59",IF(HR_Employee_Attrition[[#This Row],[Age]]&gt;=40,"40-49",IF(HR_Employee_Attrition[[#This Row],[Age]]&gt;=30,"30-39",IF(HR_Employee_Attrition[[#This Row],[Age]]&gt;=20,"20-29",IF(HR_Employee_Attrition[[#This Row],[Age]]&gt;=18,"18-20"))))))</f>
        <v>50-59</v>
      </c>
      <c r="AK239" t="str" cm="1">
        <f t="array" ref="AK239">_xlfn.IFS(HR_Employee_Attrition[[#This Row],[YearsAtCompany]]&lt;=2,"0-2",HR_Employee_Attrition[[#This Row],[YearsAtCompany]]&lt;=5,"3-5",HR_Employee_Attrition[[#This Row],[YearsAtCompany]]&lt;=10,"6-10",HR_Employee_Attrition[[#This Row],[YearsAtCompany]]&gt;10,"10+")</f>
        <v>10+</v>
      </c>
      <c r="AL239" t="str" cm="1">
        <f t="array" ref="AL2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39">
        <f>IF(HR_Employee_Attrition[[#This Row],[Attrition]]="Yes",1,0)</f>
        <v>0</v>
      </c>
    </row>
    <row r="240" spans="1:39" x14ac:dyDescent="0.3">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c r="AJ240" t="str">
        <f>IF(HR_Employee_Attrition[[#This Row],[Age]]&gt;60,"60+",IF(HR_Employee_Attrition[[#This Row],[Age]]&gt;=50,"50-59",IF(HR_Employee_Attrition[[#This Row],[Age]]&gt;=40,"40-49",IF(HR_Employee_Attrition[[#This Row],[Age]]&gt;=30,"30-39",IF(HR_Employee_Attrition[[#This Row],[Age]]&gt;=20,"20-29",IF(HR_Employee_Attrition[[#This Row],[Age]]&gt;=18,"18-20"))))))</f>
        <v>30-39</v>
      </c>
      <c r="AK240" t="str" cm="1">
        <f t="array" ref="AK240">_xlfn.IFS(HR_Employee_Attrition[[#This Row],[YearsAtCompany]]&lt;=2,"0-2",HR_Employee_Attrition[[#This Row],[YearsAtCompany]]&lt;=5,"3-5",HR_Employee_Attrition[[#This Row],[YearsAtCompany]]&lt;=10,"6-10",HR_Employee_Attrition[[#This Row],[YearsAtCompany]]&gt;10,"10+")</f>
        <v>3-5</v>
      </c>
      <c r="AL240" t="str" cm="1">
        <f t="array" ref="AL2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40">
        <f>IF(HR_Employee_Attrition[[#This Row],[Attrition]]="Yes",1,0)</f>
        <v>0</v>
      </c>
    </row>
    <row r="241" spans="1:39" x14ac:dyDescent="0.3">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c r="AJ241" t="str">
        <f>IF(HR_Employee_Attrition[[#This Row],[Age]]&gt;60,"60+",IF(HR_Employee_Attrition[[#This Row],[Age]]&gt;=50,"50-59",IF(HR_Employee_Attrition[[#This Row],[Age]]&gt;=40,"40-49",IF(HR_Employee_Attrition[[#This Row],[Age]]&gt;=30,"30-39",IF(HR_Employee_Attrition[[#This Row],[Age]]&gt;=20,"20-29",IF(HR_Employee_Attrition[[#This Row],[Age]]&gt;=18,"18-20"))))))</f>
        <v>30-39</v>
      </c>
      <c r="AK241" t="str" cm="1">
        <f t="array" ref="AK241">_xlfn.IFS(HR_Employee_Attrition[[#This Row],[YearsAtCompany]]&lt;=2,"0-2",HR_Employee_Attrition[[#This Row],[YearsAtCompany]]&lt;=5,"3-5",HR_Employee_Attrition[[#This Row],[YearsAtCompany]]&lt;=10,"6-10",HR_Employee_Attrition[[#This Row],[YearsAtCompany]]&gt;10,"10+")</f>
        <v>3-5</v>
      </c>
      <c r="AL241" t="str" cm="1">
        <f t="array" ref="AL2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41">
        <f>IF(HR_Employee_Attrition[[#This Row],[Attrition]]="Yes",1,0)</f>
        <v>1</v>
      </c>
    </row>
    <row r="242" spans="1:39" x14ac:dyDescent="0.3">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c r="AJ242" t="str">
        <f>IF(HR_Employee_Attrition[[#This Row],[Age]]&gt;60,"60+",IF(HR_Employee_Attrition[[#This Row],[Age]]&gt;=50,"50-59",IF(HR_Employee_Attrition[[#This Row],[Age]]&gt;=40,"40-49",IF(HR_Employee_Attrition[[#This Row],[Age]]&gt;=30,"30-39",IF(HR_Employee_Attrition[[#This Row],[Age]]&gt;=20,"20-29",IF(HR_Employee_Attrition[[#This Row],[Age]]&gt;=18,"18-20"))))))</f>
        <v>30-39</v>
      </c>
      <c r="AK242" t="str" cm="1">
        <f t="array" ref="AK242">_xlfn.IFS(HR_Employee_Attrition[[#This Row],[YearsAtCompany]]&lt;=2,"0-2",HR_Employee_Attrition[[#This Row],[YearsAtCompany]]&lt;=5,"3-5",HR_Employee_Attrition[[#This Row],[YearsAtCompany]]&lt;=10,"6-10",HR_Employee_Attrition[[#This Row],[YearsAtCompany]]&gt;10,"10+")</f>
        <v>3-5</v>
      </c>
      <c r="AL242" t="str" cm="1">
        <f t="array" ref="AL2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42">
        <f>IF(HR_Employee_Attrition[[#This Row],[Attrition]]="Yes",1,0)</f>
        <v>0</v>
      </c>
    </row>
    <row r="243" spans="1:39" x14ac:dyDescent="0.3">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c r="AJ243" t="str">
        <f>IF(HR_Employee_Attrition[[#This Row],[Age]]&gt;60,"60+",IF(HR_Employee_Attrition[[#This Row],[Age]]&gt;=50,"50-59",IF(HR_Employee_Attrition[[#This Row],[Age]]&gt;=40,"40-49",IF(HR_Employee_Attrition[[#This Row],[Age]]&gt;=30,"30-39",IF(HR_Employee_Attrition[[#This Row],[Age]]&gt;=20,"20-29",IF(HR_Employee_Attrition[[#This Row],[Age]]&gt;=18,"18-20"))))))</f>
        <v>30-39</v>
      </c>
      <c r="AK243" t="str" cm="1">
        <f t="array" ref="AK243">_xlfn.IFS(HR_Employee_Attrition[[#This Row],[YearsAtCompany]]&lt;=2,"0-2",HR_Employee_Attrition[[#This Row],[YearsAtCompany]]&lt;=5,"3-5",HR_Employee_Attrition[[#This Row],[YearsAtCompany]]&lt;=10,"6-10",HR_Employee_Attrition[[#This Row],[YearsAtCompany]]&gt;10,"10+")</f>
        <v>3-5</v>
      </c>
      <c r="AL243" t="str" cm="1">
        <f t="array" ref="AL2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43">
        <f>IF(HR_Employee_Attrition[[#This Row],[Attrition]]="Yes",1,0)</f>
        <v>0</v>
      </c>
    </row>
    <row r="244" spans="1:39" x14ac:dyDescent="0.3">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c r="AJ244" t="str">
        <f>IF(HR_Employee_Attrition[[#This Row],[Age]]&gt;60,"60+",IF(HR_Employee_Attrition[[#This Row],[Age]]&gt;=50,"50-59",IF(HR_Employee_Attrition[[#This Row],[Age]]&gt;=40,"40-49",IF(HR_Employee_Attrition[[#This Row],[Age]]&gt;=30,"30-39",IF(HR_Employee_Attrition[[#This Row],[Age]]&gt;=20,"20-29",IF(HR_Employee_Attrition[[#This Row],[Age]]&gt;=18,"18-20"))))))</f>
        <v>40-49</v>
      </c>
      <c r="AK244" t="str" cm="1">
        <f t="array" ref="AK244">_xlfn.IFS(HR_Employee_Attrition[[#This Row],[YearsAtCompany]]&lt;=2,"0-2",HR_Employee_Attrition[[#This Row],[YearsAtCompany]]&lt;=5,"3-5",HR_Employee_Attrition[[#This Row],[YearsAtCompany]]&lt;=10,"6-10",HR_Employee_Attrition[[#This Row],[YearsAtCompany]]&gt;10,"10+")</f>
        <v>0-2</v>
      </c>
      <c r="AL244" t="str" cm="1">
        <f t="array" ref="AL2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44">
        <f>IF(HR_Employee_Attrition[[#This Row],[Attrition]]="Yes",1,0)</f>
        <v>0</v>
      </c>
    </row>
    <row r="245" spans="1:39" x14ac:dyDescent="0.3">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c r="AJ245" t="str">
        <f>IF(HR_Employee_Attrition[[#This Row],[Age]]&gt;60,"60+",IF(HR_Employee_Attrition[[#This Row],[Age]]&gt;=50,"50-59",IF(HR_Employee_Attrition[[#This Row],[Age]]&gt;=40,"40-49",IF(HR_Employee_Attrition[[#This Row],[Age]]&gt;=30,"30-39",IF(HR_Employee_Attrition[[#This Row],[Age]]&gt;=20,"20-29",IF(HR_Employee_Attrition[[#This Row],[Age]]&gt;=18,"18-20"))))))</f>
        <v>40-49</v>
      </c>
      <c r="AK245" t="str" cm="1">
        <f t="array" ref="AK245">_xlfn.IFS(HR_Employee_Attrition[[#This Row],[YearsAtCompany]]&lt;=2,"0-2",HR_Employee_Attrition[[#This Row],[YearsAtCompany]]&lt;=5,"3-5",HR_Employee_Attrition[[#This Row],[YearsAtCompany]]&lt;=10,"6-10",HR_Employee_Attrition[[#This Row],[YearsAtCompany]]&gt;10,"10+")</f>
        <v>6-10</v>
      </c>
      <c r="AL245" t="str" cm="1">
        <f t="array" ref="AL2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45">
        <f>IF(HR_Employee_Attrition[[#This Row],[Attrition]]="Yes",1,0)</f>
        <v>0</v>
      </c>
    </row>
    <row r="246" spans="1:39" x14ac:dyDescent="0.3">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c r="AJ246" t="str">
        <f>IF(HR_Employee_Attrition[[#This Row],[Age]]&gt;60,"60+",IF(HR_Employee_Attrition[[#This Row],[Age]]&gt;=50,"50-59",IF(HR_Employee_Attrition[[#This Row],[Age]]&gt;=40,"40-49",IF(HR_Employee_Attrition[[#This Row],[Age]]&gt;=30,"30-39",IF(HR_Employee_Attrition[[#This Row],[Age]]&gt;=20,"20-29",IF(HR_Employee_Attrition[[#This Row],[Age]]&gt;=18,"18-20"))))))</f>
        <v>40-49</v>
      </c>
      <c r="AK246" t="str" cm="1">
        <f t="array" ref="AK246">_xlfn.IFS(HR_Employee_Attrition[[#This Row],[YearsAtCompany]]&lt;=2,"0-2",HR_Employee_Attrition[[#This Row],[YearsAtCompany]]&lt;=5,"3-5",HR_Employee_Attrition[[#This Row],[YearsAtCompany]]&lt;=10,"6-10",HR_Employee_Attrition[[#This Row],[YearsAtCompany]]&gt;10,"10+")</f>
        <v>10+</v>
      </c>
      <c r="AL246" t="str" cm="1">
        <f t="array" ref="AL2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46">
        <f>IF(HR_Employee_Attrition[[#This Row],[Attrition]]="Yes",1,0)</f>
        <v>0</v>
      </c>
    </row>
    <row r="247" spans="1:39" x14ac:dyDescent="0.3">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c r="AJ247" t="str">
        <f>IF(HR_Employee_Attrition[[#This Row],[Age]]&gt;60,"60+",IF(HR_Employee_Attrition[[#This Row],[Age]]&gt;=50,"50-59",IF(HR_Employee_Attrition[[#This Row],[Age]]&gt;=40,"40-49",IF(HR_Employee_Attrition[[#This Row],[Age]]&gt;=30,"30-39",IF(HR_Employee_Attrition[[#This Row],[Age]]&gt;=20,"20-29",IF(HR_Employee_Attrition[[#This Row],[Age]]&gt;=18,"18-20"))))))</f>
        <v>30-39</v>
      </c>
      <c r="AK247" t="str" cm="1">
        <f t="array" ref="AK247">_xlfn.IFS(HR_Employee_Attrition[[#This Row],[YearsAtCompany]]&lt;=2,"0-2",HR_Employee_Attrition[[#This Row],[YearsAtCompany]]&lt;=5,"3-5",HR_Employee_Attrition[[#This Row],[YearsAtCompany]]&lt;=10,"6-10",HR_Employee_Attrition[[#This Row],[YearsAtCompany]]&gt;10,"10+")</f>
        <v>0-2</v>
      </c>
      <c r="AL247" t="str" cm="1">
        <f t="array" ref="AL2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47">
        <f>IF(HR_Employee_Attrition[[#This Row],[Attrition]]="Yes",1,0)</f>
        <v>0</v>
      </c>
    </row>
    <row r="248" spans="1:39" x14ac:dyDescent="0.3">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c r="AJ248" t="str">
        <f>IF(HR_Employee_Attrition[[#This Row],[Age]]&gt;60,"60+",IF(HR_Employee_Attrition[[#This Row],[Age]]&gt;=50,"50-59",IF(HR_Employee_Attrition[[#This Row],[Age]]&gt;=40,"40-49",IF(HR_Employee_Attrition[[#This Row],[Age]]&gt;=30,"30-39",IF(HR_Employee_Attrition[[#This Row],[Age]]&gt;=20,"20-29",IF(HR_Employee_Attrition[[#This Row],[Age]]&gt;=18,"18-20"))))))</f>
        <v>30-39</v>
      </c>
      <c r="AK248" t="str" cm="1">
        <f t="array" ref="AK248">_xlfn.IFS(HR_Employee_Attrition[[#This Row],[YearsAtCompany]]&lt;=2,"0-2",HR_Employee_Attrition[[#This Row],[YearsAtCompany]]&lt;=5,"3-5",HR_Employee_Attrition[[#This Row],[YearsAtCompany]]&lt;=10,"6-10",HR_Employee_Attrition[[#This Row],[YearsAtCompany]]&gt;10,"10+")</f>
        <v>0-2</v>
      </c>
      <c r="AL248" t="str" cm="1">
        <f t="array" ref="AL2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48">
        <f>IF(HR_Employee_Attrition[[#This Row],[Attrition]]="Yes",1,0)</f>
        <v>0</v>
      </c>
    </row>
    <row r="249" spans="1:39" x14ac:dyDescent="0.3">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c r="AJ249" t="str">
        <f>IF(HR_Employee_Attrition[[#This Row],[Age]]&gt;60,"60+",IF(HR_Employee_Attrition[[#This Row],[Age]]&gt;=50,"50-59",IF(HR_Employee_Attrition[[#This Row],[Age]]&gt;=40,"40-49",IF(HR_Employee_Attrition[[#This Row],[Age]]&gt;=30,"30-39",IF(HR_Employee_Attrition[[#This Row],[Age]]&gt;=20,"20-29",IF(HR_Employee_Attrition[[#This Row],[Age]]&gt;=18,"18-20"))))))</f>
        <v>30-39</v>
      </c>
      <c r="AK249" t="str" cm="1">
        <f t="array" ref="AK249">_xlfn.IFS(HR_Employee_Attrition[[#This Row],[YearsAtCompany]]&lt;=2,"0-2",HR_Employee_Attrition[[#This Row],[YearsAtCompany]]&lt;=5,"3-5",HR_Employee_Attrition[[#This Row],[YearsAtCompany]]&lt;=10,"6-10",HR_Employee_Attrition[[#This Row],[YearsAtCompany]]&gt;10,"10+")</f>
        <v>10+</v>
      </c>
      <c r="AL249" t="str" cm="1">
        <f t="array" ref="AL2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49">
        <f>IF(HR_Employee_Attrition[[#This Row],[Attrition]]="Yes",1,0)</f>
        <v>0</v>
      </c>
    </row>
    <row r="250" spans="1:39" x14ac:dyDescent="0.3">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c r="AJ250" t="str">
        <f>IF(HR_Employee_Attrition[[#This Row],[Age]]&gt;60,"60+",IF(HR_Employee_Attrition[[#This Row],[Age]]&gt;=50,"50-59",IF(HR_Employee_Attrition[[#This Row],[Age]]&gt;=40,"40-49",IF(HR_Employee_Attrition[[#This Row],[Age]]&gt;=30,"30-39",IF(HR_Employee_Attrition[[#This Row],[Age]]&gt;=20,"20-29",IF(HR_Employee_Attrition[[#This Row],[Age]]&gt;=18,"18-20"))))))</f>
        <v>30-39</v>
      </c>
      <c r="AK250" t="str" cm="1">
        <f t="array" ref="AK250">_xlfn.IFS(HR_Employee_Attrition[[#This Row],[YearsAtCompany]]&lt;=2,"0-2",HR_Employee_Attrition[[#This Row],[YearsAtCompany]]&lt;=5,"3-5",HR_Employee_Attrition[[#This Row],[YearsAtCompany]]&lt;=10,"6-10",HR_Employee_Attrition[[#This Row],[YearsAtCompany]]&gt;10,"10+")</f>
        <v>3-5</v>
      </c>
      <c r="AL250" t="str" cm="1">
        <f t="array" ref="AL2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50">
        <f>IF(HR_Employee_Attrition[[#This Row],[Attrition]]="Yes",1,0)</f>
        <v>0</v>
      </c>
    </row>
    <row r="251" spans="1:39" x14ac:dyDescent="0.3">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c r="AJ251" t="str">
        <f>IF(HR_Employee_Attrition[[#This Row],[Age]]&gt;60,"60+",IF(HR_Employee_Attrition[[#This Row],[Age]]&gt;=50,"50-59",IF(HR_Employee_Attrition[[#This Row],[Age]]&gt;=40,"40-49",IF(HR_Employee_Attrition[[#This Row],[Age]]&gt;=30,"30-39",IF(HR_Employee_Attrition[[#This Row],[Age]]&gt;=20,"20-29",IF(HR_Employee_Attrition[[#This Row],[Age]]&gt;=18,"18-20"))))))</f>
        <v>40-49</v>
      </c>
      <c r="AK251" t="str" cm="1">
        <f t="array" ref="AK251">_xlfn.IFS(HR_Employee_Attrition[[#This Row],[YearsAtCompany]]&lt;=2,"0-2",HR_Employee_Attrition[[#This Row],[YearsAtCompany]]&lt;=5,"3-5",HR_Employee_Attrition[[#This Row],[YearsAtCompany]]&lt;=10,"6-10",HR_Employee_Attrition[[#This Row],[YearsAtCompany]]&gt;10,"10+")</f>
        <v>3-5</v>
      </c>
      <c r="AL251" t="str" cm="1">
        <f t="array" ref="AL2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51">
        <f>IF(HR_Employee_Attrition[[#This Row],[Attrition]]="Yes",1,0)</f>
        <v>0</v>
      </c>
    </row>
    <row r="252" spans="1:39" x14ac:dyDescent="0.3">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c r="AJ252" t="str">
        <f>IF(HR_Employee_Attrition[[#This Row],[Age]]&gt;60,"60+",IF(HR_Employee_Attrition[[#This Row],[Age]]&gt;=50,"50-59",IF(HR_Employee_Attrition[[#This Row],[Age]]&gt;=40,"40-49",IF(HR_Employee_Attrition[[#This Row],[Age]]&gt;=30,"30-39",IF(HR_Employee_Attrition[[#This Row],[Age]]&gt;=20,"20-29",IF(HR_Employee_Attrition[[#This Row],[Age]]&gt;=18,"18-20"))))))</f>
        <v>30-39</v>
      </c>
      <c r="AK252" t="str" cm="1">
        <f t="array" ref="AK252">_xlfn.IFS(HR_Employee_Attrition[[#This Row],[YearsAtCompany]]&lt;=2,"0-2",HR_Employee_Attrition[[#This Row],[YearsAtCompany]]&lt;=5,"3-5",HR_Employee_Attrition[[#This Row],[YearsAtCompany]]&lt;=10,"6-10",HR_Employee_Attrition[[#This Row],[YearsAtCompany]]&gt;10,"10+")</f>
        <v>0-2</v>
      </c>
      <c r="AL252" t="str" cm="1">
        <f t="array" ref="AL2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52">
        <f>IF(HR_Employee_Attrition[[#This Row],[Attrition]]="Yes",1,0)</f>
        <v>1</v>
      </c>
    </row>
    <row r="253" spans="1:39" x14ac:dyDescent="0.3">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c r="AJ253" t="str">
        <f>IF(HR_Employee_Attrition[[#This Row],[Age]]&gt;60,"60+",IF(HR_Employee_Attrition[[#This Row],[Age]]&gt;=50,"50-59",IF(HR_Employee_Attrition[[#This Row],[Age]]&gt;=40,"40-49",IF(HR_Employee_Attrition[[#This Row],[Age]]&gt;=30,"30-39",IF(HR_Employee_Attrition[[#This Row],[Age]]&gt;=20,"20-29",IF(HR_Employee_Attrition[[#This Row],[Age]]&gt;=18,"18-20"))))))</f>
        <v>30-39</v>
      </c>
      <c r="AK253" t="str" cm="1">
        <f t="array" ref="AK253">_xlfn.IFS(HR_Employee_Attrition[[#This Row],[YearsAtCompany]]&lt;=2,"0-2",HR_Employee_Attrition[[#This Row],[YearsAtCompany]]&lt;=5,"3-5",HR_Employee_Attrition[[#This Row],[YearsAtCompany]]&lt;=10,"6-10",HR_Employee_Attrition[[#This Row],[YearsAtCompany]]&gt;10,"10+")</f>
        <v>10+</v>
      </c>
      <c r="AL253" t="str" cm="1">
        <f t="array" ref="AL2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53">
        <f>IF(HR_Employee_Attrition[[#This Row],[Attrition]]="Yes",1,0)</f>
        <v>0</v>
      </c>
    </row>
    <row r="254" spans="1:39" x14ac:dyDescent="0.3">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c r="AJ254" t="str">
        <f>IF(HR_Employee_Attrition[[#This Row],[Age]]&gt;60,"60+",IF(HR_Employee_Attrition[[#This Row],[Age]]&gt;=50,"50-59",IF(HR_Employee_Attrition[[#This Row],[Age]]&gt;=40,"40-49",IF(HR_Employee_Attrition[[#This Row],[Age]]&gt;=30,"30-39",IF(HR_Employee_Attrition[[#This Row],[Age]]&gt;=20,"20-29",IF(HR_Employee_Attrition[[#This Row],[Age]]&gt;=18,"18-20"))))))</f>
        <v>20-29</v>
      </c>
      <c r="AK254" t="str" cm="1">
        <f t="array" ref="AK254">_xlfn.IFS(HR_Employee_Attrition[[#This Row],[YearsAtCompany]]&lt;=2,"0-2",HR_Employee_Attrition[[#This Row],[YearsAtCompany]]&lt;=5,"3-5",HR_Employee_Attrition[[#This Row],[YearsAtCompany]]&lt;=10,"6-10",HR_Employee_Attrition[[#This Row],[YearsAtCompany]]&gt;10,"10+")</f>
        <v>6-10</v>
      </c>
      <c r="AL254" t="str" cm="1">
        <f t="array" ref="AL2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54">
        <f>IF(HR_Employee_Attrition[[#This Row],[Attrition]]="Yes",1,0)</f>
        <v>0</v>
      </c>
    </row>
    <row r="255" spans="1:39" x14ac:dyDescent="0.3">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c r="AJ255" t="str">
        <f>IF(HR_Employee_Attrition[[#This Row],[Age]]&gt;60,"60+",IF(HR_Employee_Attrition[[#This Row],[Age]]&gt;=50,"50-59",IF(HR_Employee_Attrition[[#This Row],[Age]]&gt;=40,"40-49",IF(HR_Employee_Attrition[[#This Row],[Age]]&gt;=30,"30-39",IF(HR_Employee_Attrition[[#This Row],[Age]]&gt;=20,"20-29",IF(HR_Employee_Attrition[[#This Row],[Age]]&gt;=18,"18-20"))))))</f>
        <v>40-49</v>
      </c>
      <c r="AK255" t="str" cm="1">
        <f t="array" ref="AK255">_xlfn.IFS(HR_Employee_Attrition[[#This Row],[YearsAtCompany]]&lt;=2,"0-2",HR_Employee_Attrition[[#This Row],[YearsAtCompany]]&lt;=5,"3-5",HR_Employee_Attrition[[#This Row],[YearsAtCompany]]&lt;=10,"6-10",HR_Employee_Attrition[[#This Row],[YearsAtCompany]]&gt;10,"10+")</f>
        <v>3-5</v>
      </c>
      <c r="AL255" t="str" cm="1">
        <f t="array" ref="AL2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55">
        <f>IF(HR_Employee_Attrition[[#This Row],[Attrition]]="Yes",1,0)</f>
        <v>0</v>
      </c>
    </row>
    <row r="256" spans="1:39" x14ac:dyDescent="0.3">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c r="AJ256" t="str">
        <f>IF(HR_Employee_Attrition[[#This Row],[Age]]&gt;60,"60+",IF(HR_Employee_Attrition[[#This Row],[Age]]&gt;=50,"50-59",IF(HR_Employee_Attrition[[#This Row],[Age]]&gt;=40,"40-49",IF(HR_Employee_Attrition[[#This Row],[Age]]&gt;=30,"30-39",IF(HR_Employee_Attrition[[#This Row],[Age]]&gt;=20,"20-29",IF(HR_Employee_Attrition[[#This Row],[Age]]&gt;=18,"18-20"))))))</f>
        <v>20-29</v>
      </c>
      <c r="AK256" t="str" cm="1">
        <f t="array" ref="AK256">_xlfn.IFS(HR_Employee_Attrition[[#This Row],[YearsAtCompany]]&lt;=2,"0-2",HR_Employee_Attrition[[#This Row],[YearsAtCompany]]&lt;=5,"3-5",HR_Employee_Attrition[[#This Row],[YearsAtCompany]]&lt;=10,"6-10",HR_Employee_Attrition[[#This Row],[YearsAtCompany]]&gt;10,"10+")</f>
        <v>3-5</v>
      </c>
      <c r="AL256" t="str" cm="1">
        <f t="array" ref="AL2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56">
        <f>IF(HR_Employee_Attrition[[#This Row],[Attrition]]="Yes",1,0)</f>
        <v>0</v>
      </c>
    </row>
    <row r="257" spans="1:39" x14ac:dyDescent="0.3">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c r="AJ257" t="str">
        <f>IF(HR_Employee_Attrition[[#This Row],[Age]]&gt;60,"60+",IF(HR_Employee_Attrition[[#This Row],[Age]]&gt;=50,"50-59",IF(HR_Employee_Attrition[[#This Row],[Age]]&gt;=40,"40-49",IF(HR_Employee_Attrition[[#This Row],[Age]]&gt;=30,"30-39",IF(HR_Employee_Attrition[[#This Row],[Age]]&gt;=20,"20-29",IF(HR_Employee_Attrition[[#This Row],[Age]]&gt;=18,"18-20"))))))</f>
        <v>20-29</v>
      </c>
      <c r="AK257" t="str" cm="1">
        <f t="array" ref="AK257">_xlfn.IFS(HR_Employee_Attrition[[#This Row],[YearsAtCompany]]&lt;=2,"0-2",HR_Employee_Attrition[[#This Row],[YearsAtCompany]]&lt;=5,"3-5",HR_Employee_Attrition[[#This Row],[YearsAtCompany]]&lt;=10,"6-10",HR_Employee_Attrition[[#This Row],[YearsAtCompany]]&gt;10,"10+")</f>
        <v>3-5</v>
      </c>
      <c r="AL257" t="str" cm="1">
        <f t="array" ref="AL2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57">
        <f>IF(HR_Employee_Attrition[[#This Row],[Attrition]]="Yes",1,0)</f>
        <v>0</v>
      </c>
    </row>
    <row r="258" spans="1:39" x14ac:dyDescent="0.3">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c r="AJ258" t="str">
        <f>IF(HR_Employee_Attrition[[#This Row],[Age]]&gt;60,"60+",IF(HR_Employee_Attrition[[#This Row],[Age]]&gt;=50,"50-59",IF(HR_Employee_Attrition[[#This Row],[Age]]&gt;=40,"40-49",IF(HR_Employee_Attrition[[#This Row],[Age]]&gt;=30,"30-39",IF(HR_Employee_Attrition[[#This Row],[Age]]&gt;=20,"20-29",IF(HR_Employee_Attrition[[#This Row],[Age]]&gt;=18,"18-20"))))))</f>
        <v>40-49</v>
      </c>
      <c r="AK258" t="str" cm="1">
        <f t="array" ref="AK258">_xlfn.IFS(HR_Employee_Attrition[[#This Row],[YearsAtCompany]]&lt;=2,"0-2",HR_Employee_Attrition[[#This Row],[YearsAtCompany]]&lt;=5,"3-5",HR_Employee_Attrition[[#This Row],[YearsAtCompany]]&lt;=10,"6-10",HR_Employee_Attrition[[#This Row],[YearsAtCompany]]&gt;10,"10+")</f>
        <v>6-10</v>
      </c>
      <c r="AL258" t="str" cm="1">
        <f t="array" ref="AL2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58">
        <f>IF(HR_Employee_Attrition[[#This Row],[Attrition]]="Yes",1,0)</f>
        <v>0</v>
      </c>
    </row>
    <row r="259" spans="1:39" x14ac:dyDescent="0.3">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c r="AJ259" t="str">
        <f>IF(HR_Employee_Attrition[[#This Row],[Age]]&gt;60,"60+",IF(HR_Employee_Attrition[[#This Row],[Age]]&gt;=50,"50-59",IF(HR_Employee_Attrition[[#This Row],[Age]]&gt;=40,"40-49",IF(HR_Employee_Attrition[[#This Row],[Age]]&gt;=30,"30-39",IF(HR_Employee_Attrition[[#This Row],[Age]]&gt;=20,"20-29",IF(HR_Employee_Attrition[[#This Row],[Age]]&gt;=18,"18-20"))))))</f>
        <v>40-49</v>
      </c>
      <c r="AK259" t="str" cm="1">
        <f t="array" ref="AK259">_xlfn.IFS(HR_Employee_Attrition[[#This Row],[YearsAtCompany]]&lt;=2,"0-2",HR_Employee_Attrition[[#This Row],[YearsAtCompany]]&lt;=5,"3-5",HR_Employee_Attrition[[#This Row],[YearsAtCompany]]&lt;=10,"6-10",HR_Employee_Attrition[[#This Row],[YearsAtCompany]]&gt;10,"10+")</f>
        <v>10+</v>
      </c>
      <c r="AL259" t="str" cm="1">
        <f t="array" ref="AL2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59">
        <f>IF(HR_Employee_Attrition[[#This Row],[Attrition]]="Yes",1,0)</f>
        <v>0</v>
      </c>
    </row>
    <row r="260" spans="1:39" x14ac:dyDescent="0.3">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c r="AJ260" t="str">
        <f>IF(HR_Employee_Attrition[[#This Row],[Age]]&gt;60,"60+",IF(HR_Employee_Attrition[[#This Row],[Age]]&gt;=50,"50-59",IF(HR_Employee_Attrition[[#This Row],[Age]]&gt;=40,"40-49",IF(HR_Employee_Attrition[[#This Row],[Age]]&gt;=30,"30-39",IF(HR_Employee_Attrition[[#This Row],[Age]]&gt;=20,"20-29",IF(HR_Employee_Attrition[[#This Row],[Age]]&gt;=18,"18-20"))))))</f>
        <v>50-59</v>
      </c>
      <c r="AK260" t="str" cm="1">
        <f t="array" ref="AK260">_xlfn.IFS(HR_Employee_Attrition[[#This Row],[YearsAtCompany]]&lt;=2,"0-2",HR_Employee_Attrition[[#This Row],[YearsAtCompany]]&lt;=5,"3-5",HR_Employee_Attrition[[#This Row],[YearsAtCompany]]&lt;=10,"6-10",HR_Employee_Attrition[[#This Row],[YearsAtCompany]]&gt;10,"10+")</f>
        <v>0-2</v>
      </c>
      <c r="AL260" t="str" cm="1">
        <f t="array" ref="AL2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60">
        <f>IF(HR_Employee_Attrition[[#This Row],[Attrition]]="Yes",1,0)</f>
        <v>0</v>
      </c>
    </row>
    <row r="261" spans="1:39" x14ac:dyDescent="0.3">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c r="AJ261" t="str">
        <f>IF(HR_Employee_Attrition[[#This Row],[Age]]&gt;60,"60+",IF(HR_Employee_Attrition[[#This Row],[Age]]&gt;=50,"50-59",IF(HR_Employee_Attrition[[#This Row],[Age]]&gt;=40,"40-49",IF(HR_Employee_Attrition[[#This Row],[Age]]&gt;=30,"30-39",IF(HR_Employee_Attrition[[#This Row],[Age]]&gt;=20,"20-29",IF(HR_Employee_Attrition[[#This Row],[Age]]&gt;=18,"18-20"))))))</f>
        <v>30-39</v>
      </c>
      <c r="AK261" t="str" cm="1">
        <f t="array" ref="AK261">_xlfn.IFS(HR_Employee_Attrition[[#This Row],[YearsAtCompany]]&lt;=2,"0-2",HR_Employee_Attrition[[#This Row],[YearsAtCompany]]&lt;=5,"3-5",HR_Employee_Attrition[[#This Row],[YearsAtCompany]]&lt;=10,"6-10",HR_Employee_Attrition[[#This Row],[YearsAtCompany]]&gt;10,"10+")</f>
        <v>3-5</v>
      </c>
      <c r="AL261" t="str" cm="1">
        <f t="array" ref="AL2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61">
        <f>IF(HR_Employee_Attrition[[#This Row],[Attrition]]="Yes",1,0)</f>
        <v>1</v>
      </c>
    </row>
    <row r="262" spans="1:39" x14ac:dyDescent="0.3">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c r="AJ262" t="str">
        <f>IF(HR_Employee_Attrition[[#This Row],[Age]]&gt;60,"60+",IF(HR_Employee_Attrition[[#This Row],[Age]]&gt;=50,"50-59",IF(HR_Employee_Attrition[[#This Row],[Age]]&gt;=40,"40-49",IF(HR_Employee_Attrition[[#This Row],[Age]]&gt;=30,"30-39",IF(HR_Employee_Attrition[[#This Row],[Age]]&gt;=20,"20-29",IF(HR_Employee_Attrition[[#This Row],[Age]]&gt;=18,"18-20"))))))</f>
        <v>30-39</v>
      </c>
      <c r="AK262" t="str" cm="1">
        <f t="array" ref="AK262">_xlfn.IFS(HR_Employee_Attrition[[#This Row],[YearsAtCompany]]&lt;=2,"0-2",HR_Employee_Attrition[[#This Row],[YearsAtCompany]]&lt;=5,"3-5",HR_Employee_Attrition[[#This Row],[YearsAtCompany]]&lt;=10,"6-10",HR_Employee_Attrition[[#This Row],[YearsAtCompany]]&gt;10,"10+")</f>
        <v>3-5</v>
      </c>
      <c r="AL262" t="str" cm="1">
        <f t="array" ref="AL2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62">
        <f>IF(HR_Employee_Attrition[[#This Row],[Attrition]]="Yes",1,0)</f>
        <v>0</v>
      </c>
    </row>
    <row r="263" spans="1:39" x14ac:dyDescent="0.3">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c r="AJ263" t="str">
        <f>IF(HR_Employee_Attrition[[#This Row],[Age]]&gt;60,"60+",IF(HR_Employee_Attrition[[#This Row],[Age]]&gt;=50,"50-59",IF(HR_Employee_Attrition[[#This Row],[Age]]&gt;=40,"40-49",IF(HR_Employee_Attrition[[#This Row],[Age]]&gt;=30,"30-39",IF(HR_Employee_Attrition[[#This Row],[Age]]&gt;=20,"20-29",IF(HR_Employee_Attrition[[#This Row],[Age]]&gt;=18,"18-20"))))))</f>
        <v>30-39</v>
      </c>
      <c r="AK263" t="str" cm="1">
        <f t="array" ref="AK263">_xlfn.IFS(HR_Employee_Attrition[[#This Row],[YearsAtCompany]]&lt;=2,"0-2",HR_Employee_Attrition[[#This Row],[YearsAtCompany]]&lt;=5,"3-5",HR_Employee_Attrition[[#This Row],[YearsAtCompany]]&lt;=10,"6-10",HR_Employee_Attrition[[#This Row],[YearsAtCompany]]&gt;10,"10+")</f>
        <v>6-10</v>
      </c>
      <c r="AL263" t="str" cm="1">
        <f t="array" ref="AL2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63">
        <f>IF(HR_Employee_Attrition[[#This Row],[Attrition]]="Yes",1,0)</f>
        <v>0</v>
      </c>
    </row>
    <row r="264" spans="1:39" x14ac:dyDescent="0.3">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c r="AJ264" t="str">
        <f>IF(HR_Employee_Attrition[[#This Row],[Age]]&gt;60,"60+",IF(HR_Employee_Attrition[[#This Row],[Age]]&gt;=50,"50-59",IF(HR_Employee_Attrition[[#This Row],[Age]]&gt;=40,"40-49",IF(HR_Employee_Attrition[[#This Row],[Age]]&gt;=30,"30-39",IF(HR_Employee_Attrition[[#This Row],[Age]]&gt;=20,"20-29",IF(HR_Employee_Attrition[[#This Row],[Age]]&gt;=18,"18-20"))))))</f>
        <v>30-39</v>
      </c>
      <c r="AK264" t="str" cm="1">
        <f t="array" ref="AK264">_xlfn.IFS(HR_Employee_Attrition[[#This Row],[YearsAtCompany]]&lt;=2,"0-2",HR_Employee_Attrition[[#This Row],[YearsAtCompany]]&lt;=5,"3-5",HR_Employee_Attrition[[#This Row],[YearsAtCompany]]&lt;=10,"6-10",HR_Employee_Attrition[[#This Row],[YearsAtCompany]]&gt;10,"10+")</f>
        <v>6-10</v>
      </c>
      <c r="AL264" t="str" cm="1">
        <f t="array" ref="AL2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64">
        <f>IF(HR_Employee_Attrition[[#This Row],[Attrition]]="Yes",1,0)</f>
        <v>0</v>
      </c>
    </row>
    <row r="265" spans="1:39" x14ac:dyDescent="0.3">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c r="AJ265" t="str">
        <f>IF(HR_Employee_Attrition[[#This Row],[Age]]&gt;60,"60+",IF(HR_Employee_Attrition[[#This Row],[Age]]&gt;=50,"50-59",IF(HR_Employee_Attrition[[#This Row],[Age]]&gt;=40,"40-49",IF(HR_Employee_Attrition[[#This Row],[Age]]&gt;=30,"30-39",IF(HR_Employee_Attrition[[#This Row],[Age]]&gt;=20,"20-29",IF(HR_Employee_Attrition[[#This Row],[Age]]&gt;=18,"18-20"))))))</f>
        <v>40-49</v>
      </c>
      <c r="AK265" t="str" cm="1">
        <f t="array" ref="AK265">_xlfn.IFS(HR_Employee_Attrition[[#This Row],[YearsAtCompany]]&lt;=2,"0-2",HR_Employee_Attrition[[#This Row],[YearsAtCompany]]&lt;=5,"3-5",HR_Employee_Attrition[[#This Row],[YearsAtCompany]]&lt;=10,"6-10",HR_Employee_Attrition[[#This Row],[YearsAtCompany]]&gt;10,"10+")</f>
        <v>6-10</v>
      </c>
      <c r="AL265" t="str" cm="1">
        <f t="array" ref="AL2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65">
        <f>IF(HR_Employee_Attrition[[#This Row],[Attrition]]="Yes",1,0)</f>
        <v>0</v>
      </c>
    </row>
    <row r="266" spans="1:39" x14ac:dyDescent="0.3">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c r="AJ266" t="str">
        <f>IF(HR_Employee_Attrition[[#This Row],[Age]]&gt;60,"60+",IF(HR_Employee_Attrition[[#This Row],[Age]]&gt;=50,"50-59",IF(HR_Employee_Attrition[[#This Row],[Age]]&gt;=40,"40-49",IF(HR_Employee_Attrition[[#This Row],[Age]]&gt;=30,"30-39",IF(HR_Employee_Attrition[[#This Row],[Age]]&gt;=20,"20-29",IF(HR_Employee_Attrition[[#This Row],[Age]]&gt;=18,"18-20"))))))</f>
        <v>20-29</v>
      </c>
      <c r="AK266" t="str" cm="1">
        <f t="array" ref="AK266">_xlfn.IFS(HR_Employee_Attrition[[#This Row],[YearsAtCompany]]&lt;=2,"0-2",HR_Employee_Attrition[[#This Row],[YearsAtCompany]]&lt;=5,"3-5",HR_Employee_Attrition[[#This Row],[YearsAtCompany]]&lt;=10,"6-10",HR_Employee_Attrition[[#This Row],[YearsAtCompany]]&gt;10,"10+")</f>
        <v>0-2</v>
      </c>
      <c r="AL266" t="str" cm="1">
        <f t="array" ref="AL2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66">
        <f>IF(HR_Employee_Attrition[[#This Row],[Attrition]]="Yes",1,0)</f>
        <v>1</v>
      </c>
    </row>
    <row r="267" spans="1:39" x14ac:dyDescent="0.3">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c r="AJ267" t="str">
        <f>IF(HR_Employee_Attrition[[#This Row],[Age]]&gt;60,"60+",IF(HR_Employee_Attrition[[#This Row],[Age]]&gt;=50,"50-59",IF(HR_Employee_Attrition[[#This Row],[Age]]&gt;=40,"40-49",IF(HR_Employee_Attrition[[#This Row],[Age]]&gt;=30,"30-39",IF(HR_Employee_Attrition[[#This Row],[Age]]&gt;=20,"20-29",IF(HR_Employee_Attrition[[#This Row],[Age]]&gt;=18,"18-20"))))))</f>
        <v>20-29</v>
      </c>
      <c r="AK267" t="str" cm="1">
        <f t="array" ref="AK267">_xlfn.IFS(HR_Employee_Attrition[[#This Row],[YearsAtCompany]]&lt;=2,"0-2",HR_Employee_Attrition[[#This Row],[YearsAtCompany]]&lt;=5,"3-5",HR_Employee_Attrition[[#This Row],[YearsAtCompany]]&lt;=10,"6-10",HR_Employee_Attrition[[#This Row],[YearsAtCompany]]&gt;10,"10+")</f>
        <v>0-2</v>
      </c>
      <c r="AL267" t="str" cm="1">
        <f t="array" ref="AL2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67">
        <f>IF(HR_Employee_Attrition[[#This Row],[Attrition]]="Yes",1,0)</f>
        <v>0</v>
      </c>
    </row>
    <row r="268" spans="1:39" x14ac:dyDescent="0.3">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c r="AJ268" t="str">
        <f>IF(HR_Employee_Attrition[[#This Row],[Age]]&gt;60,"60+",IF(HR_Employee_Attrition[[#This Row],[Age]]&gt;=50,"50-59",IF(HR_Employee_Attrition[[#This Row],[Age]]&gt;=40,"40-49",IF(HR_Employee_Attrition[[#This Row],[Age]]&gt;=30,"30-39",IF(HR_Employee_Attrition[[#This Row],[Age]]&gt;=20,"20-29",IF(HR_Employee_Attrition[[#This Row],[Age]]&gt;=18,"18-20"))))))</f>
        <v>30-39</v>
      </c>
      <c r="AK268" t="str" cm="1">
        <f t="array" ref="AK268">_xlfn.IFS(HR_Employee_Attrition[[#This Row],[YearsAtCompany]]&lt;=2,"0-2",HR_Employee_Attrition[[#This Row],[YearsAtCompany]]&lt;=5,"3-5",HR_Employee_Attrition[[#This Row],[YearsAtCompany]]&lt;=10,"6-10",HR_Employee_Attrition[[#This Row],[YearsAtCompany]]&gt;10,"10+")</f>
        <v>6-10</v>
      </c>
      <c r="AL268" t="str" cm="1">
        <f t="array" ref="AL2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68">
        <f>IF(HR_Employee_Attrition[[#This Row],[Attrition]]="Yes",1,0)</f>
        <v>0</v>
      </c>
    </row>
    <row r="269" spans="1:39" x14ac:dyDescent="0.3">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c r="AJ269" t="str">
        <f>IF(HR_Employee_Attrition[[#This Row],[Age]]&gt;60,"60+",IF(HR_Employee_Attrition[[#This Row],[Age]]&gt;=50,"50-59",IF(HR_Employee_Attrition[[#This Row],[Age]]&gt;=40,"40-49",IF(HR_Employee_Attrition[[#This Row],[Age]]&gt;=30,"30-39",IF(HR_Employee_Attrition[[#This Row],[Age]]&gt;=20,"20-29",IF(HR_Employee_Attrition[[#This Row],[Age]]&gt;=18,"18-20"))))))</f>
        <v>20-29</v>
      </c>
      <c r="AK269" t="str" cm="1">
        <f t="array" ref="AK269">_xlfn.IFS(HR_Employee_Attrition[[#This Row],[YearsAtCompany]]&lt;=2,"0-2",HR_Employee_Attrition[[#This Row],[YearsAtCompany]]&lt;=5,"3-5",HR_Employee_Attrition[[#This Row],[YearsAtCompany]]&lt;=10,"6-10",HR_Employee_Attrition[[#This Row],[YearsAtCompany]]&gt;10,"10+")</f>
        <v>6-10</v>
      </c>
      <c r="AL269" t="str" cm="1">
        <f t="array" ref="AL2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69">
        <f>IF(HR_Employee_Attrition[[#This Row],[Attrition]]="Yes",1,0)</f>
        <v>0</v>
      </c>
    </row>
    <row r="270" spans="1:39" x14ac:dyDescent="0.3">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c r="AJ270" t="str">
        <f>IF(HR_Employee_Attrition[[#This Row],[Age]]&gt;60,"60+",IF(HR_Employee_Attrition[[#This Row],[Age]]&gt;=50,"50-59",IF(HR_Employee_Attrition[[#This Row],[Age]]&gt;=40,"40-49",IF(HR_Employee_Attrition[[#This Row],[Age]]&gt;=30,"30-39",IF(HR_Employee_Attrition[[#This Row],[Age]]&gt;=20,"20-29",IF(HR_Employee_Attrition[[#This Row],[Age]]&gt;=18,"18-20"))))))</f>
        <v>40-49</v>
      </c>
      <c r="AK270" t="str" cm="1">
        <f t="array" ref="AK270">_xlfn.IFS(HR_Employee_Attrition[[#This Row],[YearsAtCompany]]&lt;=2,"0-2",HR_Employee_Attrition[[#This Row],[YearsAtCompany]]&lt;=5,"3-5",HR_Employee_Attrition[[#This Row],[YearsAtCompany]]&lt;=10,"6-10",HR_Employee_Attrition[[#This Row],[YearsAtCompany]]&gt;10,"10+")</f>
        <v>10+</v>
      </c>
      <c r="AL270" t="str" cm="1">
        <f t="array" ref="AL2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70">
        <f>IF(HR_Employee_Attrition[[#This Row],[Attrition]]="Yes",1,0)</f>
        <v>0</v>
      </c>
    </row>
    <row r="271" spans="1:39" x14ac:dyDescent="0.3">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c r="AJ271" t="str">
        <f>IF(HR_Employee_Attrition[[#This Row],[Age]]&gt;60,"60+",IF(HR_Employee_Attrition[[#This Row],[Age]]&gt;=50,"50-59",IF(HR_Employee_Attrition[[#This Row],[Age]]&gt;=40,"40-49",IF(HR_Employee_Attrition[[#This Row],[Age]]&gt;=30,"30-39",IF(HR_Employee_Attrition[[#This Row],[Age]]&gt;=20,"20-29",IF(HR_Employee_Attrition[[#This Row],[Age]]&gt;=18,"18-20"))))))</f>
        <v>30-39</v>
      </c>
      <c r="AK271" t="str" cm="1">
        <f t="array" ref="AK271">_xlfn.IFS(HR_Employee_Attrition[[#This Row],[YearsAtCompany]]&lt;=2,"0-2",HR_Employee_Attrition[[#This Row],[YearsAtCompany]]&lt;=5,"3-5",HR_Employee_Attrition[[#This Row],[YearsAtCompany]]&lt;=10,"6-10",HR_Employee_Attrition[[#This Row],[YearsAtCompany]]&gt;10,"10+")</f>
        <v>10+</v>
      </c>
      <c r="AL271" t="str" cm="1">
        <f t="array" ref="AL2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71">
        <f>IF(HR_Employee_Attrition[[#This Row],[Attrition]]="Yes",1,0)</f>
        <v>0</v>
      </c>
    </row>
    <row r="272" spans="1:39" x14ac:dyDescent="0.3">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c r="AJ272" t="str">
        <f>IF(HR_Employee_Attrition[[#This Row],[Age]]&gt;60,"60+",IF(HR_Employee_Attrition[[#This Row],[Age]]&gt;=50,"50-59",IF(HR_Employee_Attrition[[#This Row],[Age]]&gt;=40,"40-49",IF(HR_Employee_Attrition[[#This Row],[Age]]&gt;=30,"30-39",IF(HR_Employee_Attrition[[#This Row],[Age]]&gt;=20,"20-29",IF(HR_Employee_Attrition[[#This Row],[Age]]&gt;=18,"18-20"))))))</f>
        <v>50-59</v>
      </c>
      <c r="AK272" t="str" cm="1">
        <f t="array" ref="AK272">_xlfn.IFS(HR_Employee_Attrition[[#This Row],[YearsAtCompany]]&lt;=2,"0-2",HR_Employee_Attrition[[#This Row],[YearsAtCompany]]&lt;=5,"3-5",HR_Employee_Attrition[[#This Row],[YearsAtCompany]]&lt;=10,"6-10",HR_Employee_Attrition[[#This Row],[YearsAtCompany]]&gt;10,"10+")</f>
        <v>10+</v>
      </c>
      <c r="AL272" t="str" cm="1">
        <f t="array" ref="AL2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72">
        <f>IF(HR_Employee_Attrition[[#This Row],[Attrition]]="Yes",1,0)</f>
        <v>0</v>
      </c>
    </row>
    <row r="273" spans="1:39" x14ac:dyDescent="0.3">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c r="AJ273" t="str">
        <f>IF(HR_Employee_Attrition[[#This Row],[Age]]&gt;60,"60+",IF(HR_Employee_Attrition[[#This Row],[Age]]&gt;=50,"50-59",IF(HR_Employee_Attrition[[#This Row],[Age]]&gt;=40,"40-49",IF(HR_Employee_Attrition[[#This Row],[Age]]&gt;=30,"30-39",IF(HR_Employee_Attrition[[#This Row],[Age]]&gt;=20,"20-29",IF(HR_Employee_Attrition[[#This Row],[Age]]&gt;=18,"18-20"))))))</f>
        <v>40-49</v>
      </c>
      <c r="AK273" t="str" cm="1">
        <f t="array" ref="AK273">_xlfn.IFS(HR_Employee_Attrition[[#This Row],[YearsAtCompany]]&lt;=2,"0-2",HR_Employee_Attrition[[#This Row],[YearsAtCompany]]&lt;=5,"3-5",HR_Employee_Attrition[[#This Row],[YearsAtCompany]]&lt;=10,"6-10",HR_Employee_Attrition[[#This Row],[YearsAtCompany]]&gt;10,"10+")</f>
        <v>6-10</v>
      </c>
      <c r="AL273" t="str" cm="1">
        <f t="array" ref="AL2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73">
        <f>IF(HR_Employee_Attrition[[#This Row],[Attrition]]="Yes",1,0)</f>
        <v>1</v>
      </c>
    </row>
    <row r="274" spans="1:39" x14ac:dyDescent="0.3">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c r="AJ274" t="str">
        <f>IF(HR_Employee_Attrition[[#This Row],[Age]]&gt;60,"60+",IF(HR_Employee_Attrition[[#This Row],[Age]]&gt;=50,"50-59",IF(HR_Employee_Attrition[[#This Row],[Age]]&gt;=40,"40-49",IF(HR_Employee_Attrition[[#This Row],[Age]]&gt;=30,"30-39",IF(HR_Employee_Attrition[[#This Row],[Age]]&gt;=20,"20-29",IF(HR_Employee_Attrition[[#This Row],[Age]]&gt;=18,"18-20"))))))</f>
        <v>20-29</v>
      </c>
      <c r="AK274" t="str" cm="1">
        <f t="array" ref="AK274">_xlfn.IFS(HR_Employee_Attrition[[#This Row],[YearsAtCompany]]&lt;=2,"0-2",HR_Employee_Attrition[[#This Row],[YearsAtCompany]]&lt;=5,"3-5",HR_Employee_Attrition[[#This Row],[YearsAtCompany]]&lt;=10,"6-10",HR_Employee_Attrition[[#This Row],[YearsAtCompany]]&gt;10,"10+")</f>
        <v>3-5</v>
      </c>
      <c r="AL274" t="str" cm="1">
        <f t="array" ref="AL2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74">
        <f>IF(HR_Employee_Attrition[[#This Row],[Attrition]]="Yes",1,0)</f>
        <v>0</v>
      </c>
    </row>
    <row r="275" spans="1:39" x14ac:dyDescent="0.3">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c r="AJ275" t="str">
        <f>IF(HR_Employee_Attrition[[#This Row],[Age]]&gt;60,"60+",IF(HR_Employee_Attrition[[#This Row],[Age]]&gt;=50,"50-59",IF(HR_Employee_Attrition[[#This Row],[Age]]&gt;=40,"40-49",IF(HR_Employee_Attrition[[#This Row],[Age]]&gt;=30,"30-39",IF(HR_Employee_Attrition[[#This Row],[Age]]&gt;=20,"20-29",IF(HR_Employee_Attrition[[#This Row],[Age]]&gt;=18,"18-20"))))))</f>
        <v>30-39</v>
      </c>
      <c r="AK275" t="str" cm="1">
        <f t="array" ref="AK275">_xlfn.IFS(HR_Employee_Attrition[[#This Row],[YearsAtCompany]]&lt;=2,"0-2",HR_Employee_Attrition[[#This Row],[YearsAtCompany]]&lt;=5,"3-5",HR_Employee_Attrition[[#This Row],[YearsAtCompany]]&lt;=10,"6-10",HR_Employee_Attrition[[#This Row],[YearsAtCompany]]&gt;10,"10+")</f>
        <v>3-5</v>
      </c>
      <c r="AL275" t="str" cm="1">
        <f t="array" ref="AL2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75">
        <f>IF(HR_Employee_Attrition[[#This Row],[Attrition]]="Yes",1,0)</f>
        <v>0</v>
      </c>
    </row>
    <row r="276" spans="1:39" x14ac:dyDescent="0.3">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c r="AJ276" t="str">
        <f>IF(HR_Employee_Attrition[[#This Row],[Age]]&gt;60,"60+",IF(HR_Employee_Attrition[[#This Row],[Age]]&gt;=50,"50-59",IF(HR_Employee_Attrition[[#This Row],[Age]]&gt;=40,"40-49",IF(HR_Employee_Attrition[[#This Row],[Age]]&gt;=30,"30-39",IF(HR_Employee_Attrition[[#This Row],[Age]]&gt;=20,"20-29",IF(HR_Employee_Attrition[[#This Row],[Age]]&gt;=18,"18-20"))))))</f>
        <v>20-29</v>
      </c>
      <c r="AK276" t="str" cm="1">
        <f t="array" ref="AK276">_xlfn.IFS(HR_Employee_Attrition[[#This Row],[YearsAtCompany]]&lt;=2,"0-2",HR_Employee_Attrition[[#This Row],[YearsAtCompany]]&lt;=5,"3-5",HR_Employee_Attrition[[#This Row],[YearsAtCompany]]&lt;=10,"6-10",HR_Employee_Attrition[[#This Row],[YearsAtCompany]]&gt;10,"10+")</f>
        <v>3-5</v>
      </c>
      <c r="AL276" t="str" cm="1">
        <f t="array" ref="AL2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76">
        <f>IF(HR_Employee_Attrition[[#This Row],[Attrition]]="Yes",1,0)</f>
        <v>0</v>
      </c>
    </row>
    <row r="277" spans="1:39" x14ac:dyDescent="0.3">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c r="AJ277" t="str">
        <f>IF(HR_Employee_Attrition[[#This Row],[Age]]&gt;60,"60+",IF(HR_Employee_Attrition[[#This Row],[Age]]&gt;=50,"50-59",IF(HR_Employee_Attrition[[#This Row],[Age]]&gt;=40,"40-49",IF(HR_Employee_Attrition[[#This Row],[Age]]&gt;=30,"30-39",IF(HR_Employee_Attrition[[#This Row],[Age]]&gt;=20,"20-29",IF(HR_Employee_Attrition[[#This Row],[Age]]&gt;=18,"18-20"))))))</f>
        <v>30-39</v>
      </c>
      <c r="AK277" t="str" cm="1">
        <f t="array" ref="AK277">_xlfn.IFS(HR_Employee_Attrition[[#This Row],[YearsAtCompany]]&lt;=2,"0-2",HR_Employee_Attrition[[#This Row],[YearsAtCompany]]&lt;=5,"3-5",HR_Employee_Attrition[[#This Row],[YearsAtCompany]]&lt;=10,"6-10",HR_Employee_Attrition[[#This Row],[YearsAtCompany]]&gt;10,"10+")</f>
        <v>3-5</v>
      </c>
      <c r="AL277" t="str" cm="1">
        <f t="array" ref="AL2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77">
        <f>IF(HR_Employee_Attrition[[#This Row],[Attrition]]="Yes",1,0)</f>
        <v>0</v>
      </c>
    </row>
    <row r="278" spans="1:39" x14ac:dyDescent="0.3">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c r="AJ278" t="str">
        <f>IF(HR_Employee_Attrition[[#This Row],[Age]]&gt;60,"60+",IF(HR_Employee_Attrition[[#This Row],[Age]]&gt;=50,"50-59",IF(HR_Employee_Attrition[[#This Row],[Age]]&gt;=40,"40-49",IF(HR_Employee_Attrition[[#This Row],[Age]]&gt;=30,"30-39",IF(HR_Employee_Attrition[[#This Row],[Age]]&gt;=20,"20-29",IF(HR_Employee_Attrition[[#This Row],[Age]]&gt;=18,"18-20"))))))</f>
        <v>30-39</v>
      </c>
      <c r="AK278" t="str" cm="1">
        <f t="array" ref="AK278">_xlfn.IFS(HR_Employee_Attrition[[#This Row],[YearsAtCompany]]&lt;=2,"0-2",HR_Employee_Attrition[[#This Row],[YearsAtCompany]]&lt;=5,"3-5",HR_Employee_Attrition[[#This Row],[YearsAtCompany]]&lt;=10,"6-10",HR_Employee_Attrition[[#This Row],[YearsAtCompany]]&gt;10,"10+")</f>
        <v>6-10</v>
      </c>
      <c r="AL278" t="str" cm="1">
        <f t="array" ref="AL2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78">
        <f>IF(HR_Employee_Attrition[[#This Row],[Attrition]]="Yes",1,0)</f>
        <v>0</v>
      </c>
    </row>
    <row r="279" spans="1:39" x14ac:dyDescent="0.3">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c r="AJ279" t="str">
        <f>IF(HR_Employee_Attrition[[#This Row],[Age]]&gt;60,"60+",IF(HR_Employee_Attrition[[#This Row],[Age]]&gt;=50,"50-59",IF(HR_Employee_Attrition[[#This Row],[Age]]&gt;=40,"40-49",IF(HR_Employee_Attrition[[#This Row],[Age]]&gt;=30,"30-39",IF(HR_Employee_Attrition[[#This Row],[Age]]&gt;=20,"20-29",IF(HR_Employee_Attrition[[#This Row],[Age]]&gt;=18,"18-20"))))))</f>
        <v>30-39</v>
      </c>
      <c r="AK279" t="str" cm="1">
        <f t="array" ref="AK279">_xlfn.IFS(HR_Employee_Attrition[[#This Row],[YearsAtCompany]]&lt;=2,"0-2",HR_Employee_Attrition[[#This Row],[YearsAtCompany]]&lt;=5,"3-5",HR_Employee_Attrition[[#This Row],[YearsAtCompany]]&lt;=10,"6-10",HR_Employee_Attrition[[#This Row],[YearsAtCompany]]&gt;10,"10+")</f>
        <v>6-10</v>
      </c>
      <c r="AL279" t="str" cm="1">
        <f t="array" ref="AL2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79">
        <f>IF(HR_Employee_Attrition[[#This Row],[Attrition]]="Yes",1,0)</f>
        <v>0</v>
      </c>
    </row>
    <row r="280" spans="1:39" x14ac:dyDescent="0.3">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c r="AJ280" t="str">
        <f>IF(HR_Employee_Attrition[[#This Row],[Age]]&gt;60,"60+",IF(HR_Employee_Attrition[[#This Row],[Age]]&gt;=50,"50-59",IF(HR_Employee_Attrition[[#This Row],[Age]]&gt;=40,"40-49",IF(HR_Employee_Attrition[[#This Row],[Age]]&gt;=30,"30-39",IF(HR_Employee_Attrition[[#This Row],[Age]]&gt;=20,"20-29",IF(HR_Employee_Attrition[[#This Row],[Age]]&gt;=18,"18-20"))))))</f>
        <v>20-29</v>
      </c>
      <c r="AK280" t="str" cm="1">
        <f t="array" ref="AK280">_xlfn.IFS(HR_Employee_Attrition[[#This Row],[YearsAtCompany]]&lt;=2,"0-2",HR_Employee_Attrition[[#This Row],[YearsAtCompany]]&lt;=5,"3-5",HR_Employee_Attrition[[#This Row],[YearsAtCompany]]&lt;=10,"6-10",HR_Employee_Attrition[[#This Row],[YearsAtCompany]]&gt;10,"10+")</f>
        <v>6-10</v>
      </c>
      <c r="AL280" t="str" cm="1">
        <f t="array" ref="AL2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80">
        <f>IF(HR_Employee_Attrition[[#This Row],[Attrition]]="Yes",1,0)</f>
        <v>0</v>
      </c>
    </row>
    <row r="281" spans="1:39" x14ac:dyDescent="0.3">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c r="AJ281" t="str">
        <f>IF(HR_Employee_Attrition[[#This Row],[Age]]&gt;60,"60+",IF(HR_Employee_Attrition[[#This Row],[Age]]&gt;=50,"50-59",IF(HR_Employee_Attrition[[#This Row],[Age]]&gt;=40,"40-49",IF(HR_Employee_Attrition[[#This Row],[Age]]&gt;=30,"30-39",IF(HR_Employee_Attrition[[#This Row],[Age]]&gt;=20,"20-29",IF(HR_Employee_Attrition[[#This Row],[Age]]&gt;=18,"18-20"))))))</f>
        <v>50-59</v>
      </c>
      <c r="AK281" t="str" cm="1">
        <f t="array" ref="AK281">_xlfn.IFS(HR_Employee_Attrition[[#This Row],[YearsAtCompany]]&lt;=2,"0-2",HR_Employee_Attrition[[#This Row],[YearsAtCompany]]&lt;=5,"3-5",HR_Employee_Attrition[[#This Row],[YearsAtCompany]]&lt;=10,"6-10",HR_Employee_Attrition[[#This Row],[YearsAtCompany]]&gt;10,"10+")</f>
        <v>6-10</v>
      </c>
      <c r="AL281" t="str" cm="1">
        <f t="array" ref="AL2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81">
        <f>IF(HR_Employee_Attrition[[#This Row],[Attrition]]="Yes",1,0)</f>
        <v>0</v>
      </c>
    </row>
    <row r="282" spans="1:39" x14ac:dyDescent="0.3">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c r="AJ282" t="str">
        <f>IF(HR_Employee_Attrition[[#This Row],[Age]]&gt;60,"60+",IF(HR_Employee_Attrition[[#This Row],[Age]]&gt;=50,"50-59",IF(HR_Employee_Attrition[[#This Row],[Age]]&gt;=40,"40-49",IF(HR_Employee_Attrition[[#This Row],[Age]]&gt;=30,"30-39",IF(HR_Employee_Attrition[[#This Row],[Age]]&gt;=20,"20-29",IF(HR_Employee_Attrition[[#This Row],[Age]]&gt;=18,"18-20"))))))</f>
        <v>50-59</v>
      </c>
      <c r="AK282" t="str" cm="1">
        <f t="array" ref="AK282">_xlfn.IFS(HR_Employee_Attrition[[#This Row],[YearsAtCompany]]&lt;=2,"0-2",HR_Employee_Attrition[[#This Row],[YearsAtCompany]]&lt;=5,"3-5",HR_Employee_Attrition[[#This Row],[YearsAtCompany]]&lt;=10,"6-10",HR_Employee_Attrition[[#This Row],[YearsAtCompany]]&gt;10,"10+")</f>
        <v>3-5</v>
      </c>
      <c r="AL282" t="str" cm="1">
        <f t="array" ref="AL2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82">
        <f>IF(HR_Employee_Attrition[[#This Row],[Attrition]]="Yes",1,0)</f>
        <v>0</v>
      </c>
    </row>
    <row r="283" spans="1:39" x14ac:dyDescent="0.3">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c r="AJ283" t="str">
        <f>IF(HR_Employee_Attrition[[#This Row],[Age]]&gt;60,"60+",IF(HR_Employee_Attrition[[#This Row],[Age]]&gt;=50,"50-59",IF(HR_Employee_Attrition[[#This Row],[Age]]&gt;=40,"40-49",IF(HR_Employee_Attrition[[#This Row],[Age]]&gt;=30,"30-39",IF(HR_Employee_Attrition[[#This Row],[Age]]&gt;=20,"20-29",IF(HR_Employee_Attrition[[#This Row],[Age]]&gt;=18,"18-20"))))))</f>
        <v>40-49</v>
      </c>
      <c r="AK283" t="str" cm="1">
        <f t="array" ref="AK283">_xlfn.IFS(HR_Employee_Attrition[[#This Row],[YearsAtCompany]]&lt;=2,"0-2",HR_Employee_Attrition[[#This Row],[YearsAtCompany]]&lt;=5,"3-5",HR_Employee_Attrition[[#This Row],[YearsAtCompany]]&lt;=10,"6-10",HR_Employee_Attrition[[#This Row],[YearsAtCompany]]&gt;10,"10+")</f>
        <v>10+</v>
      </c>
      <c r="AL283" t="str" cm="1">
        <f t="array" ref="AL2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83">
        <f>IF(HR_Employee_Attrition[[#This Row],[Attrition]]="Yes",1,0)</f>
        <v>0</v>
      </c>
    </row>
    <row r="284" spans="1:39" x14ac:dyDescent="0.3">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c r="AJ284" t="str">
        <f>IF(HR_Employee_Attrition[[#This Row],[Age]]&gt;60,"60+",IF(HR_Employee_Attrition[[#This Row],[Age]]&gt;=50,"50-59",IF(HR_Employee_Attrition[[#This Row],[Age]]&gt;=40,"40-49",IF(HR_Employee_Attrition[[#This Row],[Age]]&gt;=30,"30-39",IF(HR_Employee_Attrition[[#This Row],[Age]]&gt;=20,"20-29",IF(HR_Employee_Attrition[[#This Row],[Age]]&gt;=18,"18-20"))))))</f>
        <v>20-29</v>
      </c>
      <c r="AK284" t="str" cm="1">
        <f t="array" ref="AK284">_xlfn.IFS(HR_Employee_Attrition[[#This Row],[YearsAtCompany]]&lt;=2,"0-2",HR_Employee_Attrition[[#This Row],[YearsAtCompany]]&lt;=5,"3-5",HR_Employee_Attrition[[#This Row],[YearsAtCompany]]&lt;=10,"6-10",HR_Employee_Attrition[[#This Row],[YearsAtCompany]]&gt;10,"10+")</f>
        <v>6-10</v>
      </c>
      <c r="AL284" t="str" cm="1">
        <f t="array" ref="AL2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84">
        <f>IF(HR_Employee_Attrition[[#This Row],[Attrition]]="Yes",1,0)</f>
        <v>0</v>
      </c>
    </row>
    <row r="285" spans="1:39" x14ac:dyDescent="0.3">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c r="AJ285" t="str">
        <f>IF(HR_Employee_Attrition[[#This Row],[Age]]&gt;60,"60+",IF(HR_Employee_Attrition[[#This Row],[Age]]&gt;=50,"50-59",IF(HR_Employee_Attrition[[#This Row],[Age]]&gt;=40,"40-49",IF(HR_Employee_Attrition[[#This Row],[Age]]&gt;=30,"30-39",IF(HR_Employee_Attrition[[#This Row],[Age]]&gt;=20,"20-29",IF(HR_Employee_Attrition[[#This Row],[Age]]&gt;=18,"18-20"))))))</f>
        <v>50-59</v>
      </c>
      <c r="AK285" t="str" cm="1">
        <f t="array" ref="AK285">_xlfn.IFS(HR_Employee_Attrition[[#This Row],[YearsAtCompany]]&lt;=2,"0-2",HR_Employee_Attrition[[#This Row],[YearsAtCompany]]&lt;=5,"3-5",HR_Employee_Attrition[[#This Row],[YearsAtCompany]]&lt;=10,"6-10",HR_Employee_Attrition[[#This Row],[YearsAtCompany]]&gt;10,"10+")</f>
        <v>6-10</v>
      </c>
      <c r="AL285" t="str" cm="1">
        <f t="array" ref="AL2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85">
        <f>IF(HR_Employee_Attrition[[#This Row],[Attrition]]="Yes",1,0)</f>
        <v>0</v>
      </c>
    </row>
    <row r="286" spans="1:39" x14ac:dyDescent="0.3">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c r="AJ286" t="str">
        <f>IF(HR_Employee_Attrition[[#This Row],[Age]]&gt;60,"60+",IF(HR_Employee_Attrition[[#This Row],[Age]]&gt;=50,"50-59",IF(HR_Employee_Attrition[[#This Row],[Age]]&gt;=40,"40-49",IF(HR_Employee_Attrition[[#This Row],[Age]]&gt;=30,"30-39",IF(HR_Employee_Attrition[[#This Row],[Age]]&gt;=20,"20-29",IF(HR_Employee_Attrition[[#This Row],[Age]]&gt;=18,"18-20"))))))</f>
        <v>20-29</v>
      </c>
      <c r="AK286" t="str" cm="1">
        <f t="array" ref="AK286">_xlfn.IFS(HR_Employee_Attrition[[#This Row],[YearsAtCompany]]&lt;=2,"0-2",HR_Employee_Attrition[[#This Row],[YearsAtCompany]]&lt;=5,"3-5",HR_Employee_Attrition[[#This Row],[YearsAtCompany]]&lt;=10,"6-10",HR_Employee_Attrition[[#This Row],[YearsAtCompany]]&gt;10,"10+")</f>
        <v>3-5</v>
      </c>
      <c r="AL286" t="str" cm="1">
        <f t="array" ref="AL2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86">
        <f>IF(HR_Employee_Attrition[[#This Row],[Attrition]]="Yes",1,0)</f>
        <v>0</v>
      </c>
    </row>
    <row r="287" spans="1:39" x14ac:dyDescent="0.3">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c r="AJ287" t="str">
        <f>IF(HR_Employee_Attrition[[#This Row],[Age]]&gt;60,"60+",IF(HR_Employee_Attrition[[#This Row],[Age]]&gt;=50,"50-59",IF(HR_Employee_Attrition[[#This Row],[Age]]&gt;=40,"40-49",IF(HR_Employee_Attrition[[#This Row],[Age]]&gt;=30,"30-39",IF(HR_Employee_Attrition[[#This Row],[Age]]&gt;=20,"20-29",IF(HR_Employee_Attrition[[#This Row],[Age]]&gt;=18,"18-20"))))))</f>
        <v>30-39</v>
      </c>
      <c r="AK287" t="str" cm="1">
        <f t="array" ref="AK287">_xlfn.IFS(HR_Employee_Attrition[[#This Row],[YearsAtCompany]]&lt;=2,"0-2",HR_Employee_Attrition[[#This Row],[YearsAtCompany]]&lt;=5,"3-5",HR_Employee_Attrition[[#This Row],[YearsAtCompany]]&lt;=10,"6-10",HR_Employee_Attrition[[#This Row],[YearsAtCompany]]&gt;10,"10+")</f>
        <v>10+</v>
      </c>
      <c r="AL287" t="str" cm="1">
        <f t="array" ref="AL2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87">
        <f>IF(HR_Employee_Attrition[[#This Row],[Attrition]]="Yes",1,0)</f>
        <v>0</v>
      </c>
    </row>
    <row r="288" spans="1:39" x14ac:dyDescent="0.3">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c r="AJ288" t="str">
        <f>IF(HR_Employee_Attrition[[#This Row],[Age]]&gt;60,"60+",IF(HR_Employee_Attrition[[#This Row],[Age]]&gt;=50,"50-59",IF(HR_Employee_Attrition[[#This Row],[Age]]&gt;=40,"40-49",IF(HR_Employee_Attrition[[#This Row],[Age]]&gt;=30,"30-39",IF(HR_Employee_Attrition[[#This Row],[Age]]&gt;=20,"20-29",IF(HR_Employee_Attrition[[#This Row],[Age]]&gt;=18,"18-20"))))))</f>
        <v>40-49</v>
      </c>
      <c r="AK288" t="str" cm="1">
        <f t="array" ref="AK288">_xlfn.IFS(HR_Employee_Attrition[[#This Row],[YearsAtCompany]]&lt;=2,"0-2",HR_Employee_Attrition[[#This Row],[YearsAtCompany]]&lt;=5,"3-5",HR_Employee_Attrition[[#This Row],[YearsAtCompany]]&lt;=10,"6-10",HR_Employee_Attrition[[#This Row],[YearsAtCompany]]&gt;10,"10+")</f>
        <v>0-2</v>
      </c>
      <c r="AL288" t="str" cm="1">
        <f t="array" ref="AL2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88">
        <f>IF(HR_Employee_Attrition[[#This Row],[Attrition]]="Yes",1,0)</f>
        <v>1</v>
      </c>
    </row>
    <row r="289" spans="1:39" x14ac:dyDescent="0.3">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c r="AJ289" t="str">
        <f>IF(HR_Employee_Attrition[[#This Row],[Age]]&gt;60,"60+",IF(HR_Employee_Attrition[[#This Row],[Age]]&gt;=50,"50-59",IF(HR_Employee_Attrition[[#This Row],[Age]]&gt;=40,"40-49",IF(HR_Employee_Attrition[[#This Row],[Age]]&gt;=30,"30-39",IF(HR_Employee_Attrition[[#This Row],[Age]]&gt;=20,"20-29",IF(HR_Employee_Attrition[[#This Row],[Age]]&gt;=18,"18-20"))))))</f>
        <v>30-39</v>
      </c>
      <c r="AK289" t="str" cm="1">
        <f t="array" ref="AK289">_xlfn.IFS(HR_Employee_Attrition[[#This Row],[YearsAtCompany]]&lt;=2,"0-2",HR_Employee_Attrition[[#This Row],[YearsAtCompany]]&lt;=5,"3-5",HR_Employee_Attrition[[#This Row],[YearsAtCompany]]&lt;=10,"6-10",HR_Employee_Attrition[[#This Row],[YearsAtCompany]]&gt;10,"10+")</f>
        <v>0-2</v>
      </c>
      <c r="AL289" t="str" cm="1">
        <f t="array" ref="AL2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89">
        <f>IF(HR_Employee_Attrition[[#This Row],[Attrition]]="Yes",1,0)</f>
        <v>0</v>
      </c>
    </row>
    <row r="290" spans="1:39" x14ac:dyDescent="0.3">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c r="AJ290" t="str">
        <f>IF(HR_Employee_Attrition[[#This Row],[Age]]&gt;60,"60+",IF(HR_Employee_Attrition[[#This Row],[Age]]&gt;=50,"50-59",IF(HR_Employee_Attrition[[#This Row],[Age]]&gt;=40,"40-49",IF(HR_Employee_Attrition[[#This Row],[Age]]&gt;=30,"30-39",IF(HR_Employee_Attrition[[#This Row],[Age]]&gt;=20,"20-29",IF(HR_Employee_Attrition[[#This Row],[Age]]&gt;=18,"18-20"))))))</f>
        <v>20-29</v>
      </c>
      <c r="AK290" t="str" cm="1">
        <f t="array" ref="AK290">_xlfn.IFS(HR_Employee_Attrition[[#This Row],[YearsAtCompany]]&lt;=2,"0-2",HR_Employee_Attrition[[#This Row],[YearsAtCompany]]&lt;=5,"3-5",HR_Employee_Attrition[[#This Row],[YearsAtCompany]]&lt;=10,"6-10",HR_Employee_Attrition[[#This Row],[YearsAtCompany]]&gt;10,"10+")</f>
        <v>3-5</v>
      </c>
      <c r="AL290" t="str" cm="1">
        <f t="array" ref="AL2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90">
        <f>IF(HR_Employee_Attrition[[#This Row],[Attrition]]="Yes",1,0)</f>
        <v>1</v>
      </c>
    </row>
    <row r="291" spans="1:39" x14ac:dyDescent="0.3">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c r="AJ291" t="str">
        <f>IF(HR_Employee_Attrition[[#This Row],[Age]]&gt;60,"60+",IF(HR_Employee_Attrition[[#This Row],[Age]]&gt;=50,"50-59",IF(HR_Employee_Attrition[[#This Row],[Age]]&gt;=40,"40-49",IF(HR_Employee_Attrition[[#This Row],[Age]]&gt;=30,"30-39",IF(HR_Employee_Attrition[[#This Row],[Age]]&gt;=20,"20-29",IF(HR_Employee_Attrition[[#This Row],[Age]]&gt;=18,"18-20"))))))</f>
        <v>20-29</v>
      </c>
      <c r="AK291" t="str" cm="1">
        <f t="array" ref="AK291">_xlfn.IFS(HR_Employee_Attrition[[#This Row],[YearsAtCompany]]&lt;=2,"0-2",HR_Employee_Attrition[[#This Row],[YearsAtCompany]]&lt;=5,"3-5",HR_Employee_Attrition[[#This Row],[YearsAtCompany]]&lt;=10,"6-10",HR_Employee_Attrition[[#This Row],[YearsAtCompany]]&gt;10,"10+")</f>
        <v>3-5</v>
      </c>
      <c r="AL291" t="str" cm="1">
        <f t="array" ref="AL2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91">
        <f>IF(HR_Employee_Attrition[[#This Row],[Attrition]]="Yes",1,0)</f>
        <v>0</v>
      </c>
    </row>
    <row r="292" spans="1:39" x14ac:dyDescent="0.3">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c r="AJ292" t="str">
        <f>IF(HR_Employee_Attrition[[#This Row],[Age]]&gt;60,"60+",IF(HR_Employee_Attrition[[#This Row],[Age]]&gt;=50,"50-59",IF(HR_Employee_Attrition[[#This Row],[Age]]&gt;=40,"40-49",IF(HR_Employee_Attrition[[#This Row],[Age]]&gt;=30,"30-39",IF(HR_Employee_Attrition[[#This Row],[Age]]&gt;=20,"20-29",IF(HR_Employee_Attrition[[#This Row],[Age]]&gt;=18,"18-20"))))))</f>
        <v>40-49</v>
      </c>
      <c r="AK292" t="str" cm="1">
        <f t="array" ref="AK292">_xlfn.IFS(HR_Employee_Attrition[[#This Row],[YearsAtCompany]]&lt;=2,"0-2",HR_Employee_Attrition[[#This Row],[YearsAtCompany]]&lt;=5,"3-5",HR_Employee_Attrition[[#This Row],[YearsAtCompany]]&lt;=10,"6-10",HR_Employee_Attrition[[#This Row],[YearsAtCompany]]&gt;10,"10+")</f>
        <v>3-5</v>
      </c>
      <c r="AL292" t="str" cm="1">
        <f t="array" ref="AL2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92">
        <f>IF(HR_Employee_Attrition[[#This Row],[Attrition]]="Yes",1,0)</f>
        <v>0</v>
      </c>
    </row>
    <row r="293" spans="1:39" x14ac:dyDescent="0.3">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c r="AJ293" t="str">
        <f>IF(HR_Employee_Attrition[[#This Row],[Age]]&gt;60,"60+",IF(HR_Employee_Attrition[[#This Row],[Age]]&gt;=50,"50-59",IF(HR_Employee_Attrition[[#This Row],[Age]]&gt;=40,"40-49",IF(HR_Employee_Attrition[[#This Row],[Age]]&gt;=30,"30-39",IF(HR_Employee_Attrition[[#This Row],[Age]]&gt;=20,"20-29",IF(HR_Employee_Attrition[[#This Row],[Age]]&gt;=18,"18-20"))))))</f>
        <v>30-39</v>
      </c>
      <c r="AK293" t="str" cm="1">
        <f t="array" ref="AK293">_xlfn.IFS(HR_Employee_Attrition[[#This Row],[YearsAtCompany]]&lt;=2,"0-2",HR_Employee_Attrition[[#This Row],[YearsAtCompany]]&lt;=5,"3-5",HR_Employee_Attrition[[#This Row],[YearsAtCompany]]&lt;=10,"6-10",HR_Employee_Attrition[[#This Row],[YearsAtCompany]]&gt;10,"10+")</f>
        <v>6-10</v>
      </c>
      <c r="AL293" t="str" cm="1">
        <f t="array" ref="AL2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93">
        <f>IF(HR_Employee_Attrition[[#This Row],[Attrition]]="Yes",1,0)</f>
        <v>0</v>
      </c>
    </row>
    <row r="294" spans="1:39" x14ac:dyDescent="0.3">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c r="AJ294" t="str">
        <f>IF(HR_Employee_Attrition[[#This Row],[Age]]&gt;60,"60+",IF(HR_Employee_Attrition[[#This Row],[Age]]&gt;=50,"50-59",IF(HR_Employee_Attrition[[#This Row],[Age]]&gt;=40,"40-49",IF(HR_Employee_Attrition[[#This Row],[Age]]&gt;=30,"30-39",IF(HR_Employee_Attrition[[#This Row],[Age]]&gt;=20,"20-29",IF(HR_Employee_Attrition[[#This Row],[Age]]&gt;=18,"18-20"))))))</f>
        <v>30-39</v>
      </c>
      <c r="AK294" t="str" cm="1">
        <f t="array" ref="AK294">_xlfn.IFS(HR_Employee_Attrition[[#This Row],[YearsAtCompany]]&lt;=2,"0-2",HR_Employee_Attrition[[#This Row],[YearsAtCompany]]&lt;=5,"3-5",HR_Employee_Attrition[[#This Row],[YearsAtCompany]]&lt;=10,"6-10",HR_Employee_Attrition[[#This Row],[YearsAtCompany]]&gt;10,"10+")</f>
        <v>0-2</v>
      </c>
      <c r="AL294" t="str" cm="1">
        <f t="array" ref="AL2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94">
        <f>IF(HR_Employee_Attrition[[#This Row],[Attrition]]="Yes",1,0)</f>
        <v>0</v>
      </c>
    </row>
    <row r="295" spans="1:39" x14ac:dyDescent="0.3">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c r="AJ295" t="str">
        <f>IF(HR_Employee_Attrition[[#This Row],[Age]]&gt;60,"60+",IF(HR_Employee_Attrition[[#This Row],[Age]]&gt;=50,"50-59",IF(HR_Employee_Attrition[[#This Row],[Age]]&gt;=40,"40-49",IF(HR_Employee_Attrition[[#This Row],[Age]]&gt;=30,"30-39",IF(HR_Employee_Attrition[[#This Row],[Age]]&gt;=20,"20-29",IF(HR_Employee_Attrition[[#This Row],[Age]]&gt;=18,"18-20"))))))</f>
        <v>20-29</v>
      </c>
      <c r="AK295" t="str" cm="1">
        <f t="array" ref="AK295">_xlfn.IFS(HR_Employee_Attrition[[#This Row],[YearsAtCompany]]&lt;=2,"0-2",HR_Employee_Attrition[[#This Row],[YearsAtCompany]]&lt;=5,"3-5",HR_Employee_Attrition[[#This Row],[YearsAtCompany]]&lt;=10,"6-10",HR_Employee_Attrition[[#This Row],[YearsAtCompany]]&gt;10,"10+")</f>
        <v>6-10</v>
      </c>
      <c r="AL295" t="str" cm="1">
        <f t="array" ref="AL2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95">
        <f>IF(HR_Employee_Attrition[[#This Row],[Attrition]]="Yes",1,0)</f>
        <v>1</v>
      </c>
    </row>
    <row r="296" spans="1:39" x14ac:dyDescent="0.3">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c r="AJ296" t="str">
        <f>IF(HR_Employee_Attrition[[#This Row],[Age]]&gt;60,"60+",IF(HR_Employee_Attrition[[#This Row],[Age]]&gt;=50,"50-59",IF(HR_Employee_Attrition[[#This Row],[Age]]&gt;=40,"40-49",IF(HR_Employee_Attrition[[#This Row],[Age]]&gt;=30,"30-39",IF(HR_Employee_Attrition[[#This Row],[Age]]&gt;=20,"20-29",IF(HR_Employee_Attrition[[#This Row],[Age]]&gt;=18,"18-20"))))))</f>
        <v>30-39</v>
      </c>
      <c r="AK296" t="str" cm="1">
        <f t="array" ref="AK296">_xlfn.IFS(HR_Employee_Attrition[[#This Row],[YearsAtCompany]]&lt;=2,"0-2",HR_Employee_Attrition[[#This Row],[YearsAtCompany]]&lt;=5,"3-5",HR_Employee_Attrition[[#This Row],[YearsAtCompany]]&lt;=10,"6-10",HR_Employee_Attrition[[#This Row],[YearsAtCompany]]&gt;10,"10+")</f>
        <v>3-5</v>
      </c>
      <c r="AL296" t="str" cm="1">
        <f t="array" ref="AL2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96">
        <f>IF(HR_Employee_Attrition[[#This Row],[Attrition]]="Yes",1,0)</f>
        <v>0</v>
      </c>
    </row>
    <row r="297" spans="1:39" x14ac:dyDescent="0.3">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c r="AJ297" t="str">
        <f>IF(HR_Employee_Attrition[[#This Row],[Age]]&gt;60,"60+",IF(HR_Employee_Attrition[[#This Row],[Age]]&gt;=50,"50-59",IF(HR_Employee_Attrition[[#This Row],[Age]]&gt;=40,"40-49",IF(HR_Employee_Attrition[[#This Row],[Age]]&gt;=30,"30-39",IF(HR_Employee_Attrition[[#This Row],[Age]]&gt;=20,"20-29",IF(HR_Employee_Attrition[[#This Row],[Age]]&gt;=18,"18-20"))))))</f>
        <v>40-49</v>
      </c>
      <c r="AK297" t="str" cm="1">
        <f t="array" ref="AK297">_xlfn.IFS(HR_Employee_Attrition[[#This Row],[YearsAtCompany]]&lt;=2,"0-2",HR_Employee_Attrition[[#This Row],[YearsAtCompany]]&lt;=5,"3-5",HR_Employee_Attrition[[#This Row],[YearsAtCompany]]&lt;=10,"6-10",HR_Employee_Attrition[[#This Row],[YearsAtCompany]]&gt;10,"10+")</f>
        <v>10+</v>
      </c>
      <c r="AL297" t="str" cm="1">
        <f t="array" ref="AL2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97">
        <f>IF(HR_Employee_Attrition[[#This Row],[Attrition]]="Yes",1,0)</f>
        <v>0</v>
      </c>
    </row>
    <row r="298" spans="1:39" x14ac:dyDescent="0.3">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c r="AJ298" t="str">
        <f>IF(HR_Employee_Attrition[[#This Row],[Age]]&gt;60,"60+",IF(HR_Employee_Attrition[[#This Row],[Age]]&gt;=50,"50-59",IF(HR_Employee_Attrition[[#This Row],[Age]]&gt;=40,"40-49",IF(HR_Employee_Attrition[[#This Row],[Age]]&gt;=30,"30-39",IF(HR_Employee_Attrition[[#This Row],[Age]]&gt;=20,"20-29",IF(HR_Employee_Attrition[[#This Row],[Age]]&gt;=18,"18-20"))))))</f>
        <v>18-20</v>
      </c>
      <c r="AK298" t="str" cm="1">
        <f t="array" ref="AK298">_xlfn.IFS(HR_Employee_Attrition[[#This Row],[YearsAtCompany]]&lt;=2,"0-2",HR_Employee_Attrition[[#This Row],[YearsAtCompany]]&lt;=5,"3-5",HR_Employee_Attrition[[#This Row],[YearsAtCompany]]&lt;=10,"6-10",HR_Employee_Attrition[[#This Row],[YearsAtCompany]]&gt;10,"10+")</f>
        <v>0-2</v>
      </c>
      <c r="AL298" t="str" cm="1">
        <f t="array" ref="AL2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98">
        <f>IF(HR_Employee_Attrition[[#This Row],[Attrition]]="Yes",1,0)</f>
        <v>1</v>
      </c>
    </row>
    <row r="299" spans="1:39" x14ac:dyDescent="0.3">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c r="AJ299" t="str">
        <f>IF(HR_Employee_Attrition[[#This Row],[Age]]&gt;60,"60+",IF(HR_Employee_Attrition[[#This Row],[Age]]&gt;=50,"50-59",IF(HR_Employee_Attrition[[#This Row],[Age]]&gt;=40,"40-49",IF(HR_Employee_Attrition[[#This Row],[Age]]&gt;=30,"30-39",IF(HR_Employee_Attrition[[#This Row],[Age]]&gt;=20,"20-29",IF(HR_Employee_Attrition[[#This Row],[Age]]&gt;=18,"18-20"))))))</f>
        <v>30-39</v>
      </c>
      <c r="AK299" t="str" cm="1">
        <f t="array" ref="AK299">_xlfn.IFS(HR_Employee_Attrition[[#This Row],[YearsAtCompany]]&lt;=2,"0-2",HR_Employee_Attrition[[#This Row],[YearsAtCompany]]&lt;=5,"3-5",HR_Employee_Attrition[[#This Row],[YearsAtCompany]]&lt;=10,"6-10",HR_Employee_Attrition[[#This Row],[YearsAtCompany]]&gt;10,"10+")</f>
        <v>10+</v>
      </c>
      <c r="AL299" t="str" cm="1">
        <f t="array" ref="AL2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99">
        <f>IF(HR_Employee_Attrition[[#This Row],[Attrition]]="Yes",1,0)</f>
        <v>0</v>
      </c>
    </row>
    <row r="300" spans="1:39" x14ac:dyDescent="0.3">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c r="AJ300" t="str">
        <f>IF(HR_Employee_Attrition[[#This Row],[Age]]&gt;60,"60+",IF(HR_Employee_Attrition[[#This Row],[Age]]&gt;=50,"50-59",IF(HR_Employee_Attrition[[#This Row],[Age]]&gt;=40,"40-49",IF(HR_Employee_Attrition[[#This Row],[Age]]&gt;=30,"30-39",IF(HR_Employee_Attrition[[#This Row],[Age]]&gt;=20,"20-29",IF(HR_Employee_Attrition[[#This Row],[Age]]&gt;=18,"18-20"))))))</f>
        <v>30-39</v>
      </c>
      <c r="AK300" t="str" cm="1">
        <f t="array" ref="AK300">_xlfn.IFS(HR_Employee_Attrition[[#This Row],[YearsAtCompany]]&lt;=2,"0-2",HR_Employee_Attrition[[#This Row],[YearsAtCompany]]&lt;=5,"3-5",HR_Employee_Attrition[[#This Row],[YearsAtCompany]]&lt;=10,"6-10",HR_Employee_Attrition[[#This Row],[YearsAtCompany]]&gt;10,"10+")</f>
        <v>0-2</v>
      </c>
      <c r="AL300" t="str" cm="1">
        <f t="array" ref="AL3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00">
        <f>IF(HR_Employee_Attrition[[#This Row],[Attrition]]="Yes",1,0)</f>
        <v>0</v>
      </c>
    </row>
    <row r="301" spans="1:39" x14ac:dyDescent="0.3">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c r="AJ301" t="str">
        <f>IF(HR_Employee_Attrition[[#This Row],[Age]]&gt;60,"60+",IF(HR_Employee_Attrition[[#This Row],[Age]]&gt;=50,"50-59",IF(HR_Employee_Attrition[[#This Row],[Age]]&gt;=40,"40-49",IF(HR_Employee_Attrition[[#This Row],[Age]]&gt;=30,"30-39",IF(HR_Employee_Attrition[[#This Row],[Age]]&gt;=20,"20-29",IF(HR_Employee_Attrition[[#This Row],[Age]]&gt;=18,"18-20"))))))</f>
        <v>50-59</v>
      </c>
      <c r="AK301" t="str" cm="1">
        <f t="array" ref="AK301">_xlfn.IFS(HR_Employee_Attrition[[#This Row],[YearsAtCompany]]&lt;=2,"0-2",HR_Employee_Attrition[[#This Row],[YearsAtCompany]]&lt;=5,"3-5",HR_Employee_Attrition[[#This Row],[YearsAtCompany]]&lt;=10,"6-10",HR_Employee_Attrition[[#This Row],[YearsAtCompany]]&gt;10,"10+")</f>
        <v>3-5</v>
      </c>
      <c r="AL301" t="str" cm="1">
        <f t="array" ref="AL3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01">
        <f>IF(HR_Employee_Attrition[[#This Row],[Attrition]]="Yes",1,0)</f>
        <v>0</v>
      </c>
    </row>
    <row r="302" spans="1:39" x14ac:dyDescent="0.3">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c r="AJ302" t="str">
        <f>IF(HR_Employee_Attrition[[#This Row],[Age]]&gt;60,"60+",IF(HR_Employee_Attrition[[#This Row],[Age]]&gt;=50,"50-59",IF(HR_Employee_Attrition[[#This Row],[Age]]&gt;=40,"40-49",IF(HR_Employee_Attrition[[#This Row],[Age]]&gt;=30,"30-39",IF(HR_Employee_Attrition[[#This Row],[Age]]&gt;=20,"20-29",IF(HR_Employee_Attrition[[#This Row],[Age]]&gt;=18,"18-20"))))))</f>
        <v>40-49</v>
      </c>
      <c r="AK302" t="str" cm="1">
        <f t="array" ref="AK302">_xlfn.IFS(HR_Employee_Attrition[[#This Row],[YearsAtCompany]]&lt;=2,"0-2",HR_Employee_Attrition[[#This Row],[YearsAtCompany]]&lt;=5,"3-5",HR_Employee_Attrition[[#This Row],[YearsAtCompany]]&lt;=10,"6-10",HR_Employee_Attrition[[#This Row],[YearsAtCompany]]&gt;10,"10+")</f>
        <v>10+</v>
      </c>
      <c r="AL302" t="str" cm="1">
        <f t="array" ref="AL3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02">
        <f>IF(HR_Employee_Attrition[[#This Row],[Attrition]]="Yes",1,0)</f>
        <v>0</v>
      </c>
    </row>
    <row r="303" spans="1:39" x14ac:dyDescent="0.3">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c r="AJ303" t="str">
        <f>IF(HR_Employee_Attrition[[#This Row],[Age]]&gt;60,"60+",IF(HR_Employee_Attrition[[#This Row],[Age]]&gt;=50,"50-59",IF(HR_Employee_Attrition[[#This Row],[Age]]&gt;=40,"40-49",IF(HR_Employee_Attrition[[#This Row],[Age]]&gt;=30,"30-39",IF(HR_Employee_Attrition[[#This Row],[Age]]&gt;=20,"20-29",IF(HR_Employee_Attrition[[#This Row],[Age]]&gt;=18,"18-20"))))))</f>
        <v>18-20</v>
      </c>
      <c r="AK303" t="str" cm="1">
        <f t="array" ref="AK303">_xlfn.IFS(HR_Employee_Attrition[[#This Row],[YearsAtCompany]]&lt;=2,"0-2",HR_Employee_Attrition[[#This Row],[YearsAtCompany]]&lt;=5,"3-5",HR_Employee_Attrition[[#This Row],[YearsAtCompany]]&lt;=10,"6-10",HR_Employee_Attrition[[#This Row],[YearsAtCompany]]&gt;10,"10+")</f>
        <v>0-2</v>
      </c>
      <c r="AL303" t="str" cm="1">
        <f t="array" ref="AL3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03">
        <f>IF(HR_Employee_Attrition[[#This Row],[Attrition]]="Yes",1,0)</f>
        <v>0</v>
      </c>
    </row>
    <row r="304" spans="1:39" x14ac:dyDescent="0.3">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c r="AJ304" t="str">
        <f>IF(HR_Employee_Attrition[[#This Row],[Age]]&gt;60,"60+",IF(HR_Employee_Attrition[[#This Row],[Age]]&gt;=50,"50-59",IF(HR_Employee_Attrition[[#This Row],[Age]]&gt;=40,"40-49",IF(HR_Employee_Attrition[[#This Row],[Age]]&gt;=30,"30-39",IF(HR_Employee_Attrition[[#This Row],[Age]]&gt;=20,"20-29",IF(HR_Employee_Attrition[[#This Row],[Age]]&gt;=18,"18-20"))))))</f>
        <v>20-29</v>
      </c>
      <c r="AK304" t="str" cm="1">
        <f t="array" ref="AK304">_xlfn.IFS(HR_Employee_Attrition[[#This Row],[YearsAtCompany]]&lt;=2,"0-2",HR_Employee_Attrition[[#This Row],[YearsAtCompany]]&lt;=5,"3-5",HR_Employee_Attrition[[#This Row],[YearsAtCompany]]&lt;=10,"6-10",HR_Employee_Attrition[[#This Row],[YearsAtCompany]]&gt;10,"10+")</f>
        <v>6-10</v>
      </c>
      <c r="AL304" t="str" cm="1">
        <f t="array" ref="AL3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04">
        <f>IF(HR_Employee_Attrition[[#This Row],[Attrition]]="Yes",1,0)</f>
        <v>0</v>
      </c>
    </row>
    <row r="305" spans="1:39" x14ac:dyDescent="0.3">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c r="AJ305" t="str">
        <f>IF(HR_Employee_Attrition[[#This Row],[Age]]&gt;60,"60+",IF(HR_Employee_Attrition[[#This Row],[Age]]&gt;=50,"50-59",IF(HR_Employee_Attrition[[#This Row],[Age]]&gt;=40,"40-49",IF(HR_Employee_Attrition[[#This Row],[Age]]&gt;=30,"30-39",IF(HR_Employee_Attrition[[#This Row],[Age]]&gt;=20,"20-29",IF(HR_Employee_Attrition[[#This Row],[Age]]&gt;=18,"18-20"))))))</f>
        <v>30-39</v>
      </c>
      <c r="AK305" t="str" cm="1">
        <f t="array" ref="AK305">_xlfn.IFS(HR_Employee_Attrition[[#This Row],[YearsAtCompany]]&lt;=2,"0-2",HR_Employee_Attrition[[#This Row],[YearsAtCompany]]&lt;=5,"3-5",HR_Employee_Attrition[[#This Row],[YearsAtCompany]]&lt;=10,"6-10",HR_Employee_Attrition[[#This Row],[YearsAtCompany]]&gt;10,"10+")</f>
        <v>6-10</v>
      </c>
      <c r="AL305" t="str" cm="1">
        <f t="array" ref="AL3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05">
        <f>IF(HR_Employee_Attrition[[#This Row],[Attrition]]="Yes",1,0)</f>
        <v>0</v>
      </c>
    </row>
    <row r="306" spans="1:39" x14ac:dyDescent="0.3">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c r="AJ306" t="str">
        <f>IF(HR_Employee_Attrition[[#This Row],[Age]]&gt;60,"60+",IF(HR_Employee_Attrition[[#This Row],[Age]]&gt;=50,"50-59",IF(HR_Employee_Attrition[[#This Row],[Age]]&gt;=40,"40-49",IF(HR_Employee_Attrition[[#This Row],[Age]]&gt;=30,"30-39",IF(HR_Employee_Attrition[[#This Row],[Age]]&gt;=20,"20-29",IF(HR_Employee_Attrition[[#This Row],[Age]]&gt;=18,"18-20"))))))</f>
        <v>30-39</v>
      </c>
      <c r="AK306" t="str" cm="1">
        <f t="array" ref="AK306">_xlfn.IFS(HR_Employee_Attrition[[#This Row],[YearsAtCompany]]&lt;=2,"0-2",HR_Employee_Attrition[[#This Row],[YearsAtCompany]]&lt;=5,"3-5",HR_Employee_Attrition[[#This Row],[YearsAtCompany]]&lt;=10,"6-10",HR_Employee_Attrition[[#This Row],[YearsAtCompany]]&gt;10,"10+")</f>
        <v>10+</v>
      </c>
      <c r="AL306" t="str" cm="1">
        <f t="array" ref="AL3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06">
        <f>IF(HR_Employee_Attrition[[#This Row],[Attrition]]="Yes",1,0)</f>
        <v>0</v>
      </c>
    </row>
    <row r="307" spans="1:39" x14ac:dyDescent="0.3">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c r="AJ307" t="str">
        <f>IF(HR_Employee_Attrition[[#This Row],[Age]]&gt;60,"60+",IF(HR_Employee_Attrition[[#This Row],[Age]]&gt;=50,"50-59",IF(HR_Employee_Attrition[[#This Row],[Age]]&gt;=40,"40-49",IF(HR_Employee_Attrition[[#This Row],[Age]]&gt;=30,"30-39",IF(HR_Employee_Attrition[[#This Row],[Age]]&gt;=20,"20-29",IF(HR_Employee_Attrition[[#This Row],[Age]]&gt;=18,"18-20"))))))</f>
        <v>30-39</v>
      </c>
      <c r="AK307" t="str" cm="1">
        <f t="array" ref="AK307">_xlfn.IFS(HR_Employee_Attrition[[#This Row],[YearsAtCompany]]&lt;=2,"0-2",HR_Employee_Attrition[[#This Row],[YearsAtCompany]]&lt;=5,"3-5",HR_Employee_Attrition[[#This Row],[YearsAtCompany]]&lt;=10,"6-10",HR_Employee_Attrition[[#This Row],[YearsAtCompany]]&gt;10,"10+")</f>
        <v>6-10</v>
      </c>
      <c r="AL307" t="str" cm="1">
        <f t="array" ref="AL3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07">
        <f>IF(HR_Employee_Attrition[[#This Row],[Attrition]]="Yes",1,0)</f>
        <v>0</v>
      </c>
    </row>
    <row r="308" spans="1:39" x14ac:dyDescent="0.3">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c r="AJ308" t="str">
        <f>IF(HR_Employee_Attrition[[#This Row],[Age]]&gt;60,"60+",IF(HR_Employee_Attrition[[#This Row],[Age]]&gt;=50,"50-59",IF(HR_Employee_Attrition[[#This Row],[Age]]&gt;=40,"40-49",IF(HR_Employee_Attrition[[#This Row],[Age]]&gt;=30,"30-39",IF(HR_Employee_Attrition[[#This Row],[Age]]&gt;=20,"20-29",IF(HR_Employee_Attrition[[#This Row],[Age]]&gt;=18,"18-20"))))))</f>
        <v>30-39</v>
      </c>
      <c r="AK308" t="str" cm="1">
        <f t="array" ref="AK308">_xlfn.IFS(HR_Employee_Attrition[[#This Row],[YearsAtCompany]]&lt;=2,"0-2",HR_Employee_Attrition[[#This Row],[YearsAtCompany]]&lt;=5,"3-5",HR_Employee_Attrition[[#This Row],[YearsAtCompany]]&lt;=10,"6-10",HR_Employee_Attrition[[#This Row],[YearsAtCompany]]&gt;10,"10+")</f>
        <v>10+</v>
      </c>
      <c r="AL308" t="str" cm="1">
        <f t="array" ref="AL3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08">
        <f>IF(HR_Employee_Attrition[[#This Row],[Attrition]]="Yes",1,0)</f>
        <v>0</v>
      </c>
    </row>
    <row r="309" spans="1:39" x14ac:dyDescent="0.3">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c r="AJ309" t="str">
        <f>IF(HR_Employee_Attrition[[#This Row],[Age]]&gt;60,"60+",IF(HR_Employee_Attrition[[#This Row],[Age]]&gt;=50,"50-59",IF(HR_Employee_Attrition[[#This Row],[Age]]&gt;=40,"40-49",IF(HR_Employee_Attrition[[#This Row],[Age]]&gt;=30,"30-39",IF(HR_Employee_Attrition[[#This Row],[Age]]&gt;=20,"20-29",IF(HR_Employee_Attrition[[#This Row],[Age]]&gt;=18,"18-20"))))))</f>
        <v>30-39</v>
      </c>
      <c r="AK309" t="str" cm="1">
        <f t="array" ref="AK309">_xlfn.IFS(HR_Employee_Attrition[[#This Row],[YearsAtCompany]]&lt;=2,"0-2",HR_Employee_Attrition[[#This Row],[YearsAtCompany]]&lt;=5,"3-5",HR_Employee_Attrition[[#This Row],[YearsAtCompany]]&lt;=10,"6-10",HR_Employee_Attrition[[#This Row],[YearsAtCompany]]&gt;10,"10+")</f>
        <v>6-10</v>
      </c>
      <c r="AL309" t="str" cm="1">
        <f t="array" ref="AL3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09">
        <f>IF(HR_Employee_Attrition[[#This Row],[Attrition]]="Yes",1,0)</f>
        <v>0</v>
      </c>
    </row>
    <row r="310" spans="1:39" x14ac:dyDescent="0.3">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c r="AJ310" t="str">
        <f>IF(HR_Employee_Attrition[[#This Row],[Age]]&gt;60,"60+",IF(HR_Employee_Attrition[[#This Row],[Age]]&gt;=50,"50-59",IF(HR_Employee_Attrition[[#This Row],[Age]]&gt;=40,"40-49",IF(HR_Employee_Attrition[[#This Row],[Age]]&gt;=30,"30-39",IF(HR_Employee_Attrition[[#This Row],[Age]]&gt;=20,"20-29",IF(HR_Employee_Attrition[[#This Row],[Age]]&gt;=18,"18-20"))))))</f>
        <v>50-59</v>
      </c>
      <c r="AK310" t="str" cm="1">
        <f t="array" ref="AK310">_xlfn.IFS(HR_Employee_Attrition[[#This Row],[YearsAtCompany]]&lt;=2,"0-2",HR_Employee_Attrition[[#This Row],[YearsAtCompany]]&lt;=5,"3-5",HR_Employee_Attrition[[#This Row],[YearsAtCompany]]&lt;=10,"6-10",HR_Employee_Attrition[[#This Row],[YearsAtCompany]]&gt;10,"10+")</f>
        <v>3-5</v>
      </c>
      <c r="AL310" t="str" cm="1">
        <f t="array" ref="AL3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10">
        <f>IF(HR_Employee_Attrition[[#This Row],[Attrition]]="Yes",1,0)</f>
        <v>0</v>
      </c>
    </row>
    <row r="311" spans="1:39" x14ac:dyDescent="0.3">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c r="AJ311" t="str">
        <f>IF(HR_Employee_Attrition[[#This Row],[Age]]&gt;60,"60+",IF(HR_Employee_Attrition[[#This Row],[Age]]&gt;=50,"50-59",IF(HR_Employee_Attrition[[#This Row],[Age]]&gt;=40,"40-49",IF(HR_Employee_Attrition[[#This Row],[Age]]&gt;=30,"30-39",IF(HR_Employee_Attrition[[#This Row],[Age]]&gt;=20,"20-29",IF(HR_Employee_Attrition[[#This Row],[Age]]&gt;=18,"18-20"))))))</f>
        <v>30-39</v>
      </c>
      <c r="AK311" t="str" cm="1">
        <f t="array" ref="AK311">_xlfn.IFS(HR_Employee_Attrition[[#This Row],[YearsAtCompany]]&lt;=2,"0-2",HR_Employee_Attrition[[#This Row],[YearsAtCompany]]&lt;=5,"3-5",HR_Employee_Attrition[[#This Row],[YearsAtCompany]]&lt;=10,"6-10",HR_Employee_Attrition[[#This Row],[YearsAtCompany]]&gt;10,"10+")</f>
        <v>3-5</v>
      </c>
      <c r="AL311" t="str" cm="1">
        <f t="array" ref="AL3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11">
        <f>IF(HR_Employee_Attrition[[#This Row],[Attrition]]="Yes",1,0)</f>
        <v>0</v>
      </c>
    </row>
    <row r="312" spans="1:39" x14ac:dyDescent="0.3">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c r="AJ312" t="str">
        <f>IF(HR_Employee_Attrition[[#This Row],[Age]]&gt;60,"60+",IF(HR_Employee_Attrition[[#This Row],[Age]]&gt;=50,"50-59",IF(HR_Employee_Attrition[[#This Row],[Age]]&gt;=40,"40-49",IF(HR_Employee_Attrition[[#This Row],[Age]]&gt;=30,"30-39",IF(HR_Employee_Attrition[[#This Row],[Age]]&gt;=20,"20-29",IF(HR_Employee_Attrition[[#This Row],[Age]]&gt;=18,"18-20"))))))</f>
        <v>30-39</v>
      </c>
      <c r="AK312" t="str" cm="1">
        <f t="array" ref="AK312">_xlfn.IFS(HR_Employee_Attrition[[#This Row],[YearsAtCompany]]&lt;=2,"0-2",HR_Employee_Attrition[[#This Row],[YearsAtCompany]]&lt;=5,"3-5",HR_Employee_Attrition[[#This Row],[YearsAtCompany]]&lt;=10,"6-10",HR_Employee_Attrition[[#This Row],[YearsAtCompany]]&gt;10,"10+")</f>
        <v>0-2</v>
      </c>
      <c r="AL312" t="str" cm="1">
        <f t="array" ref="AL3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12">
        <f>IF(HR_Employee_Attrition[[#This Row],[Attrition]]="Yes",1,0)</f>
        <v>0</v>
      </c>
    </row>
    <row r="313" spans="1:39" x14ac:dyDescent="0.3">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c r="AJ313" t="str">
        <f>IF(HR_Employee_Attrition[[#This Row],[Age]]&gt;60,"60+",IF(HR_Employee_Attrition[[#This Row],[Age]]&gt;=50,"50-59",IF(HR_Employee_Attrition[[#This Row],[Age]]&gt;=40,"40-49",IF(HR_Employee_Attrition[[#This Row],[Age]]&gt;=30,"30-39",IF(HR_Employee_Attrition[[#This Row],[Age]]&gt;=20,"20-29",IF(HR_Employee_Attrition[[#This Row],[Age]]&gt;=18,"18-20"))))))</f>
        <v>40-49</v>
      </c>
      <c r="AK313" t="str" cm="1">
        <f t="array" ref="AK313">_xlfn.IFS(HR_Employee_Attrition[[#This Row],[YearsAtCompany]]&lt;=2,"0-2",HR_Employee_Attrition[[#This Row],[YearsAtCompany]]&lt;=5,"3-5",HR_Employee_Attrition[[#This Row],[YearsAtCompany]]&lt;=10,"6-10",HR_Employee_Attrition[[#This Row],[YearsAtCompany]]&gt;10,"10+")</f>
        <v>10+</v>
      </c>
      <c r="AL313" t="str" cm="1">
        <f t="array" ref="AL3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13">
        <f>IF(HR_Employee_Attrition[[#This Row],[Attrition]]="Yes",1,0)</f>
        <v>0</v>
      </c>
    </row>
    <row r="314" spans="1:39" x14ac:dyDescent="0.3">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c r="AJ314" t="str">
        <f>IF(HR_Employee_Attrition[[#This Row],[Age]]&gt;60,"60+",IF(HR_Employee_Attrition[[#This Row],[Age]]&gt;=50,"50-59",IF(HR_Employee_Attrition[[#This Row],[Age]]&gt;=40,"40-49",IF(HR_Employee_Attrition[[#This Row],[Age]]&gt;=30,"30-39",IF(HR_Employee_Attrition[[#This Row],[Age]]&gt;=20,"20-29",IF(HR_Employee_Attrition[[#This Row],[Age]]&gt;=18,"18-20"))))))</f>
        <v>30-39</v>
      </c>
      <c r="AK314" t="str" cm="1">
        <f t="array" ref="AK314">_xlfn.IFS(HR_Employee_Attrition[[#This Row],[YearsAtCompany]]&lt;=2,"0-2",HR_Employee_Attrition[[#This Row],[YearsAtCompany]]&lt;=5,"3-5",HR_Employee_Attrition[[#This Row],[YearsAtCompany]]&lt;=10,"6-10",HR_Employee_Attrition[[#This Row],[YearsAtCompany]]&gt;10,"10+")</f>
        <v>0-2</v>
      </c>
      <c r="AL314" t="str" cm="1">
        <f t="array" ref="AL3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14">
        <f>IF(HR_Employee_Attrition[[#This Row],[Attrition]]="Yes",1,0)</f>
        <v>0</v>
      </c>
    </row>
    <row r="315" spans="1:39" x14ac:dyDescent="0.3">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c r="AJ315" t="str">
        <f>IF(HR_Employee_Attrition[[#This Row],[Age]]&gt;60,"60+",IF(HR_Employee_Attrition[[#This Row],[Age]]&gt;=50,"50-59",IF(HR_Employee_Attrition[[#This Row],[Age]]&gt;=40,"40-49",IF(HR_Employee_Attrition[[#This Row],[Age]]&gt;=30,"30-39",IF(HR_Employee_Attrition[[#This Row],[Age]]&gt;=20,"20-29",IF(HR_Employee_Attrition[[#This Row],[Age]]&gt;=18,"18-20"))))))</f>
        <v>30-39</v>
      </c>
      <c r="AK315" t="str" cm="1">
        <f t="array" ref="AK315">_xlfn.IFS(HR_Employee_Attrition[[#This Row],[YearsAtCompany]]&lt;=2,"0-2",HR_Employee_Attrition[[#This Row],[YearsAtCompany]]&lt;=5,"3-5",HR_Employee_Attrition[[#This Row],[YearsAtCompany]]&lt;=10,"6-10",HR_Employee_Attrition[[#This Row],[YearsAtCompany]]&gt;10,"10+")</f>
        <v>6-10</v>
      </c>
      <c r="AL315" t="str" cm="1">
        <f t="array" ref="AL3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15">
        <f>IF(HR_Employee_Attrition[[#This Row],[Attrition]]="Yes",1,0)</f>
        <v>0</v>
      </c>
    </row>
    <row r="316" spans="1:39" x14ac:dyDescent="0.3">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c r="AJ316" t="str">
        <f>IF(HR_Employee_Attrition[[#This Row],[Age]]&gt;60,"60+",IF(HR_Employee_Attrition[[#This Row],[Age]]&gt;=50,"50-59",IF(HR_Employee_Attrition[[#This Row],[Age]]&gt;=40,"40-49",IF(HR_Employee_Attrition[[#This Row],[Age]]&gt;=30,"30-39",IF(HR_Employee_Attrition[[#This Row],[Age]]&gt;=20,"20-29",IF(HR_Employee_Attrition[[#This Row],[Age]]&gt;=18,"18-20"))))))</f>
        <v>30-39</v>
      </c>
      <c r="AK316" t="str" cm="1">
        <f t="array" ref="AK316">_xlfn.IFS(HR_Employee_Attrition[[#This Row],[YearsAtCompany]]&lt;=2,"0-2",HR_Employee_Attrition[[#This Row],[YearsAtCompany]]&lt;=5,"3-5",HR_Employee_Attrition[[#This Row],[YearsAtCompany]]&lt;=10,"6-10",HR_Employee_Attrition[[#This Row],[YearsAtCompany]]&gt;10,"10+")</f>
        <v>10+</v>
      </c>
      <c r="AL316" t="str" cm="1">
        <f t="array" ref="AL3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16">
        <f>IF(HR_Employee_Attrition[[#This Row],[Attrition]]="Yes",1,0)</f>
        <v>0</v>
      </c>
    </row>
    <row r="317" spans="1:39" x14ac:dyDescent="0.3">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c r="AJ317" t="str">
        <f>IF(HR_Employee_Attrition[[#This Row],[Age]]&gt;60,"60+",IF(HR_Employee_Attrition[[#This Row],[Age]]&gt;=50,"50-59",IF(HR_Employee_Attrition[[#This Row],[Age]]&gt;=40,"40-49",IF(HR_Employee_Attrition[[#This Row],[Age]]&gt;=30,"30-39",IF(HR_Employee_Attrition[[#This Row],[Age]]&gt;=20,"20-29",IF(HR_Employee_Attrition[[#This Row],[Age]]&gt;=18,"18-20"))))))</f>
        <v>40-49</v>
      </c>
      <c r="AK317" t="str" cm="1">
        <f t="array" ref="AK317">_xlfn.IFS(HR_Employee_Attrition[[#This Row],[YearsAtCompany]]&lt;=2,"0-2",HR_Employee_Attrition[[#This Row],[YearsAtCompany]]&lt;=5,"3-5",HR_Employee_Attrition[[#This Row],[YearsAtCompany]]&lt;=10,"6-10",HR_Employee_Attrition[[#This Row],[YearsAtCompany]]&gt;10,"10+")</f>
        <v>6-10</v>
      </c>
      <c r="AL317" t="str" cm="1">
        <f t="array" ref="AL3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17">
        <f>IF(HR_Employee_Attrition[[#This Row],[Attrition]]="Yes",1,0)</f>
        <v>0</v>
      </c>
    </row>
    <row r="318" spans="1:39" x14ac:dyDescent="0.3">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c r="AJ318" t="str">
        <f>IF(HR_Employee_Attrition[[#This Row],[Age]]&gt;60,"60+",IF(HR_Employee_Attrition[[#This Row],[Age]]&gt;=50,"50-59",IF(HR_Employee_Attrition[[#This Row],[Age]]&gt;=40,"40-49",IF(HR_Employee_Attrition[[#This Row],[Age]]&gt;=30,"30-39",IF(HR_Employee_Attrition[[#This Row],[Age]]&gt;=20,"20-29",IF(HR_Employee_Attrition[[#This Row],[Age]]&gt;=18,"18-20"))))))</f>
        <v>40-49</v>
      </c>
      <c r="AK318" t="str" cm="1">
        <f t="array" ref="AK318">_xlfn.IFS(HR_Employee_Attrition[[#This Row],[YearsAtCompany]]&lt;=2,"0-2",HR_Employee_Attrition[[#This Row],[YearsAtCompany]]&lt;=5,"3-5",HR_Employee_Attrition[[#This Row],[YearsAtCompany]]&lt;=10,"6-10",HR_Employee_Attrition[[#This Row],[YearsAtCompany]]&gt;10,"10+")</f>
        <v>6-10</v>
      </c>
      <c r="AL318" t="str" cm="1">
        <f t="array" ref="AL3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18">
        <f>IF(HR_Employee_Attrition[[#This Row],[Attrition]]="Yes",1,0)</f>
        <v>0</v>
      </c>
    </row>
    <row r="319" spans="1:39" x14ac:dyDescent="0.3">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c r="AJ319" t="str">
        <f>IF(HR_Employee_Attrition[[#This Row],[Age]]&gt;60,"60+",IF(HR_Employee_Attrition[[#This Row],[Age]]&gt;=50,"50-59",IF(HR_Employee_Attrition[[#This Row],[Age]]&gt;=40,"40-49",IF(HR_Employee_Attrition[[#This Row],[Age]]&gt;=30,"30-39",IF(HR_Employee_Attrition[[#This Row],[Age]]&gt;=20,"20-29",IF(HR_Employee_Attrition[[#This Row],[Age]]&gt;=18,"18-20"))))))</f>
        <v>50-59</v>
      </c>
      <c r="AK319" t="str" cm="1">
        <f t="array" ref="AK319">_xlfn.IFS(HR_Employee_Attrition[[#This Row],[YearsAtCompany]]&lt;=2,"0-2",HR_Employee_Attrition[[#This Row],[YearsAtCompany]]&lt;=5,"3-5",HR_Employee_Attrition[[#This Row],[YearsAtCompany]]&lt;=10,"6-10",HR_Employee_Attrition[[#This Row],[YearsAtCompany]]&gt;10,"10+")</f>
        <v>6-10</v>
      </c>
      <c r="AL319" t="str" cm="1">
        <f t="array" ref="AL3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19">
        <f>IF(HR_Employee_Attrition[[#This Row],[Attrition]]="Yes",1,0)</f>
        <v>1</v>
      </c>
    </row>
    <row r="320" spans="1:39" x14ac:dyDescent="0.3">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c r="AJ320" t="str">
        <f>IF(HR_Employee_Attrition[[#This Row],[Age]]&gt;60,"60+",IF(HR_Employee_Attrition[[#This Row],[Age]]&gt;=50,"50-59",IF(HR_Employee_Attrition[[#This Row],[Age]]&gt;=40,"40-49",IF(HR_Employee_Attrition[[#This Row],[Age]]&gt;=30,"30-39",IF(HR_Employee_Attrition[[#This Row],[Age]]&gt;=20,"20-29",IF(HR_Employee_Attrition[[#This Row],[Age]]&gt;=18,"18-20"))))))</f>
        <v>20-29</v>
      </c>
      <c r="AK320" t="str" cm="1">
        <f t="array" ref="AK320">_xlfn.IFS(HR_Employee_Attrition[[#This Row],[YearsAtCompany]]&lt;=2,"0-2",HR_Employee_Attrition[[#This Row],[YearsAtCompany]]&lt;=5,"3-5",HR_Employee_Attrition[[#This Row],[YearsAtCompany]]&lt;=10,"6-10",HR_Employee_Attrition[[#This Row],[YearsAtCompany]]&gt;10,"10+")</f>
        <v>3-5</v>
      </c>
      <c r="AL320" t="str" cm="1">
        <f t="array" ref="AL3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20">
        <f>IF(HR_Employee_Attrition[[#This Row],[Attrition]]="Yes",1,0)</f>
        <v>0</v>
      </c>
    </row>
    <row r="321" spans="1:39" x14ac:dyDescent="0.3">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c r="AJ321" t="str">
        <f>IF(HR_Employee_Attrition[[#This Row],[Age]]&gt;60,"60+",IF(HR_Employee_Attrition[[#This Row],[Age]]&gt;=50,"50-59",IF(HR_Employee_Attrition[[#This Row],[Age]]&gt;=40,"40-49",IF(HR_Employee_Attrition[[#This Row],[Age]]&gt;=30,"30-39",IF(HR_Employee_Attrition[[#This Row],[Age]]&gt;=20,"20-29",IF(HR_Employee_Attrition[[#This Row],[Age]]&gt;=18,"18-20"))))))</f>
        <v>30-39</v>
      </c>
      <c r="AK321" t="str" cm="1">
        <f t="array" ref="AK321">_xlfn.IFS(HR_Employee_Attrition[[#This Row],[YearsAtCompany]]&lt;=2,"0-2",HR_Employee_Attrition[[#This Row],[YearsAtCompany]]&lt;=5,"3-5",HR_Employee_Attrition[[#This Row],[YearsAtCompany]]&lt;=10,"6-10",HR_Employee_Attrition[[#This Row],[YearsAtCompany]]&gt;10,"10+")</f>
        <v>10+</v>
      </c>
      <c r="AL321" t="str" cm="1">
        <f t="array" ref="AL3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21">
        <f>IF(HR_Employee_Attrition[[#This Row],[Attrition]]="Yes",1,0)</f>
        <v>0</v>
      </c>
    </row>
    <row r="322" spans="1:39" x14ac:dyDescent="0.3">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c r="AJ322" t="str">
        <f>IF(HR_Employee_Attrition[[#This Row],[Age]]&gt;60,"60+",IF(HR_Employee_Attrition[[#This Row],[Age]]&gt;=50,"50-59",IF(HR_Employee_Attrition[[#This Row],[Age]]&gt;=40,"40-49",IF(HR_Employee_Attrition[[#This Row],[Age]]&gt;=30,"30-39",IF(HR_Employee_Attrition[[#This Row],[Age]]&gt;=20,"20-29",IF(HR_Employee_Attrition[[#This Row],[Age]]&gt;=18,"18-20"))))))</f>
        <v>20-29</v>
      </c>
      <c r="AK322" t="str" cm="1">
        <f t="array" ref="AK322">_xlfn.IFS(HR_Employee_Attrition[[#This Row],[YearsAtCompany]]&lt;=2,"0-2",HR_Employee_Attrition[[#This Row],[YearsAtCompany]]&lt;=5,"3-5",HR_Employee_Attrition[[#This Row],[YearsAtCompany]]&lt;=10,"6-10",HR_Employee_Attrition[[#This Row],[YearsAtCompany]]&gt;10,"10+")</f>
        <v>3-5</v>
      </c>
      <c r="AL322" t="str" cm="1">
        <f t="array" ref="AL3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22">
        <f>IF(HR_Employee_Attrition[[#This Row],[Attrition]]="Yes",1,0)</f>
        <v>0</v>
      </c>
    </row>
    <row r="323" spans="1:39" x14ac:dyDescent="0.3">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c r="AJ323" t="str">
        <f>IF(HR_Employee_Attrition[[#This Row],[Age]]&gt;60,"60+",IF(HR_Employee_Attrition[[#This Row],[Age]]&gt;=50,"50-59",IF(HR_Employee_Attrition[[#This Row],[Age]]&gt;=40,"40-49",IF(HR_Employee_Attrition[[#This Row],[Age]]&gt;=30,"30-39",IF(HR_Employee_Attrition[[#This Row],[Age]]&gt;=20,"20-29",IF(HR_Employee_Attrition[[#This Row],[Age]]&gt;=18,"18-20"))))))</f>
        <v>30-39</v>
      </c>
      <c r="AK323" t="str" cm="1">
        <f t="array" ref="AK323">_xlfn.IFS(HR_Employee_Attrition[[#This Row],[YearsAtCompany]]&lt;=2,"0-2",HR_Employee_Attrition[[#This Row],[YearsAtCompany]]&lt;=5,"3-5",HR_Employee_Attrition[[#This Row],[YearsAtCompany]]&lt;=10,"6-10",HR_Employee_Attrition[[#This Row],[YearsAtCompany]]&gt;10,"10+")</f>
        <v>6-10</v>
      </c>
      <c r="AL323" t="str" cm="1">
        <f t="array" ref="AL3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23">
        <f>IF(HR_Employee_Attrition[[#This Row],[Attrition]]="Yes",1,0)</f>
        <v>0</v>
      </c>
    </row>
    <row r="324" spans="1:39" x14ac:dyDescent="0.3">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c r="AJ324" t="str">
        <f>IF(HR_Employee_Attrition[[#This Row],[Age]]&gt;60,"60+",IF(HR_Employee_Attrition[[#This Row],[Age]]&gt;=50,"50-59",IF(HR_Employee_Attrition[[#This Row],[Age]]&gt;=40,"40-49",IF(HR_Employee_Attrition[[#This Row],[Age]]&gt;=30,"30-39",IF(HR_Employee_Attrition[[#This Row],[Age]]&gt;=20,"20-29",IF(HR_Employee_Attrition[[#This Row],[Age]]&gt;=18,"18-20"))))))</f>
        <v>30-39</v>
      </c>
      <c r="AK324" t="str" cm="1">
        <f t="array" ref="AK324">_xlfn.IFS(HR_Employee_Attrition[[#This Row],[YearsAtCompany]]&lt;=2,"0-2",HR_Employee_Attrition[[#This Row],[YearsAtCompany]]&lt;=5,"3-5",HR_Employee_Attrition[[#This Row],[YearsAtCompany]]&lt;=10,"6-10",HR_Employee_Attrition[[#This Row],[YearsAtCompany]]&gt;10,"10+")</f>
        <v>6-10</v>
      </c>
      <c r="AL324" t="str" cm="1">
        <f t="array" ref="AL3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24">
        <f>IF(HR_Employee_Attrition[[#This Row],[Attrition]]="Yes",1,0)</f>
        <v>0</v>
      </c>
    </row>
    <row r="325" spans="1:39" x14ac:dyDescent="0.3">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c r="AJ325" t="str">
        <f>IF(HR_Employee_Attrition[[#This Row],[Age]]&gt;60,"60+",IF(HR_Employee_Attrition[[#This Row],[Age]]&gt;=50,"50-59",IF(HR_Employee_Attrition[[#This Row],[Age]]&gt;=40,"40-49",IF(HR_Employee_Attrition[[#This Row],[Age]]&gt;=30,"30-39",IF(HR_Employee_Attrition[[#This Row],[Age]]&gt;=20,"20-29",IF(HR_Employee_Attrition[[#This Row],[Age]]&gt;=18,"18-20"))))))</f>
        <v>20-29</v>
      </c>
      <c r="AK325" t="str" cm="1">
        <f t="array" ref="AK325">_xlfn.IFS(HR_Employee_Attrition[[#This Row],[YearsAtCompany]]&lt;=2,"0-2",HR_Employee_Attrition[[#This Row],[YearsAtCompany]]&lt;=5,"3-5",HR_Employee_Attrition[[#This Row],[YearsAtCompany]]&lt;=10,"6-10",HR_Employee_Attrition[[#This Row],[YearsAtCompany]]&gt;10,"10+")</f>
        <v>3-5</v>
      </c>
      <c r="AL325" t="str" cm="1">
        <f t="array" ref="AL3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25">
        <f>IF(HR_Employee_Attrition[[#This Row],[Attrition]]="Yes",1,0)</f>
        <v>1</v>
      </c>
    </row>
    <row r="326" spans="1:39" x14ac:dyDescent="0.3">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c r="AJ326" t="str">
        <f>IF(HR_Employee_Attrition[[#This Row],[Age]]&gt;60,"60+",IF(HR_Employee_Attrition[[#This Row],[Age]]&gt;=50,"50-59",IF(HR_Employee_Attrition[[#This Row],[Age]]&gt;=40,"40-49",IF(HR_Employee_Attrition[[#This Row],[Age]]&gt;=30,"30-39",IF(HR_Employee_Attrition[[#This Row],[Age]]&gt;=20,"20-29",IF(HR_Employee_Attrition[[#This Row],[Age]]&gt;=18,"18-20"))))))</f>
        <v>30-39</v>
      </c>
      <c r="AK326" t="str" cm="1">
        <f t="array" ref="AK326">_xlfn.IFS(HR_Employee_Attrition[[#This Row],[YearsAtCompany]]&lt;=2,"0-2",HR_Employee_Attrition[[#This Row],[YearsAtCompany]]&lt;=5,"3-5",HR_Employee_Attrition[[#This Row],[YearsAtCompany]]&lt;=10,"6-10",HR_Employee_Attrition[[#This Row],[YearsAtCompany]]&gt;10,"10+")</f>
        <v>6-10</v>
      </c>
      <c r="AL326" t="str" cm="1">
        <f t="array" ref="AL3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26">
        <f>IF(HR_Employee_Attrition[[#This Row],[Attrition]]="Yes",1,0)</f>
        <v>0</v>
      </c>
    </row>
    <row r="327" spans="1:39" x14ac:dyDescent="0.3">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c r="AJ327" t="str">
        <f>IF(HR_Employee_Attrition[[#This Row],[Age]]&gt;60,"60+",IF(HR_Employee_Attrition[[#This Row],[Age]]&gt;=50,"50-59",IF(HR_Employee_Attrition[[#This Row],[Age]]&gt;=40,"40-49",IF(HR_Employee_Attrition[[#This Row],[Age]]&gt;=30,"30-39",IF(HR_Employee_Attrition[[#This Row],[Age]]&gt;=20,"20-29",IF(HR_Employee_Attrition[[#This Row],[Age]]&gt;=18,"18-20"))))))</f>
        <v>30-39</v>
      </c>
      <c r="AK327" t="str" cm="1">
        <f t="array" ref="AK327">_xlfn.IFS(HR_Employee_Attrition[[#This Row],[YearsAtCompany]]&lt;=2,"0-2",HR_Employee_Attrition[[#This Row],[YearsAtCompany]]&lt;=5,"3-5",HR_Employee_Attrition[[#This Row],[YearsAtCompany]]&lt;=10,"6-10",HR_Employee_Attrition[[#This Row],[YearsAtCompany]]&gt;10,"10+")</f>
        <v>6-10</v>
      </c>
      <c r="AL327" t="str" cm="1">
        <f t="array" ref="AL3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27">
        <f>IF(HR_Employee_Attrition[[#This Row],[Attrition]]="Yes",1,0)</f>
        <v>0</v>
      </c>
    </row>
    <row r="328" spans="1:39" x14ac:dyDescent="0.3">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c r="AJ328" t="str">
        <f>IF(HR_Employee_Attrition[[#This Row],[Age]]&gt;60,"60+",IF(HR_Employee_Attrition[[#This Row],[Age]]&gt;=50,"50-59",IF(HR_Employee_Attrition[[#This Row],[Age]]&gt;=40,"40-49",IF(HR_Employee_Attrition[[#This Row],[Age]]&gt;=30,"30-39",IF(HR_Employee_Attrition[[#This Row],[Age]]&gt;=20,"20-29",IF(HR_Employee_Attrition[[#This Row],[Age]]&gt;=18,"18-20"))))))</f>
        <v>30-39</v>
      </c>
      <c r="AK328" t="str" cm="1">
        <f t="array" ref="AK328">_xlfn.IFS(HR_Employee_Attrition[[#This Row],[YearsAtCompany]]&lt;=2,"0-2",HR_Employee_Attrition[[#This Row],[YearsAtCompany]]&lt;=5,"3-5",HR_Employee_Attrition[[#This Row],[YearsAtCompany]]&lt;=10,"6-10",HR_Employee_Attrition[[#This Row],[YearsAtCompany]]&gt;10,"10+")</f>
        <v>10+</v>
      </c>
      <c r="AL328" t="str" cm="1">
        <f t="array" ref="AL3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28">
        <f>IF(HR_Employee_Attrition[[#This Row],[Attrition]]="Yes",1,0)</f>
        <v>0</v>
      </c>
    </row>
    <row r="329" spans="1:39" x14ac:dyDescent="0.3">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c r="AJ329" t="str">
        <f>IF(HR_Employee_Attrition[[#This Row],[Age]]&gt;60,"60+",IF(HR_Employee_Attrition[[#This Row],[Age]]&gt;=50,"50-59",IF(HR_Employee_Attrition[[#This Row],[Age]]&gt;=40,"40-49",IF(HR_Employee_Attrition[[#This Row],[Age]]&gt;=30,"30-39",IF(HR_Employee_Attrition[[#This Row],[Age]]&gt;=20,"20-29",IF(HR_Employee_Attrition[[#This Row],[Age]]&gt;=18,"18-20"))))))</f>
        <v>30-39</v>
      </c>
      <c r="AK329" t="str" cm="1">
        <f t="array" ref="AK329">_xlfn.IFS(HR_Employee_Attrition[[#This Row],[YearsAtCompany]]&lt;=2,"0-2",HR_Employee_Attrition[[#This Row],[YearsAtCompany]]&lt;=5,"3-5",HR_Employee_Attrition[[#This Row],[YearsAtCompany]]&lt;=10,"6-10",HR_Employee_Attrition[[#This Row],[YearsAtCompany]]&gt;10,"10+")</f>
        <v>0-2</v>
      </c>
      <c r="AL329" t="str" cm="1">
        <f t="array" ref="AL3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29">
        <f>IF(HR_Employee_Attrition[[#This Row],[Attrition]]="Yes",1,0)</f>
        <v>1</v>
      </c>
    </row>
    <row r="330" spans="1:39" x14ac:dyDescent="0.3">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c r="AJ330" t="str">
        <f>IF(HR_Employee_Attrition[[#This Row],[Age]]&gt;60,"60+",IF(HR_Employee_Attrition[[#This Row],[Age]]&gt;=50,"50-59",IF(HR_Employee_Attrition[[#This Row],[Age]]&gt;=40,"40-49",IF(HR_Employee_Attrition[[#This Row],[Age]]&gt;=30,"30-39",IF(HR_Employee_Attrition[[#This Row],[Age]]&gt;=20,"20-29",IF(HR_Employee_Attrition[[#This Row],[Age]]&gt;=18,"18-20"))))))</f>
        <v>30-39</v>
      </c>
      <c r="AK330" t="str" cm="1">
        <f t="array" ref="AK330">_xlfn.IFS(HR_Employee_Attrition[[#This Row],[YearsAtCompany]]&lt;=2,"0-2",HR_Employee_Attrition[[#This Row],[YearsAtCompany]]&lt;=5,"3-5",HR_Employee_Attrition[[#This Row],[YearsAtCompany]]&lt;=10,"6-10",HR_Employee_Attrition[[#This Row],[YearsAtCompany]]&gt;10,"10+")</f>
        <v>6-10</v>
      </c>
      <c r="AL330" t="str" cm="1">
        <f t="array" ref="AL3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30">
        <f>IF(HR_Employee_Attrition[[#This Row],[Attrition]]="Yes",1,0)</f>
        <v>0</v>
      </c>
    </row>
    <row r="331" spans="1:39" x14ac:dyDescent="0.3">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c r="AJ331" t="str">
        <f>IF(HR_Employee_Attrition[[#This Row],[Age]]&gt;60,"60+",IF(HR_Employee_Attrition[[#This Row],[Age]]&gt;=50,"50-59",IF(HR_Employee_Attrition[[#This Row],[Age]]&gt;=40,"40-49",IF(HR_Employee_Attrition[[#This Row],[Age]]&gt;=30,"30-39",IF(HR_Employee_Attrition[[#This Row],[Age]]&gt;=20,"20-29",IF(HR_Employee_Attrition[[#This Row],[Age]]&gt;=18,"18-20"))))))</f>
        <v>40-49</v>
      </c>
      <c r="AK331" t="str" cm="1">
        <f t="array" ref="AK331">_xlfn.IFS(HR_Employee_Attrition[[#This Row],[YearsAtCompany]]&lt;=2,"0-2",HR_Employee_Attrition[[#This Row],[YearsAtCompany]]&lt;=5,"3-5",HR_Employee_Attrition[[#This Row],[YearsAtCompany]]&lt;=10,"6-10",HR_Employee_Attrition[[#This Row],[YearsAtCompany]]&gt;10,"10+")</f>
        <v>3-5</v>
      </c>
      <c r="AL331" t="str" cm="1">
        <f t="array" ref="AL3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31">
        <f>IF(HR_Employee_Attrition[[#This Row],[Attrition]]="Yes",1,0)</f>
        <v>0</v>
      </c>
    </row>
    <row r="332" spans="1:39" x14ac:dyDescent="0.3">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c r="AJ332" t="str">
        <f>IF(HR_Employee_Attrition[[#This Row],[Age]]&gt;60,"60+",IF(HR_Employee_Attrition[[#This Row],[Age]]&gt;=50,"50-59",IF(HR_Employee_Attrition[[#This Row],[Age]]&gt;=40,"40-49",IF(HR_Employee_Attrition[[#This Row],[Age]]&gt;=30,"30-39",IF(HR_Employee_Attrition[[#This Row],[Age]]&gt;=20,"20-29",IF(HR_Employee_Attrition[[#This Row],[Age]]&gt;=18,"18-20"))))))</f>
        <v>40-49</v>
      </c>
      <c r="AK332" t="str" cm="1">
        <f t="array" ref="AK332">_xlfn.IFS(HR_Employee_Attrition[[#This Row],[YearsAtCompany]]&lt;=2,"0-2",HR_Employee_Attrition[[#This Row],[YearsAtCompany]]&lt;=5,"3-5",HR_Employee_Attrition[[#This Row],[YearsAtCompany]]&lt;=10,"6-10",HR_Employee_Attrition[[#This Row],[YearsAtCompany]]&gt;10,"10+")</f>
        <v>6-10</v>
      </c>
      <c r="AL332" t="str" cm="1">
        <f t="array" ref="AL3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32">
        <f>IF(HR_Employee_Attrition[[#This Row],[Attrition]]="Yes",1,0)</f>
        <v>0</v>
      </c>
    </row>
    <row r="333" spans="1:39" x14ac:dyDescent="0.3">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c r="AJ333" t="str">
        <f>IF(HR_Employee_Attrition[[#This Row],[Age]]&gt;60,"60+",IF(HR_Employee_Attrition[[#This Row],[Age]]&gt;=50,"50-59",IF(HR_Employee_Attrition[[#This Row],[Age]]&gt;=40,"40-49",IF(HR_Employee_Attrition[[#This Row],[Age]]&gt;=30,"30-39",IF(HR_Employee_Attrition[[#This Row],[Age]]&gt;=20,"20-29",IF(HR_Employee_Attrition[[#This Row],[Age]]&gt;=18,"18-20"))))))</f>
        <v>20-29</v>
      </c>
      <c r="AK333" t="str" cm="1">
        <f t="array" ref="AK333">_xlfn.IFS(HR_Employee_Attrition[[#This Row],[YearsAtCompany]]&lt;=2,"0-2",HR_Employee_Attrition[[#This Row],[YearsAtCompany]]&lt;=5,"3-5",HR_Employee_Attrition[[#This Row],[YearsAtCompany]]&lt;=10,"6-10",HR_Employee_Attrition[[#This Row],[YearsAtCompany]]&gt;10,"10+")</f>
        <v>3-5</v>
      </c>
      <c r="AL333" t="str" cm="1">
        <f t="array" ref="AL3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33">
        <f>IF(HR_Employee_Attrition[[#This Row],[Attrition]]="Yes",1,0)</f>
        <v>0</v>
      </c>
    </row>
    <row r="334" spans="1:39" x14ac:dyDescent="0.3">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c r="AJ334" t="str">
        <f>IF(HR_Employee_Attrition[[#This Row],[Age]]&gt;60,"60+",IF(HR_Employee_Attrition[[#This Row],[Age]]&gt;=50,"50-59",IF(HR_Employee_Attrition[[#This Row],[Age]]&gt;=40,"40-49",IF(HR_Employee_Attrition[[#This Row],[Age]]&gt;=30,"30-39",IF(HR_Employee_Attrition[[#This Row],[Age]]&gt;=20,"20-29",IF(HR_Employee_Attrition[[#This Row],[Age]]&gt;=18,"18-20"))))))</f>
        <v>50-59</v>
      </c>
      <c r="AK334" t="str" cm="1">
        <f t="array" ref="AK334">_xlfn.IFS(HR_Employee_Attrition[[#This Row],[YearsAtCompany]]&lt;=2,"0-2",HR_Employee_Attrition[[#This Row],[YearsAtCompany]]&lt;=5,"3-5",HR_Employee_Attrition[[#This Row],[YearsAtCompany]]&lt;=10,"6-10",HR_Employee_Attrition[[#This Row],[YearsAtCompany]]&gt;10,"10+")</f>
        <v>3-5</v>
      </c>
      <c r="AL334" t="str" cm="1">
        <f t="array" ref="AL3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34">
        <f>IF(HR_Employee_Attrition[[#This Row],[Attrition]]="Yes",1,0)</f>
        <v>0</v>
      </c>
    </row>
    <row r="335" spans="1:39" x14ac:dyDescent="0.3">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c r="AJ335" t="str">
        <f>IF(HR_Employee_Attrition[[#This Row],[Age]]&gt;60,"60+",IF(HR_Employee_Attrition[[#This Row],[Age]]&gt;=50,"50-59",IF(HR_Employee_Attrition[[#This Row],[Age]]&gt;=40,"40-49",IF(HR_Employee_Attrition[[#This Row],[Age]]&gt;=30,"30-39",IF(HR_Employee_Attrition[[#This Row],[Age]]&gt;=20,"20-29",IF(HR_Employee_Attrition[[#This Row],[Age]]&gt;=18,"18-20"))))))</f>
        <v>40-49</v>
      </c>
      <c r="AK335" t="str" cm="1">
        <f t="array" ref="AK335">_xlfn.IFS(HR_Employee_Attrition[[#This Row],[YearsAtCompany]]&lt;=2,"0-2",HR_Employee_Attrition[[#This Row],[YearsAtCompany]]&lt;=5,"3-5",HR_Employee_Attrition[[#This Row],[YearsAtCompany]]&lt;=10,"6-10",HR_Employee_Attrition[[#This Row],[YearsAtCompany]]&gt;10,"10+")</f>
        <v>0-2</v>
      </c>
      <c r="AL335" t="str" cm="1">
        <f t="array" ref="AL3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35">
        <f>IF(HR_Employee_Attrition[[#This Row],[Attrition]]="Yes",1,0)</f>
        <v>0</v>
      </c>
    </row>
    <row r="336" spans="1:39" x14ac:dyDescent="0.3">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c r="AJ336" t="str">
        <f>IF(HR_Employee_Attrition[[#This Row],[Age]]&gt;60,"60+",IF(HR_Employee_Attrition[[#This Row],[Age]]&gt;=50,"50-59",IF(HR_Employee_Attrition[[#This Row],[Age]]&gt;=40,"40-49",IF(HR_Employee_Attrition[[#This Row],[Age]]&gt;=30,"30-39",IF(HR_Employee_Attrition[[#This Row],[Age]]&gt;=20,"20-29",IF(HR_Employee_Attrition[[#This Row],[Age]]&gt;=18,"18-20"))))))</f>
        <v>40-49</v>
      </c>
      <c r="AK336" t="str" cm="1">
        <f t="array" ref="AK336">_xlfn.IFS(HR_Employee_Attrition[[#This Row],[YearsAtCompany]]&lt;=2,"0-2",HR_Employee_Attrition[[#This Row],[YearsAtCompany]]&lt;=5,"3-5",HR_Employee_Attrition[[#This Row],[YearsAtCompany]]&lt;=10,"6-10",HR_Employee_Attrition[[#This Row],[YearsAtCompany]]&gt;10,"10+")</f>
        <v>6-10</v>
      </c>
      <c r="AL336" t="str" cm="1">
        <f t="array" ref="AL3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36">
        <f>IF(HR_Employee_Attrition[[#This Row],[Attrition]]="Yes",1,0)</f>
        <v>0</v>
      </c>
    </row>
    <row r="337" spans="1:39" x14ac:dyDescent="0.3">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c r="AJ337" t="str">
        <f>IF(HR_Employee_Attrition[[#This Row],[Age]]&gt;60,"60+",IF(HR_Employee_Attrition[[#This Row],[Age]]&gt;=50,"50-59",IF(HR_Employee_Attrition[[#This Row],[Age]]&gt;=40,"40-49",IF(HR_Employee_Attrition[[#This Row],[Age]]&gt;=30,"30-39",IF(HR_Employee_Attrition[[#This Row],[Age]]&gt;=20,"20-29",IF(HR_Employee_Attrition[[#This Row],[Age]]&gt;=18,"18-20"))))))</f>
        <v>40-49</v>
      </c>
      <c r="AK337" t="str" cm="1">
        <f t="array" ref="AK337">_xlfn.IFS(HR_Employee_Attrition[[#This Row],[YearsAtCompany]]&lt;=2,"0-2",HR_Employee_Attrition[[#This Row],[YearsAtCompany]]&lt;=5,"3-5",HR_Employee_Attrition[[#This Row],[YearsAtCompany]]&lt;=10,"6-10",HR_Employee_Attrition[[#This Row],[YearsAtCompany]]&gt;10,"10+")</f>
        <v>3-5</v>
      </c>
      <c r="AL337" t="str" cm="1">
        <f t="array" ref="AL3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37">
        <f>IF(HR_Employee_Attrition[[#This Row],[Attrition]]="Yes",1,0)</f>
        <v>0</v>
      </c>
    </row>
    <row r="338" spans="1:39" x14ac:dyDescent="0.3">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c r="AJ338" t="str">
        <f>IF(HR_Employee_Attrition[[#This Row],[Age]]&gt;60,"60+",IF(HR_Employee_Attrition[[#This Row],[Age]]&gt;=50,"50-59",IF(HR_Employee_Attrition[[#This Row],[Age]]&gt;=40,"40-49",IF(HR_Employee_Attrition[[#This Row],[Age]]&gt;=30,"30-39",IF(HR_Employee_Attrition[[#This Row],[Age]]&gt;=20,"20-29",IF(HR_Employee_Attrition[[#This Row],[Age]]&gt;=18,"18-20"))))))</f>
        <v>20-29</v>
      </c>
      <c r="AK338" t="str" cm="1">
        <f t="array" ref="AK338">_xlfn.IFS(HR_Employee_Attrition[[#This Row],[YearsAtCompany]]&lt;=2,"0-2",HR_Employee_Attrition[[#This Row],[YearsAtCompany]]&lt;=5,"3-5",HR_Employee_Attrition[[#This Row],[YearsAtCompany]]&lt;=10,"6-10",HR_Employee_Attrition[[#This Row],[YearsAtCompany]]&gt;10,"10+")</f>
        <v>6-10</v>
      </c>
      <c r="AL338" t="str" cm="1">
        <f t="array" ref="AL3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38">
        <f>IF(HR_Employee_Attrition[[#This Row],[Attrition]]="Yes",1,0)</f>
        <v>1</v>
      </c>
    </row>
    <row r="339" spans="1:39" x14ac:dyDescent="0.3">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c r="AJ339" t="str">
        <f>IF(HR_Employee_Attrition[[#This Row],[Age]]&gt;60,"60+",IF(HR_Employee_Attrition[[#This Row],[Age]]&gt;=50,"50-59",IF(HR_Employee_Attrition[[#This Row],[Age]]&gt;=40,"40-49",IF(HR_Employee_Attrition[[#This Row],[Age]]&gt;=30,"30-39",IF(HR_Employee_Attrition[[#This Row],[Age]]&gt;=20,"20-29",IF(HR_Employee_Attrition[[#This Row],[Age]]&gt;=18,"18-20"))))))</f>
        <v>20-29</v>
      </c>
      <c r="AK339" t="str" cm="1">
        <f t="array" ref="AK339">_xlfn.IFS(HR_Employee_Attrition[[#This Row],[YearsAtCompany]]&lt;=2,"0-2",HR_Employee_Attrition[[#This Row],[YearsAtCompany]]&lt;=5,"3-5",HR_Employee_Attrition[[#This Row],[YearsAtCompany]]&lt;=10,"6-10",HR_Employee_Attrition[[#This Row],[YearsAtCompany]]&gt;10,"10+")</f>
        <v>3-5</v>
      </c>
      <c r="AL339" t="str" cm="1">
        <f t="array" ref="AL3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39">
        <f>IF(HR_Employee_Attrition[[#This Row],[Attrition]]="Yes",1,0)</f>
        <v>0</v>
      </c>
    </row>
    <row r="340" spans="1:39" x14ac:dyDescent="0.3">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c r="AJ340" t="str">
        <f>IF(HR_Employee_Attrition[[#This Row],[Age]]&gt;60,"60+",IF(HR_Employee_Attrition[[#This Row],[Age]]&gt;=50,"50-59",IF(HR_Employee_Attrition[[#This Row],[Age]]&gt;=40,"40-49",IF(HR_Employee_Attrition[[#This Row],[Age]]&gt;=30,"30-39",IF(HR_Employee_Attrition[[#This Row],[Age]]&gt;=20,"20-29",IF(HR_Employee_Attrition[[#This Row],[Age]]&gt;=18,"18-20"))))))</f>
        <v>30-39</v>
      </c>
      <c r="AK340" t="str" cm="1">
        <f t="array" ref="AK340">_xlfn.IFS(HR_Employee_Attrition[[#This Row],[YearsAtCompany]]&lt;=2,"0-2",HR_Employee_Attrition[[#This Row],[YearsAtCompany]]&lt;=5,"3-5",HR_Employee_Attrition[[#This Row],[YearsAtCompany]]&lt;=10,"6-10",HR_Employee_Attrition[[#This Row],[YearsAtCompany]]&gt;10,"10+")</f>
        <v>6-10</v>
      </c>
      <c r="AL340" t="str" cm="1">
        <f t="array" ref="AL3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40">
        <f>IF(HR_Employee_Attrition[[#This Row],[Attrition]]="Yes",1,0)</f>
        <v>0</v>
      </c>
    </row>
    <row r="341" spans="1:39" x14ac:dyDescent="0.3">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c r="AJ341" t="str">
        <f>IF(HR_Employee_Attrition[[#This Row],[Age]]&gt;60,"60+",IF(HR_Employee_Attrition[[#This Row],[Age]]&gt;=50,"50-59",IF(HR_Employee_Attrition[[#This Row],[Age]]&gt;=40,"40-49",IF(HR_Employee_Attrition[[#This Row],[Age]]&gt;=30,"30-39",IF(HR_Employee_Attrition[[#This Row],[Age]]&gt;=20,"20-29",IF(HR_Employee_Attrition[[#This Row],[Age]]&gt;=18,"18-20"))))))</f>
        <v>20-29</v>
      </c>
      <c r="AK341" t="str" cm="1">
        <f t="array" ref="AK341">_xlfn.IFS(HR_Employee_Attrition[[#This Row],[YearsAtCompany]]&lt;=2,"0-2",HR_Employee_Attrition[[#This Row],[YearsAtCompany]]&lt;=5,"3-5",HR_Employee_Attrition[[#This Row],[YearsAtCompany]]&lt;=10,"6-10",HR_Employee_Attrition[[#This Row],[YearsAtCompany]]&gt;10,"10+")</f>
        <v>6-10</v>
      </c>
      <c r="AL341" t="str" cm="1">
        <f t="array" ref="AL3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41">
        <f>IF(HR_Employee_Attrition[[#This Row],[Attrition]]="Yes",1,0)</f>
        <v>0</v>
      </c>
    </row>
    <row r="342" spans="1:39" x14ac:dyDescent="0.3">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c r="AJ342" t="str">
        <f>IF(HR_Employee_Attrition[[#This Row],[Age]]&gt;60,"60+",IF(HR_Employee_Attrition[[#This Row],[Age]]&gt;=50,"50-59",IF(HR_Employee_Attrition[[#This Row],[Age]]&gt;=40,"40-49",IF(HR_Employee_Attrition[[#This Row],[Age]]&gt;=30,"30-39",IF(HR_Employee_Attrition[[#This Row],[Age]]&gt;=20,"20-29",IF(HR_Employee_Attrition[[#This Row],[Age]]&gt;=18,"18-20"))))))</f>
        <v>30-39</v>
      </c>
      <c r="AK342" t="str" cm="1">
        <f t="array" ref="AK342">_xlfn.IFS(HR_Employee_Attrition[[#This Row],[YearsAtCompany]]&lt;=2,"0-2",HR_Employee_Attrition[[#This Row],[YearsAtCompany]]&lt;=5,"3-5",HR_Employee_Attrition[[#This Row],[YearsAtCompany]]&lt;=10,"6-10",HR_Employee_Attrition[[#This Row],[YearsAtCompany]]&gt;10,"10+")</f>
        <v>6-10</v>
      </c>
      <c r="AL342" t="str" cm="1">
        <f t="array" ref="AL3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42">
        <f>IF(HR_Employee_Attrition[[#This Row],[Attrition]]="Yes",1,0)</f>
        <v>0</v>
      </c>
    </row>
    <row r="343" spans="1:39" x14ac:dyDescent="0.3">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c r="AJ343" t="str">
        <f>IF(HR_Employee_Attrition[[#This Row],[Age]]&gt;60,"60+",IF(HR_Employee_Attrition[[#This Row],[Age]]&gt;=50,"50-59",IF(HR_Employee_Attrition[[#This Row],[Age]]&gt;=40,"40-49",IF(HR_Employee_Attrition[[#This Row],[Age]]&gt;=30,"30-39",IF(HR_Employee_Attrition[[#This Row],[Age]]&gt;=20,"20-29",IF(HR_Employee_Attrition[[#This Row],[Age]]&gt;=18,"18-20"))))))</f>
        <v>30-39</v>
      </c>
      <c r="AK343" t="str" cm="1">
        <f t="array" ref="AK343">_xlfn.IFS(HR_Employee_Attrition[[#This Row],[YearsAtCompany]]&lt;=2,"0-2",HR_Employee_Attrition[[#This Row],[YearsAtCompany]]&lt;=5,"3-5",HR_Employee_Attrition[[#This Row],[YearsAtCompany]]&lt;=10,"6-10",HR_Employee_Attrition[[#This Row],[YearsAtCompany]]&gt;10,"10+")</f>
        <v>10+</v>
      </c>
      <c r="AL343" t="str" cm="1">
        <f t="array" ref="AL3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43">
        <f>IF(HR_Employee_Attrition[[#This Row],[Attrition]]="Yes",1,0)</f>
        <v>0</v>
      </c>
    </row>
    <row r="344" spans="1:39" x14ac:dyDescent="0.3">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c r="AJ344" t="str">
        <f>IF(HR_Employee_Attrition[[#This Row],[Age]]&gt;60,"60+",IF(HR_Employee_Attrition[[#This Row],[Age]]&gt;=50,"50-59",IF(HR_Employee_Attrition[[#This Row],[Age]]&gt;=40,"40-49",IF(HR_Employee_Attrition[[#This Row],[Age]]&gt;=30,"30-39",IF(HR_Employee_Attrition[[#This Row],[Age]]&gt;=20,"20-29",IF(HR_Employee_Attrition[[#This Row],[Age]]&gt;=18,"18-20"))))))</f>
        <v>30-39</v>
      </c>
      <c r="AK344" t="str" cm="1">
        <f t="array" ref="AK344">_xlfn.IFS(HR_Employee_Attrition[[#This Row],[YearsAtCompany]]&lt;=2,"0-2",HR_Employee_Attrition[[#This Row],[YearsAtCompany]]&lt;=5,"3-5",HR_Employee_Attrition[[#This Row],[YearsAtCompany]]&lt;=10,"6-10",HR_Employee_Attrition[[#This Row],[YearsAtCompany]]&gt;10,"10+")</f>
        <v>10+</v>
      </c>
      <c r="AL344" t="str" cm="1">
        <f t="array" ref="AL3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44">
        <f>IF(HR_Employee_Attrition[[#This Row],[Attrition]]="Yes",1,0)</f>
        <v>0</v>
      </c>
    </row>
    <row r="345" spans="1:39" x14ac:dyDescent="0.3">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c r="AJ345" t="str">
        <f>IF(HR_Employee_Attrition[[#This Row],[Age]]&gt;60,"60+",IF(HR_Employee_Attrition[[#This Row],[Age]]&gt;=50,"50-59",IF(HR_Employee_Attrition[[#This Row],[Age]]&gt;=40,"40-49",IF(HR_Employee_Attrition[[#This Row],[Age]]&gt;=30,"30-39",IF(HR_Employee_Attrition[[#This Row],[Age]]&gt;=20,"20-29",IF(HR_Employee_Attrition[[#This Row],[Age]]&gt;=18,"18-20"))))))</f>
        <v>20-29</v>
      </c>
      <c r="AK345" t="str" cm="1">
        <f t="array" ref="AK345">_xlfn.IFS(HR_Employee_Attrition[[#This Row],[YearsAtCompany]]&lt;=2,"0-2",HR_Employee_Attrition[[#This Row],[YearsAtCompany]]&lt;=5,"3-5",HR_Employee_Attrition[[#This Row],[YearsAtCompany]]&lt;=10,"6-10",HR_Employee_Attrition[[#This Row],[YearsAtCompany]]&gt;10,"10+")</f>
        <v>6-10</v>
      </c>
      <c r="AL345" t="str" cm="1">
        <f t="array" ref="AL3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45">
        <f>IF(HR_Employee_Attrition[[#This Row],[Attrition]]="Yes",1,0)</f>
        <v>0</v>
      </c>
    </row>
    <row r="346" spans="1:39" x14ac:dyDescent="0.3">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c r="AJ346" t="str">
        <f>IF(HR_Employee_Attrition[[#This Row],[Age]]&gt;60,"60+",IF(HR_Employee_Attrition[[#This Row],[Age]]&gt;=50,"50-59",IF(HR_Employee_Attrition[[#This Row],[Age]]&gt;=40,"40-49",IF(HR_Employee_Attrition[[#This Row],[Age]]&gt;=30,"30-39",IF(HR_Employee_Attrition[[#This Row],[Age]]&gt;=20,"20-29",IF(HR_Employee_Attrition[[#This Row],[Age]]&gt;=18,"18-20"))))))</f>
        <v>30-39</v>
      </c>
      <c r="AK346" t="str" cm="1">
        <f t="array" ref="AK346">_xlfn.IFS(HR_Employee_Attrition[[#This Row],[YearsAtCompany]]&lt;=2,"0-2",HR_Employee_Attrition[[#This Row],[YearsAtCompany]]&lt;=5,"3-5",HR_Employee_Attrition[[#This Row],[YearsAtCompany]]&lt;=10,"6-10",HR_Employee_Attrition[[#This Row],[YearsAtCompany]]&gt;10,"10+")</f>
        <v>10+</v>
      </c>
      <c r="AL346" t="str" cm="1">
        <f t="array" ref="AL3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46">
        <f>IF(HR_Employee_Attrition[[#This Row],[Attrition]]="Yes",1,0)</f>
        <v>0</v>
      </c>
    </row>
    <row r="347" spans="1:39" x14ac:dyDescent="0.3">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c r="AJ347" t="str">
        <f>IF(HR_Employee_Attrition[[#This Row],[Age]]&gt;60,"60+",IF(HR_Employee_Attrition[[#This Row],[Age]]&gt;=50,"50-59",IF(HR_Employee_Attrition[[#This Row],[Age]]&gt;=40,"40-49",IF(HR_Employee_Attrition[[#This Row],[Age]]&gt;=30,"30-39",IF(HR_Employee_Attrition[[#This Row],[Age]]&gt;=20,"20-29",IF(HR_Employee_Attrition[[#This Row],[Age]]&gt;=18,"18-20"))))))</f>
        <v>20-29</v>
      </c>
      <c r="AK347" t="str" cm="1">
        <f t="array" ref="AK347">_xlfn.IFS(HR_Employee_Attrition[[#This Row],[YearsAtCompany]]&lt;=2,"0-2",HR_Employee_Attrition[[#This Row],[YearsAtCompany]]&lt;=5,"3-5",HR_Employee_Attrition[[#This Row],[YearsAtCompany]]&lt;=10,"6-10",HR_Employee_Attrition[[#This Row],[YearsAtCompany]]&gt;10,"10+")</f>
        <v>3-5</v>
      </c>
      <c r="AL347" t="str" cm="1">
        <f t="array" ref="AL3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47">
        <f>IF(HR_Employee_Attrition[[#This Row],[Attrition]]="Yes",1,0)</f>
        <v>0</v>
      </c>
    </row>
    <row r="348" spans="1:39" x14ac:dyDescent="0.3">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c r="AJ348" t="str">
        <f>IF(HR_Employee_Attrition[[#This Row],[Age]]&gt;60,"60+",IF(HR_Employee_Attrition[[#This Row],[Age]]&gt;=50,"50-59",IF(HR_Employee_Attrition[[#This Row],[Age]]&gt;=40,"40-49",IF(HR_Employee_Attrition[[#This Row],[Age]]&gt;=30,"30-39",IF(HR_Employee_Attrition[[#This Row],[Age]]&gt;=20,"20-29",IF(HR_Employee_Attrition[[#This Row],[Age]]&gt;=18,"18-20"))))))</f>
        <v>40-49</v>
      </c>
      <c r="AK348" t="str" cm="1">
        <f t="array" ref="AK348">_xlfn.IFS(HR_Employee_Attrition[[#This Row],[YearsAtCompany]]&lt;=2,"0-2",HR_Employee_Attrition[[#This Row],[YearsAtCompany]]&lt;=5,"3-5",HR_Employee_Attrition[[#This Row],[YearsAtCompany]]&lt;=10,"6-10",HR_Employee_Attrition[[#This Row],[YearsAtCompany]]&gt;10,"10+")</f>
        <v>3-5</v>
      </c>
      <c r="AL348" t="str" cm="1">
        <f t="array" ref="AL3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48">
        <f>IF(HR_Employee_Attrition[[#This Row],[Attrition]]="Yes",1,0)</f>
        <v>0</v>
      </c>
    </row>
    <row r="349" spans="1:39" x14ac:dyDescent="0.3">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c r="AJ349" t="str">
        <f>IF(HR_Employee_Attrition[[#This Row],[Age]]&gt;60,"60+",IF(HR_Employee_Attrition[[#This Row],[Age]]&gt;=50,"50-59",IF(HR_Employee_Attrition[[#This Row],[Age]]&gt;=40,"40-49",IF(HR_Employee_Attrition[[#This Row],[Age]]&gt;=30,"30-39",IF(HR_Employee_Attrition[[#This Row],[Age]]&gt;=20,"20-29",IF(HR_Employee_Attrition[[#This Row],[Age]]&gt;=18,"18-20"))))))</f>
        <v>40-49</v>
      </c>
      <c r="AK349" t="str" cm="1">
        <f t="array" ref="AK349">_xlfn.IFS(HR_Employee_Attrition[[#This Row],[YearsAtCompany]]&lt;=2,"0-2",HR_Employee_Attrition[[#This Row],[YearsAtCompany]]&lt;=5,"3-5",HR_Employee_Attrition[[#This Row],[YearsAtCompany]]&lt;=10,"6-10",HR_Employee_Attrition[[#This Row],[YearsAtCompany]]&gt;10,"10+")</f>
        <v>0-2</v>
      </c>
      <c r="AL349" t="str" cm="1">
        <f t="array" ref="AL3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49">
        <f>IF(HR_Employee_Attrition[[#This Row],[Attrition]]="Yes",1,0)</f>
        <v>0</v>
      </c>
    </row>
    <row r="350" spans="1:39" x14ac:dyDescent="0.3">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c r="AJ350" t="str">
        <f>IF(HR_Employee_Attrition[[#This Row],[Age]]&gt;60,"60+",IF(HR_Employee_Attrition[[#This Row],[Age]]&gt;=50,"50-59",IF(HR_Employee_Attrition[[#This Row],[Age]]&gt;=40,"40-49",IF(HR_Employee_Attrition[[#This Row],[Age]]&gt;=30,"30-39",IF(HR_Employee_Attrition[[#This Row],[Age]]&gt;=20,"20-29",IF(HR_Employee_Attrition[[#This Row],[Age]]&gt;=18,"18-20"))))))</f>
        <v>40-49</v>
      </c>
      <c r="AK350" t="str" cm="1">
        <f t="array" ref="AK350">_xlfn.IFS(HR_Employee_Attrition[[#This Row],[YearsAtCompany]]&lt;=2,"0-2",HR_Employee_Attrition[[#This Row],[YearsAtCompany]]&lt;=5,"3-5",HR_Employee_Attrition[[#This Row],[YearsAtCompany]]&lt;=10,"6-10",HR_Employee_Attrition[[#This Row],[YearsAtCompany]]&gt;10,"10+")</f>
        <v>0-2</v>
      </c>
      <c r="AL350" t="str" cm="1">
        <f t="array" ref="AL3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50">
        <f>IF(HR_Employee_Attrition[[#This Row],[Attrition]]="Yes",1,0)</f>
        <v>0</v>
      </c>
    </row>
    <row r="351" spans="1:39" x14ac:dyDescent="0.3">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c r="AJ351" t="str">
        <f>IF(HR_Employee_Attrition[[#This Row],[Age]]&gt;60,"60+",IF(HR_Employee_Attrition[[#This Row],[Age]]&gt;=50,"50-59",IF(HR_Employee_Attrition[[#This Row],[Age]]&gt;=40,"40-49",IF(HR_Employee_Attrition[[#This Row],[Age]]&gt;=30,"30-39",IF(HR_Employee_Attrition[[#This Row],[Age]]&gt;=20,"20-29",IF(HR_Employee_Attrition[[#This Row],[Age]]&gt;=18,"18-20"))))))</f>
        <v>20-29</v>
      </c>
      <c r="AK351" t="str" cm="1">
        <f t="array" ref="AK351">_xlfn.IFS(HR_Employee_Attrition[[#This Row],[YearsAtCompany]]&lt;=2,"0-2",HR_Employee_Attrition[[#This Row],[YearsAtCompany]]&lt;=5,"3-5",HR_Employee_Attrition[[#This Row],[YearsAtCompany]]&lt;=10,"6-10",HR_Employee_Attrition[[#This Row],[YearsAtCompany]]&gt;10,"10+")</f>
        <v>3-5</v>
      </c>
      <c r="AL351" t="str" cm="1">
        <f t="array" ref="AL3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51">
        <f>IF(HR_Employee_Attrition[[#This Row],[Attrition]]="Yes",1,0)</f>
        <v>0</v>
      </c>
    </row>
    <row r="352" spans="1:39" x14ac:dyDescent="0.3">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c r="AJ352" t="str">
        <f>IF(HR_Employee_Attrition[[#This Row],[Age]]&gt;60,"60+",IF(HR_Employee_Attrition[[#This Row],[Age]]&gt;=50,"50-59",IF(HR_Employee_Attrition[[#This Row],[Age]]&gt;=40,"40-49",IF(HR_Employee_Attrition[[#This Row],[Age]]&gt;=30,"30-39",IF(HR_Employee_Attrition[[#This Row],[Age]]&gt;=20,"20-29",IF(HR_Employee_Attrition[[#This Row],[Age]]&gt;=18,"18-20"))))))</f>
        <v>40-49</v>
      </c>
      <c r="AK352" t="str" cm="1">
        <f t="array" ref="AK352">_xlfn.IFS(HR_Employee_Attrition[[#This Row],[YearsAtCompany]]&lt;=2,"0-2",HR_Employee_Attrition[[#This Row],[YearsAtCompany]]&lt;=5,"3-5",HR_Employee_Attrition[[#This Row],[YearsAtCompany]]&lt;=10,"6-10",HR_Employee_Attrition[[#This Row],[YearsAtCompany]]&gt;10,"10+")</f>
        <v>3-5</v>
      </c>
      <c r="AL352" t="str" cm="1">
        <f t="array" ref="AL3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52">
        <f>IF(HR_Employee_Attrition[[#This Row],[Attrition]]="Yes",1,0)</f>
        <v>0</v>
      </c>
    </row>
    <row r="353" spans="1:39" x14ac:dyDescent="0.3">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c r="AJ353" t="str">
        <f>IF(HR_Employee_Attrition[[#This Row],[Age]]&gt;60,"60+",IF(HR_Employee_Attrition[[#This Row],[Age]]&gt;=50,"50-59",IF(HR_Employee_Attrition[[#This Row],[Age]]&gt;=40,"40-49",IF(HR_Employee_Attrition[[#This Row],[Age]]&gt;=30,"30-39",IF(HR_Employee_Attrition[[#This Row],[Age]]&gt;=20,"20-29",IF(HR_Employee_Attrition[[#This Row],[Age]]&gt;=18,"18-20"))))))</f>
        <v>30-39</v>
      </c>
      <c r="AK353" t="str" cm="1">
        <f t="array" ref="AK353">_xlfn.IFS(HR_Employee_Attrition[[#This Row],[YearsAtCompany]]&lt;=2,"0-2",HR_Employee_Attrition[[#This Row],[YearsAtCompany]]&lt;=5,"3-5",HR_Employee_Attrition[[#This Row],[YearsAtCompany]]&lt;=10,"6-10",HR_Employee_Attrition[[#This Row],[YearsAtCompany]]&gt;10,"10+")</f>
        <v>6-10</v>
      </c>
      <c r="AL353" t="str" cm="1">
        <f t="array" ref="AL3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53">
        <f>IF(HR_Employee_Attrition[[#This Row],[Attrition]]="Yes",1,0)</f>
        <v>0</v>
      </c>
    </row>
    <row r="354" spans="1:39" x14ac:dyDescent="0.3">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c r="AJ354" t="str">
        <f>IF(HR_Employee_Attrition[[#This Row],[Age]]&gt;60,"60+",IF(HR_Employee_Attrition[[#This Row],[Age]]&gt;=50,"50-59",IF(HR_Employee_Attrition[[#This Row],[Age]]&gt;=40,"40-49",IF(HR_Employee_Attrition[[#This Row],[Age]]&gt;=30,"30-39",IF(HR_Employee_Attrition[[#This Row],[Age]]&gt;=20,"20-29",IF(HR_Employee_Attrition[[#This Row],[Age]]&gt;=18,"18-20"))))))</f>
        <v>40-49</v>
      </c>
      <c r="AK354" t="str" cm="1">
        <f t="array" ref="AK354">_xlfn.IFS(HR_Employee_Attrition[[#This Row],[YearsAtCompany]]&lt;=2,"0-2",HR_Employee_Attrition[[#This Row],[YearsAtCompany]]&lt;=5,"3-5",HR_Employee_Attrition[[#This Row],[YearsAtCompany]]&lt;=10,"6-10",HR_Employee_Attrition[[#This Row],[YearsAtCompany]]&gt;10,"10+")</f>
        <v>0-2</v>
      </c>
      <c r="AL354" t="str" cm="1">
        <f t="array" ref="AL3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54">
        <f>IF(HR_Employee_Attrition[[#This Row],[Attrition]]="Yes",1,0)</f>
        <v>0</v>
      </c>
    </row>
    <row r="355" spans="1:39" x14ac:dyDescent="0.3">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c r="AJ355" t="str">
        <f>IF(HR_Employee_Attrition[[#This Row],[Age]]&gt;60,"60+",IF(HR_Employee_Attrition[[#This Row],[Age]]&gt;=50,"50-59",IF(HR_Employee_Attrition[[#This Row],[Age]]&gt;=40,"40-49",IF(HR_Employee_Attrition[[#This Row],[Age]]&gt;=30,"30-39",IF(HR_Employee_Attrition[[#This Row],[Age]]&gt;=20,"20-29",IF(HR_Employee_Attrition[[#This Row],[Age]]&gt;=18,"18-20"))))))</f>
        <v>30-39</v>
      </c>
      <c r="AK355" t="str" cm="1">
        <f t="array" ref="AK355">_xlfn.IFS(HR_Employee_Attrition[[#This Row],[YearsAtCompany]]&lt;=2,"0-2",HR_Employee_Attrition[[#This Row],[YearsAtCompany]]&lt;=5,"3-5",HR_Employee_Attrition[[#This Row],[YearsAtCompany]]&lt;=10,"6-10",HR_Employee_Attrition[[#This Row],[YearsAtCompany]]&gt;10,"10+")</f>
        <v>6-10</v>
      </c>
      <c r="AL355" t="str" cm="1">
        <f t="array" ref="AL3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55">
        <f>IF(HR_Employee_Attrition[[#This Row],[Attrition]]="Yes",1,0)</f>
        <v>0</v>
      </c>
    </row>
    <row r="356" spans="1:39" x14ac:dyDescent="0.3">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c r="AJ356" t="str">
        <f>IF(HR_Employee_Attrition[[#This Row],[Age]]&gt;60,"60+",IF(HR_Employee_Attrition[[#This Row],[Age]]&gt;=50,"50-59",IF(HR_Employee_Attrition[[#This Row],[Age]]&gt;=40,"40-49",IF(HR_Employee_Attrition[[#This Row],[Age]]&gt;=30,"30-39",IF(HR_Employee_Attrition[[#This Row],[Age]]&gt;=20,"20-29",IF(HR_Employee_Attrition[[#This Row],[Age]]&gt;=18,"18-20"))))))</f>
        <v>30-39</v>
      </c>
      <c r="AK356" t="str" cm="1">
        <f t="array" ref="AK356">_xlfn.IFS(HR_Employee_Attrition[[#This Row],[YearsAtCompany]]&lt;=2,"0-2",HR_Employee_Attrition[[#This Row],[YearsAtCompany]]&lt;=5,"3-5",HR_Employee_Attrition[[#This Row],[YearsAtCompany]]&lt;=10,"6-10",HR_Employee_Attrition[[#This Row],[YearsAtCompany]]&gt;10,"10+")</f>
        <v>0-2</v>
      </c>
      <c r="AL356" t="str" cm="1">
        <f t="array" ref="AL3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56">
        <f>IF(HR_Employee_Attrition[[#This Row],[Attrition]]="Yes",1,0)</f>
        <v>0</v>
      </c>
    </row>
    <row r="357" spans="1:39" x14ac:dyDescent="0.3">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c r="AJ357" t="str">
        <f>IF(HR_Employee_Attrition[[#This Row],[Age]]&gt;60,"60+",IF(HR_Employee_Attrition[[#This Row],[Age]]&gt;=50,"50-59",IF(HR_Employee_Attrition[[#This Row],[Age]]&gt;=40,"40-49",IF(HR_Employee_Attrition[[#This Row],[Age]]&gt;=30,"30-39",IF(HR_Employee_Attrition[[#This Row],[Age]]&gt;=20,"20-29",IF(HR_Employee_Attrition[[#This Row],[Age]]&gt;=18,"18-20"))))))</f>
        <v>20-29</v>
      </c>
      <c r="AK357" t="str" cm="1">
        <f t="array" ref="AK357">_xlfn.IFS(HR_Employee_Attrition[[#This Row],[YearsAtCompany]]&lt;=2,"0-2",HR_Employee_Attrition[[#This Row],[YearsAtCompany]]&lt;=5,"3-5",HR_Employee_Attrition[[#This Row],[YearsAtCompany]]&lt;=10,"6-10",HR_Employee_Attrition[[#This Row],[YearsAtCompany]]&gt;10,"10+")</f>
        <v>6-10</v>
      </c>
      <c r="AL357" t="str" cm="1">
        <f t="array" ref="AL3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57">
        <f>IF(HR_Employee_Attrition[[#This Row],[Attrition]]="Yes",1,0)</f>
        <v>0</v>
      </c>
    </row>
    <row r="358" spans="1:39" x14ac:dyDescent="0.3">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c r="AJ358" t="str">
        <f>IF(HR_Employee_Attrition[[#This Row],[Age]]&gt;60,"60+",IF(HR_Employee_Attrition[[#This Row],[Age]]&gt;=50,"50-59",IF(HR_Employee_Attrition[[#This Row],[Age]]&gt;=40,"40-49",IF(HR_Employee_Attrition[[#This Row],[Age]]&gt;=30,"30-39",IF(HR_Employee_Attrition[[#This Row],[Age]]&gt;=20,"20-29",IF(HR_Employee_Attrition[[#This Row],[Age]]&gt;=18,"18-20"))))))</f>
        <v>40-49</v>
      </c>
      <c r="AK358" t="str" cm="1">
        <f t="array" ref="AK358">_xlfn.IFS(HR_Employee_Attrition[[#This Row],[YearsAtCompany]]&lt;=2,"0-2",HR_Employee_Attrition[[#This Row],[YearsAtCompany]]&lt;=5,"3-5",HR_Employee_Attrition[[#This Row],[YearsAtCompany]]&lt;=10,"6-10",HR_Employee_Attrition[[#This Row],[YearsAtCompany]]&gt;10,"10+")</f>
        <v>0-2</v>
      </c>
      <c r="AL358" t="str" cm="1">
        <f t="array" ref="AL3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58">
        <f>IF(HR_Employee_Attrition[[#This Row],[Attrition]]="Yes",1,0)</f>
        <v>0</v>
      </c>
    </row>
    <row r="359" spans="1:39" x14ac:dyDescent="0.3">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c r="AJ359" t="str">
        <f>IF(HR_Employee_Attrition[[#This Row],[Age]]&gt;60,"60+",IF(HR_Employee_Attrition[[#This Row],[Age]]&gt;=50,"50-59",IF(HR_Employee_Attrition[[#This Row],[Age]]&gt;=40,"40-49",IF(HR_Employee_Attrition[[#This Row],[Age]]&gt;=30,"30-39",IF(HR_Employee_Attrition[[#This Row],[Age]]&gt;=20,"20-29",IF(HR_Employee_Attrition[[#This Row],[Age]]&gt;=18,"18-20"))))))</f>
        <v>20-29</v>
      </c>
      <c r="AK359" t="str" cm="1">
        <f t="array" ref="AK359">_xlfn.IFS(HR_Employee_Attrition[[#This Row],[YearsAtCompany]]&lt;=2,"0-2",HR_Employee_Attrition[[#This Row],[YearsAtCompany]]&lt;=5,"3-5",HR_Employee_Attrition[[#This Row],[YearsAtCompany]]&lt;=10,"6-10",HR_Employee_Attrition[[#This Row],[YearsAtCompany]]&gt;10,"10+")</f>
        <v>3-5</v>
      </c>
      <c r="AL359" t="str" cm="1">
        <f t="array" ref="AL3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59">
        <f>IF(HR_Employee_Attrition[[#This Row],[Attrition]]="Yes",1,0)</f>
        <v>1</v>
      </c>
    </row>
    <row r="360" spans="1:39" x14ac:dyDescent="0.3">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c r="AJ360" t="str">
        <f>IF(HR_Employee_Attrition[[#This Row],[Age]]&gt;60,"60+",IF(HR_Employee_Attrition[[#This Row],[Age]]&gt;=50,"50-59",IF(HR_Employee_Attrition[[#This Row],[Age]]&gt;=40,"40-49",IF(HR_Employee_Attrition[[#This Row],[Age]]&gt;=30,"30-39",IF(HR_Employee_Attrition[[#This Row],[Age]]&gt;=20,"20-29",IF(HR_Employee_Attrition[[#This Row],[Age]]&gt;=18,"18-20"))))))</f>
        <v>30-39</v>
      </c>
      <c r="AK360" t="str" cm="1">
        <f t="array" ref="AK360">_xlfn.IFS(HR_Employee_Attrition[[#This Row],[YearsAtCompany]]&lt;=2,"0-2",HR_Employee_Attrition[[#This Row],[YearsAtCompany]]&lt;=5,"3-5",HR_Employee_Attrition[[#This Row],[YearsAtCompany]]&lt;=10,"6-10",HR_Employee_Attrition[[#This Row],[YearsAtCompany]]&gt;10,"10+")</f>
        <v>0-2</v>
      </c>
      <c r="AL360" t="str" cm="1">
        <f t="array" ref="AL3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60">
        <f>IF(HR_Employee_Attrition[[#This Row],[Attrition]]="Yes",1,0)</f>
        <v>0</v>
      </c>
    </row>
    <row r="361" spans="1:39" x14ac:dyDescent="0.3">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c r="AJ361" t="str">
        <f>IF(HR_Employee_Attrition[[#This Row],[Age]]&gt;60,"60+",IF(HR_Employee_Attrition[[#This Row],[Age]]&gt;=50,"50-59",IF(HR_Employee_Attrition[[#This Row],[Age]]&gt;=40,"40-49",IF(HR_Employee_Attrition[[#This Row],[Age]]&gt;=30,"30-39",IF(HR_Employee_Attrition[[#This Row],[Age]]&gt;=20,"20-29",IF(HR_Employee_Attrition[[#This Row],[Age]]&gt;=18,"18-20"))))))</f>
        <v>30-39</v>
      </c>
      <c r="AK361" t="str" cm="1">
        <f t="array" ref="AK361">_xlfn.IFS(HR_Employee_Attrition[[#This Row],[YearsAtCompany]]&lt;=2,"0-2",HR_Employee_Attrition[[#This Row],[YearsAtCompany]]&lt;=5,"3-5",HR_Employee_Attrition[[#This Row],[YearsAtCompany]]&lt;=10,"6-10",HR_Employee_Attrition[[#This Row],[YearsAtCompany]]&gt;10,"10+")</f>
        <v>10+</v>
      </c>
      <c r="AL361" t="str" cm="1">
        <f t="array" ref="AL3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61">
        <f>IF(HR_Employee_Attrition[[#This Row],[Attrition]]="Yes",1,0)</f>
        <v>0</v>
      </c>
    </row>
    <row r="362" spans="1:39" x14ac:dyDescent="0.3">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c r="AJ362" t="str">
        <f>IF(HR_Employee_Attrition[[#This Row],[Age]]&gt;60,"60+",IF(HR_Employee_Attrition[[#This Row],[Age]]&gt;=50,"50-59",IF(HR_Employee_Attrition[[#This Row],[Age]]&gt;=40,"40-49",IF(HR_Employee_Attrition[[#This Row],[Age]]&gt;=30,"30-39",IF(HR_Employee_Attrition[[#This Row],[Age]]&gt;=20,"20-29",IF(HR_Employee_Attrition[[#This Row],[Age]]&gt;=18,"18-20"))))))</f>
        <v>50-59</v>
      </c>
      <c r="AK362" t="str" cm="1">
        <f t="array" ref="AK362">_xlfn.IFS(HR_Employee_Attrition[[#This Row],[YearsAtCompany]]&lt;=2,"0-2",HR_Employee_Attrition[[#This Row],[YearsAtCompany]]&lt;=5,"3-5",HR_Employee_Attrition[[#This Row],[YearsAtCompany]]&lt;=10,"6-10",HR_Employee_Attrition[[#This Row],[YearsAtCompany]]&gt;10,"10+")</f>
        <v>3-5</v>
      </c>
      <c r="AL362" t="str" cm="1">
        <f t="array" ref="AL3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62">
        <f>IF(HR_Employee_Attrition[[#This Row],[Attrition]]="Yes",1,0)</f>
        <v>0</v>
      </c>
    </row>
    <row r="363" spans="1:39" x14ac:dyDescent="0.3">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c r="AJ363" t="str">
        <f>IF(HR_Employee_Attrition[[#This Row],[Age]]&gt;60,"60+",IF(HR_Employee_Attrition[[#This Row],[Age]]&gt;=50,"50-59",IF(HR_Employee_Attrition[[#This Row],[Age]]&gt;=40,"40-49",IF(HR_Employee_Attrition[[#This Row],[Age]]&gt;=30,"30-39",IF(HR_Employee_Attrition[[#This Row],[Age]]&gt;=20,"20-29",IF(HR_Employee_Attrition[[#This Row],[Age]]&gt;=18,"18-20"))))))</f>
        <v>40-49</v>
      </c>
      <c r="AK363" t="str" cm="1">
        <f t="array" ref="AK363">_xlfn.IFS(HR_Employee_Attrition[[#This Row],[YearsAtCompany]]&lt;=2,"0-2",HR_Employee_Attrition[[#This Row],[YearsAtCompany]]&lt;=5,"3-5",HR_Employee_Attrition[[#This Row],[YearsAtCompany]]&lt;=10,"6-10",HR_Employee_Attrition[[#This Row],[YearsAtCompany]]&gt;10,"10+")</f>
        <v>6-10</v>
      </c>
      <c r="AL363" t="str" cm="1">
        <f t="array" ref="AL3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63">
        <f>IF(HR_Employee_Attrition[[#This Row],[Attrition]]="Yes",1,0)</f>
        <v>0</v>
      </c>
    </row>
    <row r="364" spans="1:39" x14ac:dyDescent="0.3">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c r="AJ364" t="str">
        <f>IF(HR_Employee_Attrition[[#This Row],[Age]]&gt;60,"60+",IF(HR_Employee_Attrition[[#This Row],[Age]]&gt;=50,"50-59",IF(HR_Employee_Attrition[[#This Row],[Age]]&gt;=40,"40-49",IF(HR_Employee_Attrition[[#This Row],[Age]]&gt;=30,"30-39",IF(HR_Employee_Attrition[[#This Row],[Age]]&gt;=20,"20-29",IF(HR_Employee_Attrition[[#This Row],[Age]]&gt;=18,"18-20"))))))</f>
        <v>20-29</v>
      </c>
      <c r="AK364" t="str" cm="1">
        <f t="array" ref="AK364">_xlfn.IFS(HR_Employee_Attrition[[#This Row],[YearsAtCompany]]&lt;=2,"0-2",HR_Employee_Attrition[[#This Row],[YearsAtCompany]]&lt;=5,"3-5",HR_Employee_Attrition[[#This Row],[YearsAtCompany]]&lt;=10,"6-10",HR_Employee_Attrition[[#This Row],[YearsAtCompany]]&gt;10,"10+")</f>
        <v>3-5</v>
      </c>
      <c r="AL364" t="str" cm="1">
        <f t="array" ref="AL3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64">
        <f>IF(HR_Employee_Attrition[[#This Row],[Attrition]]="Yes",1,0)</f>
        <v>0</v>
      </c>
    </row>
    <row r="365" spans="1:39" x14ac:dyDescent="0.3">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c r="AJ365" t="str">
        <f>IF(HR_Employee_Attrition[[#This Row],[Age]]&gt;60,"60+",IF(HR_Employee_Attrition[[#This Row],[Age]]&gt;=50,"50-59",IF(HR_Employee_Attrition[[#This Row],[Age]]&gt;=40,"40-49",IF(HR_Employee_Attrition[[#This Row],[Age]]&gt;=30,"30-39",IF(HR_Employee_Attrition[[#This Row],[Age]]&gt;=20,"20-29",IF(HR_Employee_Attrition[[#This Row],[Age]]&gt;=18,"18-20"))))))</f>
        <v>30-39</v>
      </c>
      <c r="AK365" t="str" cm="1">
        <f t="array" ref="AK365">_xlfn.IFS(HR_Employee_Attrition[[#This Row],[YearsAtCompany]]&lt;=2,"0-2",HR_Employee_Attrition[[#This Row],[YearsAtCompany]]&lt;=5,"3-5",HR_Employee_Attrition[[#This Row],[YearsAtCompany]]&lt;=10,"6-10",HR_Employee_Attrition[[#This Row],[YearsAtCompany]]&gt;10,"10+")</f>
        <v>0-2</v>
      </c>
      <c r="AL365" t="str" cm="1">
        <f t="array" ref="AL3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65">
        <f>IF(HR_Employee_Attrition[[#This Row],[Attrition]]="Yes",1,0)</f>
        <v>1</v>
      </c>
    </row>
    <row r="366" spans="1:39" x14ac:dyDescent="0.3">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c r="AJ366" t="str">
        <f>IF(HR_Employee_Attrition[[#This Row],[Age]]&gt;60,"60+",IF(HR_Employee_Attrition[[#This Row],[Age]]&gt;=50,"50-59",IF(HR_Employee_Attrition[[#This Row],[Age]]&gt;=40,"40-49",IF(HR_Employee_Attrition[[#This Row],[Age]]&gt;=30,"30-39",IF(HR_Employee_Attrition[[#This Row],[Age]]&gt;=20,"20-29",IF(HR_Employee_Attrition[[#This Row],[Age]]&gt;=18,"18-20"))))))</f>
        <v>30-39</v>
      </c>
      <c r="AK366" t="str" cm="1">
        <f t="array" ref="AK366">_xlfn.IFS(HR_Employee_Attrition[[#This Row],[YearsAtCompany]]&lt;=2,"0-2",HR_Employee_Attrition[[#This Row],[YearsAtCompany]]&lt;=5,"3-5",HR_Employee_Attrition[[#This Row],[YearsAtCompany]]&lt;=10,"6-10",HR_Employee_Attrition[[#This Row],[YearsAtCompany]]&gt;10,"10+")</f>
        <v>3-5</v>
      </c>
      <c r="AL366" t="str" cm="1">
        <f t="array" ref="AL3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66">
        <f>IF(HR_Employee_Attrition[[#This Row],[Attrition]]="Yes",1,0)</f>
        <v>0</v>
      </c>
    </row>
    <row r="367" spans="1:39" x14ac:dyDescent="0.3">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c r="AJ367" t="str">
        <f>IF(HR_Employee_Attrition[[#This Row],[Age]]&gt;60,"60+",IF(HR_Employee_Attrition[[#This Row],[Age]]&gt;=50,"50-59",IF(HR_Employee_Attrition[[#This Row],[Age]]&gt;=40,"40-49",IF(HR_Employee_Attrition[[#This Row],[Age]]&gt;=30,"30-39",IF(HR_Employee_Attrition[[#This Row],[Age]]&gt;=20,"20-29",IF(HR_Employee_Attrition[[#This Row],[Age]]&gt;=18,"18-20"))))))</f>
        <v>40-49</v>
      </c>
      <c r="AK367" t="str" cm="1">
        <f t="array" ref="AK367">_xlfn.IFS(HR_Employee_Attrition[[#This Row],[YearsAtCompany]]&lt;=2,"0-2",HR_Employee_Attrition[[#This Row],[YearsAtCompany]]&lt;=5,"3-5",HR_Employee_Attrition[[#This Row],[YearsAtCompany]]&lt;=10,"6-10",HR_Employee_Attrition[[#This Row],[YearsAtCompany]]&gt;10,"10+")</f>
        <v>0-2</v>
      </c>
      <c r="AL367" t="str" cm="1">
        <f t="array" ref="AL3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67">
        <f>IF(HR_Employee_Attrition[[#This Row],[Attrition]]="Yes",1,0)</f>
        <v>0</v>
      </c>
    </row>
    <row r="368" spans="1:39" x14ac:dyDescent="0.3">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c r="AJ368" t="str">
        <f>IF(HR_Employee_Attrition[[#This Row],[Age]]&gt;60,"60+",IF(HR_Employee_Attrition[[#This Row],[Age]]&gt;=50,"50-59",IF(HR_Employee_Attrition[[#This Row],[Age]]&gt;=40,"40-49",IF(HR_Employee_Attrition[[#This Row],[Age]]&gt;=30,"30-39",IF(HR_Employee_Attrition[[#This Row],[Age]]&gt;=20,"20-29",IF(HR_Employee_Attrition[[#This Row],[Age]]&gt;=18,"18-20"))))))</f>
        <v>40-49</v>
      </c>
      <c r="AK368" t="str" cm="1">
        <f t="array" ref="AK368">_xlfn.IFS(HR_Employee_Attrition[[#This Row],[YearsAtCompany]]&lt;=2,"0-2",HR_Employee_Attrition[[#This Row],[YearsAtCompany]]&lt;=5,"3-5",HR_Employee_Attrition[[#This Row],[YearsAtCompany]]&lt;=10,"6-10",HR_Employee_Attrition[[#This Row],[YearsAtCompany]]&gt;10,"10+")</f>
        <v>6-10</v>
      </c>
      <c r="AL368" t="str" cm="1">
        <f t="array" ref="AL3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68">
        <f>IF(HR_Employee_Attrition[[#This Row],[Attrition]]="Yes",1,0)</f>
        <v>1</v>
      </c>
    </row>
    <row r="369" spans="1:39" x14ac:dyDescent="0.3">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c r="AJ369" t="str">
        <f>IF(HR_Employee_Attrition[[#This Row],[Age]]&gt;60,"60+",IF(HR_Employee_Attrition[[#This Row],[Age]]&gt;=50,"50-59",IF(HR_Employee_Attrition[[#This Row],[Age]]&gt;=40,"40-49",IF(HR_Employee_Attrition[[#This Row],[Age]]&gt;=30,"30-39",IF(HR_Employee_Attrition[[#This Row],[Age]]&gt;=20,"20-29",IF(HR_Employee_Attrition[[#This Row],[Age]]&gt;=18,"18-20"))))))</f>
        <v>50-59</v>
      </c>
      <c r="AK369" t="str" cm="1">
        <f t="array" ref="AK369">_xlfn.IFS(HR_Employee_Attrition[[#This Row],[YearsAtCompany]]&lt;=2,"0-2",HR_Employee_Attrition[[#This Row],[YearsAtCompany]]&lt;=5,"3-5",HR_Employee_Attrition[[#This Row],[YearsAtCompany]]&lt;=10,"6-10",HR_Employee_Attrition[[#This Row],[YearsAtCompany]]&gt;10,"10+")</f>
        <v>3-5</v>
      </c>
      <c r="AL369" t="str" cm="1">
        <f t="array" ref="AL3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69">
        <f>IF(HR_Employee_Attrition[[#This Row],[Attrition]]="Yes",1,0)</f>
        <v>0</v>
      </c>
    </row>
    <row r="370" spans="1:39" x14ac:dyDescent="0.3">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c r="AJ370" t="str">
        <f>IF(HR_Employee_Attrition[[#This Row],[Age]]&gt;60,"60+",IF(HR_Employee_Attrition[[#This Row],[Age]]&gt;=50,"50-59",IF(HR_Employee_Attrition[[#This Row],[Age]]&gt;=40,"40-49",IF(HR_Employee_Attrition[[#This Row],[Age]]&gt;=30,"30-39",IF(HR_Employee_Attrition[[#This Row],[Age]]&gt;=20,"20-29",IF(HR_Employee_Attrition[[#This Row],[Age]]&gt;=18,"18-20"))))))</f>
        <v>40-49</v>
      </c>
      <c r="AK370" t="str" cm="1">
        <f t="array" ref="AK370">_xlfn.IFS(HR_Employee_Attrition[[#This Row],[YearsAtCompany]]&lt;=2,"0-2",HR_Employee_Attrition[[#This Row],[YearsAtCompany]]&lt;=5,"3-5",HR_Employee_Attrition[[#This Row],[YearsAtCompany]]&lt;=10,"6-10",HR_Employee_Attrition[[#This Row],[YearsAtCompany]]&gt;10,"10+")</f>
        <v>6-10</v>
      </c>
      <c r="AL370" t="str" cm="1">
        <f t="array" ref="AL3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70">
        <f>IF(HR_Employee_Attrition[[#This Row],[Attrition]]="Yes",1,0)</f>
        <v>1</v>
      </c>
    </row>
    <row r="371" spans="1:39" x14ac:dyDescent="0.3">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c r="AJ371" t="str">
        <f>IF(HR_Employee_Attrition[[#This Row],[Age]]&gt;60,"60+",IF(HR_Employee_Attrition[[#This Row],[Age]]&gt;=50,"50-59",IF(HR_Employee_Attrition[[#This Row],[Age]]&gt;=40,"40-49",IF(HR_Employee_Attrition[[#This Row],[Age]]&gt;=30,"30-39",IF(HR_Employee_Attrition[[#This Row],[Age]]&gt;=20,"20-29",IF(HR_Employee_Attrition[[#This Row],[Age]]&gt;=18,"18-20"))))))</f>
        <v>30-39</v>
      </c>
      <c r="AK371" t="str" cm="1">
        <f t="array" ref="AK371">_xlfn.IFS(HR_Employee_Attrition[[#This Row],[YearsAtCompany]]&lt;=2,"0-2",HR_Employee_Attrition[[#This Row],[YearsAtCompany]]&lt;=5,"3-5",HR_Employee_Attrition[[#This Row],[YearsAtCompany]]&lt;=10,"6-10",HR_Employee_Attrition[[#This Row],[YearsAtCompany]]&gt;10,"10+")</f>
        <v>0-2</v>
      </c>
      <c r="AL371" t="str" cm="1">
        <f t="array" ref="AL3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71">
        <f>IF(HR_Employee_Attrition[[#This Row],[Attrition]]="Yes",1,0)</f>
        <v>0</v>
      </c>
    </row>
    <row r="372" spans="1:39" x14ac:dyDescent="0.3">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c r="AJ372" t="str">
        <f>IF(HR_Employee_Attrition[[#This Row],[Age]]&gt;60,"60+",IF(HR_Employee_Attrition[[#This Row],[Age]]&gt;=50,"50-59",IF(HR_Employee_Attrition[[#This Row],[Age]]&gt;=40,"40-49",IF(HR_Employee_Attrition[[#This Row],[Age]]&gt;=30,"30-39",IF(HR_Employee_Attrition[[#This Row],[Age]]&gt;=20,"20-29",IF(HR_Employee_Attrition[[#This Row],[Age]]&gt;=18,"18-20"))))))</f>
        <v>20-29</v>
      </c>
      <c r="AK372" t="str" cm="1">
        <f t="array" ref="AK372">_xlfn.IFS(HR_Employee_Attrition[[#This Row],[YearsAtCompany]]&lt;=2,"0-2",HR_Employee_Attrition[[#This Row],[YearsAtCompany]]&lt;=5,"3-5",HR_Employee_Attrition[[#This Row],[YearsAtCompany]]&lt;=10,"6-10",HR_Employee_Attrition[[#This Row],[YearsAtCompany]]&gt;10,"10+")</f>
        <v>0-2</v>
      </c>
      <c r="AL372" t="str" cm="1">
        <f t="array" ref="AL3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72">
        <f>IF(HR_Employee_Attrition[[#This Row],[Attrition]]="Yes",1,0)</f>
        <v>1</v>
      </c>
    </row>
    <row r="373" spans="1:39" x14ac:dyDescent="0.3">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c r="AJ373" t="str">
        <f>IF(HR_Employee_Attrition[[#This Row],[Age]]&gt;60,"60+",IF(HR_Employee_Attrition[[#This Row],[Age]]&gt;=50,"50-59",IF(HR_Employee_Attrition[[#This Row],[Age]]&gt;=40,"40-49",IF(HR_Employee_Attrition[[#This Row],[Age]]&gt;=30,"30-39",IF(HR_Employee_Attrition[[#This Row],[Age]]&gt;=20,"20-29",IF(HR_Employee_Attrition[[#This Row],[Age]]&gt;=18,"18-20"))))))</f>
        <v>20-29</v>
      </c>
      <c r="AK373" t="str" cm="1">
        <f t="array" ref="AK373">_xlfn.IFS(HR_Employee_Attrition[[#This Row],[YearsAtCompany]]&lt;=2,"0-2",HR_Employee_Attrition[[#This Row],[YearsAtCompany]]&lt;=5,"3-5",HR_Employee_Attrition[[#This Row],[YearsAtCompany]]&lt;=10,"6-10",HR_Employee_Attrition[[#This Row],[YearsAtCompany]]&gt;10,"10+")</f>
        <v>3-5</v>
      </c>
      <c r="AL373" t="str" cm="1">
        <f t="array" ref="AL3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73">
        <f>IF(HR_Employee_Attrition[[#This Row],[Attrition]]="Yes",1,0)</f>
        <v>0</v>
      </c>
    </row>
    <row r="374" spans="1:39" x14ac:dyDescent="0.3">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c r="AJ374" t="str">
        <f>IF(HR_Employee_Attrition[[#This Row],[Age]]&gt;60,"60+",IF(HR_Employee_Attrition[[#This Row],[Age]]&gt;=50,"50-59",IF(HR_Employee_Attrition[[#This Row],[Age]]&gt;=40,"40-49",IF(HR_Employee_Attrition[[#This Row],[Age]]&gt;=30,"30-39",IF(HR_Employee_Attrition[[#This Row],[Age]]&gt;=20,"20-29",IF(HR_Employee_Attrition[[#This Row],[Age]]&gt;=18,"18-20"))))))</f>
        <v>30-39</v>
      </c>
      <c r="AK374" t="str" cm="1">
        <f t="array" ref="AK374">_xlfn.IFS(HR_Employee_Attrition[[#This Row],[YearsAtCompany]]&lt;=2,"0-2",HR_Employee_Attrition[[#This Row],[YearsAtCompany]]&lt;=5,"3-5",HR_Employee_Attrition[[#This Row],[YearsAtCompany]]&lt;=10,"6-10",HR_Employee_Attrition[[#This Row],[YearsAtCompany]]&gt;10,"10+")</f>
        <v>0-2</v>
      </c>
      <c r="AL374" t="str" cm="1">
        <f t="array" ref="AL3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74">
        <f>IF(HR_Employee_Attrition[[#This Row],[Attrition]]="Yes",1,0)</f>
        <v>0</v>
      </c>
    </row>
    <row r="375" spans="1:39" x14ac:dyDescent="0.3">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c r="AJ375" t="str">
        <f>IF(HR_Employee_Attrition[[#This Row],[Age]]&gt;60,"60+",IF(HR_Employee_Attrition[[#This Row],[Age]]&gt;=50,"50-59",IF(HR_Employee_Attrition[[#This Row],[Age]]&gt;=40,"40-49",IF(HR_Employee_Attrition[[#This Row],[Age]]&gt;=30,"30-39",IF(HR_Employee_Attrition[[#This Row],[Age]]&gt;=20,"20-29",IF(HR_Employee_Attrition[[#This Row],[Age]]&gt;=18,"18-20"))))))</f>
        <v>20-29</v>
      </c>
      <c r="AK375" t="str" cm="1">
        <f t="array" ref="AK375">_xlfn.IFS(HR_Employee_Attrition[[#This Row],[YearsAtCompany]]&lt;=2,"0-2",HR_Employee_Attrition[[#This Row],[YearsAtCompany]]&lt;=5,"3-5",HR_Employee_Attrition[[#This Row],[YearsAtCompany]]&lt;=10,"6-10",HR_Employee_Attrition[[#This Row],[YearsAtCompany]]&gt;10,"10+")</f>
        <v>3-5</v>
      </c>
      <c r="AL375" t="str" cm="1">
        <f t="array" ref="AL3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75">
        <f>IF(HR_Employee_Attrition[[#This Row],[Attrition]]="Yes",1,0)</f>
        <v>0</v>
      </c>
    </row>
    <row r="376" spans="1:39" x14ac:dyDescent="0.3">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c r="AJ376" t="str">
        <f>IF(HR_Employee_Attrition[[#This Row],[Age]]&gt;60,"60+",IF(HR_Employee_Attrition[[#This Row],[Age]]&gt;=50,"50-59",IF(HR_Employee_Attrition[[#This Row],[Age]]&gt;=40,"40-49",IF(HR_Employee_Attrition[[#This Row],[Age]]&gt;=30,"30-39",IF(HR_Employee_Attrition[[#This Row],[Age]]&gt;=20,"20-29",IF(HR_Employee_Attrition[[#This Row],[Age]]&gt;=18,"18-20"))))))</f>
        <v>20-29</v>
      </c>
      <c r="AK376" t="str" cm="1">
        <f t="array" ref="AK376">_xlfn.IFS(HR_Employee_Attrition[[#This Row],[YearsAtCompany]]&lt;=2,"0-2",HR_Employee_Attrition[[#This Row],[YearsAtCompany]]&lt;=5,"3-5",HR_Employee_Attrition[[#This Row],[YearsAtCompany]]&lt;=10,"6-10",HR_Employee_Attrition[[#This Row],[YearsAtCompany]]&gt;10,"10+")</f>
        <v>6-10</v>
      </c>
      <c r="AL376" t="str" cm="1">
        <f t="array" ref="AL3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76">
        <f>IF(HR_Employee_Attrition[[#This Row],[Attrition]]="Yes",1,0)</f>
        <v>0</v>
      </c>
    </row>
    <row r="377" spans="1:39" x14ac:dyDescent="0.3">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c r="AJ377" t="str">
        <f>IF(HR_Employee_Attrition[[#This Row],[Age]]&gt;60,"60+",IF(HR_Employee_Attrition[[#This Row],[Age]]&gt;=50,"50-59",IF(HR_Employee_Attrition[[#This Row],[Age]]&gt;=40,"40-49",IF(HR_Employee_Attrition[[#This Row],[Age]]&gt;=30,"30-39",IF(HR_Employee_Attrition[[#This Row],[Age]]&gt;=20,"20-29",IF(HR_Employee_Attrition[[#This Row],[Age]]&gt;=18,"18-20"))))))</f>
        <v>40-49</v>
      </c>
      <c r="AK377" t="str" cm="1">
        <f t="array" ref="AK377">_xlfn.IFS(HR_Employee_Attrition[[#This Row],[YearsAtCompany]]&lt;=2,"0-2",HR_Employee_Attrition[[#This Row],[YearsAtCompany]]&lt;=5,"3-5",HR_Employee_Attrition[[#This Row],[YearsAtCompany]]&lt;=10,"6-10",HR_Employee_Attrition[[#This Row],[YearsAtCompany]]&gt;10,"10+")</f>
        <v>3-5</v>
      </c>
      <c r="AL377" t="str" cm="1">
        <f t="array" ref="AL3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77">
        <f>IF(HR_Employee_Attrition[[#This Row],[Attrition]]="Yes",1,0)</f>
        <v>0</v>
      </c>
    </row>
    <row r="378" spans="1:39" x14ac:dyDescent="0.3">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c r="AJ378" t="str">
        <f>IF(HR_Employee_Attrition[[#This Row],[Age]]&gt;60,"60+",IF(HR_Employee_Attrition[[#This Row],[Age]]&gt;=50,"50-59",IF(HR_Employee_Attrition[[#This Row],[Age]]&gt;=40,"40-49",IF(HR_Employee_Attrition[[#This Row],[Age]]&gt;=30,"30-39",IF(HR_Employee_Attrition[[#This Row],[Age]]&gt;=20,"20-29",IF(HR_Employee_Attrition[[#This Row],[Age]]&gt;=18,"18-20"))))))</f>
        <v>50-59</v>
      </c>
      <c r="AK378" t="str" cm="1">
        <f t="array" ref="AK378">_xlfn.IFS(HR_Employee_Attrition[[#This Row],[YearsAtCompany]]&lt;=2,"0-2",HR_Employee_Attrition[[#This Row],[YearsAtCompany]]&lt;=5,"3-5",HR_Employee_Attrition[[#This Row],[YearsAtCompany]]&lt;=10,"6-10",HR_Employee_Attrition[[#This Row],[YearsAtCompany]]&gt;10,"10+")</f>
        <v>6-10</v>
      </c>
      <c r="AL378" t="str" cm="1">
        <f t="array" ref="AL3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78">
        <f>IF(HR_Employee_Attrition[[#This Row],[Attrition]]="Yes",1,0)</f>
        <v>0</v>
      </c>
    </row>
    <row r="379" spans="1:39" x14ac:dyDescent="0.3">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c r="AJ379" t="str">
        <f>IF(HR_Employee_Attrition[[#This Row],[Age]]&gt;60,"60+",IF(HR_Employee_Attrition[[#This Row],[Age]]&gt;=50,"50-59",IF(HR_Employee_Attrition[[#This Row],[Age]]&gt;=40,"40-49",IF(HR_Employee_Attrition[[#This Row],[Age]]&gt;=30,"30-39",IF(HR_Employee_Attrition[[#This Row],[Age]]&gt;=20,"20-29",IF(HR_Employee_Attrition[[#This Row],[Age]]&gt;=18,"18-20"))))))</f>
        <v>30-39</v>
      </c>
      <c r="AK379" t="str" cm="1">
        <f t="array" ref="AK379">_xlfn.IFS(HR_Employee_Attrition[[#This Row],[YearsAtCompany]]&lt;=2,"0-2",HR_Employee_Attrition[[#This Row],[YearsAtCompany]]&lt;=5,"3-5",HR_Employee_Attrition[[#This Row],[YearsAtCompany]]&lt;=10,"6-10",HR_Employee_Attrition[[#This Row],[YearsAtCompany]]&gt;10,"10+")</f>
        <v>0-2</v>
      </c>
      <c r="AL379" t="str" cm="1">
        <f t="array" ref="AL3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79">
        <f>IF(HR_Employee_Attrition[[#This Row],[Attrition]]="Yes",1,0)</f>
        <v>0</v>
      </c>
    </row>
    <row r="380" spans="1:39" x14ac:dyDescent="0.3">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c r="AJ380" t="str">
        <f>IF(HR_Employee_Attrition[[#This Row],[Age]]&gt;60,"60+",IF(HR_Employee_Attrition[[#This Row],[Age]]&gt;=50,"50-59",IF(HR_Employee_Attrition[[#This Row],[Age]]&gt;=40,"40-49",IF(HR_Employee_Attrition[[#This Row],[Age]]&gt;=30,"30-39",IF(HR_Employee_Attrition[[#This Row],[Age]]&gt;=20,"20-29",IF(HR_Employee_Attrition[[#This Row],[Age]]&gt;=18,"18-20"))))))</f>
        <v>30-39</v>
      </c>
      <c r="AK380" t="str" cm="1">
        <f t="array" ref="AK380">_xlfn.IFS(HR_Employee_Attrition[[#This Row],[YearsAtCompany]]&lt;=2,"0-2",HR_Employee_Attrition[[#This Row],[YearsAtCompany]]&lt;=5,"3-5",HR_Employee_Attrition[[#This Row],[YearsAtCompany]]&lt;=10,"6-10",HR_Employee_Attrition[[#This Row],[YearsAtCompany]]&gt;10,"10+")</f>
        <v>3-5</v>
      </c>
      <c r="AL380" t="str" cm="1">
        <f t="array" ref="AL3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80">
        <f>IF(HR_Employee_Attrition[[#This Row],[Attrition]]="Yes",1,0)</f>
        <v>1</v>
      </c>
    </row>
    <row r="381" spans="1:39" x14ac:dyDescent="0.3">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c r="AJ381" t="str">
        <f>IF(HR_Employee_Attrition[[#This Row],[Age]]&gt;60,"60+",IF(HR_Employee_Attrition[[#This Row],[Age]]&gt;=50,"50-59",IF(HR_Employee_Attrition[[#This Row],[Age]]&gt;=40,"40-49",IF(HR_Employee_Attrition[[#This Row],[Age]]&gt;=30,"30-39",IF(HR_Employee_Attrition[[#This Row],[Age]]&gt;=20,"20-29",IF(HR_Employee_Attrition[[#This Row],[Age]]&gt;=18,"18-20"))))))</f>
        <v>50-59</v>
      </c>
      <c r="AK381" t="str" cm="1">
        <f t="array" ref="AK381">_xlfn.IFS(HR_Employee_Attrition[[#This Row],[YearsAtCompany]]&lt;=2,"0-2",HR_Employee_Attrition[[#This Row],[YearsAtCompany]]&lt;=5,"3-5",HR_Employee_Attrition[[#This Row],[YearsAtCompany]]&lt;=10,"6-10",HR_Employee_Attrition[[#This Row],[YearsAtCompany]]&gt;10,"10+")</f>
        <v>3-5</v>
      </c>
      <c r="AL381" t="str" cm="1">
        <f t="array" ref="AL3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81">
        <f>IF(HR_Employee_Attrition[[#This Row],[Attrition]]="Yes",1,0)</f>
        <v>0</v>
      </c>
    </row>
    <row r="382" spans="1:39" x14ac:dyDescent="0.3">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c r="AJ382" t="str">
        <f>IF(HR_Employee_Attrition[[#This Row],[Age]]&gt;60,"60+",IF(HR_Employee_Attrition[[#This Row],[Age]]&gt;=50,"50-59",IF(HR_Employee_Attrition[[#This Row],[Age]]&gt;=40,"40-49",IF(HR_Employee_Attrition[[#This Row],[Age]]&gt;=30,"30-39",IF(HR_Employee_Attrition[[#This Row],[Age]]&gt;=20,"20-29",IF(HR_Employee_Attrition[[#This Row],[Age]]&gt;=18,"18-20"))))))</f>
        <v>20-29</v>
      </c>
      <c r="AK382" t="str" cm="1">
        <f t="array" ref="AK382">_xlfn.IFS(HR_Employee_Attrition[[#This Row],[YearsAtCompany]]&lt;=2,"0-2",HR_Employee_Attrition[[#This Row],[YearsAtCompany]]&lt;=5,"3-5",HR_Employee_Attrition[[#This Row],[YearsAtCompany]]&lt;=10,"6-10",HR_Employee_Attrition[[#This Row],[YearsAtCompany]]&gt;10,"10+")</f>
        <v>3-5</v>
      </c>
      <c r="AL382" t="str" cm="1">
        <f t="array" ref="AL3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82">
        <f>IF(HR_Employee_Attrition[[#This Row],[Attrition]]="Yes",1,0)</f>
        <v>0</v>
      </c>
    </row>
    <row r="383" spans="1:39" x14ac:dyDescent="0.3">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c r="AJ383" t="str">
        <f>IF(HR_Employee_Attrition[[#This Row],[Age]]&gt;60,"60+",IF(HR_Employee_Attrition[[#This Row],[Age]]&gt;=50,"50-59",IF(HR_Employee_Attrition[[#This Row],[Age]]&gt;=40,"40-49",IF(HR_Employee_Attrition[[#This Row],[Age]]&gt;=30,"30-39",IF(HR_Employee_Attrition[[#This Row],[Age]]&gt;=20,"20-29",IF(HR_Employee_Attrition[[#This Row],[Age]]&gt;=18,"18-20"))))))</f>
        <v>30-39</v>
      </c>
      <c r="AK383" t="str" cm="1">
        <f t="array" ref="AK383">_xlfn.IFS(HR_Employee_Attrition[[#This Row],[YearsAtCompany]]&lt;=2,"0-2",HR_Employee_Attrition[[#This Row],[YearsAtCompany]]&lt;=5,"3-5",HR_Employee_Attrition[[#This Row],[YearsAtCompany]]&lt;=10,"6-10",HR_Employee_Attrition[[#This Row],[YearsAtCompany]]&gt;10,"10+")</f>
        <v>0-2</v>
      </c>
      <c r="AL383" t="str" cm="1">
        <f t="array" ref="AL3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83">
        <f>IF(HR_Employee_Attrition[[#This Row],[Attrition]]="Yes",1,0)</f>
        <v>0</v>
      </c>
    </row>
    <row r="384" spans="1:39" x14ac:dyDescent="0.3">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c r="AJ384" t="str">
        <f>IF(HR_Employee_Attrition[[#This Row],[Age]]&gt;60,"60+",IF(HR_Employee_Attrition[[#This Row],[Age]]&gt;=50,"50-59",IF(HR_Employee_Attrition[[#This Row],[Age]]&gt;=40,"40-49",IF(HR_Employee_Attrition[[#This Row],[Age]]&gt;=30,"30-39",IF(HR_Employee_Attrition[[#This Row],[Age]]&gt;=20,"20-29",IF(HR_Employee_Attrition[[#This Row],[Age]]&gt;=18,"18-20"))))))</f>
        <v>20-29</v>
      </c>
      <c r="AK384" t="str" cm="1">
        <f t="array" ref="AK384">_xlfn.IFS(HR_Employee_Attrition[[#This Row],[YearsAtCompany]]&lt;=2,"0-2",HR_Employee_Attrition[[#This Row],[YearsAtCompany]]&lt;=5,"3-5",HR_Employee_Attrition[[#This Row],[YearsAtCompany]]&lt;=10,"6-10",HR_Employee_Attrition[[#This Row],[YearsAtCompany]]&gt;10,"10+")</f>
        <v>6-10</v>
      </c>
      <c r="AL384" t="str" cm="1">
        <f t="array" ref="AL3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84">
        <f>IF(HR_Employee_Attrition[[#This Row],[Attrition]]="Yes",1,0)</f>
        <v>1</v>
      </c>
    </row>
    <row r="385" spans="1:39" x14ac:dyDescent="0.3">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c r="AJ385" t="str">
        <f>IF(HR_Employee_Attrition[[#This Row],[Age]]&gt;60,"60+",IF(HR_Employee_Attrition[[#This Row],[Age]]&gt;=50,"50-59",IF(HR_Employee_Attrition[[#This Row],[Age]]&gt;=40,"40-49",IF(HR_Employee_Attrition[[#This Row],[Age]]&gt;=30,"30-39",IF(HR_Employee_Attrition[[#This Row],[Age]]&gt;=20,"20-29",IF(HR_Employee_Attrition[[#This Row],[Age]]&gt;=18,"18-20"))))))</f>
        <v>20-29</v>
      </c>
      <c r="AK385" t="str" cm="1">
        <f t="array" ref="AK385">_xlfn.IFS(HR_Employee_Attrition[[#This Row],[YearsAtCompany]]&lt;=2,"0-2",HR_Employee_Attrition[[#This Row],[YearsAtCompany]]&lt;=5,"3-5",HR_Employee_Attrition[[#This Row],[YearsAtCompany]]&lt;=10,"6-10",HR_Employee_Attrition[[#This Row],[YearsAtCompany]]&gt;10,"10+")</f>
        <v>0-2</v>
      </c>
      <c r="AL385" t="str" cm="1">
        <f t="array" ref="AL3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85">
        <f>IF(HR_Employee_Attrition[[#This Row],[Attrition]]="Yes",1,0)</f>
        <v>0</v>
      </c>
    </row>
    <row r="386" spans="1:39" x14ac:dyDescent="0.3">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c r="AJ386" t="str">
        <f>IF(HR_Employee_Attrition[[#This Row],[Age]]&gt;60,"60+",IF(HR_Employee_Attrition[[#This Row],[Age]]&gt;=50,"50-59",IF(HR_Employee_Attrition[[#This Row],[Age]]&gt;=40,"40-49",IF(HR_Employee_Attrition[[#This Row],[Age]]&gt;=30,"30-39",IF(HR_Employee_Attrition[[#This Row],[Age]]&gt;=20,"20-29",IF(HR_Employee_Attrition[[#This Row],[Age]]&gt;=18,"18-20"))))))</f>
        <v>30-39</v>
      </c>
      <c r="AK386" t="str" cm="1">
        <f t="array" ref="AK386">_xlfn.IFS(HR_Employee_Attrition[[#This Row],[YearsAtCompany]]&lt;=2,"0-2",HR_Employee_Attrition[[#This Row],[YearsAtCompany]]&lt;=5,"3-5",HR_Employee_Attrition[[#This Row],[YearsAtCompany]]&lt;=10,"6-10",HR_Employee_Attrition[[#This Row],[YearsAtCompany]]&gt;10,"10+")</f>
        <v>6-10</v>
      </c>
      <c r="AL386" t="str" cm="1">
        <f t="array" ref="AL3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86">
        <f>IF(HR_Employee_Attrition[[#This Row],[Attrition]]="Yes",1,0)</f>
        <v>0</v>
      </c>
    </row>
    <row r="387" spans="1:39" x14ac:dyDescent="0.3">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c r="AJ387" t="str">
        <f>IF(HR_Employee_Attrition[[#This Row],[Age]]&gt;60,"60+",IF(HR_Employee_Attrition[[#This Row],[Age]]&gt;=50,"50-59",IF(HR_Employee_Attrition[[#This Row],[Age]]&gt;=40,"40-49",IF(HR_Employee_Attrition[[#This Row],[Age]]&gt;=30,"30-39",IF(HR_Employee_Attrition[[#This Row],[Age]]&gt;=20,"20-29",IF(HR_Employee_Attrition[[#This Row],[Age]]&gt;=18,"18-20"))))))</f>
        <v>30-39</v>
      </c>
      <c r="AK387" t="str" cm="1">
        <f t="array" ref="AK387">_xlfn.IFS(HR_Employee_Attrition[[#This Row],[YearsAtCompany]]&lt;=2,"0-2",HR_Employee_Attrition[[#This Row],[YearsAtCompany]]&lt;=5,"3-5",HR_Employee_Attrition[[#This Row],[YearsAtCompany]]&lt;=10,"6-10",HR_Employee_Attrition[[#This Row],[YearsAtCompany]]&gt;10,"10+")</f>
        <v>0-2</v>
      </c>
      <c r="AL387" t="str" cm="1">
        <f t="array" ref="AL3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87">
        <f>IF(HR_Employee_Attrition[[#This Row],[Attrition]]="Yes",1,0)</f>
        <v>1</v>
      </c>
    </row>
    <row r="388" spans="1:39" x14ac:dyDescent="0.3">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c r="AJ388" t="str">
        <f>IF(HR_Employee_Attrition[[#This Row],[Age]]&gt;60,"60+",IF(HR_Employee_Attrition[[#This Row],[Age]]&gt;=50,"50-59",IF(HR_Employee_Attrition[[#This Row],[Age]]&gt;=40,"40-49",IF(HR_Employee_Attrition[[#This Row],[Age]]&gt;=30,"30-39",IF(HR_Employee_Attrition[[#This Row],[Age]]&gt;=20,"20-29",IF(HR_Employee_Attrition[[#This Row],[Age]]&gt;=18,"18-20"))))))</f>
        <v>30-39</v>
      </c>
      <c r="AK388" t="str" cm="1">
        <f t="array" ref="AK388">_xlfn.IFS(HR_Employee_Attrition[[#This Row],[YearsAtCompany]]&lt;=2,"0-2",HR_Employee_Attrition[[#This Row],[YearsAtCompany]]&lt;=5,"3-5",HR_Employee_Attrition[[#This Row],[YearsAtCompany]]&lt;=10,"6-10",HR_Employee_Attrition[[#This Row],[YearsAtCompany]]&gt;10,"10+")</f>
        <v>10+</v>
      </c>
      <c r="AL388" t="str" cm="1">
        <f t="array" ref="AL3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88">
        <f>IF(HR_Employee_Attrition[[#This Row],[Attrition]]="Yes",1,0)</f>
        <v>0</v>
      </c>
    </row>
    <row r="389" spans="1:39" x14ac:dyDescent="0.3">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c r="AJ389" t="str">
        <f>IF(HR_Employee_Attrition[[#This Row],[Age]]&gt;60,"60+",IF(HR_Employee_Attrition[[#This Row],[Age]]&gt;=50,"50-59",IF(HR_Employee_Attrition[[#This Row],[Age]]&gt;=40,"40-49",IF(HR_Employee_Attrition[[#This Row],[Age]]&gt;=30,"30-39",IF(HR_Employee_Attrition[[#This Row],[Age]]&gt;=20,"20-29",IF(HR_Employee_Attrition[[#This Row],[Age]]&gt;=18,"18-20"))))))</f>
        <v>40-49</v>
      </c>
      <c r="AK389" t="str" cm="1">
        <f t="array" ref="AK389">_xlfn.IFS(HR_Employee_Attrition[[#This Row],[YearsAtCompany]]&lt;=2,"0-2",HR_Employee_Attrition[[#This Row],[YearsAtCompany]]&lt;=5,"3-5",HR_Employee_Attrition[[#This Row],[YearsAtCompany]]&lt;=10,"6-10",HR_Employee_Attrition[[#This Row],[YearsAtCompany]]&gt;10,"10+")</f>
        <v>3-5</v>
      </c>
      <c r="AL389" t="str" cm="1">
        <f t="array" ref="AL3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89">
        <f>IF(HR_Employee_Attrition[[#This Row],[Attrition]]="Yes",1,0)</f>
        <v>0</v>
      </c>
    </row>
    <row r="390" spans="1:39" x14ac:dyDescent="0.3">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c r="AJ390" t="str">
        <f>IF(HR_Employee_Attrition[[#This Row],[Age]]&gt;60,"60+",IF(HR_Employee_Attrition[[#This Row],[Age]]&gt;=50,"50-59",IF(HR_Employee_Attrition[[#This Row],[Age]]&gt;=40,"40-49",IF(HR_Employee_Attrition[[#This Row],[Age]]&gt;=30,"30-39",IF(HR_Employee_Attrition[[#This Row],[Age]]&gt;=20,"20-29",IF(HR_Employee_Attrition[[#This Row],[Age]]&gt;=18,"18-20"))))))</f>
        <v>40-49</v>
      </c>
      <c r="AK390" t="str" cm="1">
        <f t="array" ref="AK390">_xlfn.IFS(HR_Employee_Attrition[[#This Row],[YearsAtCompany]]&lt;=2,"0-2",HR_Employee_Attrition[[#This Row],[YearsAtCompany]]&lt;=5,"3-5",HR_Employee_Attrition[[#This Row],[YearsAtCompany]]&lt;=10,"6-10",HR_Employee_Attrition[[#This Row],[YearsAtCompany]]&gt;10,"10+")</f>
        <v>3-5</v>
      </c>
      <c r="AL390" t="str" cm="1">
        <f t="array" ref="AL3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0">
        <f>IF(HR_Employee_Attrition[[#This Row],[Attrition]]="Yes",1,0)</f>
        <v>0</v>
      </c>
    </row>
    <row r="391" spans="1:39" x14ac:dyDescent="0.3">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c r="AJ391" t="str">
        <f>IF(HR_Employee_Attrition[[#This Row],[Age]]&gt;60,"60+",IF(HR_Employee_Attrition[[#This Row],[Age]]&gt;=50,"50-59",IF(HR_Employee_Attrition[[#This Row],[Age]]&gt;=40,"40-49",IF(HR_Employee_Attrition[[#This Row],[Age]]&gt;=30,"30-39",IF(HR_Employee_Attrition[[#This Row],[Age]]&gt;=20,"20-29",IF(HR_Employee_Attrition[[#This Row],[Age]]&gt;=18,"18-20"))))))</f>
        <v>30-39</v>
      </c>
      <c r="AK391" t="str" cm="1">
        <f t="array" ref="AK391">_xlfn.IFS(HR_Employee_Attrition[[#This Row],[YearsAtCompany]]&lt;=2,"0-2",HR_Employee_Attrition[[#This Row],[YearsAtCompany]]&lt;=5,"3-5",HR_Employee_Attrition[[#This Row],[YearsAtCompany]]&lt;=10,"6-10",HR_Employee_Attrition[[#This Row],[YearsAtCompany]]&gt;10,"10+")</f>
        <v>0-2</v>
      </c>
      <c r="AL391" t="str" cm="1">
        <f t="array" ref="AL3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1">
        <f>IF(HR_Employee_Attrition[[#This Row],[Attrition]]="Yes",1,0)</f>
        <v>0</v>
      </c>
    </row>
    <row r="392" spans="1:39" x14ac:dyDescent="0.3">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c r="AJ392" t="str">
        <f>IF(HR_Employee_Attrition[[#This Row],[Age]]&gt;60,"60+",IF(HR_Employee_Attrition[[#This Row],[Age]]&gt;=50,"50-59",IF(HR_Employee_Attrition[[#This Row],[Age]]&gt;=40,"40-49",IF(HR_Employee_Attrition[[#This Row],[Age]]&gt;=30,"30-39",IF(HR_Employee_Attrition[[#This Row],[Age]]&gt;=20,"20-29",IF(HR_Employee_Attrition[[#This Row],[Age]]&gt;=18,"18-20"))))))</f>
        <v>40-49</v>
      </c>
      <c r="AK392" t="str" cm="1">
        <f t="array" ref="AK392">_xlfn.IFS(HR_Employee_Attrition[[#This Row],[YearsAtCompany]]&lt;=2,"0-2",HR_Employee_Attrition[[#This Row],[YearsAtCompany]]&lt;=5,"3-5",HR_Employee_Attrition[[#This Row],[YearsAtCompany]]&lt;=10,"6-10",HR_Employee_Attrition[[#This Row],[YearsAtCompany]]&gt;10,"10+")</f>
        <v>10+</v>
      </c>
      <c r="AL392" t="str" cm="1">
        <f t="array" ref="AL3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92">
        <f>IF(HR_Employee_Attrition[[#This Row],[Attrition]]="Yes",1,0)</f>
        <v>0</v>
      </c>
    </row>
    <row r="393" spans="1:39" x14ac:dyDescent="0.3">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c r="AJ393" t="str">
        <f>IF(HR_Employee_Attrition[[#This Row],[Age]]&gt;60,"60+",IF(HR_Employee_Attrition[[#This Row],[Age]]&gt;=50,"50-59",IF(HR_Employee_Attrition[[#This Row],[Age]]&gt;=40,"40-49",IF(HR_Employee_Attrition[[#This Row],[Age]]&gt;=30,"30-39",IF(HR_Employee_Attrition[[#This Row],[Age]]&gt;=20,"20-29",IF(HR_Employee_Attrition[[#This Row],[Age]]&gt;=18,"18-20"))))))</f>
        <v>40-49</v>
      </c>
      <c r="AK393" t="str" cm="1">
        <f t="array" ref="AK393">_xlfn.IFS(HR_Employee_Attrition[[#This Row],[YearsAtCompany]]&lt;=2,"0-2",HR_Employee_Attrition[[#This Row],[YearsAtCompany]]&lt;=5,"3-5",HR_Employee_Attrition[[#This Row],[YearsAtCompany]]&lt;=10,"6-10",HR_Employee_Attrition[[#This Row],[YearsAtCompany]]&gt;10,"10+")</f>
        <v>0-2</v>
      </c>
      <c r="AL393" t="str" cm="1">
        <f t="array" ref="AL3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3">
        <f>IF(HR_Employee_Attrition[[#This Row],[Attrition]]="Yes",1,0)</f>
        <v>0</v>
      </c>
    </row>
    <row r="394" spans="1:39" x14ac:dyDescent="0.3">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c r="AJ394" t="str">
        <f>IF(HR_Employee_Attrition[[#This Row],[Age]]&gt;60,"60+",IF(HR_Employee_Attrition[[#This Row],[Age]]&gt;=50,"50-59",IF(HR_Employee_Attrition[[#This Row],[Age]]&gt;=40,"40-49",IF(HR_Employee_Attrition[[#This Row],[Age]]&gt;=30,"30-39",IF(HR_Employee_Attrition[[#This Row],[Age]]&gt;=20,"20-29",IF(HR_Employee_Attrition[[#This Row],[Age]]&gt;=18,"18-20"))))))</f>
        <v>50-59</v>
      </c>
      <c r="AK394" t="str" cm="1">
        <f t="array" ref="AK394">_xlfn.IFS(HR_Employee_Attrition[[#This Row],[YearsAtCompany]]&lt;=2,"0-2",HR_Employee_Attrition[[#This Row],[YearsAtCompany]]&lt;=5,"3-5",HR_Employee_Attrition[[#This Row],[YearsAtCompany]]&lt;=10,"6-10",HR_Employee_Attrition[[#This Row],[YearsAtCompany]]&gt;10,"10+")</f>
        <v>3-5</v>
      </c>
      <c r="AL394" t="str" cm="1">
        <f t="array" ref="AL3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94">
        <f>IF(HR_Employee_Attrition[[#This Row],[Attrition]]="Yes",1,0)</f>
        <v>0</v>
      </c>
    </row>
    <row r="395" spans="1:39" x14ac:dyDescent="0.3">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c r="AJ395" t="str">
        <f>IF(HR_Employee_Attrition[[#This Row],[Age]]&gt;60,"60+",IF(HR_Employee_Attrition[[#This Row],[Age]]&gt;=50,"50-59",IF(HR_Employee_Attrition[[#This Row],[Age]]&gt;=40,"40-49",IF(HR_Employee_Attrition[[#This Row],[Age]]&gt;=30,"30-39",IF(HR_Employee_Attrition[[#This Row],[Age]]&gt;=20,"20-29",IF(HR_Employee_Attrition[[#This Row],[Age]]&gt;=18,"18-20"))))))</f>
        <v>30-39</v>
      </c>
      <c r="AK395" t="str" cm="1">
        <f t="array" ref="AK395">_xlfn.IFS(HR_Employee_Attrition[[#This Row],[YearsAtCompany]]&lt;=2,"0-2",HR_Employee_Attrition[[#This Row],[YearsAtCompany]]&lt;=5,"3-5",HR_Employee_Attrition[[#This Row],[YearsAtCompany]]&lt;=10,"6-10",HR_Employee_Attrition[[#This Row],[YearsAtCompany]]&gt;10,"10+")</f>
        <v>3-5</v>
      </c>
      <c r="AL395" t="str" cm="1">
        <f t="array" ref="AL3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95">
        <f>IF(HR_Employee_Attrition[[#This Row],[Attrition]]="Yes",1,0)</f>
        <v>0</v>
      </c>
    </row>
    <row r="396" spans="1:39" x14ac:dyDescent="0.3">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c r="AJ396" t="str">
        <f>IF(HR_Employee_Attrition[[#This Row],[Age]]&gt;60,"60+",IF(HR_Employee_Attrition[[#This Row],[Age]]&gt;=50,"50-59",IF(HR_Employee_Attrition[[#This Row],[Age]]&gt;=40,"40-49",IF(HR_Employee_Attrition[[#This Row],[Age]]&gt;=30,"30-39",IF(HR_Employee_Attrition[[#This Row],[Age]]&gt;=20,"20-29",IF(HR_Employee_Attrition[[#This Row],[Age]]&gt;=18,"18-20"))))))</f>
        <v>30-39</v>
      </c>
      <c r="AK396" t="str" cm="1">
        <f t="array" ref="AK396">_xlfn.IFS(HR_Employee_Attrition[[#This Row],[YearsAtCompany]]&lt;=2,"0-2",HR_Employee_Attrition[[#This Row],[YearsAtCompany]]&lt;=5,"3-5",HR_Employee_Attrition[[#This Row],[YearsAtCompany]]&lt;=10,"6-10",HR_Employee_Attrition[[#This Row],[YearsAtCompany]]&gt;10,"10+")</f>
        <v>10+</v>
      </c>
      <c r="AL396" t="str" cm="1">
        <f t="array" ref="AL3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6">
        <f>IF(HR_Employee_Attrition[[#This Row],[Attrition]]="Yes",1,0)</f>
        <v>0</v>
      </c>
    </row>
    <row r="397" spans="1:39" x14ac:dyDescent="0.3">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c r="AJ397" t="str">
        <f>IF(HR_Employee_Attrition[[#This Row],[Age]]&gt;60,"60+",IF(HR_Employee_Attrition[[#This Row],[Age]]&gt;=50,"50-59",IF(HR_Employee_Attrition[[#This Row],[Age]]&gt;=40,"40-49",IF(HR_Employee_Attrition[[#This Row],[Age]]&gt;=30,"30-39",IF(HR_Employee_Attrition[[#This Row],[Age]]&gt;=20,"20-29",IF(HR_Employee_Attrition[[#This Row],[Age]]&gt;=18,"18-20"))))))</f>
        <v>40-49</v>
      </c>
      <c r="AK397" t="str" cm="1">
        <f t="array" ref="AK397">_xlfn.IFS(HR_Employee_Attrition[[#This Row],[YearsAtCompany]]&lt;=2,"0-2",HR_Employee_Attrition[[#This Row],[YearsAtCompany]]&lt;=5,"3-5",HR_Employee_Attrition[[#This Row],[YearsAtCompany]]&lt;=10,"6-10",HR_Employee_Attrition[[#This Row],[YearsAtCompany]]&gt;10,"10+")</f>
        <v>3-5</v>
      </c>
      <c r="AL397" t="str" cm="1">
        <f t="array" ref="AL3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7">
        <f>IF(HR_Employee_Attrition[[#This Row],[Attrition]]="Yes",1,0)</f>
        <v>0</v>
      </c>
    </row>
    <row r="398" spans="1:39" x14ac:dyDescent="0.3">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c r="AJ398" t="str">
        <f>IF(HR_Employee_Attrition[[#This Row],[Age]]&gt;60,"60+",IF(HR_Employee_Attrition[[#This Row],[Age]]&gt;=50,"50-59",IF(HR_Employee_Attrition[[#This Row],[Age]]&gt;=40,"40-49",IF(HR_Employee_Attrition[[#This Row],[Age]]&gt;=30,"30-39",IF(HR_Employee_Attrition[[#This Row],[Age]]&gt;=20,"20-29",IF(HR_Employee_Attrition[[#This Row],[Age]]&gt;=18,"18-20"))))))</f>
        <v>40-49</v>
      </c>
      <c r="AK398" t="str" cm="1">
        <f t="array" ref="AK398">_xlfn.IFS(HR_Employee_Attrition[[#This Row],[YearsAtCompany]]&lt;=2,"0-2",HR_Employee_Attrition[[#This Row],[YearsAtCompany]]&lt;=5,"3-5",HR_Employee_Attrition[[#This Row],[YearsAtCompany]]&lt;=10,"6-10",HR_Employee_Attrition[[#This Row],[YearsAtCompany]]&gt;10,"10+")</f>
        <v>3-5</v>
      </c>
      <c r="AL398" t="str" cm="1">
        <f t="array" ref="AL3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8">
        <f>IF(HR_Employee_Attrition[[#This Row],[Attrition]]="Yes",1,0)</f>
        <v>0</v>
      </c>
    </row>
    <row r="399" spans="1:39" x14ac:dyDescent="0.3">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c r="AJ399" t="str">
        <f>IF(HR_Employee_Attrition[[#This Row],[Age]]&gt;60,"60+",IF(HR_Employee_Attrition[[#This Row],[Age]]&gt;=50,"50-59",IF(HR_Employee_Attrition[[#This Row],[Age]]&gt;=40,"40-49",IF(HR_Employee_Attrition[[#This Row],[Age]]&gt;=30,"30-39",IF(HR_Employee_Attrition[[#This Row],[Age]]&gt;=20,"20-29",IF(HR_Employee_Attrition[[#This Row],[Age]]&gt;=18,"18-20"))))))</f>
        <v>20-29</v>
      </c>
      <c r="AK399" t="str" cm="1">
        <f t="array" ref="AK399">_xlfn.IFS(HR_Employee_Attrition[[#This Row],[YearsAtCompany]]&lt;=2,"0-2",HR_Employee_Attrition[[#This Row],[YearsAtCompany]]&lt;=5,"3-5",HR_Employee_Attrition[[#This Row],[YearsAtCompany]]&lt;=10,"6-10",HR_Employee_Attrition[[#This Row],[YearsAtCompany]]&gt;10,"10+")</f>
        <v>3-5</v>
      </c>
      <c r="AL399" t="str" cm="1">
        <f t="array" ref="AL3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9">
        <f>IF(HR_Employee_Attrition[[#This Row],[Attrition]]="Yes",1,0)</f>
        <v>0</v>
      </c>
    </row>
    <row r="400" spans="1:39" x14ac:dyDescent="0.3">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c r="AJ400" t="str">
        <f>IF(HR_Employee_Attrition[[#This Row],[Age]]&gt;60,"60+",IF(HR_Employee_Attrition[[#This Row],[Age]]&gt;=50,"50-59",IF(HR_Employee_Attrition[[#This Row],[Age]]&gt;=40,"40-49",IF(HR_Employee_Attrition[[#This Row],[Age]]&gt;=30,"30-39",IF(HR_Employee_Attrition[[#This Row],[Age]]&gt;=20,"20-29",IF(HR_Employee_Attrition[[#This Row],[Age]]&gt;=18,"18-20"))))))</f>
        <v>30-39</v>
      </c>
      <c r="AK400" t="str" cm="1">
        <f t="array" ref="AK400">_xlfn.IFS(HR_Employee_Attrition[[#This Row],[YearsAtCompany]]&lt;=2,"0-2",HR_Employee_Attrition[[#This Row],[YearsAtCompany]]&lt;=5,"3-5",HR_Employee_Attrition[[#This Row],[YearsAtCompany]]&lt;=10,"6-10",HR_Employee_Attrition[[#This Row],[YearsAtCompany]]&gt;10,"10+")</f>
        <v>10+</v>
      </c>
      <c r="AL400" t="str" cm="1">
        <f t="array" ref="AL4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00">
        <f>IF(HR_Employee_Attrition[[#This Row],[Attrition]]="Yes",1,0)</f>
        <v>0</v>
      </c>
    </row>
    <row r="401" spans="1:39" x14ac:dyDescent="0.3">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c r="AJ401" t="str">
        <f>IF(HR_Employee_Attrition[[#This Row],[Age]]&gt;60,"60+",IF(HR_Employee_Attrition[[#This Row],[Age]]&gt;=50,"50-59",IF(HR_Employee_Attrition[[#This Row],[Age]]&gt;=40,"40-49",IF(HR_Employee_Attrition[[#This Row],[Age]]&gt;=30,"30-39",IF(HR_Employee_Attrition[[#This Row],[Age]]&gt;=20,"20-29",IF(HR_Employee_Attrition[[#This Row],[Age]]&gt;=18,"18-20"))))))</f>
        <v>30-39</v>
      </c>
      <c r="AK401" t="str" cm="1">
        <f t="array" ref="AK401">_xlfn.IFS(HR_Employee_Attrition[[#This Row],[YearsAtCompany]]&lt;=2,"0-2",HR_Employee_Attrition[[#This Row],[YearsAtCompany]]&lt;=5,"3-5",HR_Employee_Attrition[[#This Row],[YearsAtCompany]]&lt;=10,"6-10",HR_Employee_Attrition[[#This Row],[YearsAtCompany]]&gt;10,"10+")</f>
        <v>3-5</v>
      </c>
      <c r="AL401" t="str" cm="1">
        <f t="array" ref="AL4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01">
        <f>IF(HR_Employee_Attrition[[#This Row],[Attrition]]="Yes",1,0)</f>
        <v>0</v>
      </c>
    </row>
    <row r="402" spans="1:39" x14ac:dyDescent="0.3">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c r="AJ402" t="str">
        <f>IF(HR_Employee_Attrition[[#This Row],[Age]]&gt;60,"60+",IF(HR_Employee_Attrition[[#This Row],[Age]]&gt;=50,"50-59",IF(HR_Employee_Attrition[[#This Row],[Age]]&gt;=40,"40-49",IF(HR_Employee_Attrition[[#This Row],[Age]]&gt;=30,"30-39",IF(HR_Employee_Attrition[[#This Row],[Age]]&gt;=20,"20-29",IF(HR_Employee_Attrition[[#This Row],[Age]]&gt;=18,"18-20"))))))</f>
        <v>30-39</v>
      </c>
      <c r="AK402" t="str" cm="1">
        <f t="array" ref="AK402">_xlfn.IFS(HR_Employee_Attrition[[#This Row],[YearsAtCompany]]&lt;=2,"0-2",HR_Employee_Attrition[[#This Row],[YearsAtCompany]]&lt;=5,"3-5",HR_Employee_Attrition[[#This Row],[YearsAtCompany]]&lt;=10,"6-10",HR_Employee_Attrition[[#This Row],[YearsAtCompany]]&gt;10,"10+")</f>
        <v>10+</v>
      </c>
      <c r="AL402" t="str" cm="1">
        <f t="array" ref="AL4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02">
        <f>IF(HR_Employee_Attrition[[#This Row],[Attrition]]="Yes",1,0)</f>
        <v>0</v>
      </c>
    </row>
    <row r="403" spans="1:39" x14ac:dyDescent="0.3">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c r="AJ403" t="str">
        <f>IF(HR_Employee_Attrition[[#This Row],[Age]]&gt;60,"60+",IF(HR_Employee_Attrition[[#This Row],[Age]]&gt;=50,"50-59",IF(HR_Employee_Attrition[[#This Row],[Age]]&gt;=40,"40-49",IF(HR_Employee_Attrition[[#This Row],[Age]]&gt;=30,"30-39",IF(HR_Employee_Attrition[[#This Row],[Age]]&gt;=20,"20-29",IF(HR_Employee_Attrition[[#This Row],[Age]]&gt;=18,"18-20"))))))</f>
        <v>50-59</v>
      </c>
      <c r="AK403" t="str" cm="1">
        <f t="array" ref="AK403">_xlfn.IFS(HR_Employee_Attrition[[#This Row],[YearsAtCompany]]&lt;=2,"0-2",HR_Employee_Attrition[[#This Row],[YearsAtCompany]]&lt;=5,"3-5",HR_Employee_Attrition[[#This Row],[YearsAtCompany]]&lt;=10,"6-10",HR_Employee_Attrition[[#This Row],[YearsAtCompany]]&gt;10,"10+")</f>
        <v>6-10</v>
      </c>
      <c r="AL403" t="str" cm="1">
        <f t="array" ref="AL4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03">
        <f>IF(HR_Employee_Attrition[[#This Row],[Attrition]]="Yes",1,0)</f>
        <v>0</v>
      </c>
    </row>
    <row r="404" spans="1:39" x14ac:dyDescent="0.3">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c r="AJ404" t="str">
        <f>IF(HR_Employee_Attrition[[#This Row],[Age]]&gt;60,"60+",IF(HR_Employee_Attrition[[#This Row],[Age]]&gt;=50,"50-59",IF(HR_Employee_Attrition[[#This Row],[Age]]&gt;=40,"40-49",IF(HR_Employee_Attrition[[#This Row],[Age]]&gt;=30,"30-39",IF(HR_Employee_Attrition[[#This Row],[Age]]&gt;=20,"20-29",IF(HR_Employee_Attrition[[#This Row],[Age]]&gt;=18,"18-20"))))))</f>
        <v>30-39</v>
      </c>
      <c r="AK404" t="str" cm="1">
        <f t="array" ref="AK404">_xlfn.IFS(HR_Employee_Attrition[[#This Row],[YearsAtCompany]]&lt;=2,"0-2",HR_Employee_Attrition[[#This Row],[YearsAtCompany]]&lt;=5,"3-5",HR_Employee_Attrition[[#This Row],[YearsAtCompany]]&lt;=10,"6-10",HR_Employee_Attrition[[#This Row],[YearsAtCompany]]&gt;10,"10+")</f>
        <v>3-5</v>
      </c>
      <c r="AL404" t="str" cm="1">
        <f t="array" ref="AL4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04">
        <f>IF(HR_Employee_Attrition[[#This Row],[Attrition]]="Yes",1,0)</f>
        <v>0</v>
      </c>
    </row>
    <row r="405" spans="1:39" x14ac:dyDescent="0.3">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c r="AJ405" t="str">
        <f>IF(HR_Employee_Attrition[[#This Row],[Age]]&gt;60,"60+",IF(HR_Employee_Attrition[[#This Row],[Age]]&gt;=50,"50-59",IF(HR_Employee_Attrition[[#This Row],[Age]]&gt;=40,"40-49",IF(HR_Employee_Attrition[[#This Row],[Age]]&gt;=30,"30-39",IF(HR_Employee_Attrition[[#This Row],[Age]]&gt;=20,"20-29",IF(HR_Employee_Attrition[[#This Row],[Age]]&gt;=18,"18-20"))))))</f>
        <v>40-49</v>
      </c>
      <c r="AK405" t="str" cm="1">
        <f t="array" ref="AK405">_xlfn.IFS(HR_Employee_Attrition[[#This Row],[YearsAtCompany]]&lt;=2,"0-2",HR_Employee_Attrition[[#This Row],[YearsAtCompany]]&lt;=5,"3-5",HR_Employee_Attrition[[#This Row],[YearsAtCompany]]&lt;=10,"6-10",HR_Employee_Attrition[[#This Row],[YearsAtCompany]]&gt;10,"10+")</f>
        <v>6-10</v>
      </c>
      <c r="AL405" t="str" cm="1">
        <f t="array" ref="AL4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05">
        <f>IF(HR_Employee_Attrition[[#This Row],[Attrition]]="Yes",1,0)</f>
        <v>0</v>
      </c>
    </row>
    <row r="406" spans="1:39" x14ac:dyDescent="0.3">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c r="AJ406" t="str">
        <f>IF(HR_Employee_Attrition[[#This Row],[Age]]&gt;60,"60+",IF(HR_Employee_Attrition[[#This Row],[Age]]&gt;=50,"50-59",IF(HR_Employee_Attrition[[#This Row],[Age]]&gt;=40,"40-49",IF(HR_Employee_Attrition[[#This Row],[Age]]&gt;=30,"30-39",IF(HR_Employee_Attrition[[#This Row],[Age]]&gt;=20,"20-29",IF(HR_Employee_Attrition[[#This Row],[Age]]&gt;=18,"18-20"))))))</f>
        <v>20-29</v>
      </c>
      <c r="AK406" t="str" cm="1">
        <f t="array" ref="AK406">_xlfn.IFS(HR_Employee_Attrition[[#This Row],[YearsAtCompany]]&lt;=2,"0-2",HR_Employee_Attrition[[#This Row],[YearsAtCompany]]&lt;=5,"3-5",HR_Employee_Attrition[[#This Row],[YearsAtCompany]]&lt;=10,"6-10",HR_Employee_Attrition[[#This Row],[YearsAtCompany]]&gt;10,"10+")</f>
        <v>6-10</v>
      </c>
      <c r="AL406" t="str" cm="1">
        <f t="array" ref="AL4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06">
        <f>IF(HR_Employee_Attrition[[#This Row],[Attrition]]="Yes",1,0)</f>
        <v>0</v>
      </c>
    </row>
    <row r="407" spans="1:39" x14ac:dyDescent="0.3">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c r="AJ407" t="str">
        <f>IF(HR_Employee_Attrition[[#This Row],[Age]]&gt;60,"60+",IF(HR_Employee_Attrition[[#This Row],[Age]]&gt;=50,"50-59",IF(HR_Employee_Attrition[[#This Row],[Age]]&gt;=40,"40-49",IF(HR_Employee_Attrition[[#This Row],[Age]]&gt;=30,"30-39",IF(HR_Employee_Attrition[[#This Row],[Age]]&gt;=20,"20-29",IF(HR_Employee_Attrition[[#This Row],[Age]]&gt;=18,"18-20"))))))</f>
        <v>20-29</v>
      </c>
      <c r="AK407" t="str" cm="1">
        <f t="array" ref="AK407">_xlfn.IFS(HR_Employee_Attrition[[#This Row],[YearsAtCompany]]&lt;=2,"0-2",HR_Employee_Attrition[[#This Row],[YearsAtCompany]]&lt;=5,"3-5",HR_Employee_Attrition[[#This Row],[YearsAtCompany]]&lt;=10,"6-10",HR_Employee_Attrition[[#This Row],[YearsAtCompany]]&gt;10,"10+")</f>
        <v>0-2</v>
      </c>
      <c r="AL407" t="str" cm="1">
        <f t="array" ref="AL4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07">
        <f>IF(HR_Employee_Attrition[[#This Row],[Attrition]]="Yes",1,0)</f>
        <v>1</v>
      </c>
    </row>
    <row r="408" spans="1:39" x14ac:dyDescent="0.3">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c r="AJ408" t="str">
        <f>IF(HR_Employee_Attrition[[#This Row],[Age]]&gt;60,"60+",IF(HR_Employee_Attrition[[#This Row],[Age]]&gt;=50,"50-59",IF(HR_Employee_Attrition[[#This Row],[Age]]&gt;=40,"40-49",IF(HR_Employee_Attrition[[#This Row],[Age]]&gt;=30,"30-39",IF(HR_Employee_Attrition[[#This Row],[Age]]&gt;=20,"20-29",IF(HR_Employee_Attrition[[#This Row],[Age]]&gt;=18,"18-20"))))))</f>
        <v>50-59</v>
      </c>
      <c r="AK408" t="str" cm="1">
        <f t="array" ref="AK408">_xlfn.IFS(HR_Employee_Attrition[[#This Row],[YearsAtCompany]]&lt;=2,"0-2",HR_Employee_Attrition[[#This Row],[YearsAtCompany]]&lt;=5,"3-5",HR_Employee_Attrition[[#This Row],[YearsAtCompany]]&lt;=10,"6-10",HR_Employee_Attrition[[#This Row],[YearsAtCompany]]&gt;10,"10+")</f>
        <v>3-5</v>
      </c>
      <c r="AL408" t="str" cm="1">
        <f t="array" ref="AL4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08">
        <f>IF(HR_Employee_Attrition[[#This Row],[Attrition]]="Yes",1,0)</f>
        <v>0</v>
      </c>
    </row>
    <row r="409" spans="1:39" x14ac:dyDescent="0.3">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c r="AJ409" t="str">
        <f>IF(HR_Employee_Attrition[[#This Row],[Age]]&gt;60,"60+",IF(HR_Employee_Attrition[[#This Row],[Age]]&gt;=50,"50-59",IF(HR_Employee_Attrition[[#This Row],[Age]]&gt;=40,"40-49",IF(HR_Employee_Attrition[[#This Row],[Age]]&gt;=30,"30-39",IF(HR_Employee_Attrition[[#This Row],[Age]]&gt;=20,"20-29",IF(HR_Employee_Attrition[[#This Row],[Age]]&gt;=18,"18-20"))))))</f>
        <v>40-49</v>
      </c>
      <c r="AK409" t="str" cm="1">
        <f t="array" ref="AK409">_xlfn.IFS(HR_Employee_Attrition[[#This Row],[YearsAtCompany]]&lt;=2,"0-2",HR_Employee_Attrition[[#This Row],[YearsAtCompany]]&lt;=5,"3-5",HR_Employee_Attrition[[#This Row],[YearsAtCompany]]&lt;=10,"6-10",HR_Employee_Attrition[[#This Row],[YearsAtCompany]]&gt;10,"10+")</f>
        <v>0-2</v>
      </c>
      <c r="AL409" t="str" cm="1">
        <f t="array" ref="AL4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09">
        <f>IF(HR_Employee_Attrition[[#This Row],[Attrition]]="Yes",1,0)</f>
        <v>0</v>
      </c>
    </row>
    <row r="410" spans="1:39" x14ac:dyDescent="0.3">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c r="AJ410" t="str">
        <f>IF(HR_Employee_Attrition[[#This Row],[Age]]&gt;60,"60+",IF(HR_Employee_Attrition[[#This Row],[Age]]&gt;=50,"50-59",IF(HR_Employee_Attrition[[#This Row],[Age]]&gt;=40,"40-49",IF(HR_Employee_Attrition[[#This Row],[Age]]&gt;=30,"30-39",IF(HR_Employee_Attrition[[#This Row],[Age]]&gt;=20,"20-29",IF(HR_Employee_Attrition[[#This Row],[Age]]&gt;=18,"18-20"))))))</f>
        <v>50-59</v>
      </c>
      <c r="AK410" t="str" cm="1">
        <f t="array" ref="AK410">_xlfn.IFS(HR_Employee_Attrition[[#This Row],[YearsAtCompany]]&lt;=2,"0-2",HR_Employee_Attrition[[#This Row],[YearsAtCompany]]&lt;=5,"3-5",HR_Employee_Attrition[[#This Row],[YearsAtCompany]]&lt;=10,"6-10",HR_Employee_Attrition[[#This Row],[YearsAtCompany]]&gt;10,"10+")</f>
        <v>3-5</v>
      </c>
      <c r="AL410" t="str" cm="1">
        <f t="array" ref="AL4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10">
        <f>IF(HR_Employee_Attrition[[#This Row],[Attrition]]="Yes",1,0)</f>
        <v>0</v>
      </c>
    </row>
    <row r="411" spans="1:39" x14ac:dyDescent="0.3">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c r="AJ411" t="str">
        <f>IF(HR_Employee_Attrition[[#This Row],[Age]]&gt;60,"60+",IF(HR_Employee_Attrition[[#This Row],[Age]]&gt;=50,"50-59",IF(HR_Employee_Attrition[[#This Row],[Age]]&gt;=40,"40-49",IF(HR_Employee_Attrition[[#This Row],[Age]]&gt;=30,"30-39",IF(HR_Employee_Attrition[[#This Row],[Age]]&gt;=20,"20-29",IF(HR_Employee_Attrition[[#This Row],[Age]]&gt;=18,"18-20"))))))</f>
        <v>40-49</v>
      </c>
      <c r="AK411" t="str" cm="1">
        <f t="array" ref="AK411">_xlfn.IFS(HR_Employee_Attrition[[#This Row],[YearsAtCompany]]&lt;=2,"0-2",HR_Employee_Attrition[[#This Row],[YearsAtCompany]]&lt;=5,"3-5",HR_Employee_Attrition[[#This Row],[YearsAtCompany]]&lt;=10,"6-10",HR_Employee_Attrition[[#This Row],[YearsAtCompany]]&gt;10,"10+")</f>
        <v>3-5</v>
      </c>
      <c r="AL411" t="str" cm="1">
        <f t="array" ref="AL4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11">
        <f>IF(HR_Employee_Attrition[[#This Row],[Attrition]]="Yes",1,0)</f>
        <v>0</v>
      </c>
    </row>
    <row r="412" spans="1:39" x14ac:dyDescent="0.3">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c r="AJ412" t="str">
        <f>IF(HR_Employee_Attrition[[#This Row],[Age]]&gt;60,"60+",IF(HR_Employee_Attrition[[#This Row],[Age]]&gt;=50,"50-59",IF(HR_Employee_Attrition[[#This Row],[Age]]&gt;=40,"40-49",IF(HR_Employee_Attrition[[#This Row],[Age]]&gt;=30,"30-39",IF(HR_Employee_Attrition[[#This Row],[Age]]&gt;=20,"20-29",IF(HR_Employee_Attrition[[#This Row],[Age]]&gt;=18,"18-20"))))))</f>
        <v>30-39</v>
      </c>
      <c r="AK412" t="str" cm="1">
        <f t="array" ref="AK412">_xlfn.IFS(HR_Employee_Attrition[[#This Row],[YearsAtCompany]]&lt;=2,"0-2",HR_Employee_Attrition[[#This Row],[YearsAtCompany]]&lt;=5,"3-5",HR_Employee_Attrition[[#This Row],[YearsAtCompany]]&lt;=10,"6-10",HR_Employee_Attrition[[#This Row],[YearsAtCompany]]&gt;10,"10+")</f>
        <v>3-5</v>
      </c>
      <c r="AL412" t="str" cm="1">
        <f t="array" ref="AL4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12">
        <f>IF(HR_Employee_Attrition[[#This Row],[Attrition]]="Yes",1,0)</f>
        <v>0</v>
      </c>
    </row>
    <row r="413" spans="1:39" x14ac:dyDescent="0.3">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c r="AJ413" t="str">
        <f>IF(HR_Employee_Attrition[[#This Row],[Age]]&gt;60,"60+",IF(HR_Employee_Attrition[[#This Row],[Age]]&gt;=50,"50-59",IF(HR_Employee_Attrition[[#This Row],[Age]]&gt;=40,"40-49",IF(HR_Employee_Attrition[[#This Row],[Age]]&gt;=30,"30-39",IF(HR_Employee_Attrition[[#This Row],[Age]]&gt;=20,"20-29",IF(HR_Employee_Attrition[[#This Row],[Age]]&gt;=18,"18-20"))))))</f>
        <v>50-59</v>
      </c>
      <c r="AK413" t="str" cm="1">
        <f t="array" ref="AK413">_xlfn.IFS(HR_Employee_Attrition[[#This Row],[YearsAtCompany]]&lt;=2,"0-2",HR_Employee_Attrition[[#This Row],[YearsAtCompany]]&lt;=5,"3-5",HR_Employee_Attrition[[#This Row],[YearsAtCompany]]&lt;=10,"6-10",HR_Employee_Attrition[[#This Row],[YearsAtCompany]]&gt;10,"10+")</f>
        <v>10+</v>
      </c>
      <c r="AL413" t="str" cm="1">
        <f t="array" ref="AL4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13">
        <f>IF(HR_Employee_Attrition[[#This Row],[Attrition]]="Yes",1,0)</f>
        <v>0</v>
      </c>
    </row>
    <row r="414" spans="1:39" x14ac:dyDescent="0.3">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c r="AJ414" t="str">
        <f>IF(HR_Employee_Attrition[[#This Row],[Age]]&gt;60,"60+",IF(HR_Employee_Attrition[[#This Row],[Age]]&gt;=50,"50-59",IF(HR_Employee_Attrition[[#This Row],[Age]]&gt;=40,"40-49",IF(HR_Employee_Attrition[[#This Row],[Age]]&gt;=30,"30-39",IF(HR_Employee_Attrition[[#This Row],[Age]]&gt;=20,"20-29",IF(HR_Employee_Attrition[[#This Row],[Age]]&gt;=18,"18-20"))))))</f>
        <v>40-49</v>
      </c>
      <c r="AK414" t="str" cm="1">
        <f t="array" ref="AK414">_xlfn.IFS(HR_Employee_Attrition[[#This Row],[YearsAtCompany]]&lt;=2,"0-2",HR_Employee_Attrition[[#This Row],[YearsAtCompany]]&lt;=5,"3-5",HR_Employee_Attrition[[#This Row],[YearsAtCompany]]&lt;=10,"6-10",HR_Employee_Attrition[[#This Row],[YearsAtCompany]]&gt;10,"10+")</f>
        <v>6-10</v>
      </c>
      <c r="AL414" t="str" cm="1">
        <f t="array" ref="AL4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14">
        <f>IF(HR_Employee_Attrition[[#This Row],[Attrition]]="Yes",1,0)</f>
        <v>0</v>
      </c>
    </row>
    <row r="415" spans="1:39" x14ac:dyDescent="0.3">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c r="AJ415" t="str">
        <f>IF(HR_Employee_Attrition[[#This Row],[Age]]&gt;60,"60+",IF(HR_Employee_Attrition[[#This Row],[Age]]&gt;=50,"50-59",IF(HR_Employee_Attrition[[#This Row],[Age]]&gt;=40,"40-49",IF(HR_Employee_Attrition[[#This Row],[Age]]&gt;=30,"30-39",IF(HR_Employee_Attrition[[#This Row],[Age]]&gt;=20,"20-29",IF(HR_Employee_Attrition[[#This Row],[Age]]&gt;=18,"18-20"))))))</f>
        <v>40-49</v>
      </c>
      <c r="AK415" t="str" cm="1">
        <f t="array" ref="AK415">_xlfn.IFS(HR_Employee_Attrition[[#This Row],[YearsAtCompany]]&lt;=2,"0-2",HR_Employee_Attrition[[#This Row],[YearsAtCompany]]&lt;=5,"3-5",HR_Employee_Attrition[[#This Row],[YearsAtCompany]]&lt;=10,"6-10",HR_Employee_Attrition[[#This Row],[YearsAtCompany]]&gt;10,"10+")</f>
        <v>6-10</v>
      </c>
      <c r="AL415" t="str" cm="1">
        <f t="array" ref="AL4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15">
        <f>IF(HR_Employee_Attrition[[#This Row],[Attrition]]="Yes",1,0)</f>
        <v>0</v>
      </c>
    </row>
    <row r="416" spans="1:39" x14ac:dyDescent="0.3">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c r="AJ416" t="str">
        <f>IF(HR_Employee_Attrition[[#This Row],[Age]]&gt;60,"60+",IF(HR_Employee_Attrition[[#This Row],[Age]]&gt;=50,"50-59",IF(HR_Employee_Attrition[[#This Row],[Age]]&gt;=40,"40-49",IF(HR_Employee_Attrition[[#This Row],[Age]]&gt;=30,"30-39",IF(HR_Employee_Attrition[[#This Row],[Age]]&gt;=20,"20-29",IF(HR_Employee_Attrition[[#This Row],[Age]]&gt;=18,"18-20"))))))</f>
        <v>20-29</v>
      </c>
      <c r="AK416" t="str" cm="1">
        <f t="array" ref="AK416">_xlfn.IFS(HR_Employee_Attrition[[#This Row],[YearsAtCompany]]&lt;=2,"0-2",HR_Employee_Attrition[[#This Row],[YearsAtCompany]]&lt;=5,"3-5",HR_Employee_Attrition[[#This Row],[YearsAtCompany]]&lt;=10,"6-10",HR_Employee_Attrition[[#This Row],[YearsAtCompany]]&gt;10,"10+")</f>
        <v>3-5</v>
      </c>
      <c r="AL416" t="str" cm="1">
        <f t="array" ref="AL4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16">
        <f>IF(HR_Employee_Attrition[[#This Row],[Attrition]]="Yes",1,0)</f>
        <v>1</v>
      </c>
    </row>
    <row r="417" spans="1:39" x14ac:dyDescent="0.3">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c r="AJ417" t="str">
        <f>IF(HR_Employee_Attrition[[#This Row],[Age]]&gt;60,"60+",IF(HR_Employee_Attrition[[#This Row],[Age]]&gt;=50,"50-59",IF(HR_Employee_Attrition[[#This Row],[Age]]&gt;=40,"40-49",IF(HR_Employee_Attrition[[#This Row],[Age]]&gt;=30,"30-39",IF(HR_Employee_Attrition[[#This Row],[Age]]&gt;=20,"20-29",IF(HR_Employee_Attrition[[#This Row],[Age]]&gt;=18,"18-20"))))))</f>
        <v>30-39</v>
      </c>
      <c r="AK417" t="str" cm="1">
        <f t="array" ref="AK417">_xlfn.IFS(HR_Employee_Attrition[[#This Row],[YearsAtCompany]]&lt;=2,"0-2",HR_Employee_Attrition[[#This Row],[YearsAtCompany]]&lt;=5,"3-5",HR_Employee_Attrition[[#This Row],[YearsAtCompany]]&lt;=10,"6-10",HR_Employee_Attrition[[#This Row],[YearsAtCompany]]&gt;10,"10+")</f>
        <v>0-2</v>
      </c>
      <c r="AL417" t="str" cm="1">
        <f t="array" ref="AL4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17">
        <f>IF(HR_Employee_Attrition[[#This Row],[Attrition]]="Yes",1,0)</f>
        <v>1</v>
      </c>
    </row>
    <row r="418" spans="1:39" x14ac:dyDescent="0.3">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c r="AJ418" t="str">
        <f>IF(HR_Employee_Attrition[[#This Row],[Age]]&gt;60,"60+",IF(HR_Employee_Attrition[[#This Row],[Age]]&gt;=50,"50-59",IF(HR_Employee_Attrition[[#This Row],[Age]]&gt;=40,"40-49",IF(HR_Employee_Attrition[[#This Row],[Age]]&gt;=30,"30-39",IF(HR_Employee_Attrition[[#This Row],[Age]]&gt;=20,"20-29",IF(HR_Employee_Attrition[[#This Row],[Age]]&gt;=18,"18-20"))))))</f>
        <v>30-39</v>
      </c>
      <c r="AK418" t="str" cm="1">
        <f t="array" ref="AK418">_xlfn.IFS(HR_Employee_Attrition[[#This Row],[YearsAtCompany]]&lt;=2,"0-2",HR_Employee_Attrition[[#This Row],[YearsAtCompany]]&lt;=5,"3-5",HR_Employee_Attrition[[#This Row],[YearsAtCompany]]&lt;=10,"6-10",HR_Employee_Attrition[[#This Row],[YearsAtCompany]]&gt;10,"10+")</f>
        <v>0-2</v>
      </c>
      <c r="AL418" t="str" cm="1">
        <f t="array" ref="AL4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18">
        <f>IF(HR_Employee_Attrition[[#This Row],[Attrition]]="Yes",1,0)</f>
        <v>0</v>
      </c>
    </row>
    <row r="419" spans="1:39" x14ac:dyDescent="0.3">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c r="AJ419" t="str">
        <f>IF(HR_Employee_Attrition[[#This Row],[Age]]&gt;60,"60+",IF(HR_Employee_Attrition[[#This Row],[Age]]&gt;=50,"50-59",IF(HR_Employee_Attrition[[#This Row],[Age]]&gt;=40,"40-49",IF(HR_Employee_Attrition[[#This Row],[Age]]&gt;=30,"30-39",IF(HR_Employee_Attrition[[#This Row],[Age]]&gt;=20,"20-29",IF(HR_Employee_Attrition[[#This Row],[Age]]&gt;=18,"18-20"))))))</f>
        <v>40-49</v>
      </c>
      <c r="AK419" t="str" cm="1">
        <f t="array" ref="AK419">_xlfn.IFS(HR_Employee_Attrition[[#This Row],[YearsAtCompany]]&lt;=2,"0-2",HR_Employee_Attrition[[#This Row],[YearsAtCompany]]&lt;=5,"3-5",HR_Employee_Attrition[[#This Row],[YearsAtCompany]]&lt;=10,"6-10",HR_Employee_Attrition[[#This Row],[YearsAtCompany]]&gt;10,"10+")</f>
        <v>10+</v>
      </c>
      <c r="AL419" t="str" cm="1">
        <f t="array" ref="AL4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19">
        <f>IF(HR_Employee_Attrition[[#This Row],[Attrition]]="Yes",1,0)</f>
        <v>0</v>
      </c>
    </row>
    <row r="420" spans="1:39" x14ac:dyDescent="0.3">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c r="AJ420" t="str">
        <f>IF(HR_Employee_Attrition[[#This Row],[Age]]&gt;60,"60+",IF(HR_Employee_Attrition[[#This Row],[Age]]&gt;=50,"50-59",IF(HR_Employee_Attrition[[#This Row],[Age]]&gt;=40,"40-49",IF(HR_Employee_Attrition[[#This Row],[Age]]&gt;=30,"30-39",IF(HR_Employee_Attrition[[#This Row],[Age]]&gt;=20,"20-29",IF(HR_Employee_Attrition[[#This Row],[Age]]&gt;=18,"18-20"))))))</f>
        <v>20-29</v>
      </c>
      <c r="AK420" t="str" cm="1">
        <f t="array" ref="AK420">_xlfn.IFS(HR_Employee_Attrition[[#This Row],[YearsAtCompany]]&lt;=2,"0-2",HR_Employee_Attrition[[#This Row],[YearsAtCompany]]&lt;=5,"3-5",HR_Employee_Attrition[[#This Row],[YearsAtCompany]]&lt;=10,"6-10",HR_Employee_Attrition[[#This Row],[YearsAtCompany]]&gt;10,"10+")</f>
        <v>3-5</v>
      </c>
      <c r="AL420" t="str" cm="1">
        <f t="array" ref="AL4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20">
        <f>IF(HR_Employee_Attrition[[#This Row],[Attrition]]="Yes",1,0)</f>
        <v>0</v>
      </c>
    </row>
    <row r="421" spans="1:39" x14ac:dyDescent="0.3">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c r="AJ421" t="str">
        <f>IF(HR_Employee_Attrition[[#This Row],[Age]]&gt;60,"60+",IF(HR_Employee_Attrition[[#This Row],[Age]]&gt;=50,"50-59",IF(HR_Employee_Attrition[[#This Row],[Age]]&gt;=40,"40-49",IF(HR_Employee_Attrition[[#This Row],[Age]]&gt;=30,"30-39",IF(HR_Employee_Attrition[[#This Row],[Age]]&gt;=20,"20-29",IF(HR_Employee_Attrition[[#This Row],[Age]]&gt;=18,"18-20"))))))</f>
        <v>30-39</v>
      </c>
      <c r="AK421" t="str" cm="1">
        <f t="array" ref="AK421">_xlfn.IFS(HR_Employee_Attrition[[#This Row],[YearsAtCompany]]&lt;=2,"0-2",HR_Employee_Attrition[[#This Row],[YearsAtCompany]]&lt;=5,"3-5",HR_Employee_Attrition[[#This Row],[YearsAtCompany]]&lt;=10,"6-10",HR_Employee_Attrition[[#This Row],[YearsAtCompany]]&gt;10,"10+")</f>
        <v>3-5</v>
      </c>
      <c r="AL421" t="str" cm="1">
        <f t="array" ref="AL4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21">
        <f>IF(HR_Employee_Attrition[[#This Row],[Attrition]]="Yes",1,0)</f>
        <v>0</v>
      </c>
    </row>
    <row r="422" spans="1:39" x14ac:dyDescent="0.3">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c r="AJ422" t="str">
        <f>IF(HR_Employee_Attrition[[#This Row],[Age]]&gt;60,"60+",IF(HR_Employee_Attrition[[#This Row],[Age]]&gt;=50,"50-59",IF(HR_Employee_Attrition[[#This Row],[Age]]&gt;=40,"40-49",IF(HR_Employee_Attrition[[#This Row],[Age]]&gt;=30,"30-39",IF(HR_Employee_Attrition[[#This Row],[Age]]&gt;=20,"20-29",IF(HR_Employee_Attrition[[#This Row],[Age]]&gt;=18,"18-20"))))))</f>
        <v>20-29</v>
      </c>
      <c r="AK422" t="str" cm="1">
        <f t="array" ref="AK422">_xlfn.IFS(HR_Employee_Attrition[[#This Row],[YearsAtCompany]]&lt;=2,"0-2",HR_Employee_Attrition[[#This Row],[YearsAtCompany]]&lt;=5,"3-5",HR_Employee_Attrition[[#This Row],[YearsAtCompany]]&lt;=10,"6-10",HR_Employee_Attrition[[#This Row],[YearsAtCompany]]&gt;10,"10+")</f>
        <v>6-10</v>
      </c>
      <c r="AL422" t="str" cm="1">
        <f t="array" ref="AL4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22">
        <f>IF(HR_Employee_Attrition[[#This Row],[Attrition]]="Yes",1,0)</f>
        <v>0</v>
      </c>
    </row>
    <row r="423" spans="1:39" x14ac:dyDescent="0.3">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c r="AJ423" t="str">
        <f>IF(HR_Employee_Attrition[[#This Row],[Age]]&gt;60,"60+",IF(HR_Employee_Attrition[[#This Row],[Age]]&gt;=50,"50-59",IF(HR_Employee_Attrition[[#This Row],[Age]]&gt;=40,"40-49",IF(HR_Employee_Attrition[[#This Row],[Age]]&gt;=30,"30-39",IF(HR_Employee_Attrition[[#This Row],[Age]]&gt;=20,"20-29",IF(HR_Employee_Attrition[[#This Row],[Age]]&gt;=18,"18-20"))))))</f>
        <v>20-29</v>
      </c>
      <c r="AK423" t="str" cm="1">
        <f t="array" ref="AK423">_xlfn.IFS(HR_Employee_Attrition[[#This Row],[YearsAtCompany]]&lt;=2,"0-2",HR_Employee_Attrition[[#This Row],[YearsAtCompany]]&lt;=5,"3-5",HR_Employee_Attrition[[#This Row],[YearsAtCompany]]&lt;=10,"6-10",HR_Employee_Attrition[[#This Row],[YearsAtCompany]]&gt;10,"10+")</f>
        <v>0-2</v>
      </c>
      <c r="AL423" t="str" cm="1">
        <f t="array" ref="AL4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23">
        <f>IF(HR_Employee_Attrition[[#This Row],[Attrition]]="Yes",1,0)</f>
        <v>1</v>
      </c>
    </row>
    <row r="424" spans="1:39" x14ac:dyDescent="0.3">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c r="AJ424" t="str">
        <f>IF(HR_Employee_Attrition[[#This Row],[Age]]&gt;60,"60+",IF(HR_Employee_Attrition[[#This Row],[Age]]&gt;=50,"50-59",IF(HR_Employee_Attrition[[#This Row],[Age]]&gt;=40,"40-49",IF(HR_Employee_Attrition[[#This Row],[Age]]&gt;=30,"30-39",IF(HR_Employee_Attrition[[#This Row],[Age]]&gt;=20,"20-29",IF(HR_Employee_Attrition[[#This Row],[Age]]&gt;=18,"18-20"))))))</f>
        <v>18-20</v>
      </c>
      <c r="AK424" t="str" cm="1">
        <f t="array" ref="AK424">_xlfn.IFS(HR_Employee_Attrition[[#This Row],[YearsAtCompany]]&lt;=2,"0-2",HR_Employee_Attrition[[#This Row],[YearsAtCompany]]&lt;=5,"3-5",HR_Employee_Attrition[[#This Row],[YearsAtCompany]]&lt;=10,"6-10",HR_Employee_Attrition[[#This Row],[YearsAtCompany]]&gt;10,"10+")</f>
        <v>0-2</v>
      </c>
      <c r="AL424" t="str" cm="1">
        <f t="array" ref="AL4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24">
        <f>IF(HR_Employee_Attrition[[#This Row],[Attrition]]="Yes",1,0)</f>
        <v>1</v>
      </c>
    </row>
    <row r="425" spans="1:39" x14ac:dyDescent="0.3">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c r="AJ425" t="str">
        <f>IF(HR_Employee_Attrition[[#This Row],[Age]]&gt;60,"60+",IF(HR_Employee_Attrition[[#This Row],[Age]]&gt;=50,"50-59",IF(HR_Employee_Attrition[[#This Row],[Age]]&gt;=40,"40-49",IF(HR_Employee_Attrition[[#This Row],[Age]]&gt;=30,"30-39",IF(HR_Employee_Attrition[[#This Row],[Age]]&gt;=20,"20-29",IF(HR_Employee_Attrition[[#This Row],[Age]]&gt;=18,"18-20"))))))</f>
        <v>30-39</v>
      </c>
      <c r="AK425" t="str" cm="1">
        <f t="array" ref="AK425">_xlfn.IFS(HR_Employee_Attrition[[#This Row],[YearsAtCompany]]&lt;=2,"0-2",HR_Employee_Attrition[[#This Row],[YearsAtCompany]]&lt;=5,"3-5",HR_Employee_Attrition[[#This Row],[YearsAtCompany]]&lt;=10,"6-10",HR_Employee_Attrition[[#This Row],[YearsAtCompany]]&gt;10,"10+")</f>
        <v>6-10</v>
      </c>
      <c r="AL425" t="str" cm="1">
        <f t="array" ref="AL4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25">
        <f>IF(HR_Employee_Attrition[[#This Row],[Attrition]]="Yes",1,0)</f>
        <v>0</v>
      </c>
    </row>
    <row r="426" spans="1:39" x14ac:dyDescent="0.3">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c r="AJ426" t="str">
        <f>IF(HR_Employee_Attrition[[#This Row],[Age]]&gt;60,"60+",IF(HR_Employee_Attrition[[#This Row],[Age]]&gt;=50,"50-59",IF(HR_Employee_Attrition[[#This Row],[Age]]&gt;=40,"40-49",IF(HR_Employee_Attrition[[#This Row],[Age]]&gt;=30,"30-39",IF(HR_Employee_Attrition[[#This Row],[Age]]&gt;=20,"20-29",IF(HR_Employee_Attrition[[#This Row],[Age]]&gt;=18,"18-20"))))))</f>
        <v>50-59</v>
      </c>
      <c r="AK426" t="str" cm="1">
        <f t="array" ref="AK426">_xlfn.IFS(HR_Employee_Attrition[[#This Row],[YearsAtCompany]]&lt;=2,"0-2",HR_Employee_Attrition[[#This Row],[YearsAtCompany]]&lt;=5,"3-5",HR_Employee_Attrition[[#This Row],[YearsAtCompany]]&lt;=10,"6-10",HR_Employee_Attrition[[#This Row],[YearsAtCompany]]&gt;10,"10+")</f>
        <v>0-2</v>
      </c>
      <c r="AL426" t="str" cm="1">
        <f t="array" ref="AL4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26">
        <f>IF(HR_Employee_Attrition[[#This Row],[Attrition]]="Yes",1,0)</f>
        <v>0</v>
      </c>
    </row>
    <row r="427" spans="1:39" x14ac:dyDescent="0.3">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c r="AJ427" t="str">
        <f>IF(HR_Employee_Attrition[[#This Row],[Age]]&gt;60,"60+",IF(HR_Employee_Attrition[[#This Row],[Age]]&gt;=50,"50-59",IF(HR_Employee_Attrition[[#This Row],[Age]]&gt;=40,"40-49",IF(HR_Employee_Attrition[[#This Row],[Age]]&gt;=30,"30-39",IF(HR_Employee_Attrition[[#This Row],[Age]]&gt;=20,"20-29",IF(HR_Employee_Attrition[[#This Row],[Age]]&gt;=18,"18-20"))))))</f>
        <v>50-59</v>
      </c>
      <c r="AK427" t="str" cm="1">
        <f t="array" ref="AK427">_xlfn.IFS(HR_Employee_Attrition[[#This Row],[YearsAtCompany]]&lt;=2,"0-2",HR_Employee_Attrition[[#This Row],[YearsAtCompany]]&lt;=5,"3-5",HR_Employee_Attrition[[#This Row],[YearsAtCompany]]&lt;=10,"6-10",HR_Employee_Attrition[[#This Row],[YearsAtCompany]]&gt;10,"10+")</f>
        <v>10+</v>
      </c>
      <c r="AL427" t="str" cm="1">
        <f t="array" ref="AL4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27">
        <f>IF(HR_Employee_Attrition[[#This Row],[Attrition]]="Yes",1,0)</f>
        <v>0</v>
      </c>
    </row>
    <row r="428" spans="1:39" x14ac:dyDescent="0.3">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c r="AJ428" t="str">
        <f>IF(HR_Employee_Attrition[[#This Row],[Age]]&gt;60,"60+",IF(HR_Employee_Attrition[[#This Row],[Age]]&gt;=50,"50-59",IF(HR_Employee_Attrition[[#This Row],[Age]]&gt;=40,"40-49",IF(HR_Employee_Attrition[[#This Row],[Age]]&gt;=30,"30-39",IF(HR_Employee_Attrition[[#This Row],[Age]]&gt;=20,"20-29",IF(HR_Employee_Attrition[[#This Row],[Age]]&gt;=18,"18-20"))))))</f>
        <v>30-39</v>
      </c>
      <c r="AK428" t="str" cm="1">
        <f t="array" ref="AK428">_xlfn.IFS(HR_Employee_Attrition[[#This Row],[YearsAtCompany]]&lt;=2,"0-2",HR_Employee_Attrition[[#This Row],[YearsAtCompany]]&lt;=5,"3-5",HR_Employee_Attrition[[#This Row],[YearsAtCompany]]&lt;=10,"6-10",HR_Employee_Attrition[[#This Row],[YearsAtCompany]]&gt;10,"10+")</f>
        <v>10+</v>
      </c>
      <c r="AL428" t="str" cm="1">
        <f t="array" ref="AL4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28">
        <f>IF(HR_Employee_Attrition[[#This Row],[Attrition]]="Yes",1,0)</f>
        <v>0</v>
      </c>
    </row>
    <row r="429" spans="1:39" x14ac:dyDescent="0.3">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c r="AJ429" t="str">
        <f>IF(HR_Employee_Attrition[[#This Row],[Age]]&gt;60,"60+",IF(HR_Employee_Attrition[[#This Row],[Age]]&gt;=50,"50-59",IF(HR_Employee_Attrition[[#This Row],[Age]]&gt;=40,"40-49",IF(HR_Employee_Attrition[[#This Row],[Age]]&gt;=30,"30-39",IF(HR_Employee_Attrition[[#This Row],[Age]]&gt;=20,"20-29",IF(HR_Employee_Attrition[[#This Row],[Age]]&gt;=18,"18-20"))))))</f>
        <v>50-59</v>
      </c>
      <c r="AK429" t="str" cm="1">
        <f t="array" ref="AK429">_xlfn.IFS(HR_Employee_Attrition[[#This Row],[YearsAtCompany]]&lt;=2,"0-2",HR_Employee_Attrition[[#This Row],[YearsAtCompany]]&lt;=5,"3-5",HR_Employee_Attrition[[#This Row],[YearsAtCompany]]&lt;=10,"6-10",HR_Employee_Attrition[[#This Row],[YearsAtCompany]]&gt;10,"10+")</f>
        <v>10+</v>
      </c>
      <c r="AL429" t="str" cm="1">
        <f t="array" ref="AL4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29">
        <f>IF(HR_Employee_Attrition[[#This Row],[Attrition]]="Yes",1,0)</f>
        <v>0</v>
      </c>
    </row>
    <row r="430" spans="1:39" x14ac:dyDescent="0.3">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c r="AJ430" t="str">
        <f>IF(HR_Employee_Attrition[[#This Row],[Age]]&gt;60,"60+",IF(HR_Employee_Attrition[[#This Row],[Age]]&gt;=50,"50-59",IF(HR_Employee_Attrition[[#This Row],[Age]]&gt;=40,"40-49",IF(HR_Employee_Attrition[[#This Row],[Age]]&gt;=30,"30-39",IF(HR_Employee_Attrition[[#This Row],[Age]]&gt;=20,"20-29",IF(HR_Employee_Attrition[[#This Row],[Age]]&gt;=18,"18-20"))))))</f>
        <v>40-49</v>
      </c>
      <c r="AK430" t="str" cm="1">
        <f t="array" ref="AK430">_xlfn.IFS(HR_Employee_Attrition[[#This Row],[YearsAtCompany]]&lt;=2,"0-2",HR_Employee_Attrition[[#This Row],[YearsAtCompany]]&lt;=5,"3-5",HR_Employee_Attrition[[#This Row],[YearsAtCompany]]&lt;=10,"6-10",HR_Employee_Attrition[[#This Row],[YearsAtCompany]]&gt;10,"10+")</f>
        <v>3-5</v>
      </c>
      <c r="AL430" t="str" cm="1">
        <f t="array" ref="AL4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30">
        <f>IF(HR_Employee_Attrition[[#This Row],[Attrition]]="Yes",1,0)</f>
        <v>0</v>
      </c>
    </row>
    <row r="431" spans="1:39" x14ac:dyDescent="0.3">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c r="AJ431" t="str">
        <f>IF(HR_Employee_Attrition[[#This Row],[Age]]&gt;60,"60+",IF(HR_Employee_Attrition[[#This Row],[Age]]&gt;=50,"50-59",IF(HR_Employee_Attrition[[#This Row],[Age]]&gt;=40,"40-49",IF(HR_Employee_Attrition[[#This Row],[Age]]&gt;=30,"30-39",IF(HR_Employee_Attrition[[#This Row],[Age]]&gt;=20,"20-29",IF(HR_Employee_Attrition[[#This Row],[Age]]&gt;=18,"18-20"))))))</f>
        <v>40-49</v>
      </c>
      <c r="AK431" t="str" cm="1">
        <f t="array" ref="AK431">_xlfn.IFS(HR_Employee_Attrition[[#This Row],[YearsAtCompany]]&lt;=2,"0-2",HR_Employee_Attrition[[#This Row],[YearsAtCompany]]&lt;=5,"3-5",HR_Employee_Attrition[[#This Row],[YearsAtCompany]]&lt;=10,"6-10",HR_Employee_Attrition[[#This Row],[YearsAtCompany]]&gt;10,"10+")</f>
        <v>3-5</v>
      </c>
      <c r="AL431" t="str" cm="1">
        <f t="array" ref="AL4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31">
        <f>IF(HR_Employee_Attrition[[#This Row],[Attrition]]="Yes",1,0)</f>
        <v>0</v>
      </c>
    </row>
    <row r="432" spans="1:39" x14ac:dyDescent="0.3">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c r="AJ432" t="str">
        <f>IF(HR_Employee_Attrition[[#This Row],[Age]]&gt;60,"60+",IF(HR_Employee_Attrition[[#This Row],[Age]]&gt;=50,"50-59",IF(HR_Employee_Attrition[[#This Row],[Age]]&gt;=40,"40-49",IF(HR_Employee_Attrition[[#This Row],[Age]]&gt;=30,"30-39",IF(HR_Employee_Attrition[[#This Row],[Age]]&gt;=20,"20-29",IF(HR_Employee_Attrition[[#This Row],[Age]]&gt;=18,"18-20"))))))</f>
        <v>30-39</v>
      </c>
      <c r="AK432" t="str" cm="1">
        <f t="array" ref="AK432">_xlfn.IFS(HR_Employee_Attrition[[#This Row],[YearsAtCompany]]&lt;=2,"0-2",HR_Employee_Attrition[[#This Row],[YearsAtCompany]]&lt;=5,"3-5",HR_Employee_Attrition[[#This Row],[YearsAtCompany]]&lt;=10,"6-10",HR_Employee_Attrition[[#This Row],[YearsAtCompany]]&gt;10,"10+")</f>
        <v>3-5</v>
      </c>
      <c r="AL432" t="str" cm="1">
        <f t="array" ref="AL4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32">
        <f>IF(HR_Employee_Attrition[[#This Row],[Attrition]]="Yes",1,0)</f>
        <v>0</v>
      </c>
    </row>
    <row r="433" spans="1:39" x14ac:dyDescent="0.3">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c r="AJ433" t="str">
        <f>IF(HR_Employee_Attrition[[#This Row],[Age]]&gt;60,"60+",IF(HR_Employee_Attrition[[#This Row],[Age]]&gt;=50,"50-59",IF(HR_Employee_Attrition[[#This Row],[Age]]&gt;=40,"40-49",IF(HR_Employee_Attrition[[#This Row],[Age]]&gt;=30,"30-39",IF(HR_Employee_Attrition[[#This Row],[Age]]&gt;=20,"20-29",IF(HR_Employee_Attrition[[#This Row],[Age]]&gt;=18,"18-20"))))))</f>
        <v>50-59</v>
      </c>
      <c r="AK433" t="str" cm="1">
        <f t="array" ref="AK433">_xlfn.IFS(HR_Employee_Attrition[[#This Row],[YearsAtCompany]]&lt;=2,"0-2",HR_Employee_Attrition[[#This Row],[YearsAtCompany]]&lt;=5,"3-5",HR_Employee_Attrition[[#This Row],[YearsAtCompany]]&lt;=10,"6-10",HR_Employee_Attrition[[#This Row],[YearsAtCompany]]&gt;10,"10+")</f>
        <v>0-2</v>
      </c>
      <c r="AL433" t="str" cm="1">
        <f t="array" ref="AL4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33">
        <f>IF(HR_Employee_Attrition[[#This Row],[Attrition]]="Yes",1,0)</f>
        <v>0</v>
      </c>
    </row>
    <row r="434" spans="1:39" x14ac:dyDescent="0.3">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c r="AJ434" t="str">
        <f>IF(HR_Employee_Attrition[[#This Row],[Age]]&gt;60,"60+",IF(HR_Employee_Attrition[[#This Row],[Age]]&gt;=50,"50-59",IF(HR_Employee_Attrition[[#This Row],[Age]]&gt;=40,"40-49",IF(HR_Employee_Attrition[[#This Row],[Age]]&gt;=30,"30-39",IF(HR_Employee_Attrition[[#This Row],[Age]]&gt;=20,"20-29",IF(HR_Employee_Attrition[[#This Row],[Age]]&gt;=18,"18-20"))))))</f>
        <v>30-39</v>
      </c>
      <c r="AK434" t="str" cm="1">
        <f t="array" ref="AK434">_xlfn.IFS(HR_Employee_Attrition[[#This Row],[YearsAtCompany]]&lt;=2,"0-2",HR_Employee_Attrition[[#This Row],[YearsAtCompany]]&lt;=5,"3-5",HR_Employee_Attrition[[#This Row],[YearsAtCompany]]&lt;=10,"6-10",HR_Employee_Attrition[[#This Row],[YearsAtCompany]]&gt;10,"10+")</f>
        <v>6-10</v>
      </c>
      <c r="AL434" t="str" cm="1">
        <f t="array" ref="AL4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34">
        <f>IF(HR_Employee_Attrition[[#This Row],[Attrition]]="Yes",1,0)</f>
        <v>0</v>
      </c>
    </row>
    <row r="435" spans="1:39" x14ac:dyDescent="0.3">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c r="AJ435" t="str">
        <f>IF(HR_Employee_Attrition[[#This Row],[Age]]&gt;60,"60+",IF(HR_Employee_Attrition[[#This Row],[Age]]&gt;=50,"50-59",IF(HR_Employee_Attrition[[#This Row],[Age]]&gt;=40,"40-49",IF(HR_Employee_Attrition[[#This Row],[Age]]&gt;=30,"30-39",IF(HR_Employee_Attrition[[#This Row],[Age]]&gt;=20,"20-29",IF(HR_Employee_Attrition[[#This Row],[Age]]&gt;=18,"18-20"))))))</f>
        <v>40-49</v>
      </c>
      <c r="AK435" t="str" cm="1">
        <f t="array" ref="AK435">_xlfn.IFS(HR_Employee_Attrition[[#This Row],[YearsAtCompany]]&lt;=2,"0-2",HR_Employee_Attrition[[#This Row],[YearsAtCompany]]&lt;=5,"3-5",HR_Employee_Attrition[[#This Row],[YearsAtCompany]]&lt;=10,"6-10",HR_Employee_Attrition[[#This Row],[YearsAtCompany]]&gt;10,"10+")</f>
        <v>3-5</v>
      </c>
      <c r="AL435" t="str" cm="1">
        <f t="array" ref="AL4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35">
        <f>IF(HR_Employee_Attrition[[#This Row],[Attrition]]="Yes",1,0)</f>
        <v>0</v>
      </c>
    </row>
    <row r="436" spans="1:39" x14ac:dyDescent="0.3">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c r="AJ436" t="str">
        <f>IF(HR_Employee_Attrition[[#This Row],[Age]]&gt;60,"60+",IF(HR_Employee_Attrition[[#This Row],[Age]]&gt;=50,"50-59",IF(HR_Employee_Attrition[[#This Row],[Age]]&gt;=40,"40-49",IF(HR_Employee_Attrition[[#This Row],[Age]]&gt;=30,"30-39",IF(HR_Employee_Attrition[[#This Row],[Age]]&gt;=20,"20-29",IF(HR_Employee_Attrition[[#This Row],[Age]]&gt;=18,"18-20"))))))</f>
        <v>30-39</v>
      </c>
      <c r="AK436" t="str" cm="1">
        <f t="array" ref="AK436">_xlfn.IFS(HR_Employee_Attrition[[#This Row],[YearsAtCompany]]&lt;=2,"0-2",HR_Employee_Attrition[[#This Row],[YearsAtCompany]]&lt;=5,"3-5",HR_Employee_Attrition[[#This Row],[YearsAtCompany]]&lt;=10,"6-10",HR_Employee_Attrition[[#This Row],[YearsAtCompany]]&gt;10,"10+")</f>
        <v>10+</v>
      </c>
      <c r="AL436" t="str" cm="1">
        <f t="array" ref="AL4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36">
        <f>IF(HR_Employee_Attrition[[#This Row],[Attrition]]="Yes",1,0)</f>
        <v>0</v>
      </c>
    </row>
    <row r="437" spans="1:39" x14ac:dyDescent="0.3">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c r="AJ437" t="str">
        <f>IF(HR_Employee_Attrition[[#This Row],[Age]]&gt;60,"60+",IF(HR_Employee_Attrition[[#This Row],[Age]]&gt;=50,"50-59",IF(HR_Employee_Attrition[[#This Row],[Age]]&gt;=40,"40-49",IF(HR_Employee_Attrition[[#This Row],[Age]]&gt;=30,"30-39",IF(HR_Employee_Attrition[[#This Row],[Age]]&gt;=20,"20-29",IF(HR_Employee_Attrition[[#This Row],[Age]]&gt;=18,"18-20"))))))</f>
        <v>30-39</v>
      </c>
      <c r="AK437" t="str" cm="1">
        <f t="array" ref="AK437">_xlfn.IFS(HR_Employee_Attrition[[#This Row],[YearsAtCompany]]&lt;=2,"0-2",HR_Employee_Attrition[[#This Row],[YearsAtCompany]]&lt;=5,"3-5",HR_Employee_Attrition[[#This Row],[YearsAtCompany]]&lt;=10,"6-10",HR_Employee_Attrition[[#This Row],[YearsAtCompany]]&gt;10,"10+")</f>
        <v>6-10</v>
      </c>
      <c r="AL437" t="str" cm="1">
        <f t="array" ref="AL4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37">
        <f>IF(HR_Employee_Attrition[[#This Row],[Attrition]]="Yes",1,0)</f>
        <v>1</v>
      </c>
    </row>
    <row r="438" spans="1:39" x14ac:dyDescent="0.3">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c r="AJ438" t="str">
        <f>IF(HR_Employee_Attrition[[#This Row],[Age]]&gt;60,"60+",IF(HR_Employee_Attrition[[#This Row],[Age]]&gt;=50,"50-59",IF(HR_Employee_Attrition[[#This Row],[Age]]&gt;=40,"40-49",IF(HR_Employee_Attrition[[#This Row],[Age]]&gt;=30,"30-39",IF(HR_Employee_Attrition[[#This Row],[Age]]&gt;=20,"20-29",IF(HR_Employee_Attrition[[#This Row],[Age]]&gt;=18,"18-20"))))))</f>
        <v>30-39</v>
      </c>
      <c r="AK438" t="str" cm="1">
        <f t="array" ref="AK438">_xlfn.IFS(HR_Employee_Attrition[[#This Row],[YearsAtCompany]]&lt;=2,"0-2",HR_Employee_Attrition[[#This Row],[YearsAtCompany]]&lt;=5,"3-5",HR_Employee_Attrition[[#This Row],[YearsAtCompany]]&lt;=10,"6-10",HR_Employee_Attrition[[#This Row],[YearsAtCompany]]&gt;10,"10+")</f>
        <v>3-5</v>
      </c>
      <c r="AL438" t="str" cm="1">
        <f t="array" ref="AL4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38">
        <f>IF(HR_Employee_Attrition[[#This Row],[Attrition]]="Yes",1,0)</f>
        <v>1</v>
      </c>
    </row>
    <row r="439" spans="1:39" x14ac:dyDescent="0.3">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c r="AJ439" t="str">
        <f>IF(HR_Employee_Attrition[[#This Row],[Age]]&gt;60,"60+",IF(HR_Employee_Attrition[[#This Row],[Age]]&gt;=50,"50-59",IF(HR_Employee_Attrition[[#This Row],[Age]]&gt;=40,"40-49",IF(HR_Employee_Attrition[[#This Row],[Age]]&gt;=30,"30-39",IF(HR_Employee_Attrition[[#This Row],[Age]]&gt;=20,"20-29",IF(HR_Employee_Attrition[[#This Row],[Age]]&gt;=18,"18-20"))))))</f>
        <v>30-39</v>
      </c>
      <c r="AK439" t="str" cm="1">
        <f t="array" ref="AK439">_xlfn.IFS(HR_Employee_Attrition[[#This Row],[YearsAtCompany]]&lt;=2,"0-2",HR_Employee_Attrition[[#This Row],[YearsAtCompany]]&lt;=5,"3-5",HR_Employee_Attrition[[#This Row],[YearsAtCompany]]&lt;=10,"6-10",HR_Employee_Attrition[[#This Row],[YearsAtCompany]]&gt;10,"10+")</f>
        <v>3-5</v>
      </c>
      <c r="AL439" t="str" cm="1">
        <f t="array" ref="AL4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39">
        <f>IF(HR_Employee_Attrition[[#This Row],[Attrition]]="Yes",1,0)</f>
        <v>0</v>
      </c>
    </row>
    <row r="440" spans="1:39" x14ac:dyDescent="0.3">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c r="AJ440" t="str">
        <f>IF(HR_Employee_Attrition[[#This Row],[Age]]&gt;60,"60+",IF(HR_Employee_Attrition[[#This Row],[Age]]&gt;=50,"50-59",IF(HR_Employee_Attrition[[#This Row],[Age]]&gt;=40,"40-49",IF(HR_Employee_Attrition[[#This Row],[Age]]&gt;=30,"30-39",IF(HR_Employee_Attrition[[#This Row],[Age]]&gt;=20,"20-29",IF(HR_Employee_Attrition[[#This Row],[Age]]&gt;=18,"18-20"))))))</f>
        <v>30-39</v>
      </c>
      <c r="AK440" t="str" cm="1">
        <f t="array" ref="AK440">_xlfn.IFS(HR_Employee_Attrition[[#This Row],[YearsAtCompany]]&lt;=2,"0-2",HR_Employee_Attrition[[#This Row],[YearsAtCompany]]&lt;=5,"3-5",HR_Employee_Attrition[[#This Row],[YearsAtCompany]]&lt;=10,"6-10",HR_Employee_Attrition[[#This Row],[YearsAtCompany]]&gt;10,"10+")</f>
        <v>6-10</v>
      </c>
      <c r="AL440" t="str" cm="1">
        <f t="array" ref="AL4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40">
        <f>IF(HR_Employee_Attrition[[#This Row],[Attrition]]="Yes",1,0)</f>
        <v>0</v>
      </c>
    </row>
    <row r="441" spans="1:39" x14ac:dyDescent="0.3">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c r="AJ441" t="str">
        <f>IF(HR_Employee_Attrition[[#This Row],[Age]]&gt;60,"60+",IF(HR_Employee_Attrition[[#This Row],[Age]]&gt;=50,"50-59",IF(HR_Employee_Attrition[[#This Row],[Age]]&gt;=40,"40-49",IF(HR_Employee_Attrition[[#This Row],[Age]]&gt;=30,"30-39",IF(HR_Employee_Attrition[[#This Row],[Age]]&gt;=20,"20-29",IF(HR_Employee_Attrition[[#This Row],[Age]]&gt;=18,"18-20"))))))</f>
        <v>30-39</v>
      </c>
      <c r="AK441" t="str" cm="1">
        <f t="array" ref="AK441">_xlfn.IFS(HR_Employee_Attrition[[#This Row],[YearsAtCompany]]&lt;=2,"0-2",HR_Employee_Attrition[[#This Row],[YearsAtCompany]]&lt;=5,"3-5",HR_Employee_Attrition[[#This Row],[YearsAtCompany]]&lt;=10,"6-10",HR_Employee_Attrition[[#This Row],[YearsAtCompany]]&gt;10,"10+")</f>
        <v>0-2</v>
      </c>
      <c r="AL441" t="str" cm="1">
        <f t="array" ref="AL4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41">
        <f>IF(HR_Employee_Attrition[[#This Row],[Attrition]]="Yes",1,0)</f>
        <v>1</v>
      </c>
    </row>
    <row r="442" spans="1:39" x14ac:dyDescent="0.3">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c r="AJ442" t="str">
        <f>IF(HR_Employee_Attrition[[#This Row],[Age]]&gt;60,"60+",IF(HR_Employee_Attrition[[#This Row],[Age]]&gt;=50,"50-59",IF(HR_Employee_Attrition[[#This Row],[Age]]&gt;=40,"40-49",IF(HR_Employee_Attrition[[#This Row],[Age]]&gt;=30,"30-39",IF(HR_Employee_Attrition[[#This Row],[Age]]&gt;=20,"20-29",IF(HR_Employee_Attrition[[#This Row],[Age]]&gt;=18,"18-20"))))))</f>
        <v>30-39</v>
      </c>
      <c r="AK442" t="str" cm="1">
        <f t="array" ref="AK442">_xlfn.IFS(HR_Employee_Attrition[[#This Row],[YearsAtCompany]]&lt;=2,"0-2",HR_Employee_Attrition[[#This Row],[YearsAtCompany]]&lt;=5,"3-5",HR_Employee_Attrition[[#This Row],[YearsAtCompany]]&lt;=10,"6-10",HR_Employee_Attrition[[#This Row],[YearsAtCompany]]&gt;10,"10+")</f>
        <v>3-5</v>
      </c>
      <c r="AL442" t="str" cm="1">
        <f t="array" ref="AL4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42">
        <f>IF(HR_Employee_Attrition[[#This Row],[Attrition]]="Yes",1,0)</f>
        <v>1</v>
      </c>
    </row>
    <row r="443" spans="1:39" x14ac:dyDescent="0.3">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c r="AJ443" t="str">
        <f>IF(HR_Employee_Attrition[[#This Row],[Age]]&gt;60,"60+",IF(HR_Employee_Attrition[[#This Row],[Age]]&gt;=50,"50-59",IF(HR_Employee_Attrition[[#This Row],[Age]]&gt;=40,"40-49",IF(HR_Employee_Attrition[[#This Row],[Age]]&gt;=30,"30-39",IF(HR_Employee_Attrition[[#This Row],[Age]]&gt;=20,"20-29",IF(HR_Employee_Attrition[[#This Row],[Age]]&gt;=18,"18-20"))))))</f>
        <v>40-49</v>
      </c>
      <c r="AK443" t="str" cm="1">
        <f t="array" ref="AK443">_xlfn.IFS(HR_Employee_Attrition[[#This Row],[YearsAtCompany]]&lt;=2,"0-2",HR_Employee_Attrition[[#This Row],[YearsAtCompany]]&lt;=5,"3-5",HR_Employee_Attrition[[#This Row],[YearsAtCompany]]&lt;=10,"6-10",HR_Employee_Attrition[[#This Row],[YearsAtCompany]]&gt;10,"10+")</f>
        <v>0-2</v>
      </c>
      <c r="AL443" t="str" cm="1">
        <f t="array" ref="AL4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43">
        <f>IF(HR_Employee_Attrition[[#This Row],[Attrition]]="Yes",1,0)</f>
        <v>0</v>
      </c>
    </row>
    <row r="444" spans="1:39" x14ac:dyDescent="0.3">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c r="AJ444" t="str">
        <f>IF(HR_Employee_Attrition[[#This Row],[Age]]&gt;60,"60+",IF(HR_Employee_Attrition[[#This Row],[Age]]&gt;=50,"50-59",IF(HR_Employee_Attrition[[#This Row],[Age]]&gt;=40,"40-49",IF(HR_Employee_Attrition[[#This Row],[Age]]&gt;=30,"30-39",IF(HR_Employee_Attrition[[#This Row],[Age]]&gt;=20,"20-29",IF(HR_Employee_Attrition[[#This Row],[Age]]&gt;=18,"18-20"))))))</f>
        <v>30-39</v>
      </c>
      <c r="AK444" t="str" cm="1">
        <f t="array" ref="AK444">_xlfn.IFS(HR_Employee_Attrition[[#This Row],[YearsAtCompany]]&lt;=2,"0-2",HR_Employee_Attrition[[#This Row],[YearsAtCompany]]&lt;=5,"3-5",HR_Employee_Attrition[[#This Row],[YearsAtCompany]]&lt;=10,"6-10",HR_Employee_Attrition[[#This Row],[YearsAtCompany]]&gt;10,"10+")</f>
        <v>6-10</v>
      </c>
      <c r="AL444" t="str" cm="1">
        <f t="array" ref="AL4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44">
        <f>IF(HR_Employee_Attrition[[#This Row],[Attrition]]="Yes",1,0)</f>
        <v>0</v>
      </c>
    </row>
    <row r="445" spans="1:39" x14ac:dyDescent="0.3">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c r="AJ445" t="str">
        <f>IF(HR_Employee_Attrition[[#This Row],[Age]]&gt;60,"60+",IF(HR_Employee_Attrition[[#This Row],[Age]]&gt;=50,"50-59",IF(HR_Employee_Attrition[[#This Row],[Age]]&gt;=40,"40-49",IF(HR_Employee_Attrition[[#This Row],[Age]]&gt;=30,"30-39",IF(HR_Employee_Attrition[[#This Row],[Age]]&gt;=20,"20-29",IF(HR_Employee_Attrition[[#This Row],[Age]]&gt;=18,"18-20"))))))</f>
        <v>20-29</v>
      </c>
      <c r="AK445" t="str" cm="1">
        <f t="array" ref="AK445">_xlfn.IFS(HR_Employee_Attrition[[#This Row],[YearsAtCompany]]&lt;=2,"0-2",HR_Employee_Attrition[[#This Row],[YearsAtCompany]]&lt;=5,"3-5",HR_Employee_Attrition[[#This Row],[YearsAtCompany]]&lt;=10,"6-10",HR_Employee_Attrition[[#This Row],[YearsAtCompany]]&gt;10,"10+")</f>
        <v>0-2</v>
      </c>
      <c r="AL445" t="str" cm="1">
        <f t="array" ref="AL4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45">
        <f>IF(HR_Employee_Attrition[[#This Row],[Attrition]]="Yes",1,0)</f>
        <v>1</v>
      </c>
    </row>
    <row r="446" spans="1:39" x14ac:dyDescent="0.3">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c r="AJ446" t="str">
        <f>IF(HR_Employee_Attrition[[#This Row],[Age]]&gt;60,"60+",IF(HR_Employee_Attrition[[#This Row],[Age]]&gt;=50,"50-59",IF(HR_Employee_Attrition[[#This Row],[Age]]&gt;=40,"40-49",IF(HR_Employee_Attrition[[#This Row],[Age]]&gt;=30,"30-39",IF(HR_Employee_Attrition[[#This Row],[Age]]&gt;=20,"20-29",IF(HR_Employee_Attrition[[#This Row],[Age]]&gt;=18,"18-20"))))))</f>
        <v>40-49</v>
      </c>
      <c r="AK446" t="str" cm="1">
        <f t="array" ref="AK446">_xlfn.IFS(HR_Employee_Attrition[[#This Row],[YearsAtCompany]]&lt;=2,"0-2",HR_Employee_Attrition[[#This Row],[YearsAtCompany]]&lt;=5,"3-5",HR_Employee_Attrition[[#This Row],[YearsAtCompany]]&lt;=10,"6-10",HR_Employee_Attrition[[#This Row],[YearsAtCompany]]&gt;10,"10+")</f>
        <v>6-10</v>
      </c>
      <c r="AL446" t="str" cm="1">
        <f t="array" ref="AL4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46">
        <f>IF(HR_Employee_Attrition[[#This Row],[Attrition]]="Yes",1,0)</f>
        <v>0</v>
      </c>
    </row>
    <row r="447" spans="1:39" x14ac:dyDescent="0.3">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c r="AJ447" t="str">
        <f>IF(HR_Employee_Attrition[[#This Row],[Age]]&gt;60,"60+",IF(HR_Employee_Attrition[[#This Row],[Age]]&gt;=50,"50-59",IF(HR_Employee_Attrition[[#This Row],[Age]]&gt;=40,"40-49",IF(HR_Employee_Attrition[[#This Row],[Age]]&gt;=30,"30-39",IF(HR_Employee_Attrition[[#This Row],[Age]]&gt;=20,"20-29",IF(HR_Employee_Attrition[[#This Row],[Age]]&gt;=18,"18-20"))))))</f>
        <v>50-59</v>
      </c>
      <c r="AK447" t="str" cm="1">
        <f t="array" ref="AK447">_xlfn.IFS(HR_Employee_Attrition[[#This Row],[YearsAtCompany]]&lt;=2,"0-2",HR_Employee_Attrition[[#This Row],[YearsAtCompany]]&lt;=5,"3-5",HR_Employee_Attrition[[#This Row],[YearsAtCompany]]&lt;=10,"6-10",HR_Employee_Attrition[[#This Row],[YearsAtCompany]]&gt;10,"10+")</f>
        <v>6-10</v>
      </c>
      <c r="AL447" t="str" cm="1">
        <f t="array" ref="AL4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47">
        <f>IF(HR_Employee_Attrition[[#This Row],[Attrition]]="Yes",1,0)</f>
        <v>0</v>
      </c>
    </row>
    <row r="448" spans="1:39" x14ac:dyDescent="0.3">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c r="AJ448" t="str">
        <f>IF(HR_Employee_Attrition[[#This Row],[Age]]&gt;60,"60+",IF(HR_Employee_Attrition[[#This Row],[Age]]&gt;=50,"50-59",IF(HR_Employee_Attrition[[#This Row],[Age]]&gt;=40,"40-49",IF(HR_Employee_Attrition[[#This Row],[Age]]&gt;=30,"30-39",IF(HR_Employee_Attrition[[#This Row],[Age]]&gt;=20,"20-29",IF(HR_Employee_Attrition[[#This Row],[Age]]&gt;=18,"18-20"))))))</f>
        <v>40-49</v>
      </c>
      <c r="AK448" t="str" cm="1">
        <f t="array" ref="AK448">_xlfn.IFS(HR_Employee_Attrition[[#This Row],[YearsAtCompany]]&lt;=2,"0-2",HR_Employee_Attrition[[#This Row],[YearsAtCompany]]&lt;=5,"3-5",HR_Employee_Attrition[[#This Row],[YearsAtCompany]]&lt;=10,"6-10",HR_Employee_Attrition[[#This Row],[YearsAtCompany]]&gt;10,"10+")</f>
        <v>10+</v>
      </c>
      <c r="AL448" t="str" cm="1">
        <f t="array" ref="AL4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48">
        <f>IF(HR_Employee_Attrition[[#This Row],[Attrition]]="Yes",1,0)</f>
        <v>0</v>
      </c>
    </row>
    <row r="449" spans="1:39" x14ac:dyDescent="0.3">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c r="AJ449" t="str">
        <f>IF(HR_Employee_Attrition[[#This Row],[Age]]&gt;60,"60+",IF(HR_Employee_Attrition[[#This Row],[Age]]&gt;=50,"50-59",IF(HR_Employee_Attrition[[#This Row],[Age]]&gt;=40,"40-49",IF(HR_Employee_Attrition[[#This Row],[Age]]&gt;=30,"30-39",IF(HR_Employee_Attrition[[#This Row],[Age]]&gt;=20,"20-29",IF(HR_Employee_Attrition[[#This Row],[Age]]&gt;=18,"18-20"))))))</f>
        <v>30-39</v>
      </c>
      <c r="AK449" t="str" cm="1">
        <f t="array" ref="AK449">_xlfn.IFS(HR_Employee_Attrition[[#This Row],[YearsAtCompany]]&lt;=2,"0-2",HR_Employee_Attrition[[#This Row],[YearsAtCompany]]&lt;=5,"3-5",HR_Employee_Attrition[[#This Row],[YearsAtCompany]]&lt;=10,"6-10",HR_Employee_Attrition[[#This Row],[YearsAtCompany]]&gt;10,"10+")</f>
        <v>10+</v>
      </c>
      <c r="AL449" t="str" cm="1">
        <f t="array" ref="AL4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49">
        <f>IF(HR_Employee_Attrition[[#This Row],[Attrition]]="Yes",1,0)</f>
        <v>0</v>
      </c>
    </row>
    <row r="450" spans="1:39" x14ac:dyDescent="0.3">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c r="AJ450" t="str">
        <f>IF(HR_Employee_Attrition[[#This Row],[Age]]&gt;60,"60+",IF(HR_Employee_Attrition[[#This Row],[Age]]&gt;=50,"50-59",IF(HR_Employee_Attrition[[#This Row],[Age]]&gt;=40,"40-49",IF(HR_Employee_Attrition[[#This Row],[Age]]&gt;=30,"30-39",IF(HR_Employee_Attrition[[#This Row],[Age]]&gt;=20,"20-29",IF(HR_Employee_Attrition[[#This Row],[Age]]&gt;=18,"18-20"))))))</f>
        <v>40-49</v>
      </c>
      <c r="AK450" t="str" cm="1">
        <f t="array" ref="AK450">_xlfn.IFS(HR_Employee_Attrition[[#This Row],[YearsAtCompany]]&lt;=2,"0-2",HR_Employee_Attrition[[#This Row],[YearsAtCompany]]&lt;=5,"3-5",HR_Employee_Attrition[[#This Row],[YearsAtCompany]]&lt;=10,"6-10",HR_Employee_Attrition[[#This Row],[YearsAtCompany]]&gt;10,"10+")</f>
        <v>10+</v>
      </c>
      <c r="AL450" t="str" cm="1">
        <f t="array" ref="AL4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50">
        <f>IF(HR_Employee_Attrition[[#This Row],[Attrition]]="Yes",1,0)</f>
        <v>0</v>
      </c>
    </row>
    <row r="451" spans="1:39" x14ac:dyDescent="0.3">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c r="AJ451" t="str">
        <f>IF(HR_Employee_Attrition[[#This Row],[Age]]&gt;60,"60+",IF(HR_Employee_Attrition[[#This Row],[Age]]&gt;=50,"50-59",IF(HR_Employee_Attrition[[#This Row],[Age]]&gt;=40,"40-49",IF(HR_Employee_Attrition[[#This Row],[Age]]&gt;=30,"30-39",IF(HR_Employee_Attrition[[#This Row],[Age]]&gt;=20,"20-29",IF(HR_Employee_Attrition[[#This Row],[Age]]&gt;=18,"18-20"))))))</f>
        <v>30-39</v>
      </c>
      <c r="AK451" t="str" cm="1">
        <f t="array" ref="AK451">_xlfn.IFS(HR_Employee_Attrition[[#This Row],[YearsAtCompany]]&lt;=2,"0-2",HR_Employee_Attrition[[#This Row],[YearsAtCompany]]&lt;=5,"3-5",HR_Employee_Attrition[[#This Row],[YearsAtCompany]]&lt;=10,"6-10",HR_Employee_Attrition[[#This Row],[YearsAtCompany]]&gt;10,"10+")</f>
        <v>6-10</v>
      </c>
      <c r="AL451" t="str" cm="1">
        <f t="array" ref="AL4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51">
        <f>IF(HR_Employee_Attrition[[#This Row],[Attrition]]="Yes",1,0)</f>
        <v>0</v>
      </c>
    </row>
    <row r="452" spans="1:39" x14ac:dyDescent="0.3">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c r="AJ452" t="str">
        <f>IF(HR_Employee_Attrition[[#This Row],[Age]]&gt;60,"60+",IF(HR_Employee_Attrition[[#This Row],[Age]]&gt;=50,"50-59",IF(HR_Employee_Attrition[[#This Row],[Age]]&gt;=40,"40-49",IF(HR_Employee_Attrition[[#This Row],[Age]]&gt;=30,"30-39",IF(HR_Employee_Attrition[[#This Row],[Age]]&gt;=20,"20-29",IF(HR_Employee_Attrition[[#This Row],[Age]]&gt;=18,"18-20"))))))</f>
        <v>30-39</v>
      </c>
      <c r="AK452" t="str" cm="1">
        <f t="array" ref="AK452">_xlfn.IFS(HR_Employee_Attrition[[#This Row],[YearsAtCompany]]&lt;=2,"0-2",HR_Employee_Attrition[[#This Row],[YearsAtCompany]]&lt;=5,"3-5",HR_Employee_Attrition[[#This Row],[YearsAtCompany]]&lt;=10,"6-10",HR_Employee_Attrition[[#This Row],[YearsAtCompany]]&gt;10,"10+")</f>
        <v>6-10</v>
      </c>
      <c r="AL452" t="str" cm="1">
        <f t="array" ref="AL4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52">
        <f>IF(HR_Employee_Attrition[[#This Row],[Attrition]]="Yes",1,0)</f>
        <v>0</v>
      </c>
    </row>
    <row r="453" spans="1:39" x14ac:dyDescent="0.3">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c r="AJ453" t="str">
        <f>IF(HR_Employee_Attrition[[#This Row],[Age]]&gt;60,"60+",IF(HR_Employee_Attrition[[#This Row],[Age]]&gt;=50,"50-59",IF(HR_Employee_Attrition[[#This Row],[Age]]&gt;=40,"40-49",IF(HR_Employee_Attrition[[#This Row],[Age]]&gt;=30,"30-39",IF(HR_Employee_Attrition[[#This Row],[Age]]&gt;=20,"20-29",IF(HR_Employee_Attrition[[#This Row],[Age]]&gt;=18,"18-20"))))))</f>
        <v>40-49</v>
      </c>
      <c r="AK453" t="str" cm="1">
        <f t="array" ref="AK453">_xlfn.IFS(HR_Employee_Attrition[[#This Row],[YearsAtCompany]]&lt;=2,"0-2",HR_Employee_Attrition[[#This Row],[YearsAtCompany]]&lt;=5,"3-5",HR_Employee_Attrition[[#This Row],[YearsAtCompany]]&lt;=10,"6-10",HR_Employee_Attrition[[#This Row],[YearsAtCompany]]&gt;10,"10+")</f>
        <v>6-10</v>
      </c>
      <c r="AL453" t="str" cm="1">
        <f t="array" ref="AL4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53">
        <f>IF(HR_Employee_Attrition[[#This Row],[Attrition]]="Yes",1,0)</f>
        <v>0</v>
      </c>
    </row>
    <row r="454" spans="1:39" x14ac:dyDescent="0.3">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c r="AJ454" t="str">
        <f>IF(HR_Employee_Attrition[[#This Row],[Age]]&gt;60,"60+",IF(HR_Employee_Attrition[[#This Row],[Age]]&gt;=50,"50-59",IF(HR_Employee_Attrition[[#This Row],[Age]]&gt;=40,"40-49",IF(HR_Employee_Attrition[[#This Row],[Age]]&gt;=30,"30-39",IF(HR_Employee_Attrition[[#This Row],[Age]]&gt;=20,"20-29",IF(HR_Employee_Attrition[[#This Row],[Age]]&gt;=18,"18-20"))))))</f>
        <v>40-49</v>
      </c>
      <c r="AK454" t="str" cm="1">
        <f t="array" ref="AK454">_xlfn.IFS(HR_Employee_Attrition[[#This Row],[YearsAtCompany]]&lt;=2,"0-2",HR_Employee_Attrition[[#This Row],[YearsAtCompany]]&lt;=5,"3-5",HR_Employee_Attrition[[#This Row],[YearsAtCompany]]&lt;=10,"6-10",HR_Employee_Attrition[[#This Row],[YearsAtCompany]]&gt;10,"10+")</f>
        <v>6-10</v>
      </c>
      <c r="AL454" t="str" cm="1">
        <f t="array" ref="AL4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54">
        <f>IF(HR_Employee_Attrition[[#This Row],[Attrition]]="Yes",1,0)</f>
        <v>0</v>
      </c>
    </row>
    <row r="455" spans="1:39" x14ac:dyDescent="0.3">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c r="AJ455" t="str">
        <f>IF(HR_Employee_Attrition[[#This Row],[Age]]&gt;60,"60+",IF(HR_Employee_Attrition[[#This Row],[Age]]&gt;=50,"50-59",IF(HR_Employee_Attrition[[#This Row],[Age]]&gt;=40,"40-49",IF(HR_Employee_Attrition[[#This Row],[Age]]&gt;=30,"30-39",IF(HR_Employee_Attrition[[#This Row],[Age]]&gt;=20,"20-29",IF(HR_Employee_Attrition[[#This Row],[Age]]&gt;=18,"18-20"))))))</f>
        <v>20-29</v>
      </c>
      <c r="AK455" t="str" cm="1">
        <f t="array" ref="AK455">_xlfn.IFS(HR_Employee_Attrition[[#This Row],[YearsAtCompany]]&lt;=2,"0-2",HR_Employee_Attrition[[#This Row],[YearsAtCompany]]&lt;=5,"3-5",HR_Employee_Attrition[[#This Row],[YearsAtCompany]]&lt;=10,"6-10",HR_Employee_Attrition[[#This Row],[YearsAtCompany]]&gt;10,"10+")</f>
        <v>6-10</v>
      </c>
      <c r="AL455" t="str" cm="1">
        <f t="array" ref="AL4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55">
        <f>IF(HR_Employee_Attrition[[#This Row],[Attrition]]="Yes",1,0)</f>
        <v>1</v>
      </c>
    </row>
    <row r="456" spans="1:39" x14ac:dyDescent="0.3">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c r="AJ456" t="str">
        <f>IF(HR_Employee_Attrition[[#This Row],[Age]]&gt;60,"60+",IF(HR_Employee_Attrition[[#This Row],[Age]]&gt;=50,"50-59",IF(HR_Employee_Attrition[[#This Row],[Age]]&gt;=40,"40-49",IF(HR_Employee_Attrition[[#This Row],[Age]]&gt;=30,"30-39",IF(HR_Employee_Attrition[[#This Row],[Age]]&gt;=20,"20-29",IF(HR_Employee_Attrition[[#This Row],[Age]]&gt;=18,"18-20"))))))</f>
        <v>20-29</v>
      </c>
      <c r="AK456" t="str" cm="1">
        <f t="array" ref="AK456">_xlfn.IFS(HR_Employee_Attrition[[#This Row],[YearsAtCompany]]&lt;=2,"0-2",HR_Employee_Attrition[[#This Row],[YearsAtCompany]]&lt;=5,"3-5",HR_Employee_Attrition[[#This Row],[YearsAtCompany]]&lt;=10,"6-10",HR_Employee_Attrition[[#This Row],[YearsAtCompany]]&gt;10,"10+")</f>
        <v>3-5</v>
      </c>
      <c r="AL456" t="str" cm="1">
        <f t="array" ref="AL4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56">
        <f>IF(HR_Employee_Attrition[[#This Row],[Attrition]]="Yes",1,0)</f>
        <v>0</v>
      </c>
    </row>
    <row r="457" spans="1:39" x14ac:dyDescent="0.3">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c r="AJ457" t="str">
        <f>IF(HR_Employee_Attrition[[#This Row],[Age]]&gt;60,"60+",IF(HR_Employee_Attrition[[#This Row],[Age]]&gt;=50,"50-59",IF(HR_Employee_Attrition[[#This Row],[Age]]&gt;=40,"40-49",IF(HR_Employee_Attrition[[#This Row],[Age]]&gt;=30,"30-39",IF(HR_Employee_Attrition[[#This Row],[Age]]&gt;=20,"20-29",IF(HR_Employee_Attrition[[#This Row],[Age]]&gt;=18,"18-20"))))))</f>
        <v>30-39</v>
      </c>
      <c r="AK457" t="str" cm="1">
        <f t="array" ref="AK457">_xlfn.IFS(HR_Employee_Attrition[[#This Row],[YearsAtCompany]]&lt;=2,"0-2",HR_Employee_Attrition[[#This Row],[YearsAtCompany]]&lt;=5,"3-5",HR_Employee_Attrition[[#This Row],[YearsAtCompany]]&lt;=10,"6-10",HR_Employee_Attrition[[#This Row],[YearsAtCompany]]&gt;10,"10+")</f>
        <v>6-10</v>
      </c>
      <c r="AL457" t="str" cm="1">
        <f t="array" ref="AL4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57">
        <f>IF(HR_Employee_Attrition[[#This Row],[Attrition]]="Yes",1,0)</f>
        <v>0</v>
      </c>
    </row>
    <row r="458" spans="1:39" x14ac:dyDescent="0.3">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c r="AJ458" t="str">
        <f>IF(HR_Employee_Attrition[[#This Row],[Age]]&gt;60,"60+",IF(HR_Employee_Attrition[[#This Row],[Age]]&gt;=50,"50-59",IF(HR_Employee_Attrition[[#This Row],[Age]]&gt;=40,"40-49",IF(HR_Employee_Attrition[[#This Row],[Age]]&gt;=30,"30-39",IF(HR_Employee_Attrition[[#This Row],[Age]]&gt;=20,"20-29",IF(HR_Employee_Attrition[[#This Row],[Age]]&gt;=18,"18-20"))))))</f>
        <v>30-39</v>
      </c>
      <c r="AK458" t="str" cm="1">
        <f t="array" ref="AK458">_xlfn.IFS(HR_Employee_Attrition[[#This Row],[YearsAtCompany]]&lt;=2,"0-2",HR_Employee_Attrition[[#This Row],[YearsAtCompany]]&lt;=5,"3-5",HR_Employee_Attrition[[#This Row],[YearsAtCompany]]&lt;=10,"6-10",HR_Employee_Attrition[[#This Row],[YearsAtCompany]]&gt;10,"10+")</f>
        <v>3-5</v>
      </c>
      <c r="AL458" t="str" cm="1">
        <f t="array" ref="AL4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58">
        <f>IF(HR_Employee_Attrition[[#This Row],[Attrition]]="Yes",1,0)</f>
        <v>0</v>
      </c>
    </row>
    <row r="459" spans="1:39" x14ac:dyDescent="0.3">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c r="AJ459" t="str">
        <f>IF(HR_Employee_Attrition[[#This Row],[Age]]&gt;60,"60+",IF(HR_Employee_Attrition[[#This Row],[Age]]&gt;=50,"50-59",IF(HR_Employee_Attrition[[#This Row],[Age]]&gt;=40,"40-49",IF(HR_Employee_Attrition[[#This Row],[Age]]&gt;=30,"30-39",IF(HR_Employee_Attrition[[#This Row],[Age]]&gt;=20,"20-29",IF(HR_Employee_Attrition[[#This Row],[Age]]&gt;=18,"18-20"))))))</f>
        <v>18-20</v>
      </c>
      <c r="AK459" t="str" cm="1">
        <f t="array" ref="AK459">_xlfn.IFS(HR_Employee_Attrition[[#This Row],[YearsAtCompany]]&lt;=2,"0-2",HR_Employee_Attrition[[#This Row],[YearsAtCompany]]&lt;=5,"3-5",HR_Employee_Attrition[[#This Row],[YearsAtCompany]]&lt;=10,"6-10",HR_Employee_Attrition[[#This Row],[YearsAtCompany]]&gt;10,"10+")</f>
        <v>0-2</v>
      </c>
      <c r="AL459" t="str" cm="1">
        <f t="array" ref="AL4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59">
        <f>IF(HR_Employee_Attrition[[#This Row],[Attrition]]="Yes",1,0)</f>
        <v>1</v>
      </c>
    </row>
    <row r="460" spans="1:39" x14ac:dyDescent="0.3">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c r="AJ460" t="str">
        <f>IF(HR_Employee_Attrition[[#This Row],[Age]]&gt;60,"60+",IF(HR_Employee_Attrition[[#This Row],[Age]]&gt;=50,"50-59",IF(HR_Employee_Attrition[[#This Row],[Age]]&gt;=40,"40-49",IF(HR_Employee_Attrition[[#This Row],[Age]]&gt;=30,"30-39",IF(HR_Employee_Attrition[[#This Row],[Age]]&gt;=20,"20-29",IF(HR_Employee_Attrition[[#This Row],[Age]]&gt;=18,"18-20"))))))</f>
        <v>40-49</v>
      </c>
      <c r="AK460" t="str" cm="1">
        <f t="array" ref="AK460">_xlfn.IFS(HR_Employee_Attrition[[#This Row],[YearsAtCompany]]&lt;=2,"0-2",HR_Employee_Attrition[[#This Row],[YearsAtCompany]]&lt;=5,"3-5",HR_Employee_Attrition[[#This Row],[YearsAtCompany]]&lt;=10,"6-10",HR_Employee_Attrition[[#This Row],[YearsAtCompany]]&gt;10,"10+")</f>
        <v>0-2</v>
      </c>
      <c r="AL460" t="str" cm="1">
        <f t="array" ref="AL4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60">
        <f>IF(HR_Employee_Attrition[[#This Row],[Attrition]]="Yes",1,0)</f>
        <v>0</v>
      </c>
    </row>
    <row r="461" spans="1:39" x14ac:dyDescent="0.3">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c r="AJ461" t="str">
        <f>IF(HR_Employee_Attrition[[#This Row],[Age]]&gt;60,"60+",IF(HR_Employee_Attrition[[#This Row],[Age]]&gt;=50,"50-59",IF(HR_Employee_Attrition[[#This Row],[Age]]&gt;=40,"40-49",IF(HR_Employee_Attrition[[#This Row],[Age]]&gt;=30,"30-39",IF(HR_Employee_Attrition[[#This Row],[Age]]&gt;=20,"20-29",IF(HR_Employee_Attrition[[#This Row],[Age]]&gt;=18,"18-20"))))))</f>
        <v>40-49</v>
      </c>
      <c r="AK461" t="str" cm="1">
        <f t="array" ref="AK461">_xlfn.IFS(HR_Employee_Attrition[[#This Row],[YearsAtCompany]]&lt;=2,"0-2",HR_Employee_Attrition[[#This Row],[YearsAtCompany]]&lt;=5,"3-5",HR_Employee_Attrition[[#This Row],[YearsAtCompany]]&lt;=10,"6-10",HR_Employee_Attrition[[#This Row],[YearsAtCompany]]&gt;10,"10+")</f>
        <v>6-10</v>
      </c>
      <c r="AL461" t="str" cm="1">
        <f t="array" ref="AL4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61">
        <f>IF(HR_Employee_Attrition[[#This Row],[Attrition]]="Yes",1,0)</f>
        <v>0</v>
      </c>
    </row>
    <row r="462" spans="1:39" x14ac:dyDescent="0.3">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c r="AJ462" t="str">
        <f>IF(HR_Employee_Attrition[[#This Row],[Age]]&gt;60,"60+",IF(HR_Employee_Attrition[[#This Row],[Age]]&gt;=50,"50-59",IF(HR_Employee_Attrition[[#This Row],[Age]]&gt;=40,"40-49",IF(HR_Employee_Attrition[[#This Row],[Age]]&gt;=30,"30-39",IF(HR_Employee_Attrition[[#This Row],[Age]]&gt;=20,"20-29",IF(HR_Employee_Attrition[[#This Row],[Age]]&gt;=18,"18-20"))))))</f>
        <v>20-29</v>
      </c>
      <c r="AK462" t="str" cm="1">
        <f t="array" ref="AK462">_xlfn.IFS(HR_Employee_Attrition[[#This Row],[YearsAtCompany]]&lt;=2,"0-2",HR_Employee_Attrition[[#This Row],[YearsAtCompany]]&lt;=5,"3-5",HR_Employee_Attrition[[#This Row],[YearsAtCompany]]&lt;=10,"6-10",HR_Employee_Attrition[[#This Row],[YearsAtCompany]]&gt;10,"10+")</f>
        <v>0-2</v>
      </c>
      <c r="AL462" t="str" cm="1">
        <f t="array" ref="AL4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62">
        <f>IF(HR_Employee_Attrition[[#This Row],[Attrition]]="Yes",1,0)</f>
        <v>0</v>
      </c>
    </row>
    <row r="463" spans="1:39" x14ac:dyDescent="0.3">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c r="AJ463" t="str">
        <f>IF(HR_Employee_Attrition[[#This Row],[Age]]&gt;60,"60+",IF(HR_Employee_Attrition[[#This Row],[Age]]&gt;=50,"50-59",IF(HR_Employee_Attrition[[#This Row],[Age]]&gt;=40,"40-49",IF(HR_Employee_Attrition[[#This Row],[Age]]&gt;=30,"30-39",IF(HR_Employee_Attrition[[#This Row],[Age]]&gt;=20,"20-29",IF(HR_Employee_Attrition[[#This Row],[Age]]&gt;=18,"18-20"))))))</f>
        <v>30-39</v>
      </c>
      <c r="AK463" t="str" cm="1">
        <f t="array" ref="AK463">_xlfn.IFS(HR_Employee_Attrition[[#This Row],[YearsAtCompany]]&lt;=2,"0-2",HR_Employee_Attrition[[#This Row],[YearsAtCompany]]&lt;=5,"3-5",HR_Employee_Attrition[[#This Row],[YearsAtCompany]]&lt;=10,"6-10",HR_Employee_Attrition[[#This Row],[YearsAtCompany]]&gt;10,"10+")</f>
        <v>3-5</v>
      </c>
      <c r="AL463" t="str" cm="1">
        <f t="array" ref="AL4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63">
        <f>IF(HR_Employee_Attrition[[#This Row],[Attrition]]="Yes",1,0)</f>
        <v>0</v>
      </c>
    </row>
    <row r="464" spans="1:39" x14ac:dyDescent="0.3">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c r="AJ464" t="str">
        <f>IF(HR_Employee_Attrition[[#This Row],[Age]]&gt;60,"60+",IF(HR_Employee_Attrition[[#This Row],[Age]]&gt;=50,"50-59",IF(HR_Employee_Attrition[[#This Row],[Age]]&gt;=40,"40-49",IF(HR_Employee_Attrition[[#This Row],[Age]]&gt;=30,"30-39",IF(HR_Employee_Attrition[[#This Row],[Age]]&gt;=20,"20-29",IF(HR_Employee_Attrition[[#This Row],[Age]]&gt;=18,"18-20"))))))</f>
        <v>30-39</v>
      </c>
      <c r="AK464" t="str" cm="1">
        <f t="array" ref="AK464">_xlfn.IFS(HR_Employee_Attrition[[#This Row],[YearsAtCompany]]&lt;=2,"0-2",HR_Employee_Attrition[[#This Row],[YearsAtCompany]]&lt;=5,"3-5",HR_Employee_Attrition[[#This Row],[YearsAtCompany]]&lt;=10,"6-10",HR_Employee_Attrition[[#This Row],[YearsAtCompany]]&gt;10,"10+")</f>
        <v>6-10</v>
      </c>
      <c r="AL464" t="str" cm="1">
        <f t="array" ref="AL4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64">
        <f>IF(HR_Employee_Attrition[[#This Row],[Attrition]]="Yes",1,0)</f>
        <v>0</v>
      </c>
    </row>
    <row r="465" spans="1:39" x14ac:dyDescent="0.3">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c r="AJ465" t="str">
        <f>IF(HR_Employee_Attrition[[#This Row],[Age]]&gt;60,"60+",IF(HR_Employee_Attrition[[#This Row],[Age]]&gt;=50,"50-59",IF(HR_Employee_Attrition[[#This Row],[Age]]&gt;=40,"40-49",IF(HR_Employee_Attrition[[#This Row],[Age]]&gt;=30,"30-39",IF(HR_Employee_Attrition[[#This Row],[Age]]&gt;=20,"20-29",IF(HR_Employee_Attrition[[#This Row],[Age]]&gt;=18,"18-20"))))))</f>
        <v>20-29</v>
      </c>
      <c r="AK465" t="str" cm="1">
        <f t="array" ref="AK465">_xlfn.IFS(HR_Employee_Attrition[[#This Row],[YearsAtCompany]]&lt;=2,"0-2",HR_Employee_Attrition[[#This Row],[YearsAtCompany]]&lt;=5,"3-5",HR_Employee_Attrition[[#This Row],[YearsAtCompany]]&lt;=10,"6-10",HR_Employee_Attrition[[#This Row],[YearsAtCompany]]&gt;10,"10+")</f>
        <v>0-2</v>
      </c>
      <c r="AL465" t="str" cm="1">
        <f t="array" ref="AL4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65">
        <f>IF(HR_Employee_Attrition[[#This Row],[Attrition]]="Yes",1,0)</f>
        <v>1</v>
      </c>
    </row>
    <row r="466" spans="1:39" x14ac:dyDescent="0.3">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c r="AJ466" t="str">
        <f>IF(HR_Employee_Attrition[[#This Row],[Age]]&gt;60,"60+",IF(HR_Employee_Attrition[[#This Row],[Age]]&gt;=50,"50-59",IF(HR_Employee_Attrition[[#This Row],[Age]]&gt;=40,"40-49",IF(HR_Employee_Attrition[[#This Row],[Age]]&gt;=30,"30-39",IF(HR_Employee_Attrition[[#This Row],[Age]]&gt;=20,"20-29",IF(HR_Employee_Attrition[[#This Row],[Age]]&gt;=18,"18-20"))))))</f>
        <v>30-39</v>
      </c>
      <c r="AK466" t="str" cm="1">
        <f t="array" ref="AK466">_xlfn.IFS(HR_Employee_Attrition[[#This Row],[YearsAtCompany]]&lt;=2,"0-2",HR_Employee_Attrition[[#This Row],[YearsAtCompany]]&lt;=5,"3-5",HR_Employee_Attrition[[#This Row],[YearsAtCompany]]&lt;=10,"6-10",HR_Employee_Attrition[[#This Row],[YearsAtCompany]]&gt;10,"10+")</f>
        <v>6-10</v>
      </c>
      <c r="AL466" t="str" cm="1">
        <f t="array" ref="AL4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66">
        <f>IF(HR_Employee_Attrition[[#This Row],[Attrition]]="Yes",1,0)</f>
        <v>0</v>
      </c>
    </row>
    <row r="467" spans="1:39" x14ac:dyDescent="0.3">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c r="AJ467" t="str">
        <f>IF(HR_Employee_Attrition[[#This Row],[Age]]&gt;60,"60+",IF(HR_Employee_Attrition[[#This Row],[Age]]&gt;=50,"50-59",IF(HR_Employee_Attrition[[#This Row],[Age]]&gt;=40,"40-49",IF(HR_Employee_Attrition[[#This Row],[Age]]&gt;=30,"30-39",IF(HR_Employee_Attrition[[#This Row],[Age]]&gt;=20,"20-29",IF(HR_Employee_Attrition[[#This Row],[Age]]&gt;=18,"18-20"))))))</f>
        <v>40-49</v>
      </c>
      <c r="AK467" t="str" cm="1">
        <f t="array" ref="AK467">_xlfn.IFS(HR_Employee_Attrition[[#This Row],[YearsAtCompany]]&lt;=2,"0-2",HR_Employee_Attrition[[#This Row],[YearsAtCompany]]&lt;=5,"3-5",HR_Employee_Attrition[[#This Row],[YearsAtCompany]]&lt;=10,"6-10",HR_Employee_Attrition[[#This Row],[YearsAtCompany]]&gt;10,"10+")</f>
        <v>0-2</v>
      </c>
      <c r="AL467" t="str" cm="1">
        <f t="array" ref="AL4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67">
        <f>IF(HR_Employee_Attrition[[#This Row],[Attrition]]="Yes",1,0)</f>
        <v>0</v>
      </c>
    </row>
    <row r="468" spans="1:39" x14ac:dyDescent="0.3">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c r="AJ468" t="str">
        <f>IF(HR_Employee_Attrition[[#This Row],[Age]]&gt;60,"60+",IF(HR_Employee_Attrition[[#This Row],[Age]]&gt;=50,"50-59",IF(HR_Employee_Attrition[[#This Row],[Age]]&gt;=40,"40-49",IF(HR_Employee_Attrition[[#This Row],[Age]]&gt;=30,"30-39",IF(HR_Employee_Attrition[[#This Row],[Age]]&gt;=20,"20-29",IF(HR_Employee_Attrition[[#This Row],[Age]]&gt;=18,"18-20"))))))</f>
        <v>40-49</v>
      </c>
      <c r="AK468" t="str" cm="1">
        <f t="array" ref="AK468">_xlfn.IFS(HR_Employee_Attrition[[#This Row],[YearsAtCompany]]&lt;=2,"0-2",HR_Employee_Attrition[[#This Row],[YearsAtCompany]]&lt;=5,"3-5",HR_Employee_Attrition[[#This Row],[YearsAtCompany]]&lt;=10,"6-10",HR_Employee_Attrition[[#This Row],[YearsAtCompany]]&gt;10,"10+")</f>
        <v>10+</v>
      </c>
      <c r="AL468" t="str" cm="1">
        <f t="array" ref="AL4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68">
        <f>IF(HR_Employee_Attrition[[#This Row],[Attrition]]="Yes",1,0)</f>
        <v>0</v>
      </c>
    </row>
    <row r="469" spans="1:39" x14ac:dyDescent="0.3">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c r="AJ469" t="str">
        <f>IF(HR_Employee_Attrition[[#This Row],[Age]]&gt;60,"60+",IF(HR_Employee_Attrition[[#This Row],[Age]]&gt;=50,"50-59",IF(HR_Employee_Attrition[[#This Row],[Age]]&gt;=40,"40-49",IF(HR_Employee_Attrition[[#This Row],[Age]]&gt;=30,"30-39",IF(HR_Employee_Attrition[[#This Row],[Age]]&gt;=20,"20-29",IF(HR_Employee_Attrition[[#This Row],[Age]]&gt;=18,"18-20"))))))</f>
        <v>30-39</v>
      </c>
      <c r="AK469" t="str" cm="1">
        <f t="array" ref="AK469">_xlfn.IFS(HR_Employee_Attrition[[#This Row],[YearsAtCompany]]&lt;=2,"0-2",HR_Employee_Attrition[[#This Row],[YearsAtCompany]]&lt;=5,"3-5",HR_Employee_Attrition[[#This Row],[YearsAtCompany]]&lt;=10,"6-10",HR_Employee_Attrition[[#This Row],[YearsAtCompany]]&gt;10,"10+")</f>
        <v>6-10</v>
      </c>
      <c r="AL469" t="str" cm="1">
        <f t="array" ref="AL4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69">
        <f>IF(HR_Employee_Attrition[[#This Row],[Attrition]]="Yes",1,0)</f>
        <v>0</v>
      </c>
    </row>
    <row r="470" spans="1:39" x14ac:dyDescent="0.3">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c r="AJ470" t="str">
        <f>IF(HR_Employee_Attrition[[#This Row],[Age]]&gt;60,"60+",IF(HR_Employee_Attrition[[#This Row],[Age]]&gt;=50,"50-59",IF(HR_Employee_Attrition[[#This Row],[Age]]&gt;=40,"40-49",IF(HR_Employee_Attrition[[#This Row],[Age]]&gt;=30,"30-39",IF(HR_Employee_Attrition[[#This Row],[Age]]&gt;=20,"20-29",IF(HR_Employee_Attrition[[#This Row],[Age]]&gt;=18,"18-20"))))))</f>
        <v>50-59</v>
      </c>
      <c r="AK470" t="str" cm="1">
        <f t="array" ref="AK470">_xlfn.IFS(HR_Employee_Attrition[[#This Row],[YearsAtCompany]]&lt;=2,"0-2",HR_Employee_Attrition[[#This Row],[YearsAtCompany]]&lt;=5,"3-5",HR_Employee_Attrition[[#This Row],[YearsAtCompany]]&lt;=10,"6-10",HR_Employee_Attrition[[#This Row],[YearsAtCompany]]&gt;10,"10+")</f>
        <v>6-10</v>
      </c>
      <c r="AL470" t="str" cm="1">
        <f t="array" ref="AL4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70">
        <f>IF(HR_Employee_Attrition[[#This Row],[Attrition]]="Yes",1,0)</f>
        <v>0</v>
      </c>
    </row>
    <row r="471" spans="1:39" x14ac:dyDescent="0.3">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c r="AJ471" t="str">
        <f>IF(HR_Employee_Attrition[[#This Row],[Age]]&gt;60,"60+",IF(HR_Employee_Attrition[[#This Row],[Age]]&gt;=50,"50-59",IF(HR_Employee_Attrition[[#This Row],[Age]]&gt;=40,"40-49",IF(HR_Employee_Attrition[[#This Row],[Age]]&gt;=30,"30-39",IF(HR_Employee_Attrition[[#This Row],[Age]]&gt;=20,"20-29",IF(HR_Employee_Attrition[[#This Row],[Age]]&gt;=18,"18-20"))))))</f>
        <v>30-39</v>
      </c>
      <c r="AK471" t="str" cm="1">
        <f t="array" ref="AK471">_xlfn.IFS(HR_Employee_Attrition[[#This Row],[YearsAtCompany]]&lt;=2,"0-2",HR_Employee_Attrition[[#This Row],[YearsAtCompany]]&lt;=5,"3-5",HR_Employee_Attrition[[#This Row],[YearsAtCompany]]&lt;=10,"6-10",HR_Employee_Attrition[[#This Row],[YearsAtCompany]]&gt;10,"10+")</f>
        <v>3-5</v>
      </c>
      <c r="AL471" t="str" cm="1">
        <f t="array" ref="AL4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71">
        <f>IF(HR_Employee_Attrition[[#This Row],[Attrition]]="Yes",1,0)</f>
        <v>1</v>
      </c>
    </row>
    <row r="472" spans="1:39" x14ac:dyDescent="0.3">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c r="AJ472" t="str">
        <f>IF(HR_Employee_Attrition[[#This Row],[Age]]&gt;60,"60+",IF(HR_Employee_Attrition[[#This Row],[Age]]&gt;=50,"50-59",IF(HR_Employee_Attrition[[#This Row],[Age]]&gt;=40,"40-49",IF(HR_Employee_Attrition[[#This Row],[Age]]&gt;=30,"30-39",IF(HR_Employee_Attrition[[#This Row],[Age]]&gt;=20,"20-29",IF(HR_Employee_Attrition[[#This Row],[Age]]&gt;=18,"18-20"))))))</f>
        <v>20-29</v>
      </c>
      <c r="AK472" t="str" cm="1">
        <f t="array" ref="AK472">_xlfn.IFS(HR_Employee_Attrition[[#This Row],[YearsAtCompany]]&lt;=2,"0-2",HR_Employee_Attrition[[#This Row],[YearsAtCompany]]&lt;=5,"3-5",HR_Employee_Attrition[[#This Row],[YearsAtCompany]]&lt;=10,"6-10",HR_Employee_Attrition[[#This Row],[YearsAtCompany]]&gt;10,"10+")</f>
        <v>0-2</v>
      </c>
      <c r="AL472" t="str" cm="1">
        <f t="array" ref="AL4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72">
        <f>IF(HR_Employee_Attrition[[#This Row],[Attrition]]="Yes",1,0)</f>
        <v>0</v>
      </c>
    </row>
    <row r="473" spans="1:39" x14ac:dyDescent="0.3">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c r="AJ473" t="str">
        <f>IF(HR_Employee_Attrition[[#This Row],[Age]]&gt;60,"60+",IF(HR_Employee_Attrition[[#This Row],[Age]]&gt;=50,"50-59",IF(HR_Employee_Attrition[[#This Row],[Age]]&gt;=40,"40-49",IF(HR_Employee_Attrition[[#This Row],[Age]]&gt;=30,"30-39",IF(HR_Employee_Attrition[[#This Row],[Age]]&gt;=20,"20-29",IF(HR_Employee_Attrition[[#This Row],[Age]]&gt;=18,"18-20"))))))</f>
        <v>30-39</v>
      </c>
      <c r="AK473" t="str" cm="1">
        <f t="array" ref="AK473">_xlfn.IFS(HR_Employee_Attrition[[#This Row],[YearsAtCompany]]&lt;=2,"0-2",HR_Employee_Attrition[[#This Row],[YearsAtCompany]]&lt;=5,"3-5",HR_Employee_Attrition[[#This Row],[YearsAtCompany]]&lt;=10,"6-10",HR_Employee_Attrition[[#This Row],[YearsAtCompany]]&gt;10,"10+")</f>
        <v>0-2</v>
      </c>
      <c r="AL473" t="str" cm="1">
        <f t="array" ref="AL4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73">
        <f>IF(HR_Employee_Attrition[[#This Row],[Attrition]]="Yes",1,0)</f>
        <v>0</v>
      </c>
    </row>
    <row r="474" spans="1:39" x14ac:dyDescent="0.3">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c r="AJ474" t="str">
        <f>IF(HR_Employee_Attrition[[#This Row],[Age]]&gt;60,"60+",IF(HR_Employee_Attrition[[#This Row],[Age]]&gt;=50,"50-59",IF(HR_Employee_Attrition[[#This Row],[Age]]&gt;=40,"40-49",IF(HR_Employee_Attrition[[#This Row],[Age]]&gt;=30,"30-39",IF(HR_Employee_Attrition[[#This Row],[Age]]&gt;=20,"20-29",IF(HR_Employee_Attrition[[#This Row],[Age]]&gt;=18,"18-20"))))))</f>
        <v>30-39</v>
      </c>
      <c r="AK474" t="str" cm="1">
        <f t="array" ref="AK474">_xlfn.IFS(HR_Employee_Attrition[[#This Row],[YearsAtCompany]]&lt;=2,"0-2",HR_Employee_Attrition[[#This Row],[YearsAtCompany]]&lt;=5,"3-5",HR_Employee_Attrition[[#This Row],[YearsAtCompany]]&lt;=10,"6-10",HR_Employee_Attrition[[#This Row],[YearsAtCompany]]&gt;10,"10+")</f>
        <v>6-10</v>
      </c>
      <c r="AL474" t="str" cm="1">
        <f t="array" ref="AL4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74">
        <f>IF(HR_Employee_Attrition[[#This Row],[Attrition]]="Yes",1,0)</f>
        <v>0</v>
      </c>
    </row>
    <row r="475" spans="1:39" x14ac:dyDescent="0.3">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c r="AJ475" t="str">
        <f>IF(HR_Employee_Attrition[[#This Row],[Age]]&gt;60,"60+",IF(HR_Employee_Attrition[[#This Row],[Age]]&gt;=50,"50-59",IF(HR_Employee_Attrition[[#This Row],[Age]]&gt;=40,"40-49",IF(HR_Employee_Attrition[[#This Row],[Age]]&gt;=30,"30-39",IF(HR_Employee_Attrition[[#This Row],[Age]]&gt;=20,"20-29",IF(HR_Employee_Attrition[[#This Row],[Age]]&gt;=18,"18-20"))))))</f>
        <v>40-49</v>
      </c>
      <c r="AK475" t="str" cm="1">
        <f t="array" ref="AK475">_xlfn.IFS(HR_Employee_Attrition[[#This Row],[YearsAtCompany]]&lt;=2,"0-2",HR_Employee_Attrition[[#This Row],[YearsAtCompany]]&lt;=5,"3-5",HR_Employee_Attrition[[#This Row],[YearsAtCompany]]&lt;=10,"6-10",HR_Employee_Attrition[[#This Row],[YearsAtCompany]]&gt;10,"10+")</f>
        <v>10+</v>
      </c>
      <c r="AL475" t="str" cm="1">
        <f t="array" ref="AL4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75">
        <f>IF(HR_Employee_Attrition[[#This Row],[Attrition]]="Yes",1,0)</f>
        <v>0</v>
      </c>
    </row>
    <row r="476" spans="1:39" x14ac:dyDescent="0.3">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c r="AJ476" t="str">
        <f>IF(HR_Employee_Attrition[[#This Row],[Age]]&gt;60,"60+",IF(HR_Employee_Attrition[[#This Row],[Age]]&gt;=50,"50-59",IF(HR_Employee_Attrition[[#This Row],[Age]]&gt;=40,"40-49",IF(HR_Employee_Attrition[[#This Row],[Age]]&gt;=30,"30-39",IF(HR_Employee_Attrition[[#This Row],[Age]]&gt;=20,"20-29",IF(HR_Employee_Attrition[[#This Row],[Age]]&gt;=18,"18-20"))))))</f>
        <v>20-29</v>
      </c>
      <c r="AK476" t="str" cm="1">
        <f t="array" ref="AK476">_xlfn.IFS(HR_Employee_Attrition[[#This Row],[YearsAtCompany]]&lt;=2,"0-2",HR_Employee_Attrition[[#This Row],[YearsAtCompany]]&lt;=5,"3-5",HR_Employee_Attrition[[#This Row],[YearsAtCompany]]&lt;=10,"6-10",HR_Employee_Attrition[[#This Row],[YearsAtCompany]]&gt;10,"10+")</f>
        <v>6-10</v>
      </c>
      <c r="AL476" t="str" cm="1">
        <f t="array" ref="AL4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76">
        <f>IF(HR_Employee_Attrition[[#This Row],[Attrition]]="Yes",1,0)</f>
        <v>0</v>
      </c>
    </row>
    <row r="477" spans="1:39" x14ac:dyDescent="0.3">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c r="AJ477" t="str">
        <f>IF(HR_Employee_Attrition[[#This Row],[Age]]&gt;60,"60+",IF(HR_Employee_Attrition[[#This Row],[Age]]&gt;=50,"50-59",IF(HR_Employee_Attrition[[#This Row],[Age]]&gt;=40,"40-49",IF(HR_Employee_Attrition[[#This Row],[Age]]&gt;=30,"30-39",IF(HR_Employee_Attrition[[#This Row],[Age]]&gt;=20,"20-29",IF(HR_Employee_Attrition[[#This Row],[Age]]&gt;=18,"18-20"))))))</f>
        <v>20-29</v>
      </c>
      <c r="AK477" t="str" cm="1">
        <f t="array" ref="AK477">_xlfn.IFS(HR_Employee_Attrition[[#This Row],[YearsAtCompany]]&lt;=2,"0-2",HR_Employee_Attrition[[#This Row],[YearsAtCompany]]&lt;=5,"3-5",HR_Employee_Attrition[[#This Row],[YearsAtCompany]]&lt;=10,"6-10",HR_Employee_Attrition[[#This Row],[YearsAtCompany]]&gt;10,"10+")</f>
        <v>3-5</v>
      </c>
      <c r="AL477" t="str" cm="1">
        <f t="array" ref="AL4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77">
        <f>IF(HR_Employee_Attrition[[#This Row],[Attrition]]="Yes",1,0)</f>
        <v>0</v>
      </c>
    </row>
    <row r="478" spans="1:39" x14ac:dyDescent="0.3">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c r="AJ478" t="str">
        <f>IF(HR_Employee_Attrition[[#This Row],[Age]]&gt;60,"60+",IF(HR_Employee_Attrition[[#This Row],[Age]]&gt;=50,"50-59",IF(HR_Employee_Attrition[[#This Row],[Age]]&gt;=40,"40-49",IF(HR_Employee_Attrition[[#This Row],[Age]]&gt;=30,"30-39",IF(HR_Employee_Attrition[[#This Row],[Age]]&gt;=20,"20-29",IF(HR_Employee_Attrition[[#This Row],[Age]]&gt;=18,"18-20"))))))</f>
        <v>20-29</v>
      </c>
      <c r="AK478" t="str" cm="1">
        <f t="array" ref="AK478">_xlfn.IFS(HR_Employee_Attrition[[#This Row],[YearsAtCompany]]&lt;=2,"0-2",HR_Employee_Attrition[[#This Row],[YearsAtCompany]]&lt;=5,"3-5",HR_Employee_Attrition[[#This Row],[YearsAtCompany]]&lt;=10,"6-10",HR_Employee_Attrition[[#This Row],[YearsAtCompany]]&gt;10,"10+")</f>
        <v>0-2</v>
      </c>
      <c r="AL478" t="str" cm="1">
        <f t="array" ref="AL4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78">
        <f>IF(HR_Employee_Attrition[[#This Row],[Attrition]]="Yes",1,0)</f>
        <v>0</v>
      </c>
    </row>
    <row r="479" spans="1:39" x14ac:dyDescent="0.3">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c r="AJ479" t="str">
        <f>IF(HR_Employee_Attrition[[#This Row],[Age]]&gt;60,"60+",IF(HR_Employee_Attrition[[#This Row],[Age]]&gt;=50,"50-59",IF(HR_Employee_Attrition[[#This Row],[Age]]&gt;=40,"40-49",IF(HR_Employee_Attrition[[#This Row],[Age]]&gt;=30,"30-39",IF(HR_Employee_Attrition[[#This Row],[Age]]&gt;=20,"20-29",IF(HR_Employee_Attrition[[#This Row],[Age]]&gt;=18,"18-20"))))))</f>
        <v>50-59</v>
      </c>
      <c r="AK479" t="str" cm="1">
        <f t="array" ref="AK479">_xlfn.IFS(HR_Employee_Attrition[[#This Row],[YearsAtCompany]]&lt;=2,"0-2",HR_Employee_Attrition[[#This Row],[YearsAtCompany]]&lt;=5,"3-5",HR_Employee_Attrition[[#This Row],[YearsAtCompany]]&lt;=10,"6-10",HR_Employee_Attrition[[#This Row],[YearsAtCompany]]&gt;10,"10+")</f>
        <v>10+</v>
      </c>
      <c r="AL479" t="str" cm="1">
        <f t="array" ref="AL4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79">
        <f>IF(HR_Employee_Attrition[[#This Row],[Attrition]]="Yes",1,0)</f>
        <v>0</v>
      </c>
    </row>
    <row r="480" spans="1:39" x14ac:dyDescent="0.3">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c r="AJ480" t="str">
        <f>IF(HR_Employee_Attrition[[#This Row],[Age]]&gt;60,"60+",IF(HR_Employee_Attrition[[#This Row],[Age]]&gt;=50,"50-59",IF(HR_Employee_Attrition[[#This Row],[Age]]&gt;=40,"40-49",IF(HR_Employee_Attrition[[#This Row],[Age]]&gt;=30,"30-39",IF(HR_Employee_Attrition[[#This Row],[Age]]&gt;=20,"20-29",IF(HR_Employee_Attrition[[#This Row],[Age]]&gt;=18,"18-20"))))))</f>
        <v>20-29</v>
      </c>
      <c r="AK480" t="str" cm="1">
        <f t="array" ref="AK480">_xlfn.IFS(HR_Employee_Attrition[[#This Row],[YearsAtCompany]]&lt;=2,"0-2",HR_Employee_Attrition[[#This Row],[YearsAtCompany]]&lt;=5,"3-5",HR_Employee_Attrition[[#This Row],[YearsAtCompany]]&lt;=10,"6-10",HR_Employee_Attrition[[#This Row],[YearsAtCompany]]&gt;10,"10+")</f>
        <v>6-10</v>
      </c>
      <c r="AL480" t="str" cm="1">
        <f t="array" ref="AL4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0">
        <f>IF(HR_Employee_Attrition[[#This Row],[Attrition]]="Yes",1,0)</f>
        <v>0</v>
      </c>
    </row>
    <row r="481" spans="1:39" x14ac:dyDescent="0.3">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c r="AJ481" t="str">
        <f>IF(HR_Employee_Attrition[[#This Row],[Age]]&gt;60,"60+",IF(HR_Employee_Attrition[[#This Row],[Age]]&gt;=50,"50-59",IF(HR_Employee_Attrition[[#This Row],[Age]]&gt;=40,"40-49",IF(HR_Employee_Attrition[[#This Row],[Age]]&gt;=30,"30-39",IF(HR_Employee_Attrition[[#This Row],[Age]]&gt;=20,"20-29",IF(HR_Employee_Attrition[[#This Row],[Age]]&gt;=18,"18-20"))))))</f>
        <v>20-29</v>
      </c>
      <c r="AK481" t="str" cm="1">
        <f t="array" ref="AK481">_xlfn.IFS(HR_Employee_Attrition[[#This Row],[YearsAtCompany]]&lt;=2,"0-2",HR_Employee_Attrition[[#This Row],[YearsAtCompany]]&lt;=5,"3-5",HR_Employee_Attrition[[#This Row],[YearsAtCompany]]&lt;=10,"6-10",HR_Employee_Attrition[[#This Row],[YearsAtCompany]]&gt;10,"10+")</f>
        <v>6-10</v>
      </c>
      <c r="AL481" t="str" cm="1">
        <f t="array" ref="AL4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1">
        <f>IF(HR_Employee_Attrition[[#This Row],[Attrition]]="Yes",1,0)</f>
        <v>1</v>
      </c>
    </row>
    <row r="482" spans="1:39" x14ac:dyDescent="0.3">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c r="AJ482" t="str">
        <f>IF(HR_Employee_Attrition[[#This Row],[Age]]&gt;60,"60+",IF(HR_Employee_Attrition[[#This Row],[Age]]&gt;=50,"50-59",IF(HR_Employee_Attrition[[#This Row],[Age]]&gt;=40,"40-49",IF(HR_Employee_Attrition[[#This Row],[Age]]&gt;=30,"30-39",IF(HR_Employee_Attrition[[#This Row],[Age]]&gt;=20,"20-29",IF(HR_Employee_Attrition[[#This Row],[Age]]&gt;=18,"18-20"))))))</f>
        <v>30-39</v>
      </c>
      <c r="AK482" t="str" cm="1">
        <f t="array" ref="AK482">_xlfn.IFS(HR_Employee_Attrition[[#This Row],[YearsAtCompany]]&lt;=2,"0-2",HR_Employee_Attrition[[#This Row],[YearsAtCompany]]&lt;=5,"3-5",HR_Employee_Attrition[[#This Row],[YearsAtCompany]]&lt;=10,"6-10",HR_Employee_Attrition[[#This Row],[YearsAtCompany]]&gt;10,"10+")</f>
        <v>0-2</v>
      </c>
      <c r="AL482" t="str" cm="1">
        <f t="array" ref="AL4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2">
        <f>IF(HR_Employee_Attrition[[#This Row],[Attrition]]="Yes",1,0)</f>
        <v>1</v>
      </c>
    </row>
    <row r="483" spans="1:39" x14ac:dyDescent="0.3">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c r="AJ483" t="str">
        <f>IF(HR_Employee_Attrition[[#This Row],[Age]]&gt;60,"60+",IF(HR_Employee_Attrition[[#This Row],[Age]]&gt;=50,"50-59",IF(HR_Employee_Attrition[[#This Row],[Age]]&gt;=40,"40-49",IF(HR_Employee_Attrition[[#This Row],[Age]]&gt;=30,"30-39",IF(HR_Employee_Attrition[[#This Row],[Age]]&gt;=20,"20-29",IF(HR_Employee_Attrition[[#This Row],[Age]]&gt;=18,"18-20"))))))</f>
        <v>30-39</v>
      </c>
      <c r="AK483" t="str" cm="1">
        <f t="array" ref="AK483">_xlfn.IFS(HR_Employee_Attrition[[#This Row],[YearsAtCompany]]&lt;=2,"0-2",HR_Employee_Attrition[[#This Row],[YearsAtCompany]]&lt;=5,"3-5",HR_Employee_Attrition[[#This Row],[YearsAtCompany]]&lt;=10,"6-10",HR_Employee_Attrition[[#This Row],[YearsAtCompany]]&gt;10,"10+")</f>
        <v>6-10</v>
      </c>
      <c r="AL483" t="str" cm="1">
        <f t="array" ref="AL4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3">
        <f>IF(HR_Employee_Attrition[[#This Row],[Attrition]]="Yes",1,0)</f>
        <v>0</v>
      </c>
    </row>
    <row r="484" spans="1:39" x14ac:dyDescent="0.3">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c r="AJ484" t="str">
        <f>IF(HR_Employee_Attrition[[#This Row],[Age]]&gt;60,"60+",IF(HR_Employee_Attrition[[#This Row],[Age]]&gt;=50,"50-59",IF(HR_Employee_Attrition[[#This Row],[Age]]&gt;=40,"40-49",IF(HR_Employee_Attrition[[#This Row],[Age]]&gt;=30,"30-39",IF(HR_Employee_Attrition[[#This Row],[Age]]&gt;=20,"20-29",IF(HR_Employee_Attrition[[#This Row],[Age]]&gt;=18,"18-20"))))))</f>
        <v>30-39</v>
      </c>
      <c r="AK484" t="str" cm="1">
        <f t="array" ref="AK484">_xlfn.IFS(HR_Employee_Attrition[[#This Row],[YearsAtCompany]]&lt;=2,"0-2",HR_Employee_Attrition[[#This Row],[YearsAtCompany]]&lt;=5,"3-5",HR_Employee_Attrition[[#This Row],[YearsAtCompany]]&lt;=10,"6-10",HR_Employee_Attrition[[#This Row],[YearsAtCompany]]&gt;10,"10+")</f>
        <v>3-5</v>
      </c>
      <c r="AL484" t="str" cm="1">
        <f t="array" ref="AL4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4">
        <f>IF(HR_Employee_Attrition[[#This Row],[Attrition]]="Yes",1,0)</f>
        <v>1</v>
      </c>
    </row>
    <row r="485" spans="1:39" x14ac:dyDescent="0.3">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c r="AJ485" t="str">
        <f>IF(HR_Employee_Attrition[[#This Row],[Age]]&gt;60,"60+",IF(HR_Employee_Attrition[[#This Row],[Age]]&gt;=50,"50-59",IF(HR_Employee_Attrition[[#This Row],[Age]]&gt;=40,"40-49",IF(HR_Employee_Attrition[[#This Row],[Age]]&gt;=30,"30-39",IF(HR_Employee_Attrition[[#This Row],[Age]]&gt;=20,"20-29",IF(HR_Employee_Attrition[[#This Row],[Age]]&gt;=18,"18-20"))))))</f>
        <v>30-39</v>
      </c>
      <c r="AK485" t="str" cm="1">
        <f t="array" ref="AK485">_xlfn.IFS(HR_Employee_Attrition[[#This Row],[YearsAtCompany]]&lt;=2,"0-2",HR_Employee_Attrition[[#This Row],[YearsAtCompany]]&lt;=5,"3-5",HR_Employee_Attrition[[#This Row],[YearsAtCompany]]&lt;=10,"6-10",HR_Employee_Attrition[[#This Row],[YearsAtCompany]]&gt;10,"10+")</f>
        <v>3-5</v>
      </c>
      <c r="AL485" t="str" cm="1">
        <f t="array" ref="AL4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5">
        <f>IF(HR_Employee_Attrition[[#This Row],[Attrition]]="Yes",1,0)</f>
        <v>0</v>
      </c>
    </row>
    <row r="486" spans="1:39" x14ac:dyDescent="0.3">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c r="AJ486" t="str">
        <f>IF(HR_Employee_Attrition[[#This Row],[Age]]&gt;60,"60+",IF(HR_Employee_Attrition[[#This Row],[Age]]&gt;=50,"50-59",IF(HR_Employee_Attrition[[#This Row],[Age]]&gt;=40,"40-49",IF(HR_Employee_Attrition[[#This Row],[Age]]&gt;=30,"30-39",IF(HR_Employee_Attrition[[#This Row],[Age]]&gt;=20,"20-29",IF(HR_Employee_Attrition[[#This Row],[Age]]&gt;=18,"18-20"))))))</f>
        <v>30-39</v>
      </c>
      <c r="AK486" t="str" cm="1">
        <f t="array" ref="AK486">_xlfn.IFS(HR_Employee_Attrition[[#This Row],[YearsAtCompany]]&lt;=2,"0-2",HR_Employee_Attrition[[#This Row],[YearsAtCompany]]&lt;=5,"3-5",HR_Employee_Attrition[[#This Row],[YearsAtCompany]]&lt;=10,"6-10",HR_Employee_Attrition[[#This Row],[YearsAtCompany]]&gt;10,"10+")</f>
        <v>6-10</v>
      </c>
      <c r="AL486" t="str" cm="1">
        <f t="array" ref="AL4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86">
        <f>IF(HR_Employee_Attrition[[#This Row],[Attrition]]="Yes",1,0)</f>
        <v>0</v>
      </c>
    </row>
    <row r="487" spans="1:39" x14ac:dyDescent="0.3">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c r="AJ487" t="str">
        <f>IF(HR_Employee_Attrition[[#This Row],[Age]]&gt;60,"60+",IF(HR_Employee_Attrition[[#This Row],[Age]]&gt;=50,"50-59",IF(HR_Employee_Attrition[[#This Row],[Age]]&gt;=40,"40-49",IF(HR_Employee_Attrition[[#This Row],[Age]]&gt;=30,"30-39",IF(HR_Employee_Attrition[[#This Row],[Age]]&gt;=20,"20-29",IF(HR_Employee_Attrition[[#This Row],[Age]]&gt;=18,"18-20"))))))</f>
        <v>20-29</v>
      </c>
      <c r="AK487" t="str" cm="1">
        <f t="array" ref="AK487">_xlfn.IFS(HR_Employee_Attrition[[#This Row],[YearsAtCompany]]&lt;=2,"0-2",HR_Employee_Attrition[[#This Row],[YearsAtCompany]]&lt;=5,"3-5",HR_Employee_Attrition[[#This Row],[YearsAtCompany]]&lt;=10,"6-10",HR_Employee_Attrition[[#This Row],[YearsAtCompany]]&gt;10,"10+")</f>
        <v>3-5</v>
      </c>
      <c r="AL487" t="str" cm="1">
        <f t="array" ref="AL4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7">
        <f>IF(HR_Employee_Attrition[[#This Row],[Attrition]]="Yes",1,0)</f>
        <v>0</v>
      </c>
    </row>
    <row r="488" spans="1:39" x14ac:dyDescent="0.3">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c r="AJ488" t="str">
        <f>IF(HR_Employee_Attrition[[#This Row],[Age]]&gt;60,"60+",IF(HR_Employee_Attrition[[#This Row],[Age]]&gt;=50,"50-59",IF(HR_Employee_Attrition[[#This Row],[Age]]&gt;=40,"40-49",IF(HR_Employee_Attrition[[#This Row],[Age]]&gt;=30,"30-39",IF(HR_Employee_Attrition[[#This Row],[Age]]&gt;=20,"20-29",IF(HR_Employee_Attrition[[#This Row],[Age]]&gt;=18,"18-20"))))))</f>
        <v>30-39</v>
      </c>
      <c r="AK488" t="str" cm="1">
        <f t="array" ref="AK488">_xlfn.IFS(HR_Employee_Attrition[[#This Row],[YearsAtCompany]]&lt;=2,"0-2",HR_Employee_Attrition[[#This Row],[YearsAtCompany]]&lt;=5,"3-5",HR_Employee_Attrition[[#This Row],[YearsAtCompany]]&lt;=10,"6-10",HR_Employee_Attrition[[#This Row],[YearsAtCompany]]&gt;10,"10+")</f>
        <v>3-5</v>
      </c>
      <c r="AL488" t="str" cm="1">
        <f t="array" ref="AL4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88">
        <f>IF(HR_Employee_Attrition[[#This Row],[Attrition]]="Yes",1,0)</f>
        <v>0</v>
      </c>
    </row>
    <row r="489" spans="1:39" x14ac:dyDescent="0.3">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c r="AJ489" t="str">
        <f>IF(HR_Employee_Attrition[[#This Row],[Age]]&gt;60,"60+",IF(HR_Employee_Attrition[[#This Row],[Age]]&gt;=50,"50-59",IF(HR_Employee_Attrition[[#This Row],[Age]]&gt;=40,"40-49",IF(HR_Employee_Attrition[[#This Row],[Age]]&gt;=30,"30-39",IF(HR_Employee_Attrition[[#This Row],[Age]]&gt;=20,"20-29",IF(HR_Employee_Attrition[[#This Row],[Age]]&gt;=18,"18-20"))))))</f>
        <v>20-29</v>
      </c>
      <c r="AK489" t="str" cm="1">
        <f t="array" ref="AK489">_xlfn.IFS(HR_Employee_Attrition[[#This Row],[YearsAtCompany]]&lt;=2,"0-2",HR_Employee_Attrition[[#This Row],[YearsAtCompany]]&lt;=5,"3-5",HR_Employee_Attrition[[#This Row],[YearsAtCompany]]&lt;=10,"6-10",HR_Employee_Attrition[[#This Row],[YearsAtCompany]]&gt;10,"10+")</f>
        <v>0-2</v>
      </c>
      <c r="AL489" t="str" cm="1">
        <f t="array" ref="AL4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9">
        <f>IF(HR_Employee_Attrition[[#This Row],[Attrition]]="Yes",1,0)</f>
        <v>0</v>
      </c>
    </row>
    <row r="490" spans="1:39" x14ac:dyDescent="0.3">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c r="AJ490" t="str">
        <f>IF(HR_Employee_Attrition[[#This Row],[Age]]&gt;60,"60+",IF(HR_Employee_Attrition[[#This Row],[Age]]&gt;=50,"50-59",IF(HR_Employee_Attrition[[#This Row],[Age]]&gt;=40,"40-49",IF(HR_Employee_Attrition[[#This Row],[Age]]&gt;=30,"30-39",IF(HR_Employee_Attrition[[#This Row],[Age]]&gt;=20,"20-29",IF(HR_Employee_Attrition[[#This Row],[Age]]&gt;=18,"18-20"))))))</f>
        <v>40-49</v>
      </c>
      <c r="AK490" t="str" cm="1">
        <f t="array" ref="AK490">_xlfn.IFS(HR_Employee_Attrition[[#This Row],[YearsAtCompany]]&lt;=2,"0-2",HR_Employee_Attrition[[#This Row],[YearsAtCompany]]&lt;=5,"3-5",HR_Employee_Attrition[[#This Row],[YearsAtCompany]]&lt;=10,"6-10",HR_Employee_Attrition[[#This Row],[YearsAtCompany]]&gt;10,"10+")</f>
        <v>6-10</v>
      </c>
      <c r="AL490" t="str" cm="1">
        <f t="array" ref="AL4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90">
        <f>IF(HR_Employee_Attrition[[#This Row],[Attrition]]="Yes",1,0)</f>
        <v>0</v>
      </c>
    </row>
    <row r="491" spans="1:39" x14ac:dyDescent="0.3">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c r="AJ491" t="str">
        <f>IF(HR_Employee_Attrition[[#This Row],[Age]]&gt;60,"60+",IF(HR_Employee_Attrition[[#This Row],[Age]]&gt;=50,"50-59",IF(HR_Employee_Attrition[[#This Row],[Age]]&gt;=40,"40-49",IF(HR_Employee_Attrition[[#This Row],[Age]]&gt;=30,"30-39",IF(HR_Employee_Attrition[[#This Row],[Age]]&gt;=20,"20-29",IF(HR_Employee_Attrition[[#This Row],[Age]]&gt;=18,"18-20"))))))</f>
        <v>40-49</v>
      </c>
      <c r="AK491" t="str" cm="1">
        <f t="array" ref="AK491">_xlfn.IFS(HR_Employee_Attrition[[#This Row],[YearsAtCompany]]&lt;=2,"0-2",HR_Employee_Attrition[[#This Row],[YearsAtCompany]]&lt;=5,"3-5",HR_Employee_Attrition[[#This Row],[YearsAtCompany]]&lt;=10,"6-10",HR_Employee_Attrition[[#This Row],[YearsAtCompany]]&gt;10,"10+")</f>
        <v>0-2</v>
      </c>
      <c r="AL491" t="str" cm="1">
        <f t="array" ref="AL4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91">
        <f>IF(HR_Employee_Attrition[[#This Row],[Attrition]]="Yes",1,0)</f>
        <v>0</v>
      </c>
    </row>
    <row r="492" spans="1:39" x14ac:dyDescent="0.3">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c r="AJ492" t="str">
        <f>IF(HR_Employee_Attrition[[#This Row],[Age]]&gt;60,"60+",IF(HR_Employee_Attrition[[#This Row],[Age]]&gt;=50,"50-59",IF(HR_Employee_Attrition[[#This Row],[Age]]&gt;=40,"40-49",IF(HR_Employee_Attrition[[#This Row],[Age]]&gt;=30,"30-39",IF(HR_Employee_Attrition[[#This Row],[Age]]&gt;=20,"20-29",IF(HR_Employee_Attrition[[#This Row],[Age]]&gt;=18,"18-20"))))))</f>
        <v>30-39</v>
      </c>
      <c r="AK492" t="str" cm="1">
        <f t="array" ref="AK492">_xlfn.IFS(HR_Employee_Attrition[[#This Row],[YearsAtCompany]]&lt;=2,"0-2",HR_Employee_Attrition[[#This Row],[YearsAtCompany]]&lt;=5,"3-5",HR_Employee_Attrition[[#This Row],[YearsAtCompany]]&lt;=10,"6-10",HR_Employee_Attrition[[#This Row],[YearsAtCompany]]&gt;10,"10+")</f>
        <v>0-2</v>
      </c>
      <c r="AL492" t="str" cm="1">
        <f t="array" ref="AL4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92">
        <f>IF(HR_Employee_Attrition[[#This Row],[Attrition]]="Yes",1,0)</f>
        <v>0</v>
      </c>
    </row>
    <row r="493" spans="1:39" x14ac:dyDescent="0.3">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c r="AJ493" t="str">
        <f>IF(HR_Employee_Attrition[[#This Row],[Age]]&gt;60,"60+",IF(HR_Employee_Attrition[[#This Row],[Age]]&gt;=50,"50-59",IF(HR_Employee_Attrition[[#This Row],[Age]]&gt;=40,"40-49",IF(HR_Employee_Attrition[[#This Row],[Age]]&gt;=30,"30-39",IF(HR_Employee_Attrition[[#This Row],[Age]]&gt;=20,"20-29",IF(HR_Employee_Attrition[[#This Row],[Age]]&gt;=18,"18-20"))))))</f>
        <v>40-49</v>
      </c>
      <c r="AK493" t="str" cm="1">
        <f t="array" ref="AK493">_xlfn.IFS(HR_Employee_Attrition[[#This Row],[YearsAtCompany]]&lt;=2,"0-2",HR_Employee_Attrition[[#This Row],[YearsAtCompany]]&lt;=5,"3-5",HR_Employee_Attrition[[#This Row],[YearsAtCompany]]&lt;=10,"6-10",HR_Employee_Attrition[[#This Row],[YearsAtCompany]]&gt;10,"10+")</f>
        <v>6-10</v>
      </c>
      <c r="AL493" t="str" cm="1">
        <f t="array" ref="AL4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93">
        <f>IF(HR_Employee_Attrition[[#This Row],[Attrition]]="Yes",1,0)</f>
        <v>0</v>
      </c>
    </row>
    <row r="494" spans="1:39" x14ac:dyDescent="0.3">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c r="AJ494" t="str">
        <f>IF(HR_Employee_Attrition[[#This Row],[Age]]&gt;60,"60+",IF(HR_Employee_Attrition[[#This Row],[Age]]&gt;=50,"50-59",IF(HR_Employee_Attrition[[#This Row],[Age]]&gt;=40,"40-49",IF(HR_Employee_Attrition[[#This Row],[Age]]&gt;=30,"30-39",IF(HR_Employee_Attrition[[#This Row],[Age]]&gt;=20,"20-29",IF(HR_Employee_Attrition[[#This Row],[Age]]&gt;=18,"18-20"))))))</f>
        <v>40-49</v>
      </c>
      <c r="AK494" t="str" cm="1">
        <f t="array" ref="AK494">_xlfn.IFS(HR_Employee_Attrition[[#This Row],[YearsAtCompany]]&lt;=2,"0-2",HR_Employee_Attrition[[#This Row],[YearsAtCompany]]&lt;=5,"3-5",HR_Employee_Attrition[[#This Row],[YearsAtCompany]]&lt;=10,"6-10",HR_Employee_Attrition[[#This Row],[YearsAtCompany]]&gt;10,"10+")</f>
        <v>3-5</v>
      </c>
      <c r="AL494" t="str" cm="1">
        <f t="array" ref="AL4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94">
        <f>IF(HR_Employee_Attrition[[#This Row],[Attrition]]="Yes",1,0)</f>
        <v>0</v>
      </c>
    </row>
    <row r="495" spans="1:39" x14ac:dyDescent="0.3">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c r="AJ495" t="str">
        <f>IF(HR_Employee_Attrition[[#This Row],[Age]]&gt;60,"60+",IF(HR_Employee_Attrition[[#This Row],[Age]]&gt;=50,"50-59",IF(HR_Employee_Attrition[[#This Row],[Age]]&gt;=40,"40-49",IF(HR_Employee_Attrition[[#This Row],[Age]]&gt;=30,"30-39",IF(HR_Employee_Attrition[[#This Row],[Age]]&gt;=20,"20-29",IF(HR_Employee_Attrition[[#This Row],[Age]]&gt;=18,"18-20"))))))</f>
        <v>40-49</v>
      </c>
      <c r="AK495" t="str" cm="1">
        <f t="array" ref="AK495">_xlfn.IFS(HR_Employee_Attrition[[#This Row],[YearsAtCompany]]&lt;=2,"0-2",HR_Employee_Attrition[[#This Row],[YearsAtCompany]]&lt;=5,"3-5",HR_Employee_Attrition[[#This Row],[YearsAtCompany]]&lt;=10,"6-10",HR_Employee_Attrition[[#This Row],[YearsAtCompany]]&gt;10,"10+")</f>
        <v>0-2</v>
      </c>
      <c r="AL495" t="str" cm="1">
        <f t="array" ref="AL4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95">
        <f>IF(HR_Employee_Attrition[[#This Row],[Attrition]]="Yes",1,0)</f>
        <v>0</v>
      </c>
    </row>
    <row r="496" spans="1:39" x14ac:dyDescent="0.3">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c r="AJ496" t="str">
        <f>IF(HR_Employee_Attrition[[#This Row],[Age]]&gt;60,"60+",IF(HR_Employee_Attrition[[#This Row],[Age]]&gt;=50,"50-59",IF(HR_Employee_Attrition[[#This Row],[Age]]&gt;=40,"40-49",IF(HR_Employee_Attrition[[#This Row],[Age]]&gt;=30,"30-39",IF(HR_Employee_Attrition[[#This Row],[Age]]&gt;=20,"20-29",IF(HR_Employee_Attrition[[#This Row],[Age]]&gt;=18,"18-20"))))))</f>
        <v>30-39</v>
      </c>
      <c r="AK496" t="str" cm="1">
        <f t="array" ref="AK496">_xlfn.IFS(HR_Employee_Attrition[[#This Row],[YearsAtCompany]]&lt;=2,"0-2",HR_Employee_Attrition[[#This Row],[YearsAtCompany]]&lt;=5,"3-5",HR_Employee_Attrition[[#This Row],[YearsAtCompany]]&lt;=10,"6-10",HR_Employee_Attrition[[#This Row],[YearsAtCompany]]&gt;10,"10+")</f>
        <v>6-10</v>
      </c>
      <c r="AL496" t="str" cm="1">
        <f t="array" ref="AL4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96">
        <f>IF(HR_Employee_Attrition[[#This Row],[Attrition]]="Yes",1,0)</f>
        <v>0</v>
      </c>
    </row>
    <row r="497" spans="1:39" x14ac:dyDescent="0.3">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c r="AJ497" t="str">
        <f>IF(HR_Employee_Attrition[[#This Row],[Age]]&gt;60,"60+",IF(HR_Employee_Attrition[[#This Row],[Age]]&gt;=50,"50-59",IF(HR_Employee_Attrition[[#This Row],[Age]]&gt;=40,"40-49",IF(HR_Employee_Attrition[[#This Row],[Age]]&gt;=30,"30-39",IF(HR_Employee_Attrition[[#This Row],[Age]]&gt;=20,"20-29",IF(HR_Employee_Attrition[[#This Row],[Age]]&gt;=18,"18-20"))))))</f>
        <v>20-29</v>
      </c>
      <c r="AK497" t="str" cm="1">
        <f t="array" ref="AK497">_xlfn.IFS(HR_Employee_Attrition[[#This Row],[YearsAtCompany]]&lt;=2,"0-2",HR_Employee_Attrition[[#This Row],[YearsAtCompany]]&lt;=5,"3-5",HR_Employee_Attrition[[#This Row],[YearsAtCompany]]&lt;=10,"6-10",HR_Employee_Attrition[[#This Row],[YearsAtCompany]]&gt;10,"10+")</f>
        <v>3-5</v>
      </c>
      <c r="AL497" t="str" cm="1">
        <f t="array" ref="AL4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97">
        <f>IF(HR_Employee_Attrition[[#This Row],[Attrition]]="Yes",1,0)</f>
        <v>1</v>
      </c>
    </row>
    <row r="498" spans="1:39" x14ac:dyDescent="0.3">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c r="AJ498" t="str">
        <f>IF(HR_Employee_Attrition[[#This Row],[Age]]&gt;60,"60+",IF(HR_Employee_Attrition[[#This Row],[Age]]&gt;=50,"50-59",IF(HR_Employee_Attrition[[#This Row],[Age]]&gt;=40,"40-49",IF(HR_Employee_Attrition[[#This Row],[Age]]&gt;=30,"30-39",IF(HR_Employee_Attrition[[#This Row],[Age]]&gt;=20,"20-29",IF(HR_Employee_Attrition[[#This Row],[Age]]&gt;=18,"18-20"))))))</f>
        <v>20-29</v>
      </c>
      <c r="AK498" t="str" cm="1">
        <f t="array" ref="AK498">_xlfn.IFS(HR_Employee_Attrition[[#This Row],[YearsAtCompany]]&lt;=2,"0-2",HR_Employee_Attrition[[#This Row],[YearsAtCompany]]&lt;=5,"3-5",HR_Employee_Attrition[[#This Row],[YearsAtCompany]]&lt;=10,"6-10",HR_Employee_Attrition[[#This Row],[YearsAtCompany]]&gt;10,"10+")</f>
        <v>3-5</v>
      </c>
      <c r="AL498" t="str" cm="1">
        <f t="array" ref="AL4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98">
        <f>IF(HR_Employee_Attrition[[#This Row],[Attrition]]="Yes",1,0)</f>
        <v>0</v>
      </c>
    </row>
    <row r="499" spans="1:39" x14ac:dyDescent="0.3">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c r="AJ499" t="str">
        <f>IF(HR_Employee_Attrition[[#This Row],[Age]]&gt;60,"60+",IF(HR_Employee_Attrition[[#This Row],[Age]]&gt;=50,"50-59",IF(HR_Employee_Attrition[[#This Row],[Age]]&gt;=40,"40-49",IF(HR_Employee_Attrition[[#This Row],[Age]]&gt;=30,"30-39",IF(HR_Employee_Attrition[[#This Row],[Age]]&gt;=20,"20-29",IF(HR_Employee_Attrition[[#This Row],[Age]]&gt;=18,"18-20"))))))</f>
        <v>40-49</v>
      </c>
      <c r="AK499" t="str" cm="1">
        <f t="array" ref="AK499">_xlfn.IFS(HR_Employee_Attrition[[#This Row],[YearsAtCompany]]&lt;=2,"0-2",HR_Employee_Attrition[[#This Row],[YearsAtCompany]]&lt;=5,"3-5",HR_Employee_Attrition[[#This Row],[YearsAtCompany]]&lt;=10,"6-10",HR_Employee_Attrition[[#This Row],[YearsAtCompany]]&gt;10,"10+")</f>
        <v>0-2</v>
      </c>
      <c r="AL499" t="str" cm="1">
        <f t="array" ref="AL4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99">
        <f>IF(HR_Employee_Attrition[[#This Row],[Attrition]]="Yes",1,0)</f>
        <v>0</v>
      </c>
    </row>
    <row r="500" spans="1:39" x14ac:dyDescent="0.3">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c r="AJ500" t="str">
        <f>IF(HR_Employee_Attrition[[#This Row],[Age]]&gt;60,"60+",IF(HR_Employee_Attrition[[#This Row],[Age]]&gt;=50,"50-59",IF(HR_Employee_Attrition[[#This Row],[Age]]&gt;=40,"40-49",IF(HR_Employee_Attrition[[#This Row],[Age]]&gt;=30,"30-39",IF(HR_Employee_Attrition[[#This Row],[Age]]&gt;=20,"20-29",IF(HR_Employee_Attrition[[#This Row],[Age]]&gt;=18,"18-20"))))))</f>
        <v>20-29</v>
      </c>
      <c r="AK500" t="str" cm="1">
        <f t="array" ref="AK500">_xlfn.IFS(HR_Employee_Attrition[[#This Row],[YearsAtCompany]]&lt;=2,"0-2",HR_Employee_Attrition[[#This Row],[YearsAtCompany]]&lt;=5,"3-5",HR_Employee_Attrition[[#This Row],[YearsAtCompany]]&lt;=10,"6-10",HR_Employee_Attrition[[#This Row],[YearsAtCompany]]&gt;10,"10+")</f>
        <v>0-2</v>
      </c>
      <c r="AL500" t="str" cm="1">
        <f t="array" ref="AL5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00">
        <f>IF(HR_Employee_Attrition[[#This Row],[Attrition]]="Yes",1,0)</f>
        <v>0</v>
      </c>
    </row>
    <row r="501" spans="1:39" x14ac:dyDescent="0.3">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c r="AJ501" t="str">
        <f>IF(HR_Employee_Attrition[[#This Row],[Age]]&gt;60,"60+",IF(HR_Employee_Attrition[[#This Row],[Age]]&gt;=50,"50-59",IF(HR_Employee_Attrition[[#This Row],[Age]]&gt;=40,"40-49",IF(HR_Employee_Attrition[[#This Row],[Age]]&gt;=30,"30-39",IF(HR_Employee_Attrition[[#This Row],[Age]]&gt;=20,"20-29",IF(HR_Employee_Attrition[[#This Row],[Age]]&gt;=18,"18-20"))))))</f>
        <v>30-39</v>
      </c>
      <c r="AK501" t="str" cm="1">
        <f t="array" ref="AK501">_xlfn.IFS(HR_Employee_Attrition[[#This Row],[YearsAtCompany]]&lt;=2,"0-2",HR_Employee_Attrition[[#This Row],[YearsAtCompany]]&lt;=5,"3-5",HR_Employee_Attrition[[#This Row],[YearsAtCompany]]&lt;=10,"6-10",HR_Employee_Attrition[[#This Row],[YearsAtCompany]]&gt;10,"10+")</f>
        <v>3-5</v>
      </c>
      <c r="AL501" t="str" cm="1">
        <f t="array" ref="AL5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01">
        <f>IF(HR_Employee_Attrition[[#This Row],[Attrition]]="Yes",1,0)</f>
        <v>0</v>
      </c>
    </row>
    <row r="502" spans="1:39" x14ac:dyDescent="0.3">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c r="AJ502" t="str">
        <f>IF(HR_Employee_Attrition[[#This Row],[Age]]&gt;60,"60+",IF(HR_Employee_Attrition[[#This Row],[Age]]&gt;=50,"50-59",IF(HR_Employee_Attrition[[#This Row],[Age]]&gt;=40,"40-49",IF(HR_Employee_Attrition[[#This Row],[Age]]&gt;=30,"30-39",IF(HR_Employee_Attrition[[#This Row],[Age]]&gt;=20,"20-29",IF(HR_Employee_Attrition[[#This Row],[Age]]&gt;=18,"18-20"))))))</f>
        <v>30-39</v>
      </c>
      <c r="AK502" t="str" cm="1">
        <f t="array" ref="AK502">_xlfn.IFS(HR_Employee_Attrition[[#This Row],[YearsAtCompany]]&lt;=2,"0-2",HR_Employee_Attrition[[#This Row],[YearsAtCompany]]&lt;=5,"3-5",HR_Employee_Attrition[[#This Row],[YearsAtCompany]]&lt;=10,"6-10",HR_Employee_Attrition[[#This Row],[YearsAtCompany]]&gt;10,"10+")</f>
        <v>6-10</v>
      </c>
      <c r="AL502" t="str" cm="1">
        <f t="array" ref="AL5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02">
        <f>IF(HR_Employee_Attrition[[#This Row],[Attrition]]="Yes",1,0)</f>
        <v>0</v>
      </c>
    </row>
    <row r="503" spans="1:39" x14ac:dyDescent="0.3">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c r="AJ503" t="str">
        <f>IF(HR_Employee_Attrition[[#This Row],[Age]]&gt;60,"60+",IF(HR_Employee_Attrition[[#This Row],[Age]]&gt;=50,"50-59",IF(HR_Employee_Attrition[[#This Row],[Age]]&gt;=40,"40-49",IF(HR_Employee_Attrition[[#This Row],[Age]]&gt;=30,"30-39",IF(HR_Employee_Attrition[[#This Row],[Age]]&gt;=20,"20-29",IF(HR_Employee_Attrition[[#This Row],[Age]]&gt;=18,"18-20"))))))</f>
        <v>30-39</v>
      </c>
      <c r="AK503" t="str" cm="1">
        <f t="array" ref="AK503">_xlfn.IFS(HR_Employee_Attrition[[#This Row],[YearsAtCompany]]&lt;=2,"0-2",HR_Employee_Attrition[[#This Row],[YearsAtCompany]]&lt;=5,"3-5",HR_Employee_Attrition[[#This Row],[YearsAtCompany]]&lt;=10,"6-10",HR_Employee_Attrition[[#This Row],[YearsAtCompany]]&gt;10,"10+")</f>
        <v>0-2</v>
      </c>
      <c r="AL503" t="str" cm="1">
        <f t="array" ref="AL5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03">
        <f>IF(HR_Employee_Attrition[[#This Row],[Attrition]]="Yes",1,0)</f>
        <v>0</v>
      </c>
    </row>
    <row r="504" spans="1:39" x14ac:dyDescent="0.3">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c r="AJ504" t="str">
        <f>IF(HR_Employee_Attrition[[#This Row],[Age]]&gt;60,"60+",IF(HR_Employee_Attrition[[#This Row],[Age]]&gt;=50,"50-59",IF(HR_Employee_Attrition[[#This Row],[Age]]&gt;=40,"40-49",IF(HR_Employee_Attrition[[#This Row],[Age]]&gt;=30,"30-39",IF(HR_Employee_Attrition[[#This Row],[Age]]&gt;=20,"20-29",IF(HR_Employee_Attrition[[#This Row],[Age]]&gt;=18,"18-20"))))))</f>
        <v>50-59</v>
      </c>
      <c r="AK504" t="str" cm="1">
        <f t="array" ref="AK504">_xlfn.IFS(HR_Employee_Attrition[[#This Row],[YearsAtCompany]]&lt;=2,"0-2",HR_Employee_Attrition[[#This Row],[YearsAtCompany]]&lt;=5,"3-5",HR_Employee_Attrition[[#This Row],[YearsAtCompany]]&lt;=10,"6-10",HR_Employee_Attrition[[#This Row],[YearsAtCompany]]&gt;10,"10+")</f>
        <v>10+</v>
      </c>
      <c r="AL504" t="str" cm="1">
        <f t="array" ref="AL5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04">
        <f>IF(HR_Employee_Attrition[[#This Row],[Attrition]]="Yes",1,0)</f>
        <v>0</v>
      </c>
    </row>
    <row r="505" spans="1:39" x14ac:dyDescent="0.3">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c r="AJ505" t="str">
        <f>IF(HR_Employee_Attrition[[#This Row],[Age]]&gt;60,"60+",IF(HR_Employee_Attrition[[#This Row],[Age]]&gt;=50,"50-59",IF(HR_Employee_Attrition[[#This Row],[Age]]&gt;=40,"40-49",IF(HR_Employee_Attrition[[#This Row],[Age]]&gt;=30,"30-39",IF(HR_Employee_Attrition[[#This Row],[Age]]&gt;=20,"20-29",IF(HR_Employee_Attrition[[#This Row],[Age]]&gt;=18,"18-20"))))))</f>
        <v>30-39</v>
      </c>
      <c r="AK505" t="str" cm="1">
        <f t="array" ref="AK505">_xlfn.IFS(HR_Employee_Attrition[[#This Row],[YearsAtCompany]]&lt;=2,"0-2",HR_Employee_Attrition[[#This Row],[YearsAtCompany]]&lt;=5,"3-5",HR_Employee_Attrition[[#This Row],[YearsAtCompany]]&lt;=10,"6-10",HR_Employee_Attrition[[#This Row],[YearsAtCompany]]&gt;10,"10+")</f>
        <v>6-10</v>
      </c>
      <c r="AL505" t="str" cm="1">
        <f t="array" ref="AL5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05">
        <f>IF(HR_Employee_Attrition[[#This Row],[Attrition]]="Yes",1,0)</f>
        <v>0</v>
      </c>
    </row>
    <row r="506" spans="1:39" x14ac:dyDescent="0.3">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c r="AJ506" t="str">
        <f>IF(HR_Employee_Attrition[[#This Row],[Age]]&gt;60,"60+",IF(HR_Employee_Attrition[[#This Row],[Age]]&gt;=50,"50-59",IF(HR_Employee_Attrition[[#This Row],[Age]]&gt;=40,"40-49",IF(HR_Employee_Attrition[[#This Row],[Age]]&gt;=30,"30-39",IF(HR_Employee_Attrition[[#This Row],[Age]]&gt;=20,"20-29",IF(HR_Employee_Attrition[[#This Row],[Age]]&gt;=18,"18-20"))))))</f>
        <v>40-49</v>
      </c>
      <c r="AK506" t="str" cm="1">
        <f t="array" ref="AK506">_xlfn.IFS(HR_Employee_Attrition[[#This Row],[YearsAtCompany]]&lt;=2,"0-2",HR_Employee_Attrition[[#This Row],[YearsAtCompany]]&lt;=5,"3-5",HR_Employee_Attrition[[#This Row],[YearsAtCompany]]&lt;=10,"6-10",HR_Employee_Attrition[[#This Row],[YearsAtCompany]]&gt;10,"10+")</f>
        <v>0-2</v>
      </c>
      <c r="AL506" t="str" cm="1">
        <f t="array" ref="AL5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06">
        <f>IF(HR_Employee_Attrition[[#This Row],[Attrition]]="Yes",1,0)</f>
        <v>1</v>
      </c>
    </row>
    <row r="507" spans="1:39" x14ac:dyDescent="0.3">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c r="AJ507" t="str">
        <f>IF(HR_Employee_Attrition[[#This Row],[Age]]&gt;60,"60+",IF(HR_Employee_Attrition[[#This Row],[Age]]&gt;=50,"50-59",IF(HR_Employee_Attrition[[#This Row],[Age]]&gt;=40,"40-49",IF(HR_Employee_Attrition[[#This Row],[Age]]&gt;=30,"30-39",IF(HR_Employee_Attrition[[#This Row],[Age]]&gt;=20,"20-29",IF(HR_Employee_Attrition[[#This Row],[Age]]&gt;=18,"18-20"))))))</f>
        <v>20-29</v>
      </c>
      <c r="AK507" t="str" cm="1">
        <f t="array" ref="AK507">_xlfn.IFS(HR_Employee_Attrition[[#This Row],[YearsAtCompany]]&lt;=2,"0-2",HR_Employee_Attrition[[#This Row],[YearsAtCompany]]&lt;=5,"3-5",HR_Employee_Attrition[[#This Row],[YearsAtCompany]]&lt;=10,"6-10",HR_Employee_Attrition[[#This Row],[YearsAtCompany]]&gt;10,"10+")</f>
        <v>3-5</v>
      </c>
      <c r="AL507" t="str" cm="1">
        <f t="array" ref="AL5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07">
        <f>IF(HR_Employee_Attrition[[#This Row],[Attrition]]="Yes",1,0)</f>
        <v>0</v>
      </c>
    </row>
    <row r="508" spans="1:39" x14ac:dyDescent="0.3">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c r="AJ508" t="str">
        <f>IF(HR_Employee_Attrition[[#This Row],[Age]]&gt;60,"60+",IF(HR_Employee_Attrition[[#This Row],[Age]]&gt;=50,"50-59",IF(HR_Employee_Attrition[[#This Row],[Age]]&gt;=40,"40-49",IF(HR_Employee_Attrition[[#This Row],[Age]]&gt;=30,"30-39",IF(HR_Employee_Attrition[[#This Row],[Age]]&gt;=20,"20-29",IF(HR_Employee_Attrition[[#This Row],[Age]]&gt;=18,"18-20"))))))</f>
        <v>30-39</v>
      </c>
      <c r="AK508" t="str" cm="1">
        <f t="array" ref="AK508">_xlfn.IFS(HR_Employee_Attrition[[#This Row],[YearsAtCompany]]&lt;=2,"0-2",HR_Employee_Attrition[[#This Row],[YearsAtCompany]]&lt;=5,"3-5",HR_Employee_Attrition[[#This Row],[YearsAtCompany]]&lt;=10,"6-10",HR_Employee_Attrition[[#This Row],[YearsAtCompany]]&gt;10,"10+")</f>
        <v>6-10</v>
      </c>
      <c r="AL508" t="str" cm="1">
        <f t="array" ref="AL5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08">
        <f>IF(HR_Employee_Attrition[[#This Row],[Attrition]]="Yes",1,0)</f>
        <v>0</v>
      </c>
    </row>
    <row r="509" spans="1:39" x14ac:dyDescent="0.3">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c r="AJ509" t="str">
        <f>IF(HR_Employee_Attrition[[#This Row],[Age]]&gt;60,"60+",IF(HR_Employee_Attrition[[#This Row],[Age]]&gt;=50,"50-59",IF(HR_Employee_Attrition[[#This Row],[Age]]&gt;=40,"40-49",IF(HR_Employee_Attrition[[#This Row],[Age]]&gt;=30,"30-39",IF(HR_Employee_Attrition[[#This Row],[Age]]&gt;=20,"20-29",IF(HR_Employee_Attrition[[#This Row],[Age]]&gt;=18,"18-20"))))))</f>
        <v>20-29</v>
      </c>
      <c r="AK509" t="str" cm="1">
        <f t="array" ref="AK509">_xlfn.IFS(HR_Employee_Attrition[[#This Row],[YearsAtCompany]]&lt;=2,"0-2",HR_Employee_Attrition[[#This Row],[YearsAtCompany]]&lt;=5,"3-5",HR_Employee_Attrition[[#This Row],[YearsAtCompany]]&lt;=10,"6-10",HR_Employee_Attrition[[#This Row],[YearsAtCompany]]&gt;10,"10+")</f>
        <v>6-10</v>
      </c>
      <c r="AL509" t="str" cm="1">
        <f t="array" ref="AL5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09">
        <f>IF(HR_Employee_Attrition[[#This Row],[Attrition]]="Yes",1,0)</f>
        <v>0</v>
      </c>
    </row>
    <row r="510" spans="1:39" x14ac:dyDescent="0.3">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c r="AJ510" t="str">
        <f>IF(HR_Employee_Attrition[[#This Row],[Age]]&gt;60,"60+",IF(HR_Employee_Attrition[[#This Row],[Age]]&gt;=50,"50-59",IF(HR_Employee_Attrition[[#This Row],[Age]]&gt;=40,"40-49",IF(HR_Employee_Attrition[[#This Row],[Age]]&gt;=30,"30-39",IF(HR_Employee_Attrition[[#This Row],[Age]]&gt;=20,"20-29",IF(HR_Employee_Attrition[[#This Row],[Age]]&gt;=18,"18-20"))))))</f>
        <v>30-39</v>
      </c>
      <c r="AK510" t="str" cm="1">
        <f t="array" ref="AK510">_xlfn.IFS(HR_Employee_Attrition[[#This Row],[YearsAtCompany]]&lt;=2,"0-2",HR_Employee_Attrition[[#This Row],[YearsAtCompany]]&lt;=5,"3-5",HR_Employee_Attrition[[#This Row],[YearsAtCompany]]&lt;=10,"6-10",HR_Employee_Attrition[[#This Row],[YearsAtCompany]]&gt;10,"10+")</f>
        <v>10+</v>
      </c>
      <c r="AL510" t="str" cm="1">
        <f t="array" ref="AL5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10">
        <f>IF(HR_Employee_Attrition[[#This Row],[Attrition]]="Yes",1,0)</f>
        <v>0</v>
      </c>
    </row>
    <row r="511" spans="1:39" x14ac:dyDescent="0.3">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c r="AJ511" t="str">
        <f>IF(HR_Employee_Attrition[[#This Row],[Age]]&gt;60,"60+",IF(HR_Employee_Attrition[[#This Row],[Age]]&gt;=50,"50-59",IF(HR_Employee_Attrition[[#This Row],[Age]]&gt;=40,"40-49",IF(HR_Employee_Attrition[[#This Row],[Age]]&gt;=30,"30-39",IF(HR_Employee_Attrition[[#This Row],[Age]]&gt;=20,"20-29",IF(HR_Employee_Attrition[[#This Row],[Age]]&gt;=18,"18-20"))))))</f>
        <v>30-39</v>
      </c>
      <c r="AK511" t="str" cm="1">
        <f t="array" ref="AK511">_xlfn.IFS(HR_Employee_Attrition[[#This Row],[YearsAtCompany]]&lt;=2,"0-2",HR_Employee_Attrition[[#This Row],[YearsAtCompany]]&lt;=5,"3-5",HR_Employee_Attrition[[#This Row],[YearsAtCompany]]&lt;=10,"6-10",HR_Employee_Attrition[[#This Row],[YearsAtCompany]]&gt;10,"10+")</f>
        <v>10+</v>
      </c>
      <c r="AL511" t="str" cm="1">
        <f t="array" ref="AL5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11">
        <f>IF(HR_Employee_Attrition[[#This Row],[Attrition]]="Yes",1,0)</f>
        <v>0</v>
      </c>
    </row>
    <row r="512" spans="1:39" x14ac:dyDescent="0.3">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c r="AJ512" t="str">
        <f>IF(HR_Employee_Attrition[[#This Row],[Age]]&gt;60,"60+",IF(HR_Employee_Attrition[[#This Row],[Age]]&gt;=50,"50-59",IF(HR_Employee_Attrition[[#This Row],[Age]]&gt;=40,"40-49",IF(HR_Employee_Attrition[[#This Row],[Age]]&gt;=30,"30-39",IF(HR_Employee_Attrition[[#This Row],[Age]]&gt;=20,"20-29",IF(HR_Employee_Attrition[[#This Row],[Age]]&gt;=18,"18-20"))))))</f>
        <v>50-59</v>
      </c>
      <c r="AK512" t="str" cm="1">
        <f t="array" ref="AK512">_xlfn.IFS(HR_Employee_Attrition[[#This Row],[YearsAtCompany]]&lt;=2,"0-2",HR_Employee_Attrition[[#This Row],[YearsAtCompany]]&lt;=5,"3-5",HR_Employee_Attrition[[#This Row],[YearsAtCompany]]&lt;=10,"6-10",HR_Employee_Attrition[[#This Row],[YearsAtCompany]]&gt;10,"10+")</f>
        <v>6-10</v>
      </c>
      <c r="AL512" t="str" cm="1">
        <f t="array" ref="AL5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12">
        <f>IF(HR_Employee_Attrition[[#This Row],[Attrition]]="Yes",1,0)</f>
        <v>0</v>
      </c>
    </row>
    <row r="513" spans="1:39" x14ac:dyDescent="0.3">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c r="AJ513" t="str">
        <f>IF(HR_Employee_Attrition[[#This Row],[Age]]&gt;60,"60+",IF(HR_Employee_Attrition[[#This Row],[Age]]&gt;=50,"50-59",IF(HR_Employee_Attrition[[#This Row],[Age]]&gt;=40,"40-49",IF(HR_Employee_Attrition[[#This Row],[Age]]&gt;=30,"30-39",IF(HR_Employee_Attrition[[#This Row],[Age]]&gt;=20,"20-29",IF(HR_Employee_Attrition[[#This Row],[Age]]&gt;=18,"18-20"))))))</f>
        <v>30-39</v>
      </c>
      <c r="AK513" t="str" cm="1">
        <f t="array" ref="AK513">_xlfn.IFS(HR_Employee_Attrition[[#This Row],[YearsAtCompany]]&lt;=2,"0-2",HR_Employee_Attrition[[#This Row],[YearsAtCompany]]&lt;=5,"3-5",HR_Employee_Attrition[[#This Row],[YearsAtCompany]]&lt;=10,"6-10",HR_Employee_Attrition[[#This Row],[YearsAtCompany]]&gt;10,"10+")</f>
        <v>3-5</v>
      </c>
      <c r="AL513" t="str" cm="1">
        <f t="array" ref="AL5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13">
        <f>IF(HR_Employee_Attrition[[#This Row],[Attrition]]="Yes",1,0)</f>
        <v>0</v>
      </c>
    </row>
    <row r="514" spans="1:39" x14ac:dyDescent="0.3">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c r="AJ514" t="str">
        <f>IF(HR_Employee_Attrition[[#This Row],[Age]]&gt;60,"60+",IF(HR_Employee_Attrition[[#This Row],[Age]]&gt;=50,"50-59",IF(HR_Employee_Attrition[[#This Row],[Age]]&gt;=40,"40-49",IF(HR_Employee_Attrition[[#This Row],[Age]]&gt;=30,"30-39",IF(HR_Employee_Attrition[[#This Row],[Age]]&gt;=20,"20-29",IF(HR_Employee_Attrition[[#This Row],[Age]]&gt;=18,"18-20"))))))</f>
        <v>20-29</v>
      </c>
      <c r="AK514" t="str" cm="1">
        <f t="array" ref="AK514">_xlfn.IFS(HR_Employee_Attrition[[#This Row],[YearsAtCompany]]&lt;=2,"0-2",HR_Employee_Attrition[[#This Row],[YearsAtCompany]]&lt;=5,"3-5",HR_Employee_Attrition[[#This Row],[YearsAtCompany]]&lt;=10,"6-10",HR_Employee_Attrition[[#This Row],[YearsAtCompany]]&gt;10,"10+")</f>
        <v>3-5</v>
      </c>
      <c r="AL514" t="str" cm="1">
        <f t="array" ref="AL5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14">
        <f>IF(HR_Employee_Attrition[[#This Row],[Attrition]]="Yes",1,0)</f>
        <v>0</v>
      </c>
    </row>
    <row r="515" spans="1:39" x14ac:dyDescent="0.3">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c r="AJ515" t="str">
        <f>IF(HR_Employee_Attrition[[#This Row],[Age]]&gt;60,"60+",IF(HR_Employee_Attrition[[#This Row],[Age]]&gt;=50,"50-59",IF(HR_Employee_Attrition[[#This Row],[Age]]&gt;=40,"40-49",IF(HR_Employee_Attrition[[#This Row],[Age]]&gt;=30,"30-39",IF(HR_Employee_Attrition[[#This Row],[Age]]&gt;=20,"20-29",IF(HR_Employee_Attrition[[#This Row],[Age]]&gt;=18,"18-20"))))))</f>
        <v>20-29</v>
      </c>
      <c r="AK515" t="str" cm="1">
        <f t="array" ref="AK515">_xlfn.IFS(HR_Employee_Attrition[[#This Row],[YearsAtCompany]]&lt;=2,"0-2",HR_Employee_Attrition[[#This Row],[YearsAtCompany]]&lt;=5,"3-5",HR_Employee_Attrition[[#This Row],[YearsAtCompany]]&lt;=10,"6-10",HR_Employee_Attrition[[#This Row],[YearsAtCompany]]&gt;10,"10+")</f>
        <v>0-2</v>
      </c>
      <c r="AL515" t="str" cm="1">
        <f t="array" ref="AL5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15">
        <f>IF(HR_Employee_Attrition[[#This Row],[Attrition]]="Yes",1,0)</f>
        <v>1</v>
      </c>
    </row>
    <row r="516" spans="1:39" x14ac:dyDescent="0.3">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c r="AJ516" t="str">
        <f>IF(HR_Employee_Attrition[[#This Row],[Age]]&gt;60,"60+",IF(HR_Employee_Attrition[[#This Row],[Age]]&gt;=50,"50-59",IF(HR_Employee_Attrition[[#This Row],[Age]]&gt;=40,"40-49",IF(HR_Employee_Attrition[[#This Row],[Age]]&gt;=30,"30-39",IF(HR_Employee_Attrition[[#This Row],[Age]]&gt;=20,"20-29",IF(HR_Employee_Attrition[[#This Row],[Age]]&gt;=18,"18-20"))))))</f>
        <v>30-39</v>
      </c>
      <c r="AK516" t="str" cm="1">
        <f t="array" ref="AK516">_xlfn.IFS(HR_Employee_Attrition[[#This Row],[YearsAtCompany]]&lt;=2,"0-2",HR_Employee_Attrition[[#This Row],[YearsAtCompany]]&lt;=5,"3-5",HR_Employee_Attrition[[#This Row],[YearsAtCompany]]&lt;=10,"6-10",HR_Employee_Attrition[[#This Row],[YearsAtCompany]]&gt;10,"10+")</f>
        <v>6-10</v>
      </c>
      <c r="AL516" t="str" cm="1">
        <f t="array" ref="AL5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16">
        <f>IF(HR_Employee_Attrition[[#This Row],[Attrition]]="Yes",1,0)</f>
        <v>1</v>
      </c>
    </row>
    <row r="517" spans="1:39" x14ac:dyDescent="0.3">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c r="AJ517" t="str">
        <f>IF(HR_Employee_Attrition[[#This Row],[Age]]&gt;60,"60+",IF(HR_Employee_Attrition[[#This Row],[Age]]&gt;=50,"50-59",IF(HR_Employee_Attrition[[#This Row],[Age]]&gt;=40,"40-49",IF(HR_Employee_Attrition[[#This Row],[Age]]&gt;=30,"30-39",IF(HR_Employee_Attrition[[#This Row],[Age]]&gt;=20,"20-29",IF(HR_Employee_Attrition[[#This Row],[Age]]&gt;=18,"18-20"))))))</f>
        <v>30-39</v>
      </c>
      <c r="AK517" t="str" cm="1">
        <f t="array" ref="AK517">_xlfn.IFS(HR_Employee_Attrition[[#This Row],[YearsAtCompany]]&lt;=2,"0-2",HR_Employee_Attrition[[#This Row],[YearsAtCompany]]&lt;=5,"3-5",HR_Employee_Attrition[[#This Row],[YearsAtCompany]]&lt;=10,"6-10",HR_Employee_Attrition[[#This Row],[YearsAtCompany]]&gt;10,"10+")</f>
        <v>0-2</v>
      </c>
      <c r="AL517" t="str" cm="1">
        <f t="array" ref="AL5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17">
        <f>IF(HR_Employee_Attrition[[#This Row],[Attrition]]="Yes",1,0)</f>
        <v>0</v>
      </c>
    </row>
    <row r="518" spans="1:39" x14ac:dyDescent="0.3">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c r="AJ518" t="str">
        <f>IF(HR_Employee_Attrition[[#This Row],[Age]]&gt;60,"60+",IF(HR_Employee_Attrition[[#This Row],[Age]]&gt;=50,"50-59",IF(HR_Employee_Attrition[[#This Row],[Age]]&gt;=40,"40-49",IF(HR_Employee_Attrition[[#This Row],[Age]]&gt;=30,"30-39",IF(HR_Employee_Attrition[[#This Row],[Age]]&gt;=20,"20-29",IF(HR_Employee_Attrition[[#This Row],[Age]]&gt;=18,"18-20"))))))</f>
        <v>20-29</v>
      </c>
      <c r="AK518" t="str" cm="1">
        <f t="array" ref="AK518">_xlfn.IFS(HR_Employee_Attrition[[#This Row],[YearsAtCompany]]&lt;=2,"0-2",HR_Employee_Attrition[[#This Row],[YearsAtCompany]]&lt;=5,"3-5",HR_Employee_Attrition[[#This Row],[YearsAtCompany]]&lt;=10,"6-10",HR_Employee_Attrition[[#This Row],[YearsAtCompany]]&gt;10,"10+")</f>
        <v>3-5</v>
      </c>
      <c r="AL518" t="str" cm="1">
        <f t="array" ref="AL5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18">
        <f>IF(HR_Employee_Attrition[[#This Row],[Attrition]]="Yes",1,0)</f>
        <v>0</v>
      </c>
    </row>
    <row r="519" spans="1:39" x14ac:dyDescent="0.3">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c r="AJ519" t="str">
        <f>IF(HR_Employee_Attrition[[#This Row],[Age]]&gt;60,"60+",IF(HR_Employee_Attrition[[#This Row],[Age]]&gt;=50,"50-59",IF(HR_Employee_Attrition[[#This Row],[Age]]&gt;=40,"40-49",IF(HR_Employee_Attrition[[#This Row],[Age]]&gt;=30,"30-39",IF(HR_Employee_Attrition[[#This Row],[Age]]&gt;=20,"20-29",IF(HR_Employee_Attrition[[#This Row],[Age]]&gt;=18,"18-20"))))))</f>
        <v>20-29</v>
      </c>
      <c r="AK519" t="str" cm="1">
        <f t="array" ref="AK519">_xlfn.IFS(HR_Employee_Attrition[[#This Row],[YearsAtCompany]]&lt;=2,"0-2",HR_Employee_Attrition[[#This Row],[YearsAtCompany]]&lt;=5,"3-5",HR_Employee_Attrition[[#This Row],[YearsAtCompany]]&lt;=10,"6-10",HR_Employee_Attrition[[#This Row],[YearsAtCompany]]&gt;10,"10+")</f>
        <v>3-5</v>
      </c>
      <c r="AL519" t="str" cm="1">
        <f t="array" ref="AL5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19">
        <f>IF(HR_Employee_Attrition[[#This Row],[Attrition]]="Yes",1,0)</f>
        <v>0</v>
      </c>
    </row>
    <row r="520" spans="1:39" x14ac:dyDescent="0.3">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c r="AJ520" t="str">
        <f>IF(HR_Employee_Attrition[[#This Row],[Age]]&gt;60,"60+",IF(HR_Employee_Attrition[[#This Row],[Age]]&gt;=50,"50-59",IF(HR_Employee_Attrition[[#This Row],[Age]]&gt;=40,"40-49",IF(HR_Employee_Attrition[[#This Row],[Age]]&gt;=30,"30-39",IF(HR_Employee_Attrition[[#This Row],[Age]]&gt;=20,"20-29",IF(HR_Employee_Attrition[[#This Row],[Age]]&gt;=18,"18-20"))))))</f>
        <v>30-39</v>
      </c>
      <c r="AK520" t="str" cm="1">
        <f t="array" ref="AK520">_xlfn.IFS(HR_Employee_Attrition[[#This Row],[YearsAtCompany]]&lt;=2,"0-2",HR_Employee_Attrition[[#This Row],[YearsAtCompany]]&lt;=5,"3-5",HR_Employee_Attrition[[#This Row],[YearsAtCompany]]&lt;=10,"6-10",HR_Employee_Attrition[[#This Row],[YearsAtCompany]]&gt;10,"10+")</f>
        <v>6-10</v>
      </c>
      <c r="AL520" t="str" cm="1">
        <f t="array" ref="AL5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20">
        <f>IF(HR_Employee_Attrition[[#This Row],[Attrition]]="Yes",1,0)</f>
        <v>0</v>
      </c>
    </row>
    <row r="521" spans="1:39" x14ac:dyDescent="0.3">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c r="AJ521" t="str">
        <f>IF(HR_Employee_Attrition[[#This Row],[Age]]&gt;60,"60+",IF(HR_Employee_Attrition[[#This Row],[Age]]&gt;=50,"50-59",IF(HR_Employee_Attrition[[#This Row],[Age]]&gt;=40,"40-49",IF(HR_Employee_Attrition[[#This Row],[Age]]&gt;=30,"30-39",IF(HR_Employee_Attrition[[#This Row],[Age]]&gt;=20,"20-29",IF(HR_Employee_Attrition[[#This Row],[Age]]&gt;=18,"18-20"))))))</f>
        <v>20-29</v>
      </c>
      <c r="AK521" t="str" cm="1">
        <f t="array" ref="AK521">_xlfn.IFS(HR_Employee_Attrition[[#This Row],[YearsAtCompany]]&lt;=2,"0-2",HR_Employee_Attrition[[#This Row],[YearsAtCompany]]&lt;=5,"3-5",HR_Employee_Attrition[[#This Row],[YearsAtCompany]]&lt;=10,"6-10",HR_Employee_Attrition[[#This Row],[YearsAtCompany]]&gt;10,"10+")</f>
        <v>6-10</v>
      </c>
      <c r="AL521" t="str" cm="1">
        <f t="array" ref="AL5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21">
        <f>IF(HR_Employee_Attrition[[#This Row],[Attrition]]="Yes",1,0)</f>
        <v>0</v>
      </c>
    </row>
    <row r="522" spans="1:39" x14ac:dyDescent="0.3">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c r="AJ522" t="str">
        <f>IF(HR_Employee_Attrition[[#This Row],[Age]]&gt;60,"60+",IF(HR_Employee_Attrition[[#This Row],[Age]]&gt;=50,"50-59",IF(HR_Employee_Attrition[[#This Row],[Age]]&gt;=40,"40-49",IF(HR_Employee_Attrition[[#This Row],[Age]]&gt;=30,"30-39",IF(HR_Employee_Attrition[[#This Row],[Age]]&gt;=20,"20-29",IF(HR_Employee_Attrition[[#This Row],[Age]]&gt;=18,"18-20"))))))</f>
        <v>40-49</v>
      </c>
      <c r="AK522" t="str" cm="1">
        <f t="array" ref="AK522">_xlfn.IFS(HR_Employee_Attrition[[#This Row],[YearsAtCompany]]&lt;=2,"0-2",HR_Employee_Attrition[[#This Row],[YearsAtCompany]]&lt;=5,"3-5",HR_Employee_Attrition[[#This Row],[YearsAtCompany]]&lt;=10,"6-10",HR_Employee_Attrition[[#This Row],[YearsAtCompany]]&gt;10,"10+")</f>
        <v>0-2</v>
      </c>
      <c r="AL522" t="str" cm="1">
        <f t="array" ref="AL5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22">
        <f>IF(HR_Employee_Attrition[[#This Row],[Attrition]]="Yes",1,0)</f>
        <v>0</v>
      </c>
    </row>
    <row r="523" spans="1:39" x14ac:dyDescent="0.3">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c r="AJ523" t="str">
        <f>IF(HR_Employee_Attrition[[#This Row],[Age]]&gt;60,"60+",IF(HR_Employee_Attrition[[#This Row],[Age]]&gt;=50,"50-59",IF(HR_Employee_Attrition[[#This Row],[Age]]&gt;=40,"40-49",IF(HR_Employee_Attrition[[#This Row],[Age]]&gt;=30,"30-39",IF(HR_Employee_Attrition[[#This Row],[Age]]&gt;=20,"20-29",IF(HR_Employee_Attrition[[#This Row],[Age]]&gt;=18,"18-20"))))))</f>
        <v>20-29</v>
      </c>
      <c r="AK523" t="str" cm="1">
        <f t="array" ref="AK523">_xlfn.IFS(HR_Employee_Attrition[[#This Row],[YearsAtCompany]]&lt;=2,"0-2",HR_Employee_Attrition[[#This Row],[YearsAtCompany]]&lt;=5,"3-5",HR_Employee_Attrition[[#This Row],[YearsAtCompany]]&lt;=10,"6-10",HR_Employee_Attrition[[#This Row],[YearsAtCompany]]&gt;10,"10+")</f>
        <v>6-10</v>
      </c>
      <c r="AL523" t="str" cm="1">
        <f t="array" ref="AL5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23">
        <f>IF(HR_Employee_Attrition[[#This Row],[Attrition]]="Yes",1,0)</f>
        <v>0</v>
      </c>
    </row>
    <row r="524" spans="1:39" x14ac:dyDescent="0.3">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c r="AJ524" t="str">
        <f>IF(HR_Employee_Attrition[[#This Row],[Age]]&gt;60,"60+",IF(HR_Employee_Attrition[[#This Row],[Age]]&gt;=50,"50-59",IF(HR_Employee_Attrition[[#This Row],[Age]]&gt;=40,"40-49",IF(HR_Employee_Attrition[[#This Row],[Age]]&gt;=30,"30-39",IF(HR_Employee_Attrition[[#This Row],[Age]]&gt;=20,"20-29",IF(HR_Employee_Attrition[[#This Row],[Age]]&gt;=18,"18-20"))))))</f>
        <v>30-39</v>
      </c>
      <c r="AK524" t="str" cm="1">
        <f t="array" ref="AK524">_xlfn.IFS(HR_Employee_Attrition[[#This Row],[YearsAtCompany]]&lt;=2,"0-2",HR_Employee_Attrition[[#This Row],[YearsAtCompany]]&lt;=5,"3-5",HR_Employee_Attrition[[#This Row],[YearsAtCompany]]&lt;=10,"6-10",HR_Employee_Attrition[[#This Row],[YearsAtCompany]]&gt;10,"10+")</f>
        <v>0-2</v>
      </c>
      <c r="AL524" t="str" cm="1">
        <f t="array" ref="AL5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24">
        <f>IF(HR_Employee_Attrition[[#This Row],[Attrition]]="Yes",1,0)</f>
        <v>0</v>
      </c>
    </row>
    <row r="525" spans="1:39" x14ac:dyDescent="0.3">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c r="AJ525" t="str">
        <f>IF(HR_Employee_Attrition[[#This Row],[Age]]&gt;60,"60+",IF(HR_Employee_Attrition[[#This Row],[Age]]&gt;=50,"50-59",IF(HR_Employee_Attrition[[#This Row],[Age]]&gt;=40,"40-49",IF(HR_Employee_Attrition[[#This Row],[Age]]&gt;=30,"30-39",IF(HR_Employee_Attrition[[#This Row],[Age]]&gt;=20,"20-29",IF(HR_Employee_Attrition[[#This Row],[Age]]&gt;=18,"18-20"))))))</f>
        <v>50-59</v>
      </c>
      <c r="AK525" t="str" cm="1">
        <f t="array" ref="AK525">_xlfn.IFS(HR_Employee_Attrition[[#This Row],[YearsAtCompany]]&lt;=2,"0-2",HR_Employee_Attrition[[#This Row],[YearsAtCompany]]&lt;=5,"3-5",HR_Employee_Attrition[[#This Row],[YearsAtCompany]]&lt;=10,"6-10",HR_Employee_Attrition[[#This Row],[YearsAtCompany]]&gt;10,"10+")</f>
        <v>10+</v>
      </c>
      <c r="AL525" t="str" cm="1">
        <f t="array" ref="AL5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25">
        <f>IF(HR_Employee_Attrition[[#This Row],[Attrition]]="Yes",1,0)</f>
        <v>0</v>
      </c>
    </row>
    <row r="526" spans="1:39" x14ac:dyDescent="0.3">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c r="AJ526" t="str">
        <f>IF(HR_Employee_Attrition[[#This Row],[Age]]&gt;60,"60+",IF(HR_Employee_Attrition[[#This Row],[Age]]&gt;=50,"50-59",IF(HR_Employee_Attrition[[#This Row],[Age]]&gt;=40,"40-49",IF(HR_Employee_Attrition[[#This Row],[Age]]&gt;=30,"30-39",IF(HR_Employee_Attrition[[#This Row],[Age]]&gt;=20,"20-29",IF(HR_Employee_Attrition[[#This Row],[Age]]&gt;=18,"18-20"))))))</f>
        <v>30-39</v>
      </c>
      <c r="AK526" t="str" cm="1">
        <f t="array" ref="AK526">_xlfn.IFS(HR_Employee_Attrition[[#This Row],[YearsAtCompany]]&lt;=2,"0-2",HR_Employee_Attrition[[#This Row],[YearsAtCompany]]&lt;=5,"3-5",HR_Employee_Attrition[[#This Row],[YearsAtCompany]]&lt;=10,"6-10",HR_Employee_Attrition[[#This Row],[YearsAtCompany]]&gt;10,"10+")</f>
        <v>6-10</v>
      </c>
      <c r="AL526" t="str" cm="1">
        <f t="array" ref="AL5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26">
        <f>IF(HR_Employee_Attrition[[#This Row],[Attrition]]="Yes",1,0)</f>
        <v>0</v>
      </c>
    </row>
    <row r="527" spans="1:39" x14ac:dyDescent="0.3">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c r="AJ527" t="str">
        <f>IF(HR_Employee_Attrition[[#This Row],[Age]]&gt;60,"60+",IF(HR_Employee_Attrition[[#This Row],[Age]]&gt;=50,"50-59",IF(HR_Employee_Attrition[[#This Row],[Age]]&gt;=40,"40-49",IF(HR_Employee_Attrition[[#This Row],[Age]]&gt;=30,"30-39",IF(HR_Employee_Attrition[[#This Row],[Age]]&gt;=20,"20-29",IF(HR_Employee_Attrition[[#This Row],[Age]]&gt;=18,"18-20"))))))</f>
        <v>20-29</v>
      </c>
      <c r="AK527" t="str" cm="1">
        <f t="array" ref="AK527">_xlfn.IFS(HR_Employee_Attrition[[#This Row],[YearsAtCompany]]&lt;=2,"0-2",HR_Employee_Attrition[[#This Row],[YearsAtCompany]]&lt;=5,"3-5",HR_Employee_Attrition[[#This Row],[YearsAtCompany]]&lt;=10,"6-10",HR_Employee_Attrition[[#This Row],[YearsAtCompany]]&gt;10,"10+")</f>
        <v>0-2</v>
      </c>
      <c r="AL527" t="str" cm="1">
        <f t="array" ref="AL5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27">
        <f>IF(HR_Employee_Attrition[[#This Row],[Attrition]]="Yes",1,0)</f>
        <v>1</v>
      </c>
    </row>
    <row r="528" spans="1:39" x14ac:dyDescent="0.3">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c r="AJ528" t="str">
        <f>IF(HR_Employee_Attrition[[#This Row],[Age]]&gt;60,"60+",IF(HR_Employee_Attrition[[#This Row],[Age]]&gt;=50,"50-59",IF(HR_Employee_Attrition[[#This Row],[Age]]&gt;=40,"40-49",IF(HR_Employee_Attrition[[#This Row],[Age]]&gt;=30,"30-39",IF(HR_Employee_Attrition[[#This Row],[Age]]&gt;=20,"20-29",IF(HR_Employee_Attrition[[#This Row],[Age]]&gt;=18,"18-20"))))))</f>
        <v>30-39</v>
      </c>
      <c r="AK528" t="str" cm="1">
        <f t="array" ref="AK528">_xlfn.IFS(HR_Employee_Attrition[[#This Row],[YearsAtCompany]]&lt;=2,"0-2",HR_Employee_Attrition[[#This Row],[YearsAtCompany]]&lt;=5,"3-5",HR_Employee_Attrition[[#This Row],[YearsAtCompany]]&lt;=10,"6-10",HR_Employee_Attrition[[#This Row],[YearsAtCompany]]&gt;10,"10+")</f>
        <v>10+</v>
      </c>
      <c r="AL528" t="str" cm="1">
        <f t="array" ref="AL5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28">
        <f>IF(HR_Employee_Attrition[[#This Row],[Attrition]]="Yes",1,0)</f>
        <v>0</v>
      </c>
    </row>
    <row r="529" spans="1:39" x14ac:dyDescent="0.3">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c r="AJ529" t="str">
        <f>IF(HR_Employee_Attrition[[#This Row],[Age]]&gt;60,"60+",IF(HR_Employee_Attrition[[#This Row],[Age]]&gt;=50,"50-59",IF(HR_Employee_Attrition[[#This Row],[Age]]&gt;=40,"40-49",IF(HR_Employee_Attrition[[#This Row],[Age]]&gt;=30,"30-39",IF(HR_Employee_Attrition[[#This Row],[Age]]&gt;=20,"20-29",IF(HR_Employee_Attrition[[#This Row],[Age]]&gt;=18,"18-20"))))))</f>
        <v>30-39</v>
      </c>
      <c r="AK529" t="str" cm="1">
        <f t="array" ref="AK529">_xlfn.IFS(HR_Employee_Attrition[[#This Row],[YearsAtCompany]]&lt;=2,"0-2",HR_Employee_Attrition[[#This Row],[YearsAtCompany]]&lt;=5,"3-5",HR_Employee_Attrition[[#This Row],[YearsAtCompany]]&lt;=10,"6-10",HR_Employee_Attrition[[#This Row],[YearsAtCompany]]&gt;10,"10+")</f>
        <v>6-10</v>
      </c>
      <c r="AL529" t="str" cm="1">
        <f t="array" ref="AL5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29">
        <f>IF(HR_Employee_Attrition[[#This Row],[Attrition]]="Yes",1,0)</f>
        <v>0</v>
      </c>
    </row>
    <row r="530" spans="1:39" x14ac:dyDescent="0.3">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c r="AJ530" t="str">
        <f>IF(HR_Employee_Attrition[[#This Row],[Age]]&gt;60,"60+",IF(HR_Employee_Attrition[[#This Row],[Age]]&gt;=50,"50-59",IF(HR_Employee_Attrition[[#This Row],[Age]]&gt;=40,"40-49",IF(HR_Employee_Attrition[[#This Row],[Age]]&gt;=30,"30-39",IF(HR_Employee_Attrition[[#This Row],[Age]]&gt;=20,"20-29",IF(HR_Employee_Attrition[[#This Row],[Age]]&gt;=18,"18-20"))))))</f>
        <v>50-59</v>
      </c>
      <c r="AK530" t="str" cm="1">
        <f t="array" ref="AK530">_xlfn.IFS(HR_Employee_Attrition[[#This Row],[YearsAtCompany]]&lt;=2,"0-2",HR_Employee_Attrition[[#This Row],[YearsAtCompany]]&lt;=5,"3-5",HR_Employee_Attrition[[#This Row],[YearsAtCompany]]&lt;=10,"6-10",HR_Employee_Attrition[[#This Row],[YearsAtCompany]]&gt;10,"10+")</f>
        <v>3-5</v>
      </c>
      <c r="AL530" t="str" cm="1">
        <f t="array" ref="AL5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30">
        <f>IF(HR_Employee_Attrition[[#This Row],[Attrition]]="Yes",1,0)</f>
        <v>1</v>
      </c>
    </row>
    <row r="531" spans="1:39" x14ac:dyDescent="0.3">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c r="AJ531" t="str">
        <f>IF(HR_Employee_Attrition[[#This Row],[Age]]&gt;60,"60+",IF(HR_Employee_Attrition[[#This Row],[Age]]&gt;=50,"50-59",IF(HR_Employee_Attrition[[#This Row],[Age]]&gt;=40,"40-49",IF(HR_Employee_Attrition[[#This Row],[Age]]&gt;=30,"30-39",IF(HR_Employee_Attrition[[#This Row],[Age]]&gt;=20,"20-29",IF(HR_Employee_Attrition[[#This Row],[Age]]&gt;=18,"18-20"))))))</f>
        <v>30-39</v>
      </c>
      <c r="AK531" t="str" cm="1">
        <f t="array" ref="AK531">_xlfn.IFS(HR_Employee_Attrition[[#This Row],[YearsAtCompany]]&lt;=2,"0-2",HR_Employee_Attrition[[#This Row],[YearsAtCompany]]&lt;=5,"3-5",HR_Employee_Attrition[[#This Row],[YearsAtCompany]]&lt;=10,"6-10",HR_Employee_Attrition[[#This Row],[YearsAtCompany]]&gt;10,"10+")</f>
        <v>6-10</v>
      </c>
      <c r="AL531" t="str" cm="1">
        <f t="array" ref="AL5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31">
        <f>IF(HR_Employee_Attrition[[#This Row],[Attrition]]="Yes",1,0)</f>
        <v>0</v>
      </c>
    </row>
    <row r="532" spans="1:39" x14ac:dyDescent="0.3">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c r="AJ532" t="str">
        <f>IF(HR_Employee_Attrition[[#This Row],[Age]]&gt;60,"60+",IF(HR_Employee_Attrition[[#This Row],[Age]]&gt;=50,"50-59",IF(HR_Employee_Attrition[[#This Row],[Age]]&gt;=40,"40-49",IF(HR_Employee_Attrition[[#This Row],[Age]]&gt;=30,"30-39",IF(HR_Employee_Attrition[[#This Row],[Age]]&gt;=20,"20-29",IF(HR_Employee_Attrition[[#This Row],[Age]]&gt;=18,"18-20"))))))</f>
        <v>20-29</v>
      </c>
      <c r="AK532" t="str" cm="1">
        <f t="array" ref="AK532">_xlfn.IFS(HR_Employee_Attrition[[#This Row],[YearsAtCompany]]&lt;=2,"0-2",HR_Employee_Attrition[[#This Row],[YearsAtCompany]]&lt;=5,"3-5",HR_Employee_Attrition[[#This Row],[YearsAtCompany]]&lt;=10,"6-10",HR_Employee_Attrition[[#This Row],[YearsAtCompany]]&gt;10,"10+")</f>
        <v>6-10</v>
      </c>
      <c r="AL532" t="str" cm="1">
        <f t="array" ref="AL5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32">
        <f>IF(HR_Employee_Attrition[[#This Row],[Attrition]]="Yes",1,0)</f>
        <v>0</v>
      </c>
    </row>
    <row r="533" spans="1:39" x14ac:dyDescent="0.3">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c r="AJ533" t="str">
        <f>IF(HR_Employee_Attrition[[#This Row],[Age]]&gt;60,"60+",IF(HR_Employee_Attrition[[#This Row],[Age]]&gt;=50,"50-59",IF(HR_Employee_Attrition[[#This Row],[Age]]&gt;=40,"40-49",IF(HR_Employee_Attrition[[#This Row],[Age]]&gt;=30,"30-39",IF(HR_Employee_Attrition[[#This Row],[Age]]&gt;=20,"20-29",IF(HR_Employee_Attrition[[#This Row],[Age]]&gt;=18,"18-20"))))))</f>
        <v>30-39</v>
      </c>
      <c r="AK533" t="str" cm="1">
        <f t="array" ref="AK533">_xlfn.IFS(HR_Employee_Attrition[[#This Row],[YearsAtCompany]]&lt;=2,"0-2",HR_Employee_Attrition[[#This Row],[YearsAtCompany]]&lt;=5,"3-5",HR_Employee_Attrition[[#This Row],[YearsAtCompany]]&lt;=10,"6-10",HR_Employee_Attrition[[#This Row],[YearsAtCompany]]&gt;10,"10+")</f>
        <v>6-10</v>
      </c>
      <c r="AL533" t="str" cm="1">
        <f t="array" ref="AL5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33">
        <f>IF(HR_Employee_Attrition[[#This Row],[Attrition]]="Yes",1,0)</f>
        <v>0</v>
      </c>
    </row>
    <row r="534" spans="1:39" x14ac:dyDescent="0.3">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c r="AJ534" t="str">
        <f>IF(HR_Employee_Attrition[[#This Row],[Age]]&gt;60,"60+",IF(HR_Employee_Attrition[[#This Row],[Age]]&gt;=50,"50-59",IF(HR_Employee_Attrition[[#This Row],[Age]]&gt;=40,"40-49",IF(HR_Employee_Attrition[[#This Row],[Age]]&gt;=30,"30-39",IF(HR_Employee_Attrition[[#This Row],[Age]]&gt;=20,"20-29",IF(HR_Employee_Attrition[[#This Row],[Age]]&gt;=18,"18-20"))))))</f>
        <v>40-49</v>
      </c>
      <c r="AK534" t="str" cm="1">
        <f t="array" ref="AK534">_xlfn.IFS(HR_Employee_Attrition[[#This Row],[YearsAtCompany]]&lt;=2,"0-2",HR_Employee_Attrition[[#This Row],[YearsAtCompany]]&lt;=5,"3-5",HR_Employee_Attrition[[#This Row],[YearsAtCompany]]&lt;=10,"6-10",HR_Employee_Attrition[[#This Row],[YearsAtCompany]]&gt;10,"10+")</f>
        <v>6-10</v>
      </c>
      <c r="AL534" t="str" cm="1">
        <f t="array" ref="AL5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34">
        <f>IF(HR_Employee_Attrition[[#This Row],[Attrition]]="Yes",1,0)</f>
        <v>0</v>
      </c>
    </row>
    <row r="535" spans="1:39" x14ac:dyDescent="0.3">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c r="AJ535" t="str">
        <f>IF(HR_Employee_Attrition[[#This Row],[Age]]&gt;60,"60+",IF(HR_Employee_Attrition[[#This Row],[Age]]&gt;=50,"50-59",IF(HR_Employee_Attrition[[#This Row],[Age]]&gt;=40,"40-49",IF(HR_Employee_Attrition[[#This Row],[Age]]&gt;=30,"30-39",IF(HR_Employee_Attrition[[#This Row],[Age]]&gt;=20,"20-29",IF(HR_Employee_Attrition[[#This Row],[Age]]&gt;=18,"18-20"))))))</f>
        <v>40-49</v>
      </c>
      <c r="AK535" t="str" cm="1">
        <f t="array" ref="AK535">_xlfn.IFS(HR_Employee_Attrition[[#This Row],[YearsAtCompany]]&lt;=2,"0-2",HR_Employee_Attrition[[#This Row],[YearsAtCompany]]&lt;=5,"3-5",HR_Employee_Attrition[[#This Row],[YearsAtCompany]]&lt;=10,"6-10",HR_Employee_Attrition[[#This Row],[YearsAtCompany]]&gt;10,"10+")</f>
        <v>10+</v>
      </c>
      <c r="AL535" t="str" cm="1">
        <f t="array" ref="AL5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35">
        <f>IF(HR_Employee_Attrition[[#This Row],[Attrition]]="Yes",1,0)</f>
        <v>0</v>
      </c>
    </row>
    <row r="536" spans="1:39" x14ac:dyDescent="0.3">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c r="AJ536" t="str">
        <f>IF(HR_Employee_Attrition[[#This Row],[Age]]&gt;60,"60+",IF(HR_Employee_Attrition[[#This Row],[Age]]&gt;=50,"50-59",IF(HR_Employee_Attrition[[#This Row],[Age]]&gt;=40,"40-49",IF(HR_Employee_Attrition[[#This Row],[Age]]&gt;=30,"30-39",IF(HR_Employee_Attrition[[#This Row],[Age]]&gt;=20,"20-29",IF(HR_Employee_Attrition[[#This Row],[Age]]&gt;=18,"18-20"))))))</f>
        <v>50-59</v>
      </c>
      <c r="AK536" t="str" cm="1">
        <f t="array" ref="AK536">_xlfn.IFS(HR_Employee_Attrition[[#This Row],[YearsAtCompany]]&lt;=2,"0-2",HR_Employee_Attrition[[#This Row],[YearsAtCompany]]&lt;=5,"3-5",HR_Employee_Attrition[[#This Row],[YearsAtCompany]]&lt;=10,"6-10",HR_Employee_Attrition[[#This Row],[YearsAtCompany]]&gt;10,"10+")</f>
        <v>3-5</v>
      </c>
      <c r="AL536" t="str" cm="1">
        <f t="array" ref="AL5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36">
        <f>IF(HR_Employee_Attrition[[#This Row],[Attrition]]="Yes",1,0)</f>
        <v>0</v>
      </c>
    </row>
    <row r="537" spans="1:39" x14ac:dyDescent="0.3">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c r="AJ537" t="str">
        <f>IF(HR_Employee_Attrition[[#This Row],[Age]]&gt;60,"60+",IF(HR_Employee_Attrition[[#This Row],[Age]]&gt;=50,"50-59",IF(HR_Employee_Attrition[[#This Row],[Age]]&gt;=40,"40-49",IF(HR_Employee_Attrition[[#This Row],[Age]]&gt;=30,"30-39",IF(HR_Employee_Attrition[[#This Row],[Age]]&gt;=20,"20-29",IF(HR_Employee_Attrition[[#This Row],[Age]]&gt;=18,"18-20"))))))</f>
        <v>40-49</v>
      </c>
      <c r="AK537" t="str" cm="1">
        <f t="array" ref="AK537">_xlfn.IFS(HR_Employee_Attrition[[#This Row],[YearsAtCompany]]&lt;=2,"0-2",HR_Employee_Attrition[[#This Row],[YearsAtCompany]]&lt;=5,"3-5",HR_Employee_Attrition[[#This Row],[YearsAtCompany]]&lt;=10,"6-10",HR_Employee_Attrition[[#This Row],[YearsAtCompany]]&gt;10,"10+")</f>
        <v>10+</v>
      </c>
      <c r="AL537" t="str" cm="1">
        <f t="array" ref="AL5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37">
        <f>IF(HR_Employee_Attrition[[#This Row],[Attrition]]="Yes",1,0)</f>
        <v>0</v>
      </c>
    </row>
    <row r="538" spans="1:39" x14ac:dyDescent="0.3">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c r="AJ538" t="str">
        <f>IF(HR_Employee_Attrition[[#This Row],[Age]]&gt;60,"60+",IF(HR_Employee_Attrition[[#This Row],[Age]]&gt;=50,"50-59",IF(HR_Employee_Attrition[[#This Row],[Age]]&gt;=40,"40-49",IF(HR_Employee_Attrition[[#This Row],[Age]]&gt;=30,"30-39",IF(HR_Employee_Attrition[[#This Row],[Age]]&gt;=20,"20-29",IF(HR_Employee_Attrition[[#This Row],[Age]]&gt;=18,"18-20"))))))</f>
        <v>50-59</v>
      </c>
      <c r="AK538" t="str" cm="1">
        <f t="array" ref="AK538">_xlfn.IFS(HR_Employee_Attrition[[#This Row],[YearsAtCompany]]&lt;=2,"0-2",HR_Employee_Attrition[[#This Row],[YearsAtCompany]]&lt;=5,"3-5",HR_Employee_Attrition[[#This Row],[YearsAtCompany]]&lt;=10,"6-10",HR_Employee_Attrition[[#This Row],[YearsAtCompany]]&gt;10,"10+")</f>
        <v>0-2</v>
      </c>
      <c r="AL538" t="str" cm="1">
        <f t="array" ref="AL5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38">
        <f>IF(HR_Employee_Attrition[[#This Row],[Attrition]]="Yes",1,0)</f>
        <v>0</v>
      </c>
    </row>
    <row r="539" spans="1:39" x14ac:dyDescent="0.3">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c r="AJ539" t="str">
        <f>IF(HR_Employee_Attrition[[#This Row],[Age]]&gt;60,"60+",IF(HR_Employee_Attrition[[#This Row],[Age]]&gt;=50,"50-59",IF(HR_Employee_Attrition[[#This Row],[Age]]&gt;=40,"40-49",IF(HR_Employee_Attrition[[#This Row],[Age]]&gt;=30,"30-39",IF(HR_Employee_Attrition[[#This Row],[Age]]&gt;=20,"20-29",IF(HR_Employee_Attrition[[#This Row],[Age]]&gt;=18,"18-20"))))))</f>
        <v>20-29</v>
      </c>
      <c r="AK539" t="str" cm="1">
        <f t="array" ref="AK539">_xlfn.IFS(HR_Employee_Attrition[[#This Row],[YearsAtCompany]]&lt;=2,"0-2",HR_Employee_Attrition[[#This Row],[YearsAtCompany]]&lt;=5,"3-5",HR_Employee_Attrition[[#This Row],[YearsAtCompany]]&lt;=10,"6-10",HR_Employee_Attrition[[#This Row],[YearsAtCompany]]&gt;10,"10+")</f>
        <v>6-10</v>
      </c>
      <c r="AL539" t="str" cm="1">
        <f t="array" ref="AL5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39">
        <f>IF(HR_Employee_Attrition[[#This Row],[Attrition]]="Yes",1,0)</f>
        <v>0</v>
      </c>
    </row>
    <row r="540" spans="1:39" x14ac:dyDescent="0.3">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c r="AJ540" t="str">
        <f>IF(HR_Employee_Attrition[[#This Row],[Age]]&gt;60,"60+",IF(HR_Employee_Attrition[[#This Row],[Age]]&gt;=50,"50-59",IF(HR_Employee_Attrition[[#This Row],[Age]]&gt;=40,"40-49",IF(HR_Employee_Attrition[[#This Row],[Age]]&gt;=30,"30-39",IF(HR_Employee_Attrition[[#This Row],[Age]]&gt;=20,"20-29",IF(HR_Employee_Attrition[[#This Row],[Age]]&gt;=18,"18-20"))))))</f>
        <v>40-49</v>
      </c>
      <c r="AK540" t="str" cm="1">
        <f t="array" ref="AK540">_xlfn.IFS(HR_Employee_Attrition[[#This Row],[YearsAtCompany]]&lt;=2,"0-2",HR_Employee_Attrition[[#This Row],[YearsAtCompany]]&lt;=5,"3-5",HR_Employee_Attrition[[#This Row],[YearsAtCompany]]&lt;=10,"6-10",HR_Employee_Attrition[[#This Row],[YearsAtCompany]]&gt;10,"10+")</f>
        <v>10+</v>
      </c>
      <c r="AL540" t="str" cm="1">
        <f t="array" ref="AL5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40">
        <f>IF(HR_Employee_Attrition[[#This Row],[Attrition]]="Yes",1,0)</f>
        <v>0</v>
      </c>
    </row>
    <row r="541" spans="1:39" x14ac:dyDescent="0.3">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c r="AJ541" t="str">
        <f>IF(HR_Employee_Attrition[[#This Row],[Age]]&gt;60,"60+",IF(HR_Employee_Attrition[[#This Row],[Age]]&gt;=50,"50-59",IF(HR_Employee_Attrition[[#This Row],[Age]]&gt;=40,"40-49",IF(HR_Employee_Attrition[[#This Row],[Age]]&gt;=30,"30-39",IF(HR_Employee_Attrition[[#This Row],[Age]]&gt;=20,"20-29",IF(HR_Employee_Attrition[[#This Row],[Age]]&gt;=18,"18-20"))))))</f>
        <v>50-59</v>
      </c>
      <c r="AK541" t="str" cm="1">
        <f t="array" ref="AK541">_xlfn.IFS(HR_Employee_Attrition[[#This Row],[YearsAtCompany]]&lt;=2,"0-2",HR_Employee_Attrition[[#This Row],[YearsAtCompany]]&lt;=5,"3-5",HR_Employee_Attrition[[#This Row],[YearsAtCompany]]&lt;=10,"6-10",HR_Employee_Attrition[[#This Row],[YearsAtCompany]]&gt;10,"10+")</f>
        <v>0-2</v>
      </c>
      <c r="AL541" t="str" cm="1">
        <f t="array" ref="AL5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41">
        <f>IF(HR_Employee_Attrition[[#This Row],[Attrition]]="Yes",1,0)</f>
        <v>0</v>
      </c>
    </row>
    <row r="542" spans="1:39" x14ac:dyDescent="0.3">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c r="AJ542" t="str">
        <f>IF(HR_Employee_Attrition[[#This Row],[Age]]&gt;60,"60+",IF(HR_Employee_Attrition[[#This Row],[Age]]&gt;=50,"50-59",IF(HR_Employee_Attrition[[#This Row],[Age]]&gt;=40,"40-49",IF(HR_Employee_Attrition[[#This Row],[Age]]&gt;=30,"30-39",IF(HR_Employee_Attrition[[#This Row],[Age]]&gt;=20,"20-29",IF(HR_Employee_Attrition[[#This Row],[Age]]&gt;=18,"18-20"))))))</f>
        <v>20-29</v>
      </c>
      <c r="AK542" t="str" cm="1">
        <f t="array" ref="AK542">_xlfn.IFS(HR_Employee_Attrition[[#This Row],[YearsAtCompany]]&lt;=2,"0-2",HR_Employee_Attrition[[#This Row],[YearsAtCompany]]&lt;=5,"3-5",HR_Employee_Attrition[[#This Row],[YearsAtCompany]]&lt;=10,"6-10",HR_Employee_Attrition[[#This Row],[YearsAtCompany]]&gt;10,"10+")</f>
        <v>6-10</v>
      </c>
      <c r="AL542" t="str" cm="1">
        <f t="array" ref="AL5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42">
        <f>IF(HR_Employee_Attrition[[#This Row],[Attrition]]="Yes",1,0)</f>
        <v>1</v>
      </c>
    </row>
    <row r="543" spans="1:39" x14ac:dyDescent="0.3">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c r="AJ543" t="str">
        <f>IF(HR_Employee_Attrition[[#This Row],[Age]]&gt;60,"60+",IF(HR_Employee_Attrition[[#This Row],[Age]]&gt;=50,"50-59",IF(HR_Employee_Attrition[[#This Row],[Age]]&gt;=40,"40-49",IF(HR_Employee_Attrition[[#This Row],[Age]]&gt;=30,"30-39",IF(HR_Employee_Attrition[[#This Row],[Age]]&gt;=20,"20-29",IF(HR_Employee_Attrition[[#This Row],[Age]]&gt;=18,"18-20"))))))</f>
        <v>30-39</v>
      </c>
      <c r="AK543" t="str" cm="1">
        <f t="array" ref="AK543">_xlfn.IFS(HR_Employee_Attrition[[#This Row],[YearsAtCompany]]&lt;=2,"0-2",HR_Employee_Attrition[[#This Row],[YearsAtCompany]]&lt;=5,"3-5",HR_Employee_Attrition[[#This Row],[YearsAtCompany]]&lt;=10,"6-10",HR_Employee_Attrition[[#This Row],[YearsAtCompany]]&gt;10,"10+")</f>
        <v>6-10</v>
      </c>
      <c r="AL543" t="str" cm="1">
        <f t="array" ref="AL5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43">
        <f>IF(HR_Employee_Attrition[[#This Row],[Attrition]]="Yes",1,0)</f>
        <v>0</v>
      </c>
    </row>
    <row r="544" spans="1:39" x14ac:dyDescent="0.3">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c r="AJ544" t="str">
        <f>IF(HR_Employee_Attrition[[#This Row],[Age]]&gt;60,"60+",IF(HR_Employee_Attrition[[#This Row],[Age]]&gt;=50,"50-59",IF(HR_Employee_Attrition[[#This Row],[Age]]&gt;=40,"40-49",IF(HR_Employee_Attrition[[#This Row],[Age]]&gt;=30,"30-39",IF(HR_Employee_Attrition[[#This Row],[Age]]&gt;=20,"20-29",IF(HR_Employee_Attrition[[#This Row],[Age]]&gt;=18,"18-20"))))))</f>
        <v>30-39</v>
      </c>
      <c r="AK544" t="str" cm="1">
        <f t="array" ref="AK544">_xlfn.IFS(HR_Employee_Attrition[[#This Row],[YearsAtCompany]]&lt;=2,"0-2",HR_Employee_Attrition[[#This Row],[YearsAtCompany]]&lt;=5,"3-5",HR_Employee_Attrition[[#This Row],[YearsAtCompany]]&lt;=10,"6-10",HR_Employee_Attrition[[#This Row],[YearsAtCompany]]&gt;10,"10+")</f>
        <v>0-2</v>
      </c>
      <c r="AL544" t="str" cm="1">
        <f t="array" ref="AL5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44">
        <f>IF(HR_Employee_Attrition[[#This Row],[Attrition]]="Yes",1,0)</f>
        <v>0</v>
      </c>
    </row>
    <row r="545" spans="1:39" x14ac:dyDescent="0.3">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c r="AJ545" t="str">
        <f>IF(HR_Employee_Attrition[[#This Row],[Age]]&gt;60,"60+",IF(HR_Employee_Attrition[[#This Row],[Age]]&gt;=50,"50-59",IF(HR_Employee_Attrition[[#This Row],[Age]]&gt;=40,"40-49",IF(HR_Employee_Attrition[[#This Row],[Age]]&gt;=30,"30-39",IF(HR_Employee_Attrition[[#This Row],[Age]]&gt;=20,"20-29",IF(HR_Employee_Attrition[[#This Row],[Age]]&gt;=18,"18-20"))))))</f>
        <v>40-49</v>
      </c>
      <c r="AK545" t="str" cm="1">
        <f t="array" ref="AK545">_xlfn.IFS(HR_Employee_Attrition[[#This Row],[YearsAtCompany]]&lt;=2,"0-2",HR_Employee_Attrition[[#This Row],[YearsAtCompany]]&lt;=5,"3-5",HR_Employee_Attrition[[#This Row],[YearsAtCompany]]&lt;=10,"6-10",HR_Employee_Attrition[[#This Row],[YearsAtCompany]]&gt;10,"10+")</f>
        <v>3-5</v>
      </c>
      <c r="AL545" t="str" cm="1">
        <f t="array" ref="AL5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45">
        <f>IF(HR_Employee_Attrition[[#This Row],[Attrition]]="Yes",1,0)</f>
        <v>0</v>
      </c>
    </row>
    <row r="546" spans="1:39" x14ac:dyDescent="0.3">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c r="AJ546" t="str">
        <f>IF(HR_Employee_Attrition[[#This Row],[Age]]&gt;60,"60+",IF(HR_Employee_Attrition[[#This Row],[Age]]&gt;=50,"50-59",IF(HR_Employee_Attrition[[#This Row],[Age]]&gt;=40,"40-49",IF(HR_Employee_Attrition[[#This Row],[Age]]&gt;=30,"30-39",IF(HR_Employee_Attrition[[#This Row],[Age]]&gt;=20,"20-29",IF(HR_Employee_Attrition[[#This Row],[Age]]&gt;=18,"18-20"))))))</f>
        <v>40-49</v>
      </c>
      <c r="AK546" t="str" cm="1">
        <f t="array" ref="AK546">_xlfn.IFS(HR_Employee_Attrition[[#This Row],[YearsAtCompany]]&lt;=2,"0-2",HR_Employee_Attrition[[#This Row],[YearsAtCompany]]&lt;=5,"3-5",HR_Employee_Attrition[[#This Row],[YearsAtCompany]]&lt;=10,"6-10",HR_Employee_Attrition[[#This Row],[YearsAtCompany]]&gt;10,"10+")</f>
        <v>10+</v>
      </c>
      <c r="AL546" t="str" cm="1">
        <f t="array" ref="AL5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46">
        <f>IF(HR_Employee_Attrition[[#This Row],[Attrition]]="Yes",1,0)</f>
        <v>0</v>
      </c>
    </row>
    <row r="547" spans="1:39" x14ac:dyDescent="0.3">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c r="AJ547" t="str">
        <f>IF(HR_Employee_Attrition[[#This Row],[Age]]&gt;60,"60+",IF(HR_Employee_Attrition[[#This Row],[Age]]&gt;=50,"50-59",IF(HR_Employee_Attrition[[#This Row],[Age]]&gt;=40,"40-49",IF(HR_Employee_Attrition[[#This Row],[Age]]&gt;=30,"30-39",IF(HR_Employee_Attrition[[#This Row],[Age]]&gt;=20,"20-29",IF(HR_Employee_Attrition[[#This Row],[Age]]&gt;=18,"18-20"))))))</f>
        <v>30-39</v>
      </c>
      <c r="AK547" t="str" cm="1">
        <f t="array" ref="AK547">_xlfn.IFS(HR_Employee_Attrition[[#This Row],[YearsAtCompany]]&lt;=2,"0-2",HR_Employee_Attrition[[#This Row],[YearsAtCompany]]&lt;=5,"3-5",HR_Employee_Attrition[[#This Row],[YearsAtCompany]]&lt;=10,"6-10",HR_Employee_Attrition[[#This Row],[YearsAtCompany]]&gt;10,"10+")</f>
        <v>6-10</v>
      </c>
      <c r="AL547" t="str" cm="1">
        <f t="array" ref="AL5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47">
        <f>IF(HR_Employee_Attrition[[#This Row],[Attrition]]="Yes",1,0)</f>
        <v>0</v>
      </c>
    </row>
    <row r="548" spans="1:39" x14ac:dyDescent="0.3">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c r="AJ548" t="str">
        <f>IF(HR_Employee_Attrition[[#This Row],[Age]]&gt;60,"60+",IF(HR_Employee_Attrition[[#This Row],[Age]]&gt;=50,"50-59",IF(HR_Employee_Attrition[[#This Row],[Age]]&gt;=40,"40-49",IF(HR_Employee_Attrition[[#This Row],[Age]]&gt;=30,"30-39",IF(HR_Employee_Attrition[[#This Row],[Age]]&gt;=20,"20-29",IF(HR_Employee_Attrition[[#This Row],[Age]]&gt;=18,"18-20"))))))</f>
        <v>20-29</v>
      </c>
      <c r="AK548" t="str" cm="1">
        <f t="array" ref="AK548">_xlfn.IFS(HR_Employee_Attrition[[#This Row],[YearsAtCompany]]&lt;=2,"0-2",HR_Employee_Attrition[[#This Row],[YearsAtCompany]]&lt;=5,"3-5",HR_Employee_Attrition[[#This Row],[YearsAtCompany]]&lt;=10,"6-10",HR_Employee_Attrition[[#This Row],[YearsAtCompany]]&gt;10,"10+")</f>
        <v>0-2</v>
      </c>
      <c r="AL548" t="str" cm="1">
        <f t="array" ref="AL5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48">
        <f>IF(HR_Employee_Attrition[[#This Row],[Attrition]]="Yes",1,0)</f>
        <v>0</v>
      </c>
    </row>
    <row r="549" spans="1:39" x14ac:dyDescent="0.3">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c r="AJ549" t="str">
        <f>IF(HR_Employee_Attrition[[#This Row],[Age]]&gt;60,"60+",IF(HR_Employee_Attrition[[#This Row],[Age]]&gt;=50,"50-59",IF(HR_Employee_Attrition[[#This Row],[Age]]&gt;=40,"40-49",IF(HR_Employee_Attrition[[#This Row],[Age]]&gt;=30,"30-39",IF(HR_Employee_Attrition[[#This Row],[Age]]&gt;=20,"20-29",IF(HR_Employee_Attrition[[#This Row],[Age]]&gt;=18,"18-20"))))))</f>
        <v>40-49</v>
      </c>
      <c r="AK549" t="str" cm="1">
        <f t="array" ref="AK549">_xlfn.IFS(HR_Employee_Attrition[[#This Row],[YearsAtCompany]]&lt;=2,"0-2",HR_Employee_Attrition[[#This Row],[YearsAtCompany]]&lt;=5,"3-5",HR_Employee_Attrition[[#This Row],[YearsAtCompany]]&lt;=10,"6-10",HR_Employee_Attrition[[#This Row],[YearsAtCompany]]&gt;10,"10+")</f>
        <v>0-2</v>
      </c>
      <c r="AL549" t="str" cm="1">
        <f t="array" ref="AL5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49">
        <f>IF(HR_Employee_Attrition[[#This Row],[Attrition]]="Yes",1,0)</f>
        <v>1</v>
      </c>
    </row>
    <row r="550" spans="1:39" x14ac:dyDescent="0.3">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c r="AJ550" t="str">
        <f>IF(HR_Employee_Attrition[[#This Row],[Age]]&gt;60,"60+",IF(HR_Employee_Attrition[[#This Row],[Age]]&gt;=50,"50-59",IF(HR_Employee_Attrition[[#This Row],[Age]]&gt;=40,"40-49",IF(HR_Employee_Attrition[[#This Row],[Age]]&gt;=30,"30-39",IF(HR_Employee_Attrition[[#This Row],[Age]]&gt;=20,"20-29",IF(HR_Employee_Attrition[[#This Row],[Age]]&gt;=18,"18-20"))))))</f>
        <v>40-49</v>
      </c>
      <c r="AK550" t="str" cm="1">
        <f t="array" ref="AK550">_xlfn.IFS(HR_Employee_Attrition[[#This Row],[YearsAtCompany]]&lt;=2,"0-2",HR_Employee_Attrition[[#This Row],[YearsAtCompany]]&lt;=5,"3-5",HR_Employee_Attrition[[#This Row],[YearsAtCompany]]&lt;=10,"6-10",HR_Employee_Attrition[[#This Row],[YearsAtCompany]]&gt;10,"10+")</f>
        <v>0-2</v>
      </c>
      <c r="AL550" t="str" cm="1">
        <f t="array" ref="AL5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50">
        <f>IF(HR_Employee_Attrition[[#This Row],[Attrition]]="Yes",1,0)</f>
        <v>0</v>
      </c>
    </row>
    <row r="551" spans="1:39" x14ac:dyDescent="0.3">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c r="AJ551" t="str">
        <f>IF(HR_Employee_Attrition[[#This Row],[Age]]&gt;60,"60+",IF(HR_Employee_Attrition[[#This Row],[Age]]&gt;=50,"50-59",IF(HR_Employee_Attrition[[#This Row],[Age]]&gt;=40,"40-49",IF(HR_Employee_Attrition[[#This Row],[Age]]&gt;=30,"30-39",IF(HR_Employee_Attrition[[#This Row],[Age]]&gt;=20,"20-29",IF(HR_Employee_Attrition[[#This Row],[Age]]&gt;=18,"18-20"))))))</f>
        <v>30-39</v>
      </c>
      <c r="AK551" t="str" cm="1">
        <f t="array" ref="AK551">_xlfn.IFS(HR_Employee_Attrition[[#This Row],[YearsAtCompany]]&lt;=2,"0-2",HR_Employee_Attrition[[#This Row],[YearsAtCompany]]&lt;=5,"3-5",HR_Employee_Attrition[[#This Row],[YearsAtCompany]]&lt;=10,"6-10",HR_Employee_Attrition[[#This Row],[YearsAtCompany]]&gt;10,"10+")</f>
        <v>3-5</v>
      </c>
      <c r="AL551" t="str" cm="1">
        <f t="array" ref="AL5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51">
        <f>IF(HR_Employee_Attrition[[#This Row],[Attrition]]="Yes",1,0)</f>
        <v>0</v>
      </c>
    </row>
    <row r="552" spans="1:39" x14ac:dyDescent="0.3">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c r="AJ552" t="str">
        <f>IF(HR_Employee_Attrition[[#This Row],[Age]]&gt;60,"60+",IF(HR_Employee_Attrition[[#This Row],[Age]]&gt;=50,"50-59",IF(HR_Employee_Attrition[[#This Row],[Age]]&gt;=40,"40-49",IF(HR_Employee_Attrition[[#This Row],[Age]]&gt;=30,"30-39",IF(HR_Employee_Attrition[[#This Row],[Age]]&gt;=20,"20-29",IF(HR_Employee_Attrition[[#This Row],[Age]]&gt;=18,"18-20"))))))</f>
        <v>20-29</v>
      </c>
      <c r="AK552" t="str" cm="1">
        <f t="array" ref="AK552">_xlfn.IFS(HR_Employee_Attrition[[#This Row],[YearsAtCompany]]&lt;=2,"0-2",HR_Employee_Attrition[[#This Row],[YearsAtCompany]]&lt;=5,"3-5",HR_Employee_Attrition[[#This Row],[YearsAtCompany]]&lt;=10,"6-10",HR_Employee_Attrition[[#This Row],[YearsAtCompany]]&gt;10,"10+")</f>
        <v>3-5</v>
      </c>
      <c r="AL552" t="str" cm="1">
        <f t="array" ref="AL5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52">
        <f>IF(HR_Employee_Attrition[[#This Row],[Attrition]]="Yes",1,0)</f>
        <v>0</v>
      </c>
    </row>
    <row r="553" spans="1:39" x14ac:dyDescent="0.3">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c r="AJ553" t="str">
        <f>IF(HR_Employee_Attrition[[#This Row],[Age]]&gt;60,"60+",IF(HR_Employee_Attrition[[#This Row],[Age]]&gt;=50,"50-59",IF(HR_Employee_Attrition[[#This Row],[Age]]&gt;=40,"40-49",IF(HR_Employee_Attrition[[#This Row],[Age]]&gt;=30,"30-39",IF(HR_Employee_Attrition[[#This Row],[Age]]&gt;=20,"20-29",IF(HR_Employee_Attrition[[#This Row],[Age]]&gt;=18,"18-20"))))))</f>
        <v>30-39</v>
      </c>
      <c r="AK553" t="str" cm="1">
        <f t="array" ref="AK553">_xlfn.IFS(HR_Employee_Attrition[[#This Row],[YearsAtCompany]]&lt;=2,"0-2",HR_Employee_Attrition[[#This Row],[YearsAtCompany]]&lt;=5,"3-5",HR_Employee_Attrition[[#This Row],[YearsAtCompany]]&lt;=10,"6-10",HR_Employee_Attrition[[#This Row],[YearsAtCompany]]&gt;10,"10+")</f>
        <v>6-10</v>
      </c>
      <c r="AL553" t="str" cm="1">
        <f t="array" ref="AL5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53">
        <f>IF(HR_Employee_Attrition[[#This Row],[Attrition]]="Yes",1,0)</f>
        <v>0</v>
      </c>
    </row>
    <row r="554" spans="1:39" x14ac:dyDescent="0.3">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c r="AJ554" t="str">
        <f>IF(HR_Employee_Attrition[[#This Row],[Age]]&gt;60,"60+",IF(HR_Employee_Attrition[[#This Row],[Age]]&gt;=50,"50-59",IF(HR_Employee_Attrition[[#This Row],[Age]]&gt;=40,"40-49",IF(HR_Employee_Attrition[[#This Row],[Age]]&gt;=30,"30-39",IF(HR_Employee_Attrition[[#This Row],[Age]]&gt;=20,"20-29",IF(HR_Employee_Attrition[[#This Row],[Age]]&gt;=18,"18-20"))))))</f>
        <v>50-59</v>
      </c>
      <c r="AK554" t="str" cm="1">
        <f t="array" ref="AK554">_xlfn.IFS(HR_Employee_Attrition[[#This Row],[YearsAtCompany]]&lt;=2,"0-2",HR_Employee_Attrition[[#This Row],[YearsAtCompany]]&lt;=5,"3-5",HR_Employee_Attrition[[#This Row],[YearsAtCompany]]&lt;=10,"6-10",HR_Employee_Attrition[[#This Row],[YearsAtCompany]]&gt;10,"10+")</f>
        <v>6-10</v>
      </c>
      <c r="AL554" t="str" cm="1">
        <f t="array" ref="AL5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54">
        <f>IF(HR_Employee_Attrition[[#This Row],[Attrition]]="Yes",1,0)</f>
        <v>0</v>
      </c>
    </row>
    <row r="555" spans="1:39" x14ac:dyDescent="0.3">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c r="AJ555" t="str">
        <f>IF(HR_Employee_Attrition[[#This Row],[Age]]&gt;60,"60+",IF(HR_Employee_Attrition[[#This Row],[Age]]&gt;=50,"50-59",IF(HR_Employee_Attrition[[#This Row],[Age]]&gt;=40,"40-49",IF(HR_Employee_Attrition[[#This Row],[Age]]&gt;=30,"30-39",IF(HR_Employee_Attrition[[#This Row],[Age]]&gt;=20,"20-29",IF(HR_Employee_Attrition[[#This Row],[Age]]&gt;=18,"18-20"))))))</f>
        <v>40-49</v>
      </c>
      <c r="AK555" t="str" cm="1">
        <f t="array" ref="AK555">_xlfn.IFS(HR_Employee_Attrition[[#This Row],[YearsAtCompany]]&lt;=2,"0-2",HR_Employee_Attrition[[#This Row],[YearsAtCompany]]&lt;=5,"3-5",HR_Employee_Attrition[[#This Row],[YearsAtCompany]]&lt;=10,"6-10",HR_Employee_Attrition[[#This Row],[YearsAtCompany]]&gt;10,"10+")</f>
        <v>3-5</v>
      </c>
      <c r="AL555" t="str" cm="1">
        <f t="array" ref="AL5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55">
        <f>IF(HR_Employee_Attrition[[#This Row],[Attrition]]="Yes",1,0)</f>
        <v>0</v>
      </c>
    </row>
    <row r="556" spans="1:39" x14ac:dyDescent="0.3">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c r="AJ556" t="str">
        <f>IF(HR_Employee_Attrition[[#This Row],[Age]]&gt;60,"60+",IF(HR_Employee_Attrition[[#This Row],[Age]]&gt;=50,"50-59",IF(HR_Employee_Attrition[[#This Row],[Age]]&gt;=40,"40-49",IF(HR_Employee_Attrition[[#This Row],[Age]]&gt;=30,"30-39",IF(HR_Employee_Attrition[[#This Row],[Age]]&gt;=20,"20-29",IF(HR_Employee_Attrition[[#This Row],[Age]]&gt;=18,"18-20"))))))</f>
        <v>20-29</v>
      </c>
      <c r="AK556" t="str" cm="1">
        <f t="array" ref="AK556">_xlfn.IFS(HR_Employee_Attrition[[#This Row],[YearsAtCompany]]&lt;=2,"0-2",HR_Employee_Attrition[[#This Row],[YearsAtCompany]]&lt;=5,"3-5",HR_Employee_Attrition[[#This Row],[YearsAtCompany]]&lt;=10,"6-10",HR_Employee_Attrition[[#This Row],[YearsAtCompany]]&gt;10,"10+")</f>
        <v>6-10</v>
      </c>
      <c r="AL556" t="str" cm="1">
        <f t="array" ref="AL5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56">
        <f>IF(HR_Employee_Attrition[[#This Row],[Attrition]]="Yes",1,0)</f>
        <v>0</v>
      </c>
    </row>
    <row r="557" spans="1:39" x14ac:dyDescent="0.3">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c r="AJ557" t="str">
        <f>IF(HR_Employee_Attrition[[#This Row],[Age]]&gt;60,"60+",IF(HR_Employee_Attrition[[#This Row],[Age]]&gt;=50,"50-59",IF(HR_Employee_Attrition[[#This Row],[Age]]&gt;=40,"40-49",IF(HR_Employee_Attrition[[#This Row],[Age]]&gt;=30,"30-39",IF(HR_Employee_Attrition[[#This Row],[Age]]&gt;=20,"20-29",IF(HR_Employee_Attrition[[#This Row],[Age]]&gt;=18,"18-20"))))))</f>
        <v>20-29</v>
      </c>
      <c r="AK557" t="str" cm="1">
        <f t="array" ref="AK557">_xlfn.IFS(HR_Employee_Attrition[[#This Row],[YearsAtCompany]]&lt;=2,"0-2",HR_Employee_Attrition[[#This Row],[YearsAtCompany]]&lt;=5,"3-5",HR_Employee_Attrition[[#This Row],[YearsAtCompany]]&lt;=10,"6-10",HR_Employee_Attrition[[#This Row],[YearsAtCompany]]&gt;10,"10+")</f>
        <v>0-2</v>
      </c>
      <c r="AL557" t="str" cm="1">
        <f t="array" ref="AL5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57">
        <f>IF(HR_Employee_Attrition[[#This Row],[Attrition]]="Yes",1,0)</f>
        <v>0</v>
      </c>
    </row>
    <row r="558" spans="1:39" x14ac:dyDescent="0.3">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c r="AJ558" t="str">
        <f>IF(HR_Employee_Attrition[[#This Row],[Age]]&gt;60,"60+",IF(HR_Employee_Attrition[[#This Row],[Age]]&gt;=50,"50-59",IF(HR_Employee_Attrition[[#This Row],[Age]]&gt;=40,"40-49",IF(HR_Employee_Attrition[[#This Row],[Age]]&gt;=30,"30-39",IF(HR_Employee_Attrition[[#This Row],[Age]]&gt;=20,"20-29",IF(HR_Employee_Attrition[[#This Row],[Age]]&gt;=18,"18-20"))))))</f>
        <v>50-59</v>
      </c>
      <c r="AK558" t="str" cm="1">
        <f t="array" ref="AK558">_xlfn.IFS(HR_Employee_Attrition[[#This Row],[YearsAtCompany]]&lt;=2,"0-2",HR_Employee_Attrition[[#This Row],[YearsAtCompany]]&lt;=5,"3-5",HR_Employee_Attrition[[#This Row],[YearsAtCompany]]&lt;=10,"6-10",HR_Employee_Attrition[[#This Row],[YearsAtCompany]]&gt;10,"10+")</f>
        <v>0-2</v>
      </c>
      <c r="AL558" t="str" cm="1">
        <f t="array" ref="AL5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58">
        <f>IF(HR_Employee_Attrition[[#This Row],[Attrition]]="Yes",1,0)</f>
        <v>0</v>
      </c>
    </row>
    <row r="559" spans="1:39" x14ac:dyDescent="0.3">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c r="AJ559" t="str">
        <f>IF(HR_Employee_Attrition[[#This Row],[Age]]&gt;60,"60+",IF(HR_Employee_Attrition[[#This Row],[Age]]&gt;=50,"50-59",IF(HR_Employee_Attrition[[#This Row],[Age]]&gt;=40,"40-49",IF(HR_Employee_Attrition[[#This Row],[Age]]&gt;=30,"30-39",IF(HR_Employee_Attrition[[#This Row],[Age]]&gt;=20,"20-29",IF(HR_Employee_Attrition[[#This Row],[Age]]&gt;=18,"18-20"))))))</f>
        <v>30-39</v>
      </c>
      <c r="AK559" t="str" cm="1">
        <f t="array" ref="AK559">_xlfn.IFS(HR_Employee_Attrition[[#This Row],[YearsAtCompany]]&lt;=2,"0-2",HR_Employee_Attrition[[#This Row],[YearsAtCompany]]&lt;=5,"3-5",HR_Employee_Attrition[[#This Row],[YearsAtCompany]]&lt;=10,"6-10",HR_Employee_Attrition[[#This Row],[YearsAtCompany]]&gt;10,"10+")</f>
        <v>0-2</v>
      </c>
      <c r="AL559" t="str" cm="1">
        <f t="array" ref="AL5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59">
        <f>IF(HR_Employee_Attrition[[#This Row],[Attrition]]="Yes",1,0)</f>
        <v>0</v>
      </c>
    </row>
    <row r="560" spans="1:39" x14ac:dyDescent="0.3">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c r="AJ560" t="str">
        <f>IF(HR_Employee_Attrition[[#This Row],[Age]]&gt;60,"60+",IF(HR_Employee_Attrition[[#This Row],[Age]]&gt;=50,"50-59",IF(HR_Employee_Attrition[[#This Row],[Age]]&gt;=40,"40-49",IF(HR_Employee_Attrition[[#This Row],[Age]]&gt;=30,"30-39",IF(HR_Employee_Attrition[[#This Row],[Age]]&gt;=20,"20-29",IF(HR_Employee_Attrition[[#This Row],[Age]]&gt;=18,"18-20"))))))</f>
        <v>30-39</v>
      </c>
      <c r="AK560" t="str" cm="1">
        <f t="array" ref="AK560">_xlfn.IFS(HR_Employee_Attrition[[#This Row],[YearsAtCompany]]&lt;=2,"0-2",HR_Employee_Attrition[[#This Row],[YearsAtCompany]]&lt;=5,"3-5",HR_Employee_Attrition[[#This Row],[YearsAtCompany]]&lt;=10,"6-10",HR_Employee_Attrition[[#This Row],[YearsAtCompany]]&gt;10,"10+")</f>
        <v>6-10</v>
      </c>
      <c r="AL560" t="str" cm="1">
        <f t="array" ref="AL5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60">
        <f>IF(HR_Employee_Attrition[[#This Row],[Attrition]]="Yes",1,0)</f>
        <v>0</v>
      </c>
    </row>
    <row r="561" spans="1:39" x14ac:dyDescent="0.3">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c r="AJ561" t="str">
        <f>IF(HR_Employee_Attrition[[#This Row],[Age]]&gt;60,"60+",IF(HR_Employee_Attrition[[#This Row],[Age]]&gt;=50,"50-59",IF(HR_Employee_Attrition[[#This Row],[Age]]&gt;=40,"40-49",IF(HR_Employee_Attrition[[#This Row],[Age]]&gt;=30,"30-39",IF(HR_Employee_Attrition[[#This Row],[Age]]&gt;=20,"20-29",IF(HR_Employee_Attrition[[#This Row],[Age]]&gt;=18,"18-20"))))))</f>
        <v>30-39</v>
      </c>
      <c r="AK561" t="str" cm="1">
        <f t="array" ref="AK561">_xlfn.IFS(HR_Employee_Attrition[[#This Row],[YearsAtCompany]]&lt;=2,"0-2",HR_Employee_Attrition[[#This Row],[YearsAtCompany]]&lt;=5,"3-5",HR_Employee_Attrition[[#This Row],[YearsAtCompany]]&lt;=10,"6-10",HR_Employee_Attrition[[#This Row],[YearsAtCompany]]&gt;10,"10+")</f>
        <v>0-2</v>
      </c>
      <c r="AL561" t="str" cm="1">
        <f t="array" ref="AL5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61">
        <f>IF(HR_Employee_Attrition[[#This Row],[Attrition]]="Yes",1,0)</f>
        <v>0</v>
      </c>
    </row>
    <row r="562" spans="1:39" x14ac:dyDescent="0.3">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c r="AJ562" t="str">
        <f>IF(HR_Employee_Attrition[[#This Row],[Age]]&gt;60,"60+",IF(HR_Employee_Attrition[[#This Row],[Age]]&gt;=50,"50-59",IF(HR_Employee_Attrition[[#This Row],[Age]]&gt;=40,"40-49",IF(HR_Employee_Attrition[[#This Row],[Age]]&gt;=30,"30-39",IF(HR_Employee_Attrition[[#This Row],[Age]]&gt;=20,"20-29",IF(HR_Employee_Attrition[[#This Row],[Age]]&gt;=18,"18-20"))))))</f>
        <v>30-39</v>
      </c>
      <c r="AK562" t="str" cm="1">
        <f t="array" ref="AK562">_xlfn.IFS(HR_Employee_Attrition[[#This Row],[YearsAtCompany]]&lt;=2,"0-2",HR_Employee_Attrition[[#This Row],[YearsAtCompany]]&lt;=5,"3-5",HR_Employee_Attrition[[#This Row],[YearsAtCompany]]&lt;=10,"6-10",HR_Employee_Attrition[[#This Row],[YearsAtCompany]]&gt;10,"10+")</f>
        <v>0-2</v>
      </c>
      <c r="AL562" t="str" cm="1">
        <f t="array" ref="AL5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62">
        <f>IF(HR_Employee_Attrition[[#This Row],[Attrition]]="Yes",1,0)</f>
        <v>0</v>
      </c>
    </row>
    <row r="563" spans="1:39" x14ac:dyDescent="0.3">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c r="AJ563" t="str">
        <f>IF(HR_Employee_Attrition[[#This Row],[Age]]&gt;60,"60+",IF(HR_Employee_Attrition[[#This Row],[Age]]&gt;=50,"50-59",IF(HR_Employee_Attrition[[#This Row],[Age]]&gt;=40,"40-49",IF(HR_Employee_Attrition[[#This Row],[Age]]&gt;=30,"30-39",IF(HR_Employee_Attrition[[#This Row],[Age]]&gt;=20,"20-29",IF(HR_Employee_Attrition[[#This Row],[Age]]&gt;=18,"18-20"))))))</f>
        <v>50-59</v>
      </c>
      <c r="AK563" t="str" cm="1">
        <f t="array" ref="AK563">_xlfn.IFS(HR_Employee_Attrition[[#This Row],[YearsAtCompany]]&lt;=2,"0-2",HR_Employee_Attrition[[#This Row],[YearsAtCompany]]&lt;=5,"3-5",HR_Employee_Attrition[[#This Row],[YearsAtCompany]]&lt;=10,"6-10",HR_Employee_Attrition[[#This Row],[YearsAtCompany]]&gt;10,"10+")</f>
        <v>10+</v>
      </c>
      <c r="AL563" t="str" cm="1">
        <f t="array" ref="AL5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63">
        <f>IF(HR_Employee_Attrition[[#This Row],[Attrition]]="Yes",1,0)</f>
        <v>0</v>
      </c>
    </row>
    <row r="564" spans="1:39" x14ac:dyDescent="0.3">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c r="AJ564" t="str">
        <f>IF(HR_Employee_Attrition[[#This Row],[Age]]&gt;60,"60+",IF(HR_Employee_Attrition[[#This Row],[Age]]&gt;=50,"50-59",IF(HR_Employee_Attrition[[#This Row],[Age]]&gt;=40,"40-49",IF(HR_Employee_Attrition[[#This Row],[Age]]&gt;=30,"30-39",IF(HR_Employee_Attrition[[#This Row],[Age]]&gt;=20,"20-29",IF(HR_Employee_Attrition[[#This Row],[Age]]&gt;=18,"18-20"))))))</f>
        <v>30-39</v>
      </c>
      <c r="AK564" t="str" cm="1">
        <f t="array" ref="AK564">_xlfn.IFS(HR_Employee_Attrition[[#This Row],[YearsAtCompany]]&lt;=2,"0-2",HR_Employee_Attrition[[#This Row],[YearsAtCompany]]&lt;=5,"3-5",HR_Employee_Attrition[[#This Row],[YearsAtCompany]]&lt;=10,"6-10",HR_Employee_Attrition[[#This Row],[YearsAtCompany]]&gt;10,"10+")</f>
        <v>6-10</v>
      </c>
      <c r="AL564" t="str" cm="1">
        <f t="array" ref="AL5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64">
        <f>IF(HR_Employee_Attrition[[#This Row],[Attrition]]="Yes",1,0)</f>
        <v>1</v>
      </c>
    </row>
    <row r="565" spans="1:39" x14ac:dyDescent="0.3">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c r="AJ565" t="str">
        <f>IF(HR_Employee_Attrition[[#This Row],[Age]]&gt;60,"60+",IF(HR_Employee_Attrition[[#This Row],[Age]]&gt;=50,"50-59",IF(HR_Employee_Attrition[[#This Row],[Age]]&gt;=40,"40-49",IF(HR_Employee_Attrition[[#This Row],[Age]]&gt;=30,"30-39",IF(HR_Employee_Attrition[[#This Row],[Age]]&gt;=20,"20-29",IF(HR_Employee_Attrition[[#This Row],[Age]]&gt;=18,"18-20"))))))</f>
        <v>20-29</v>
      </c>
      <c r="AK565" t="str" cm="1">
        <f t="array" ref="AK565">_xlfn.IFS(HR_Employee_Attrition[[#This Row],[YearsAtCompany]]&lt;=2,"0-2",HR_Employee_Attrition[[#This Row],[YearsAtCompany]]&lt;=5,"3-5",HR_Employee_Attrition[[#This Row],[YearsAtCompany]]&lt;=10,"6-10",HR_Employee_Attrition[[#This Row],[YearsAtCompany]]&gt;10,"10+")</f>
        <v>6-10</v>
      </c>
      <c r="AL565" t="str" cm="1">
        <f t="array" ref="AL5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65">
        <f>IF(HR_Employee_Attrition[[#This Row],[Attrition]]="Yes",1,0)</f>
        <v>0</v>
      </c>
    </row>
    <row r="566" spans="1:39" x14ac:dyDescent="0.3">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c r="AJ566" t="str">
        <f>IF(HR_Employee_Attrition[[#This Row],[Age]]&gt;60,"60+",IF(HR_Employee_Attrition[[#This Row],[Age]]&gt;=50,"50-59",IF(HR_Employee_Attrition[[#This Row],[Age]]&gt;=40,"40-49",IF(HR_Employee_Attrition[[#This Row],[Age]]&gt;=30,"30-39",IF(HR_Employee_Attrition[[#This Row],[Age]]&gt;=20,"20-29",IF(HR_Employee_Attrition[[#This Row],[Age]]&gt;=18,"18-20"))))))</f>
        <v>40-49</v>
      </c>
      <c r="AK566" t="str" cm="1">
        <f t="array" ref="AK566">_xlfn.IFS(HR_Employee_Attrition[[#This Row],[YearsAtCompany]]&lt;=2,"0-2",HR_Employee_Attrition[[#This Row],[YearsAtCompany]]&lt;=5,"3-5",HR_Employee_Attrition[[#This Row],[YearsAtCompany]]&lt;=10,"6-10",HR_Employee_Attrition[[#This Row],[YearsAtCompany]]&gt;10,"10+")</f>
        <v>6-10</v>
      </c>
      <c r="AL566" t="str" cm="1">
        <f t="array" ref="AL5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66">
        <f>IF(HR_Employee_Attrition[[#This Row],[Attrition]]="Yes",1,0)</f>
        <v>0</v>
      </c>
    </row>
    <row r="567" spans="1:39" x14ac:dyDescent="0.3">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c r="AJ567" t="str">
        <f>IF(HR_Employee_Attrition[[#This Row],[Age]]&gt;60,"60+",IF(HR_Employee_Attrition[[#This Row],[Age]]&gt;=50,"50-59",IF(HR_Employee_Attrition[[#This Row],[Age]]&gt;=40,"40-49",IF(HR_Employee_Attrition[[#This Row],[Age]]&gt;=30,"30-39",IF(HR_Employee_Attrition[[#This Row],[Age]]&gt;=20,"20-29",IF(HR_Employee_Attrition[[#This Row],[Age]]&gt;=18,"18-20"))))))</f>
        <v>20-29</v>
      </c>
      <c r="AK567" t="str" cm="1">
        <f t="array" ref="AK567">_xlfn.IFS(HR_Employee_Attrition[[#This Row],[YearsAtCompany]]&lt;=2,"0-2",HR_Employee_Attrition[[#This Row],[YearsAtCompany]]&lt;=5,"3-5",HR_Employee_Attrition[[#This Row],[YearsAtCompany]]&lt;=10,"6-10",HR_Employee_Attrition[[#This Row],[YearsAtCompany]]&gt;10,"10+")</f>
        <v>0-2</v>
      </c>
      <c r="AL567" t="str" cm="1">
        <f t="array" ref="AL5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67">
        <f>IF(HR_Employee_Attrition[[#This Row],[Attrition]]="Yes",1,0)</f>
        <v>0</v>
      </c>
    </row>
    <row r="568" spans="1:39" x14ac:dyDescent="0.3">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c r="AJ568" t="str">
        <f>IF(HR_Employee_Attrition[[#This Row],[Age]]&gt;60,"60+",IF(HR_Employee_Attrition[[#This Row],[Age]]&gt;=50,"50-59",IF(HR_Employee_Attrition[[#This Row],[Age]]&gt;=40,"40-49",IF(HR_Employee_Attrition[[#This Row],[Age]]&gt;=30,"30-39",IF(HR_Employee_Attrition[[#This Row],[Age]]&gt;=20,"20-29",IF(HR_Employee_Attrition[[#This Row],[Age]]&gt;=18,"18-20"))))))</f>
        <v>40-49</v>
      </c>
      <c r="AK568" t="str" cm="1">
        <f t="array" ref="AK568">_xlfn.IFS(HR_Employee_Attrition[[#This Row],[YearsAtCompany]]&lt;=2,"0-2",HR_Employee_Attrition[[#This Row],[YearsAtCompany]]&lt;=5,"3-5",HR_Employee_Attrition[[#This Row],[YearsAtCompany]]&lt;=10,"6-10",HR_Employee_Attrition[[#This Row],[YearsAtCompany]]&gt;10,"10+")</f>
        <v>3-5</v>
      </c>
      <c r="AL568" t="str" cm="1">
        <f t="array" ref="AL5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68">
        <f>IF(HR_Employee_Attrition[[#This Row],[Attrition]]="Yes",1,0)</f>
        <v>1</v>
      </c>
    </row>
    <row r="569" spans="1:39" x14ac:dyDescent="0.3">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c r="AJ569" t="str">
        <f>IF(HR_Employee_Attrition[[#This Row],[Age]]&gt;60,"60+",IF(HR_Employee_Attrition[[#This Row],[Age]]&gt;=50,"50-59",IF(HR_Employee_Attrition[[#This Row],[Age]]&gt;=40,"40-49",IF(HR_Employee_Attrition[[#This Row],[Age]]&gt;=30,"30-39",IF(HR_Employee_Attrition[[#This Row],[Age]]&gt;=20,"20-29",IF(HR_Employee_Attrition[[#This Row],[Age]]&gt;=18,"18-20"))))))</f>
        <v>30-39</v>
      </c>
      <c r="AK569" t="str" cm="1">
        <f t="array" ref="AK569">_xlfn.IFS(HR_Employee_Attrition[[#This Row],[YearsAtCompany]]&lt;=2,"0-2",HR_Employee_Attrition[[#This Row],[YearsAtCompany]]&lt;=5,"3-5",HR_Employee_Attrition[[#This Row],[YearsAtCompany]]&lt;=10,"6-10",HR_Employee_Attrition[[#This Row],[YearsAtCompany]]&gt;10,"10+")</f>
        <v>6-10</v>
      </c>
      <c r="AL569" t="str" cm="1">
        <f t="array" ref="AL5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69">
        <f>IF(HR_Employee_Attrition[[#This Row],[Attrition]]="Yes",1,0)</f>
        <v>0</v>
      </c>
    </row>
    <row r="570" spans="1:39" x14ac:dyDescent="0.3">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c r="AJ570" t="str">
        <f>IF(HR_Employee_Attrition[[#This Row],[Age]]&gt;60,"60+",IF(HR_Employee_Attrition[[#This Row],[Age]]&gt;=50,"50-59",IF(HR_Employee_Attrition[[#This Row],[Age]]&gt;=40,"40-49",IF(HR_Employee_Attrition[[#This Row],[Age]]&gt;=30,"30-39",IF(HR_Employee_Attrition[[#This Row],[Age]]&gt;=20,"20-29",IF(HR_Employee_Attrition[[#This Row],[Age]]&gt;=18,"18-20"))))))</f>
        <v>50-59</v>
      </c>
      <c r="AK570" t="str" cm="1">
        <f t="array" ref="AK570">_xlfn.IFS(HR_Employee_Attrition[[#This Row],[YearsAtCompany]]&lt;=2,"0-2",HR_Employee_Attrition[[#This Row],[YearsAtCompany]]&lt;=5,"3-5",HR_Employee_Attrition[[#This Row],[YearsAtCompany]]&lt;=10,"6-10",HR_Employee_Attrition[[#This Row],[YearsAtCompany]]&gt;10,"10+")</f>
        <v>3-5</v>
      </c>
      <c r="AL570" t="str" cm="1">
        <f t="array" ref="AL5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70">
        <f>IF(HR_Employee_Attrition[[#This Row],[Attrition]]="Yes",1,0)</f>
        <v>1</v>
      </c>
    </row>
    <row r="571" spans="1:39" x14ac:dyDescent="0.3">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c r="AJ571" t="str">
        <f>IF(HR_Employee_Attrition[[#This Row],[Age]]&gt;60,"60+",IF(HR_Employee_Attrition[[#This Row],[Age]]&gt;=50,"50-59",IF(HR_Employee_Attrition[[#This Row],[Age]]&gt;=40,"40-49",IF(HR_Employee_Attrition[[#This Row],[Age]]&gt;=30,"30-39",IF(HR_Employee_Attrition[[#This Row],[Age]]&gt;=20,"20-29",IF(HR_Employee_Attrition[[#This Row],[Age]]&gt;=18,"18-20"))))))</f>
        <v>30-39</v>
      </c>
      <c r="AK571" t="str" cm="1">
        <f t="array" ref="AK571">_xlfn.IFS(HR_Employee_Attrition[[#This Row],[YearsAtCompany]]&lt;=2,"0-2",HR_Employee_Attrition[[#This Row],[YearsAtCompany]]&lt;=5,"3-5",HR_Employee_Attrition[[#This Row],[YearsAtCompany]]&lt;=10,"6-10",HR_Employee_Attrition[[#This Row],[YearsAtCompany]]&gt;10,"10+")</f>
        <v>6-10</v>
      </c>
      <c r="AL571" t="str" cm="1">
        <f t="array" ref="AL5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71">
        <f>IF(HR_Employee_Attrition[[#This Row],[Attrition]]="Yes",1,0)</f>
        <v>0</v>
      </c>
    </row>
    <row r="572" spans="1:39" x14ac:dyDescent="0.3">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c r="AJ572" t="str">
        <f>IF(HR_Employee_Attrition[[#This Row],[Age]]&gt;60,"60+",IF(HR_Employee_Attrition[[#This Row],[Age]]&gt;=50,"50-59",IF(HR_Employee_Attrition[[#This Row],[Age]]&gt;=40,"40-49",IF(HR_Employee_Attrition[[#This Row],[Age]]&gt;=30,"30-39",IF(HR_Employee_Attrition[[#This Row],[Age]]&gt;=20,"20-29",IF(HR_Employee_Attrition[[#This Row],[Age]]&gt;=18,"18-20"))))))</f>
        <v>50-59</v>
      </c>
      <c r="AK572" t="str" cm="1">
        <f t="array" ref="AK572">_xlfn.IFS(HR_Employee_Attrition[[#This Row],[YearsAtCompany]]&lt;=2,"0-2",HR_Employee_Attrition[[#This Row],[YearsAtCompany]]&lt;=5,"3-5",HR_Employee_Attrition[[#This Row],[YearsAtCompany]]&lt;=10,"6-10",HR_Employee_Attrition[[#This Row],[YearsAtCompany]]&gt;10,"10+")</f>
        <v>3-5</v>
      </c>
      <c r="AL572" t="str" cm="1">
        <f t="array" ref="AL5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72">
        <f>IF(HR_Employee_Attrition[[#This Row],[Attrition]]="Yes",1,0)</f>
        <v>0</v>
      </c>
    </row>
    <row r="573" spans="1:39" x14ac:dyDescent="0.3">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c r="AJ573" t="str">
        <f>IF(HR_Employee_Attrition[[#This Row],[Age]]&gt;60,"60+",IF(HR_Employee_Attrition[[#This Row],[Age]]&gt;=50,"50-59",IF(HR_Employee_Attrition[[#This Row],[Age]]&gt;=40,"40-49",IF(HR_Employee_Attrition[[#This Row],[Age]]&gt;=30,"30-39",IF(HR_Employee_Attrition[[#This Row],[Age]]&gt;=20,"20-29",IF(HR_Employee_Attrition[[#This Row],[Age]]&gt;=18,"18-20"))))))</f>
        <v>20-29</v>
      </c>
      <c r="AK573" t="str" cm="1">
        <f t="array" ref="AK573">_xlfn.IFS(HR_Employee_Attrition[[#This Row],[YearsAtCompany]]&lt;=2,"0-2",HR_Employee_Attrition[[#This Row],[YearsAtCompany]]&lt;=5,"3-5",HR_Employee_Attrition[[#This Row],[YearsAtCompany]]&lt;=10,"6-10",HR_Employee_Attrition[[#This Row],[YearsAtCompany]]&gt;10,"10+")</f>
        <v>0-2</v>
      </c>
      <c r="AL573" t="str" cm="1">
        <f t="array" ref="AL5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73">
        <f>IF(HR_Employee_Attrition[[#This Row],[Attrition]]="Yes",1,0)</f>
        <v>0</v>
      </c>
    </row>
    <row r="574" spans="1:39" x14ac:dyDescent="0.3">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c r="AJ574" t="str">
        <f>IF(HR_Employee_Attrition[[#This Row],[Age]]&gt;60,"60+",IF(HR_Employee_Attrition[[#This Row],[Age]]&gt;=50,"50-59",IF(HR_Employee_Attrition[[#This Row],[Age]]&gt;=40,"40-49",IF(HR_Employee_Attrition[[#This Row],[Age]]&gt;=30,"30-39",IF(HR_Employee_Attrition[[#This Row],[Age]]&gt;=20,"20-29",IF(HR_Employee_Attrition[[#This Row],[Age]]&gt;=18,"18-20"))))))</f>
        <v>20-29</v>
      </c>
      <c r="AK574" t="str" cm="1">
        <f t="array" ref="AK574">_xlfn.IFS(HR_Employee_Attrition[[#This Row],[YearsAtCompany]]&lt;=2,"0-2",HR_Employee_Attrition[[#This Row],[YearsAtCompany]]&lt;=5,"3-5",HR_Employee_Attrition[[#This Row],[YearsAtCompany]]&lt;=10,"6-10",HR_Employee_Attrition[[#This Row],[YearsAtCompany]]&gt;10,"10+")</f>
        <v>6-10</v>
      </c>
      <c r="AL574" t="str" cm="1">
        <f t="array" ref="AL5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74">
        <f>IF(HR_Employee_Attrition[[#This Row],[Attrition]]="Yes",1,0)</f>
        <v>0</v>
      </c>
    </row>
    <row r="575" spans="1:39" x14ac:dyDescent="0.3">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c r="AJ575" t="str">
        <f>IF(HR_Employee_Attrition[[#This Row],[Age]]&gt;60,"60+",IF(HR_Employee_Attrition[[#This Row],[Age]]&gt;=50,"50-59",IF(HR_Employee_Attrition[[#This Row],[Age]]&gt;=40,"40-49",IF(HR_Employee_Attrition[[#This Row],[Age]]&gt;=30,"30-39",IF(HR_Employee_Attrition[[#This Row],[Age]]&gt;=20,"20-29",IF(HR_Employee_Attrition[[#This Row],[Age]]&gt;=18,"18-20"))))))</f>
        <v>20-29</v>
      </c>
      <c r="AK575" t="str" cm="1">
        <f t="array" ref="AK575">_xlfn.IFS(HR_Employee_Attrition[[#This Row],[YearsAtCompany]]&lt;=2,"0-2",HR_Employee_Attrition[[#This Row],[YearsAtCompany]]&lt;=5,"3-5",HR_Employee_Attrition[[#This Row],[YearsAtCompany]]&lt;=10,"6-10",HR_Employee_Attrition[[#This Row],[YearsAtCompany]]&gt;10,"10+")</f>
        <v>3-5</v>
      </c>
      <c r="AL575" t="str" cm="1">
        <f t="array" ref="AL5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75">
        <f>IF(HR_Employee_Attrition[[#This Row],[Attrition]]="Yes",1,0)</f>
        <v>1</v>
      </c>
    </row>
    <row r="576" spans="1:39" x14ac:dyDescent="0.3">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c r="AJ576" t="str">
        <f>IF(HR_Employee_Attrition[[#This Row],[Age]]&gt;60,"60+",IF(HR_Employee_Attrition[[#This Row],[Age]]&gt;=50,"50-59",IF(HR_Employee_Attrition[[#This Row],[Age]]&gt;=40,"40-49",IF(HR_Employee_Attrition[[#This Row],[Age]]&gt;=30,"30-39",IF(HR_Employee_Attrition[[#This Row],[Age]]&gt;=20,"20-29",IF(HR_Employee_Attrition[[#This Row],[Age]]&gt;=18,"18-20"))))))</f>
        <v>30-39</v>
      </c>
      <c r="AK576" t="str" cm="1">
        <f t="array" ref="AK576">_xlfn.IFS(HR_Employee_Attrition[[#This Row],[YearsAtCompany]]&lt;=2,"0-2",HR_Employee_Attrition[[#This Row],[YearsAtCompany]]&lt;=5,"3-5",HR_Employee_Attrition[[#This Row],[YearsAtCompany]]&lt;=10,"6-10",HR_Employee_Attrition[[#This Row],[YearsAtCompany]]&gt;10,"10+")</f>
        <v>3-5</v>
      </c>
      <c r="AL576" t="str" cm="1">
        <f t="array" ref="AL5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76">
        <f>IF(HR_Employee_Attrition[[#This Row],[Attrition]]="Yes",1,0)</f>
        <v>0</v>
      </c>
    </row>
    <row r="577" spans="1:39" x14ac:dyDescent="0.3">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c r="AJ577" t="str">
        <f>IF(HR_Employee_Attrition[[#This Row],[Age]]&gt;60,"60+",IF(HR_Employee_Attrition[[#This Row],[Age]]&gt;=50,"50-59",IF(HR_Employee_Attrition[[#This Row],[Age]]&gt;=40,"40-49",IF(HR_Employee_Attrition[[#This Row],[Age]]&gt;=30,"30-39",IF(HR_Employee_Attrition[[#This Row],[Age]]&gt;=20,"20-29",IF(HR_Employee_Attrition[[#This Row],[Age]]&gt;=18,"18-20"))))))</f>
        <v>50-59</v>
      </c>
      <c r="AK577" t="str" cm="1">
        <f t="array" ref="AK577">_xlfn.IFS(HR_Employee_Attrition[[#This Row],[YearsAtCompany]]&lt;=2,"0-2",HR_Employee_Attrition[[#This Row],[YearsAtCompany]]&lt;=5,"3-5",HR_Employee_Attrition[[#This Row],[YearsAtCompany]]&lt;=10,"6-10",HR_Employee_Attrition[[#This Row],[YearsAtCompany]]&gt;10,"10+")</f>
        <v>3-5</v>
      </c>
      <c r="AL577" t="str" cm="1">
        <f t="array" ref="AL5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77">
        <f>IF(HR_Employee_Attrition[[#This Row],[Attrition]]="Yes",1,0)</f>
        <v>0</v>
      </c>
    </row>
    <row r="578" spans="1:39" x14ac:dyDescent="0.3">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c r="AJ578" t="str">
        <f>IF(HR_Employee_Attrition[[#This Row],[Age]]&gt;60,"60+",IF(HR_Employee_Attrition[[#This Row],[Age]]&gt;=50,"50-59",IF(HR_Employee_Attrition[[#This Row],[Age]]&gt;=40,"40-49",IF(HR_Employee_Attrition[[#This Row],[Age]]&gt;=30,"30-39",IF(HR_Employee_Attrition[[#This Row],[Age]]&gt;=20,"20-29",IF(HR_Employee_Attrition[[#This Row],[Age]]&gt;=18,"18-20"))))))</f>
        <v>20-29</v>
      </c>
      <c r="AK578" t="str" cm="1">
        <f t="array" ref="AK578">_xlfn.IFS(HR_Employee_Attrition[[#This Row],[YearsAtCompany]]&lt;=2,"0-2",HR_Employee_Attrition[[#This Row],[YearsAtCompany]]&lt;=5,"3-5",HR_Employee_Attrition[[#This Row],[YearsAtCompany]]&lt;=10,"6-10",HR_Employee_Attrition[[#This Row],[YearsAtCompany]]&gt;10,"10+")</f>
        <v>3-5</v>
      </c>
      <c r="AL578" t="str" cm="1">
        <f t="array" ref="AL5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78">
        <f>IF(HR_Employee_Attrition[[#This Row],[Attrition]]="Yes",1,0)</f>
        <v>0</v>
      </c>
    </row>
    <row r="579" spans="1:39" x14ac:dyDescent="0.3">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c r="AJ579" t="str">
        <f>IF(HR_Employee_Attrition[[#This Row],[Age]]&gt;60,"60+",IF(HR_Employee_Attrition[[#This Row],[Age]]&gt;=50,"50-59",IF(HR_Employee_Attrition[[#This Row],[Age]]&gt;=40,"40-49",IF(HR_Employee_Attrition[[#This Row],[Age]]&gt;=30,"30-39",IF(HR_Employee_Attrition[[#This Row],[Age]]&gt;=20,"20-29",IF(HR_Employee_Attrition[[#This Row],[Age]]&gt;=18,"18-20"))))))</f>
        <v>30-39</v>
      </c>
      <c r="AK579" t="str" cm="1">
        <f t="array" ref="AK579">_xlfn.IFS(HR_Employee_Attrition[[#This Row],[YearsAtCompany]]&lt;=2,"0-2",HR_Employee_Attrition[[#This Row],[YearsAtCompany]]&lt;=5,"3-5",HR_Employee_Attrition[[#This Row],[YearsAtCompany]]&lt;=10,"6-10",HR_Employee_Attrition[[#This Row],[YearsAtCompany]]&gt;10,"10+")</f>
        <v>3-5</v>
      </c>
      <c r="AL579" t="str" cm="1">
        <f t="array" ref="AL5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79">
        <f>IF(HR_Employee_Attrition[[#This Row],[Attrition]]="Yes",1,0)</f>
        <v>0</v>
      </c>
    </row>
    <row r="580" spans="1:39" x14ac:dyDescent="0.3">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c r="AJ580" t="str">
        <f>IF(HR_Employee_Attrition[[#This Row],[Age]]&gt;60,"60+",IF(HR_Employee_Attrition[[#This Row],[Age]]&gt;=50,"50-59",IF(HR_Employee_Attrition[[#This Row],[Age]]&gt;=40,"40-49",IF(HR_Employee_Attrition[[#This Row],[Age]]&gt;=30,"30-39",IF(HR_Employee_Attrition[[#This Row],[Age]]&gt;=20,"20-29",IF(HR_Employee_Attrition[[#This Row],[Age]]&gt;=18,"18-20"))))))</f>
        <v>30-39</v>
      </c>
      <c r="AK580" t="str" cm="1">
        <f t="array" ref="AK580">_xlfn.IFS(HR_Employee_Attrition[[#This Row],[YearsAtCompany]]&lt;=2,"0-2",HR_Employee_Attrition[[#This Row],[YearsAtCompany]]&lt;=5,"3-5",HR_Employee_Attrition[[#This Row],[YearsAtCompany]]&lt;=10,"6-10",HR_Employee_Attrition[[#This Row],[YearsAtCompany]]&gt;10,"10+")</f>
        <v>10+</v>
      </c>
      <c r="AL580" t="str" cm="1">
        <f t="array" ref="AL5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80">
        <f>IF(HR_Employee_Attrition[[#This Row],[Attrition]]="Yes",1,0)</f>
        <v>0</v>
      </c>
    </row>
    <row r="581" spans="1:39" x14ac:dyDescent="0.3">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c r="AJ581" t="str">
        <f>IF(HR_Employee_Attrition[[#This Row],[Age]]&gt;60,"60+",IF(HR_Employee_Attrition[[#This Row],[Age]]&gt;=50,"50-59",IF(HR_Employee_Attrition[[#This Row],[Age]]&gt;=40,"40-49",IF(HR_Employee_Attrition[[#This Row],[Age]]&gt;=30,"30-39",IF(HR_Employee_Attrition[[#This Row],[Age]]&gt;=20,"20-29",IF(HR_Employee_Attrition[[#This Row],[Age]]&gt;=18,"18-20"))))))</f>
        <v>30-39</v>
      </c>
      <c r="AK581" t="str" cm="1">
        <f t="array" ref="AK581">_xlfn.IFS(HR_Employee_Attrition[[#This Row],[YearsAtCompany]]&lt;=2,"0-2",HR_Employee_Attrition[[#This Row],[YearsAtCompany]]&lt;=5,"3-5",HR_Employee_Attrition[[#This Row],[YearsAtCompany]]&lt;=10,"6-10",HR_Employee_Attrition[[#This Row],[YearsAtCompany]]&gt;10,"10+")</f>
        <v>6-10</v>
      </c>
      <c r="AL581" t="str" cm="1">
        <f t="array" ref="AL5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81">
        <f>IF(HR_Employee_Attrition[[#This Row],[Attrition]]="Yes",1,0)</f>
        <v>0</v>
      </c>
    </row>
    <row r="582" spans="1:39" x14ac:dyDescent="0.3">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c r="AJ582" t="str">
        <f>IF(HR_Employee_Attrition[[#This Row],[Age]]&gt;60,"60+",IF(HR_Employee_Attrition[[#This Row],[Age]]&gt;=50,"50-59",IF(HR_Employee_Attrition[[#This Row],[Age]]&gt;=40,"40-49",IF(HR_Employee_Attrition[[#This Row],[Age]]&gt;=30,"30-39",IF(HR_Employee_Attrition[[#This Row],[Age]]&gt;=20,"20-29",IF(HR_Employee_Attrition[[#This Row],[Age]]&gt;=18,"18-20"))))))</f>
        <v>30-39</v>
      </c>
      <c r="AK582" t="str" cm="1">
        <f t="array" ref="AK582">_xlfn.IFS(HR_Employee_Attrition[[#This Row],[YearsAtCompany]]&lt;=2,"0-2",HR_Employee_Attrition[[#This Row],[YearsAtCompany]]&lt;=5,"3-5",HR_Employee_Attrition[[#This Row],[YearsAtCompany]]&lt;=10,"6-10",HR_Employee_Attrition[[#This Row],[YearsAtCompany]]&gt;10,"10+")</f>
        <v>3-5</v>
      </c>
      <c r="AL582" t="str" cm="1">
        <f t="array" ref="AL5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82">
        <f>IF(HR_Employee_Attrition[[#This Row],[Attrition]]="Yes",1,0)</f>
        <v>0</v>
      </c>
    </row>
    <row r="583" spans="1:39" x14ac:dyDescent="0.3">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c r="AJ583" t="str">
        <f>IF(HR_Employee_Attrition[[#This Row],[Age]]&gt;60,"60+",IF(HR_Employee_Attrition[[#This Row],[Age]]&gt;=50,"50-59",IF(HR_Employee_Attrition[[#This Row],[Age]]&gt;=40,"40-49",IF(HR_Employee_Attrition[[#This Row],[Age]]&gt;=30,"30-39",IF(HR_Employee_Attrition[[#This Row],[Age]]&gt;=20,"20-29",IF(HR_Employee_Attrition[[#This Row],[Age]]&gt;=18,"18-20"))))))</f>
        <v>30-39</v>
      </c>
      <c r="AK583" t="str" cm="1">
        <f t="array" ref="AK583">_xlfn.IFS(HR_Employee_Attrition[[#This Row],[YearsAtCompany]]&lt;=2,"0-2",HR_Employee_Attrition[[#This Row],[YearsAtCompany]]&lt;=5,"3-5",HR_Employee_Attrition[[#This Row],[YearsAtCompany]]&lt;=10,"6-10",HR_Employee_Attrition[[#This Row],[YearsAtCompany]]&gt;10,"10+")</f>
        <v>0-2</v>
      </c>
      <c r="AL583" t="str" cm="1">
        <f t="array" ref="AL5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83">
        <f>IF(HR_Employee_Attrition[[#This Row],[Attrition]]="Yes",1,0)</f>
        <v>0</v>
      </c>
    </row>
    <row r="584" spans="1:39" x14ac:dyDescent="0.3">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c r="AJ584" t="str">
        <f>IF(HR_Employee_Attrition[[#This Row],[Age]]&gt;60,"60+",IF(HR_Employee_Attrition[[#This Row],[Age]]&gt;=50,"50-59",IF(HR_Employee_Attrition[[#This Row],[Age]]&gt;=40,"40-49",IF(HR_Employee_Attrition[[#This Row],[Age]]&gt;=30,"30-39",IF(HR_Employee_Attrition[[#This Row],[Age]]&gt;=20,"20-29",IF(HR_Employee_Attrition[[#This Row],[Age]]&gt;=18,"18-20"))))))</f>
        <v>40-49</v>
      </c>
      <c r="AK584" t="str" cm="1">
        <f t="array" ref="AK584">_xlfn.IFS(HR_Employee_Attrition[[#This Row],[YearsAtCompany]]&lt;=2,"0-2",HR_Employee_Attrition[[#This Row],[YearsAtCompany]]&lt;=5,"3-5",HR_Employee_Attrition[[#This Row],[YearsAtCompany]]&lt;=10,"6-10",HR_Employee_Attrition[[#This Row],[YearsAtCompany]]&gt;10,"10+")</f>
        <v>6-10</v>
      </c>
      <c r="AL584" t="str" cm="1">
        <f t="array" ref="AL5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84">
        <f>IF(HR_Employee_Attrition[[#This Row],[Attrition]]="Yes",1,0)</f>
        <v>0</v>
      </c>
    </row>
    <row r="585" spans="1:39" x14ac:dyDescent="0.3">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c r="AJ585" t="str">
        <f>IF(HR_Employee_Attrition[[#This Row],[Age]]&gt;60,"60+",IF(HR_Employee_Attrition[[#This Row],[Age]]&gt;=50,"50-59",IF(HR_Employee_Attrition[[#This Row],[Age]]&gt;=40,"40-49",IF(HR_Employee_Attrition[[#This Row],[Age]]&gt;=30,"30-39",IF(HR_Employee_Attrition[[#This Row],[Age]]&gt;=20,"20-29",IF(HR_Employee_Attrition[[#This Row],[Age]]&gt;=18,"18-20"))))))</f>
        <v>30-39</v>
      </c>
      <c r="AK585" t="str" cm="1">
        <f t="array" ref="AK585">_xlfn.IFS(HR_Employee_Attrition[[#This Row],[YearsAtCompany]]&lt;=2,"0-2",HR_Employee_Attrition[[#This Row],[YearsAtCompany]]&lt;=5,"3-5",HR_Employee_Attrition[[#This Row],[YearsAtCompany]]&lt;=10,"6-10",HR_Employee_Attrition[[#This Row],[YearsAtCompany]]&gt;10,"10+")</f>
        <v>3-5</v>
      </c>
      <c r="AL585" t="str" cm="1">
        <f t="array" ref="AL5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85">
        <f>IF(HR_Employee_Attrition[[#This Row],[Attrition]]="Yes",1,0)</f>
        <v>0</v>
      </c>
    </row>
    <row r="586" spans="1:39" x14ac:dyDescent="0.3">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c r="AJ586" t="str">
        <f>IF(HR_Employee_Attrition[[#This Row],[Age]]&gt;60,"60+",IF(HR_Employee_Attrition[[#This Row],[Age]]&gt;=50,"50-59",IF(HR_Employee_Attrition[[#This Row],[Age]]&gt;=40,"40-49",IF(HR_Employee_Attrition[[#This Row],[Age]]&gt;=30,"30-39",IF(HR_Employee_Attrition[[#This Row],[Age]]&gt;=20,"20-29",IF(HR_Employee_Attrition[[#This Row],[Age]]&gt;=18,"18-20"))))))</f>
        <v>40-49</v>
      </c>
      <c r="AK586" t="str" cm="1">
        <f t="array" ref="AK586">_xlfn.IFS(HR_Employee_Attrition[[#This Row],[YearsAtCompany]]&lt;=2,"0-2",HR_Employee_Attrition[[#This Row],[YearsAtCompany]]&lt;=5,"3-5",HR_Employee_Attrition[[#This Row],[YearsAtCompany]]&lt;=10,"6-10",HR_Employee_Attrition[[#This Row],[YearsAtCompany]]&gt;10,"10+")</f>
        <v>10+</v>
      </c>
      <c r="AL586" t="str" cm="1">
        <f t="array" ref="AL5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86">
        <f>IF(HR_Employee_Attrition[[#This Row],[Attrition]]="Yes",1,0)</f>
        <v>0</v>
      </c>
    </row>
    <row r="587" spans="1:39" x14ac:dyDescent="0.3">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c r="AJ587" t="str">
        <f>IF(HR_Employee_Attrition[[#This Row],[Age]]&gt;60,"60+",IF(HR_Employee_Attrition[[#This Row],[Age]]&gt;=50,"50-59",IF(HR_Employee_Attrition[[#This Row],[Age]]&gt;=40,"40-49",IF(HR_Employee_Attrition[[#This Row],[Age]]&gt;=30,"30-39",IF(HR_Employee_Attrition[[#This Row],[Age]]&gt;=20,"20-29",IF(HR_Employee_Attrition[[#This Row],[Age]]&gt;=18,"18-20"))))))</f>
        <v>20-29</v>
      </c>
      <c r="AK587" t="str" cm="1">
        <f t="array" ref="AK587">_xlfn.IFS(HR_Employee_Attrition[[#This Row],[YearsAtCompany]]&lt;=2,"0-2",HR_Employee_Attrition[[#This Row],[YearsAtCompany]]&lt;=5,"3-5",HR_Employee_Attrition[[#This Row],[YearsAtCompany]]&lt;=10,"6-10",HR_Employee_Attrition[[#This Row],[YearsAtCompany]]&gt;10,"10+")</f>
        <v>0-2</v>
      </c>
      <c r="AL587" t="str" cm="1">
        <f t="array" ref="AL5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87">
        <f>IF(HR_Employee_Attrition[[#This Row],[Attrition]]="Yes",1,0)</f>
        <v>1</v>
      </c>
    </row>
    <row r="588" spans="1:39" x14ac:dyDescent="0.3">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c r="AJ588" t="str">
        <f>IF(HR_Employee_Attrition[[#This Row],[Age]]&gt;60,"60+",IF(HR_Employee_Attrition[[#This Row],[Age]]&gt;=50,"50-59",IF(HR_Employee_Attrition[[#This Row],[Age]]&gt;=40,"40-49",IF(HR_Employee_Attrition[[#This Row],[Age]]&gt;=30,"30-39",IF(HR_Employee_Attrition[[#This Row],[Age]]&gt;=20,"20-29",IF(HR_Employee_Attrition[[#This Row],[Age]]&gt;=18,"18-20"))))))</f>
        <v>20-29</v>
      </c>
      <c r="AK588" t="str" cm="1">
        <f t="array" ref="AK588">_xlfn.IFS(HR_Employee_Attrition[[#This Row],[YearsAtCompany]]&lt;=2,"0-2",HR_Employee_Attrition[[#This Row],[YearsAtCompany]]&lt;=5,"3-5",HR_Employee_Attrition[[#This Row],[YearsAtCompany]]&lt;=10,"6-10",HR_Employee_Attrition[[#This Row],[YearsAtCompany]]&gt;10,"10+")</f>
        <v>0-2</v>
      </c>
      <c r="AL588" t="str" cm="1">
        <f t="array" ref="AL5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88">
        <f>IF(HR_Employee_Attrition[[#This Row],[Attrition]]="Yes",1,0)</f>
        <v>0</v>
      </c>
    </row>
    <row r="589" spans="1:39" x14ac:dyDescent="0.3">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c r="AJ589" t="str">
        <f>IF(HR_Employee_Attrition[[#This Row],[Age]]&gt;60,"60+",IF(HR_Employee_Attrition[[#This Row],[Age]]&gt;=50,"50-59",IF(HR_Employee_Attrition[[#This Row],[Age]]&gt;=40,"40-49",IF(HR_Employee_Attrition[[#This Row],[Age]]&gt;=30,"30-39",IF(HR_Employee_Attrition[[#This Row],[Age]]&gt;=20,"20-29",IF(HR_Employee_Attrition[[#This Row],[Age]]&gt;=18,"18-20"))))))</f>
        <v>50-59</v>
      </c>
      <c r="AK589" t="str" cm="1">
        <f t="array" ref="AK589">_xlfn.IFS(HR_Employee_Attrition[[#This Row],[YearsAtCompany]]&lt;=2,"0-2",HR_Employee_Attrition[[#This Row],[YearsAtCompany]]&lt;=5,"3-5",HR_Employee_Attrition[[#This Row],[YearsAtCompany]]&lt;=10,"6-10",HR_Employee_Attrition[[#This Row],[YearsAtCompany]]&gt;10,"10+")</f>
        <v>3-5</v>
      </c>
      <c r="AL589" t="str" cm="1">
        <f t="array" ref="AL5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89">
        <f>IF(HR_Employee_Attrition[[#This Row],[Attrition]]="Yes",1,0)</f>
        <v>0</v>
      </c>
    </row>
    <row r="590" spans="1:39" x14ac:dyDescent="0.3">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c r="AJ590" t="str">
        <f>IF(HR_Employee_Attrition[[#This Row],[Age]]&gt;60,"60+",IF(HR_Employee_Attrition[[#This Row],[Age]]&gt;=50,"50-59",IF(HR_Employee_Attrition[[#This Row],[Age]]&gt;=40,"40-49",IF(HR_Employee_Attrition[[#This Row],[Age]]&gt;=30,"30-39",IF(HR_Employee_Attrition[[#This Row],[Age]]&gt;=20,"20-29",IF(HR_Employee_Attrition[[#This Row],[Age]]&gt;=18,"18-20"))))))</f>
        <v>50-59</v>
      </c>
      <c r="AK590" t="str" cm="1">
        <f t="array" ref="AK590">_xlfn.IFS(HR_Employee_Attrition[[#This Row],[YearsAtCompany]]&lt;=2,"0-2",HR_Employee_Attrition[[#This Row],[YearsAtCompany]]&lt;=5,"3-5",HR_Employee_Attrition[[#This Row],[YearsAtCompany]]&lt;=10,"6-10",HR_Employee_Attrition[[#This Row],[YearsAtCompany]]&gt;10,"10+")</f>
        <v>3-5</v>
      </c>
      <c r="AL590" t="str" cm="1">
        <f t="array" ref="AL5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90">
        <f>IF(HR_Employee_Attrition[[#This Row],[Attrition]]="Yes",1,0)</f>
        <v>0</v>
      </c>
    </row>
    <row r="591" spans="1:39" x14ac:dyDescent="0.3">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c r="AJ591" t="str">
        <f>IF(HR_Employee_Attrition[[#This Row],[Age]]&gt;60,"60+",IF(HR_Employee_Attrition[[#This Row],[Age]]&gt;=50,"50-59",IF(HR_Employee_Attrition[[#This Row],[Age]]&gt;=40,"40-49",IF(HR_Employee_Attrition[[#This Row],[Age]]&gt;=30,"30-39",IF(HR_Employee_Attrition[[#This Row],[Age]]&gt;=20,"20-29",IF(HR_Employee_Attrition[[#This Row],[Age]]&gt;=18,"18-20"))))))</f>
        <v>20-29</v>
      </c>
      <c r="AK591" t="str" cm="1">
        <f t="array" ref="AK591">_xlfn.IFS(HR_Employee_Attrition[[#This Row],[YearsAtCompany]]&lt;=2,"0-2",HR_Employee_Attrition[[#This Row],[YearsAtCompany]]&lt;=5,"3-5",HR_Employee_Attrition[[#This Row],[YearsAtCompany]]&lt;=10,"6-10",HR_Employee_Attrition[[#This Row],[YearsAtCompany]]&gt;10,"10+")</f>
        <v>0-2</v>
      </c>
      <c r="AL591" t="str" cm="1">
        <f t="array" ref="AL5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91">
        <f>IF(HR_Employee_Attrition[[#This Row],[Attrition]]="Yes",1,0)</f>
        <v>1</v>
      </c>
    </row>
    <row r="592" spans="1:39" x14ac:dyDescent="0.3">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c r="AJ592" t="str">
        <f>IF(HR_Employee_Attrition[[#This Row],[Age]]&gt;60,"60+",IF(HR_Employee_Attrition[[#This Row],[Age]]&gt;=50,"50-59",IF(HR_Employee_Attrition[[#This Row],[Age]]&gt;=40,"40-49",IF(HR_Employee_Attrition[[#This Row],[Age]]&gt;=30,"30-39",IF(HR_Employee_Attrition[[#This Row],[Age]]&gt;=20,"20-29",IF(HR_Employee_Attrition[[#This Row],[Age]]&gt;=18,"18-20"))))))</f>
        <v>30-39</v>
      </c>
      <c r="AK592" t="str" cm="1">
        <f t="array" ref="AK592">_xlfn.IFS(HR_Employee_Attrition[[#This Row],[YearsAtCompany]]&lt;=2,"0-2",HR_Employee_Attrition[[#This Row],[YearsAtCompany]]&lt;=5,"3-5",HR_Employee_Attrition[[#This Row],[YearsAtCompany]]&lt;=10,"6-10",HR_Employee_Attrition[[#This Row],[YearsAtCompany]]&gt;10,"10+")</f>
        <v>10+</v>
      </c>
      <c r="AL592" t="str" cm="1">
        <f t="array" ref="AL5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92">
        <f>IF(HR_Employee_Attrition[[#This Row],[Attrition]]="Yes",1,0)</f>
        <v>0</v>
      </c>
    </row>
    <row r="593" spans="1:39" x14ac:dyDescent="0.3">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c r="AJ593" t="str">
        <f>IF(HR_Employee_Attrition[[#This Row],[Age]]&gt;60,"60+",IF(HR_Employee_Attrition[[#This Row],[Age]]&gt;=50,"50-59",IF(HR_Employee_Attrition[[#This Row],[Age]]&gt;=40,"40-49",IF(HR_Employee_Attrition[[#This Row],[Age]]&gt;=30,"30-39",IF(HR_Employee_Attrition[[#This Row],[Age]]&gt;=20,"20-29",IF(HR_Employee_Attrition[[#This Row],[Age]]&gt;=18,"18-20"))))))</f>
        <v>30-39</v>
      </c>
      <c r="AK593" t="str" cm="1">
        <f t="array" ref="AK593">_xlfn.IFS(HR_Employee_Attrition[[#This Row],[YearsAtCompany]]&lt;=2,"0-2",HR_Employee_Attrition[[#This Row],[YearsAtCompany]]&lt;=5,"3-5",HR_Employee_Attrition[[#This Row],[YearsAtCompany]]&lt;=10,"6-10",HR_Employee_Attrition[[#This Row],[YearsAtCompany]]&gt;10,"10+")</f>
        <v>3-5</v>
      </c>
      <c r="AL593" t="str" cm="1">
        <f t="array" ref="AL5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93">
        <f>IF(HR_Employee_Attrition[[#This Row],[Attrition]]="Yes",1,0)</f>
        <v>1</v>
      </c>
    </row>
    <row r="594" spans="1:39" x14ac:dyDescent="0.3">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c r="AJ594" t="str">
        <f>IF(HR_Employee_Attrition[[#This Row],[Age]]&gt;60,"60+",IF(HR_Employee_Attrition[[#This Row],[Age]]&gt;=50,"50-59",IF(HR_Employee_Attrition[[#This Row],[Age]]&gt;=40,"40-49",IF(HR_Employee_Attrition[[#This Row],[Age]]&gt;=30,"30-39",IF(HR_Employee_Attrition[[#This Row],[Age]]&gt;=20,"20-29",IF(HR_Employee_Attrition[[#This Row],[Age]]&gt;=18,"18-20"))))))</f>
        <v>40-49</v>
      </c>
      <c r="AK594" t="str" cm="1">
        <f t="array" ref="AK594">_xlfn.IFS(HR_Employee_Attrition[[#This Row],[YearsAtCompany]]&lt;=2,"0-2",HR_Employee_Attrition[[#This Row],[YearsAtCompany]]&lt;=5,"3-5",HR_Employee_Attrition[[#This Row],[YearsAtCompany]]&lt;=10,"6-10",HR_Employee_Attrition[[#This Row],[YearsAtCompany]]&gt;10,"10+")</f>
        <v>10+</v>
      </c>
      <c r="AL594" t="str" cm="1">
        <f t="array" ref="AL5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94">
        <f>IF(HR_Employee_Attrition[[#This Row],[Attrition]]="Yes",1,0)</f>
        <v>0</v>
      </c>
    </row>
    <row r="595" spans="1:39" x14ac:dyDescent="0.3">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c r="AJ595" t="str">
        <f>IF(HR_Employee_Attrition[[#This Row],[Age]]&gt;60,"60+",IF(HR_Employee_Attrition[[#This Row],[Age]]&gt;=50,"50-59",IF(HR_Employee_Attrition[[#This Row],[Age]]&gt;=40,"40-49",IF(HR_Employee_Attrition[[#This Row],[Age]]&gt;=30,"30-39",IF(HR_Employee_Attrition[[#This Row],[Age]]&gt;=20,"20-29",IF(HR_Employee_Attrition[[#This Row],[Age]]&gt;=18,"18-20"))))))</f>
        <v>30-39</v>
      </c>
      <c r="AK595" t="str" cm="1">
        <f t="array" ref="AK595">_xlfn.IFS(HR_Employee_Attrition[[#This Row],[YearsAtCompany]]&lt;=2,"0-2",HR_Employee_Attrition[[#This Row],[YearsAtCompany]]&lt;=5,"3-5",HR_Employee_Attrition[[#This Row],[YearsAtCompany]]&lt;=10,"6-10",HR_Employee_Attrition[[#This Row],[YearsAtCompany]]&gt;10,"10+")</f>
        <v>6-10</v>
      </c>
      <c r="AL595" t="str" cm="1">
        <f t="array" ref="AL5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95">
        <f>IF(HR_Employee_Attrition[[#This Row],[Attrition]]="Yes",1,0)</f>
        <v>0</v>
      </c>
    </row>
    <row r="596" spans="1:39" x14ac:dyDescent="0.3">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c r="AJ596" t="str">
        <f>IF(HR_Employee_Attrition[[#This Row],[Age]]&gt;60,"60+",IF(HR_Employee_Attrition[[#This Row],[Age]]&gt;=50,"50-59",IF(HR_Employee_Attrition[[#This Row],[Age]]&gt;=40,"40-49",IF(HR_Employee_Attrition[[#This Row],[Age]]&gt;=30,"30-39",IF(HR_Employee_Attrition[[#This Row],[Age]]&gt;=20,"20-29",IF(HR_Employee_Attrition[[#This Row],[Age]]&gt;=18,"18-20"))))))</f>
        <v>20-29</v>
      </c>
      <c r="AK596" t="str" cm="1">
        <f t="array" ref="AK596">_xlfn.IFS(HR_Employee_Attrition[[#This Row],[YearsAtCompany]]&lt;=2,"0-2",HR_Employee_Attrition[[#This Row],[YearsAtCompany]]&lt;=5,"3-5",HR_Employee_Attrition[[#This Row],[YearsAtCompany]]&lt;=10,"6-10",HR_Employee_Attrition[[#This Row],[YearsAtCompany]]&gt;10,"10+")</f>
        <v>6-10</v>
      </c>
      <c r="AL596" t="str" cm="1">
        <f t="array" ref="AL5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96">
        <f>IF(HR_Employee_Attrition[[#This Row],[Attrition]]="Yes",1,0)</f>
        <v>0</v>
      </c>
    </row>
    <row r="597" spans="1:39" x14ac:dyDescent="0.3">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c r="AJ597" t="str">
        <f>IF(HR_Employee_Attrition[[#This Row],[Age]]&gt;60,"60+",IF(HR_Employee_Attrition[[#This Row],[Age]]&gt;=50,"50-59",IF(HR_Employee_Attrition[[#This Row],[Age]]&gt;=40,"40-49",IF(HR_Employee_Attrition[[#This Row],[Age]]&gt;=30,"30-39",IF(HR_Employee_Attrition[[#This Row],[Age]]&gt;=20,"20-29",IF(HR_Employee_Attrition[[#This Row],[Age]]&gt;=18,"18-20"))))))</f>
        <v>50-59</v>
      </c>
      <c r="AK597" t="str" cm="1">
        <f t="array" ref="AK597">_xlfn.IFS(HR_Employee_Attrition[[#This Row],[YearsAtCompany]]&lt;=2,"0-2",HR_Employee_Attrition[[#This Row],[YearsAtCompany]]&lt;=5,"3-5",HR_Employee_Attrition[[#This Row],[YearsAtCompany]]&lt;=10,"6-10",HR_Employee_Attrition[[#This Row],[YearsAtCompany]]&gt;10,"10+")</f>
        <v>10+</v>
      </c>
      <c r="AL597" t="str" cm="1">
        <f t="array" ref="AL5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97">
        <f>IF(HR_Employee_Attrition[[#This Row],[Attrition]]="Yes",1,0)</f>
        <v>1</v>
      </c>
    </row>
    <row r="598" spans="1:39" x14ac:dyDescent="0.3">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c r="AJ598" t="str">
        <f>IF(HR_Employee_Attrition[[#This Row],[Age]]&gt;60,"60+",IF(HR_Employee_Attrition[[#This Row],[Age]]&gt;=50,"50-59",IF(HR_Employee_Attrition[[#This Row],[Age]]&gt;=40,"40-49",IF(HR_Employee_Attrition[[#This Row],[Age]]&gt;=30,"30-39",IF(HR_Employee_Attrition[[#This Row],[Age]]&gt;=20,"20-29",IF(HR_Employee_Attrition[[#This Row],[Age]]&gt;=18,"18-20"))))))</f>
        <v>30-39</v>
      </c>
      <c r="AK598" t="str" cm="1">
        <f t="array" ref="AK598">_xlfn.IFS(HR_Employee_Attrition[[#This Row],[YearsAtCompany]]&lt;=2,"0-2",HR_Employee_Attrition[[#This Row],[YearsAtCompany]]&lt;=5,"3-5",HR_Employee_Attrition[[#This Row],[YearsAtCompany]]&lt;=10,"6-10",HR_Employee_Attrition[[#This Row],[YearsAtCompany]]&gt;10,"10+")</f>
        <v>0-2</v>
      </c>
      <c r="AL598" t="str" cm="1">
        <f t="array" ref="AL5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98">
        <f>IF(HR_Employee_Attrition[[#This Row],[Attrition]]="Yes",1,0)</f>
        <v>0</v>
      </c>
    </row>
    <row r="599" spans="1:39" x14ac:dyDescent="0.3">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c r="AJ599" t="str">
        <f>IF(HR_Employee_Attrition[[#This Row],[Age]]&gt;60,"60+",IF(HR_Employee_Attrition[[#This Row],[Age]]&gt;=50,"50-59",IF(HR_Employee_Attrition[[#This Row],[Age]]&gt;=40,"40-49",IF(HR_Employee_Attrition[[#This Row],[Age]]&gt;=30,"30-39",IF(HR_Employee_Attrition[[#This Row],[Age]]&gt;=20,"20-29",IF(HR_Employee_Attrition[[#This Row],[Age]]&gt;=18,"18-20"))))))</f>
        <v>40-49</v>
      </c>
      <c r="AK599" t="str" cm="1">
        <f t="array" ref="AK599">_xlfn.IFS(HR_Employee_Attrition[[#This Row],[YearsAtCompany]]&lt;=2,"0-2",HR_Employee_Attrition[[#This Row],[YearsAtCompany]]&lt;=5,"3-5",HR_Employee_Attrition[[#This Row],[YearsAtCompany]]&lt;=10,"6-10",HR_Employee_Attrition[[#This Row],[YearsAtCompany]]&gt;10,"10+")</f>
        <v>3-5</v>
      </c>
      <c r="AL599" t="str" cm="1">
        <f t="array" ref="AL5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99">
        <f>IF(HR_Employee_Attrition[[#This Row],[Attrition]]="Yes",1,0)</f>
        <v>0</v>
      </c>
    </row>
    <row r="600" spans="1:39" x14ac:dyDescent="0.3">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c r="AJ600" t="str">
        <f>IF(HR_Employee_Attrition[[#This Row],[Age]]&gt;60,"60+",IF(HR_Employee_Attrition[[#This Row],[Age]]&gt;=50,"50-59",IF(HR_Employee_Attrition[[#This Row],[Age]]&gt;=40,"40-49",IF(HR_Employee_Attrition[[#This Row],[Age]]&gt;=30,"30-39",IF(HR_Employee_Attrition[[#This Row],[Age]]&gt;=20,"20-29",IF(HR_Employee_Attrition[[#This Row],[Age]]&gt;=18,"18-20"))))))</f>
        <v>20-29</v>
      </c>
      <c r="AK600" t="str" cm="1">
        <f t="array" ref="AK600">_xlfn.IFS(HR_Employee_Attrition[[#This Row],[YearsAtCompany]]&lt;=2,"0-2",HR_Employee_Attrition[[#This Row],[YearsAtCompany]]&lt;=5,"3-5",HR_Employee_Attrition[[#This Row],[YearsAtCompany]]&lt;=10,"6-10",HR_Employee_Attrition[[#This Row],[YearsAtCompany]]&gt;10,"10+")</f>
        <v>0-2</v>
      </c>
      <c r="AL600" t="str" cm="1">
        <f t="array" ref="AL6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00">
        <f>IF(HR_Employee_Attrition[[#This Row],[Attrition]]="Yes",1,0)</f>
        <v>1</v>
      </c>
    </row>
    <row r="601" spans="1:39" x14ac:dyDescent="0.3">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c r="AJ601" t="str">
        <f>IF(HR_Employee_Attrition[[#This Row],[Age]]&gt;60,"60+",IF(HR_Employee_Attrition[[#This Row],[Age]]&gt;=50,"50-59",IF(HR_Employee_Attrition[[#This Row],[Age]]&gt;=40,"40-49",IF(HR_Employee_Attrition[[#This Row],[Age]]&gt;=30,"30-39",IF(HR_Employee_Attrition[[#This Row],[Age]]&gt;=20,"20-29",IF(HR_Employee_Attrition[[#This Row],[Age]]&gt;=18,"18-20"))))))</f>
        <v>30-39</v>
      </c>
      <c r="AK601" t="str" cm="1">
        <f t="array" ref="AK601">_xlfn.IFS(HR_Employee_Attrition[[#This Row],[YearsAtCompany]]&lt;=2,"0-2",HR_Employee_Attrition[[#This Row],[YearsAtCompany]]&lt;=5,"3-5",HR_Employee_Attrition[[#This Row],[YearsAtCompany]]&lt;=10,"6-10",HR_Employee_Attrition[[#This Row],[YearsAtCompany]]&gt;10,"10+")</f>
        <v>3-5</v>
      </c>
      <c r="AL601" t="str" cm="1">
        <f t="array" ref="AL6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01">
        <f>IF(HR_Employee_Attrition[[#This Row],[Attrition]]="Yes",1,0)</f>
        <v>0</v>
      </c>
    </row>
    <row r="602" spans="1:39" x14ac:dyDescent="0.3">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c r="AJ602" t="str">
        <f>IF(HR_Employee_Attrition[[#This Row],[Age]]&gt;60,"60+",IF(HR_Employee_Attrition[[#This Row],[Age]]&gt;=50,"50-59",IF(HR_Employee_Attrition[[#This Row],[Age]]&gt;=40,"40-49",IF(HR_Employee_Attrition[[#This Row],[Age]]&gt;=30,"30-39",IF(HR_Employee_Attrition[[#This Row],[Age]]&gt;=20,"20-29",IF(HR_Employee_Attrition[[#This Row],[Age]]&gt;=18,"18-20"))))))</f>
        <v>30-39</v>
      </c>
      <c r="AK602" t="str" cm="1">
        <f t="array" ref="AK602">_xlfn.IFS(HR_Employee_Attrition[[#This Row],[YearsAtCompany]]&lt;=2,"0-2",HR_Employee_Attrition[[#This Row],[YearsAtCompany]]&lt;=5,"3-5",HR_Employee_Attrition[[#This Row],[YearsAtCompany]]&lt;=10,"6-10",HR_Employee_Attrition[[#This Row],[YearsAtCompany]]&gt;10,"10+")</f>
        <v>10+</v>
      </c>
      <c r="AL602" t="str" cm="1">
        <f t="array" ref="AL6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02">
        <f>IF(HR_Employee_Attrition[[#This Row],[Attrition]]="Yes",1,0)</f>
        <v>0</v>
      </c>
    </row>
    <row r="603" spans="1:39" x14ac:dyDescent="0.3">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c r="AJ603" t="str">
        <f>IF(HR_Employee_Attrition[[#This Row],[Age]]&gt;60,"60+",IF(HR_Employee_Attrition[[#This Row],[Age]]&gt;=50,"50-59",IF(HR_Employee_Attrition[[#This Row],[Age]]&gt;=40,"40-49",IF(HR_Employee_Attrition[[#This Row],[Age]]&gt;=30,"30-39",IF(HR_Employee_Attrition[[#This Row],[Age]]&gt;=20,"20-29",IF(HR_Employee_Attrition[[#This Row],[Age]]&gt;=18,"18-20"))))))</f>
        <v>40-49</v>
      </c>
      <c r="AK603" t="str" cm="1">
        <f t="array" ref="AK603">_xlfn.IFS(HR_Employee_Attrition[[#This Row],[YearsAtCompany]]&lt;=2,"0-2",HR_Employee_Attrition[[#This Row],[YearsAtCompany]]&lt;=5,"3-5",HR_Employee_Attrition[[#This Row],[YearsAtCompany]]&lt;=10,"6-10",HR_Employee_Attrition[[#This Row],[YearsAtCompany]]&gt;10,"10+")</f>
        <v>0-2</v>
      </c>
      <c r="AL603" t="str" cm="1">
        <f t="array" ref="AL6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03">
        <f>IF(HR_Employee_Attrition[[#This Row],[Attrition]]="Yes",1,0)</f>
        <v>0</v>
      </c>
    </row>
    <row r="604" spans="1:39" x14ac:dyDescent="0.3">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c r="AJ604" t="str">
        <f>IF(HR_Employee_Attrition[[#This Row],[Age]]&gt;60,"60+",IF(HR_Employee_Attrition[[#This Row],[Age]]&gt;=50,"50-59",IF(HR_Employee_Attrition[[#This Row],[Age]]&gt;=40,"40-49",IF(HR_Employee_Attrition[[#This Row],[Age]]&gt;=30,"30-39",IF(HR_Employee_Attrition[[#This Row],[Age]]&gt;=20,"20-29",IF(HR_Employee_Attrition[[#This Row],[Age]]&gt;=18,"18-20"))))))</f>
        <v>30-39</v>
      </c>
      <c r="AK604" t="str" cm="1">
        <f t="array" ref="AK604">_xlfn.IFS(HR_Employee_Attrition[[#This Row],[YearsAtCompany]]&lt;=2,"0-2",HR_Employee_Attrition[[#This Row],[YearsAtCompany]]&lt;=5,"3-5",HR_Employee_Attrition[[#This Row],[YearsAtCompany]]&lt;=10,"6-10",HR_Employee_Attrition[[#This Row],[YearsAtCompany]]&gt;10,"10+")</f>
        <v>0-2</v>
      </c>
      <c r="AL604" t="str" cm="1">
        <f t="array" ref="AL6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04">
        <f>IF(HR_Employee_Attrition[[#This Row],[Attrition]]="Yes",1,0)</f>
        <v>0</v>
      </c>
    </row>
    <row r="605" spans="1:39" x14ac:dyDescent="0.3">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c r="AJ605" t="str">
        <f>IF(HR_Employee_Attrition[[#This Row],[Age]]&gt;60,"60+",IF(HR_Employee_Attrition[[#This Row],[Age]]&gt;=50,"50-59",IF(HR_Employee_Attrition[[#This Row],[Age]]&gt;=40,"40-49",IF(HR_Employee_Attrition[[#This Row],[Age]]&gt;=30,"30-39",IF(HR_Employee_Attrition[[#This Row],[Age]]&gt;=20,"20-29",IF(HR_Employee_Attrition[[#This Row],[Age]]&gt;=18,"18-20"))))))</f>
        <v>40-49</v>
      </c>
      <c r="AK605" t="str" cm="1">
        <f t="array" ref="AK605">_xlfn.IFS(HR_Employee_Attrition[[#This Row],[YearsAtCompany]]&lt;=2,"0-2",HR_Employee_Attrition[[#This Row],[YearsAtCompany]]&lt;=5,"3-5",HR_Employee_Attrition[[#This Row],[YearsAtCompany]]&lt;=10,"6-10",HR_Employee_Attrition[[#This Row],[YearsAtCompany]]&gt;10,"10+")</f>
        <v>0-2</v>
      </c>
      <c r="AL605" t="str" cm="1">
        <f t="array" ref="AL6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05">
        <f>IF(HR_Employee_Attrition[[#This Row],[Attrition]]="Yes",1,0)</f>
        <v>0</v>
      </c>
    </row>
    <row r="606" spans="1:39" x14ac:dyDescent="0.3">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c r="AJ606" t="str">
        <f>IF(HR_Employee_Attrition[[#This Row],[Age]]&gt;60,"60+",IF(HR_Employee_Attrition[[#This Row],[Age]]&gt;=50,"50-59",IF(HR_Employee_Attrition[[#This Row],[Age]]&gt;=40,"40-49",IF(HR_Employee_Attrition[[#This Row],[Age]]&gt;=30,"30-39",IF(HR_Employee_Attrition[[#This Row],[Age]]&gt;=20,"20-29",IF(HR_Employee_Attrition[[#This Row],[Age]]&gt;=18,"18-20"))))))</f>
        <v>40-49</v>
      </c>
      <c r="AK606" t="str" cm="1">
        <f t="array" ref="AK606">_xlfn.IFS(HR_Employee_Attrition[[#This Row],[YearsAtCompany]]&lt;=2,"0-2",HR_Employee_Attrition[[#This Row],[YearsAtCompany]]&lt;=5,"3-5",HR_Employee_Attrition[[#This Row],[YearsAtCompany]]&lt;=10,"6-10",HR_Employee_Attrition[[#This Row],[YearsAtCompany]]&gt;10,"10+")</f>
        <v>6-10</v>
      </c>
      <c r="AL606" t="str" cm="1">
        <f t="array" ref="AL6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06">
        <f>IF(HR_Employee_Attrition[[#This Row],[Attrition]]="Yes",1,0)</f>
        <v>0</v>
      </c>
    </row>
    <row r="607" spans="1:39" x14ac:dyDescent="0.3">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c r="AJ607" t="str">
        <f>IF(HR_Employee_Attrition[[#This Row],[Age]]&gt;60,"60+",IF(HR_Employee_Attrition[[#This Row],[Age]]&gt;=50,"50-59",IF(HR_Employee_Attrition[[#This Row],[Age]]&gt;=40,"40-49",IF(HR_Employee_Attrition[[#This Row],[Age]]&gt;=30,"30-39",IF(HR_Employee_Attrition[[#This Row],[Age]]&gt;=20,"20-29",IF(HR_Employee_Attrition[[#This Row],[Age]]&gt;=18,"18-20"))))))</f>
        <v>30-39</v>
      </c>
      <c r="AK607" t="str" cm="1">
        <f t="array" ref="AK607">_xlfn.IFS(HR_Employee_Attrition[[#This Row],[YearsAtCompany]]&lt;=2,"0-2",HR_Employee_Attrition[[#This Row],[YearsAtCompany]]&lt;=5,"3-5",HR_Employee_Attrition[[#This Row],[YearsAtCompany]]&lt;=10,"6-10",HR_Employee_Attrition[[#This Row],[YearsAtCompany]]&gt;10,"10+")</f>
        <v>3-5</v>
      </c>
      <c r="AL607" t="str" cm="1">
        <f t="array" ref="AL6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07">
        <f>IF(HR_Employee_Attrition[[#This Row],[Attrition]]="Yes",1,0)</f>
        <v>0</v>
      </c>
    </row>
    <row r="608" spans="1:39" x14ac:dyDescent="0.3">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c r="AJ608" t="str">
        <f>IF(HR_Employee_Attrition[[#This Row],[Age]]&gt;60,"60+",IF(HR_Employee_Attrition[[#This Row],[Age]]&gt;=50,"50-59",IF(HR_Employee_Attrition[[#This Row],[Age]]&gt;=40,"40-49",IF(HR_Employee_Attrition[[#This Row],[Age]]&gt;=30,"30-39",IF(HR_Employee_Attrition[[#This Row],[Age]]&gt;=20,"20-29",IF(HR_Employee_Attrition[[#This Row],[Age]]&gt;=18,"18-20"))))))</f>
        <v>30-39</v>
      </c>
      <c r="AK608" t="str" cm="1">
        <f t="array" ref="AK608">_xlfn.IFS(HR_Employee_Attrition[[#This Row],[YearsAtCompany]]&lt;=2,"0-2",HR_Employee_Attrition[[#This Row],[YearsAtCompany]]&lt;=5,"3-5",HR_Employee_Attrition[[#This Row],[YearsAtCompany]]&lt;=10,"6-10",HR_Employee_Attrition[[#This Row],[YearsAtCompany]]&gt;10,"10+")</f>
        <v>3-5</v>
      </c>
      <c r="AL608" t="str" cm="1">
        <f t="array" ref="AL6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08">
        <f>IF(HR_Employee_Attrition[[#This Row],[Attrition]]="Yes",1,0)</f>
        <v>0</v>
      </c>
    </row>
    <row r="609" spans="1:39" x14ac:dyDescent="0.3">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c r="AJ609" t="str">
        <f>IF(HR_Employee_Attrition[[#This Row],[Age]]&gt;60,"60+",IF(HR_Employee_Attrition[[#This Row],[Age]]&gt;=50,"50-59",IF(HR_Employee_Attrition[[#This Row],[Age]]&gt;=40,"40-49",IF(HR_Employee_Attrition[[#This Row],[Age]]&gt;=30,"30-39",IF(HR_Employee_Attrition[[#This Row],[Age]]&gt;=20,"20-29",IF(HR_Employee_Attrition[[#This Row],[Age]]&gt;=18,"18-20"))))))</f>
        <v>40-49</v>
      </c>
      <c r="AK609" t="str" cm="1">
        <f t="array" ref="AK609">_xlfn.IFS(HR_Employee_Attrition[[#This Row],[YearsAtCompany]]&lt;=2,"0-2",HR_Employee_Attrition[[#This Row],[YearsAtCompany]]&lt;=5,"3-5",HR_Employee_Attrition[[#This Row],[YearsAtCompany]]&lt;=10,"6-10",HR_Employee_Attrition[[#This Row],[YearsAtCompany]]&gt;10,"10+")</f>
        <v>6-10</v>
      </c>
      <c r="AL609" t="str" cm="1">
        <f t="array" ref="AL6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09">
        <f>IF(HR_Employee_Attrition[[#This Row],[Attrition]]="Yes",1,0)</f>
        <v>1</v>
      </c>
    </row>
    <row r="610" spans="1:39" x14ac:dyDescent="0.3">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c r="AJ610" t="str">
        <f>IF(HR_Employee_Attrition[[#This Row],[Age]]&gt;60,"60+",IF(HR_Employee_Attrition[[#This Row],[Age]]&gt;=50,"50-59",IF(HR_Employee_Attrition[[#This Row],[Age]]&gt;=40,"40-49",IF(HR_Employee_Attrition[[#This Row],[Age]]&gt;=30,"30-39",IF(HR_Employee_Attrition[[#This Row],[Age]]&gt;=20,"20-29",IF(HR_Employee_Attrition[[#This Row],[Age]]&gt;=18,"18-20"))))))</f>
        <v>50-59</v>
      </c>
      <c r="AK610" t="str" cm="1">
        <f t="array" ref="AK610">_xlfn.IFS(HR_Employee_Attrition[[#This Row],[YearsAtCompany]]&lt;=2,"0-2",HR_Employee_Attrition[[#This Row],[YearsAtCompany]]&lt;=5,"3-5",HR_Employee_Attrition[[#This Row],[YearsAtCompany]]&lt;=10,"6-10",HR_Employee_Attrition[[#This Row],[YearsAtCompany]]&gt;10,"10+")</f>
        <v>6-10</v>
      </c>
      <c r="AL610" t="str" cm="1">
        <f t="array" ref="AL6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10">
        <f>IF(HR_Employee_Attrition[[#This Row],[Attrition]]="Yes",1,0)</f>
        <v>1</v>
      </c>
    </row>
    <row r="611" spans="1:39" x14ac:dyDescent="0.3">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c r="AJ611" t="str">
        <f>IF(HR_Employee_Attrition[[#This Row],[Age]]&gt;60,"60+",IF(HR_Employee_Attrition[[#This Row],[Age]]&gt;=50,"50-59",IF(HR_Employee_Attrition[[#This Row],[Age]]&gt;=40,"40-49",IF(HR_Employee_Attrition[[#This Row],[Age]]&gt;=30,"30-39",IF(HR_Employee_Attrition[[#This Row],[Age]]&gt;=20,"20-29",IF(HR_Employee_Attrition[[#This Row],[Age]]&gt;=18,"18-20"))))))</f>
        <v>40-49</v>
      </c>
      <c r="AK611" t="str" cm="1">
        <f t="array" ref="AK611">_xlfn.IFS(HR_Employee_Attrition[[#This Row],[YearsAtCompany]]&lt;=2,"0-2",HR_Employee_Attrition[[#This Row],[YearsAtCompany]]&lt;=5,"3-5",HR_Employee_Attrition[[#This Row],[YearsAtCompany]]&lt;=10,"6-10",HR_Employee_Attrition[[#This Row],[YearsAtCompany]]&gt;10,"10+")</f>
        <v>3-5</v>
      </c>
      <c r="AL611" t="str" cm="1">
        <f t="array" ref="AL6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611">
        <f>IF(HR_Employee_Attrition[[#This Row],[Attrition]]="Yes",1,0)</f>
        <v>0</v>
      </c>
    </row>
    <row r="612" spans="1:39" x14ac:dyDescent="0.3">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c r="AJ612" t="str">
        <f>IF(HR_Employee_Attrition[[#This Row],[Age]]&gt;60,"60+",IF(HR_Employee_Attrition[[#This Row],[Age]]&gt;=50,"50-59",IF(HR_Employee_Attrition[[#This Row],[Age]]&gt;=40,"40-49",IF(HR_Employee_Attrition[[#This Row],[Age]]&gt;=30,"30-39",IF(HR_Employee_Attrition[[#This Row],[Age]]&gt;=20,"20-29",IF(HR_Employee_Attrition[[#This Row],[Age]]&gt;=18,"18-20"))))))</f>
        <v>20-29</v>
      </c>
      <c r="AK612" t="str" cm="1">
        <f t="array" ref="AK612">_xlfn.IFS(HR_Employee_Attrition[[#This Row],[YearsAtCompany]]&lt;=2,"0-2",HR_Employee_Attrition[[#This Row],[YearsAtCompany]]&lt;=5,"3-5",HR_Employee_Attrition[[#This Row],[YearsAtCompany]]&lt;=10,"6-10",HR_Employee_Attrition[[#This Row],[YearsAtCompany]]&gt;10,"10+")</f>
        <v>6-10</v>
      </c>
      <c r="AL612" t="str" cm="1">
        <f t="array" ref="AL6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12">
        <f>IF(HR_Employee_Attrition[[#This Row],[Attrition]]="Yes",1,0)</f>
        <v>0</v>
      </c>
    </row>
    <row r="613" spans="1:39" x14ac:dyDescent="0.3">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c r="AJ613" t="str">
        <f>IF(HR_Employee_Attrition[[#This Row],[Age]]&gt;60,"60+",IF(HR_Employee_Attrition[[#This Row],[Age]]&gt;=50,"50-59",IF(HR_Employee_Attrition[[#This Row],[Age]]&gt;=40,"40-49",IF(HR_Employee_Attrition[[#This Row],[Age]]&gt;=30,"30-39",IF(HR_Employee_Attrition[[#This Row],[Age]]&gt;=20,"20-29",IF(HR_Employee_Attrition[[#This Row],[Age]]&gt;=18,"18-20"))))))</f>
        <v>30-39</v>
      </c>
      <c r="AK613" t="str" cm="1">
        <f t="array" ref="AK613">_xlfn.IFS(HR_Employee_Attrition[[#This Row],[YearsAtCompany]]&lt;=2,"0-2",HR_Employee_Attrition[[#This Row],[YearsAtCompany]]&lt;=5,"3-5",HR_Employee_Attrition[[#This Row],[YearsAtCompany]]&lt;=10,"6-10",HR_Employee_Attrition[[#This Row],[YearsAtCompany]]&gt;10,"10+")</f>
        <v>6-10</v>
      </c>
      <c r="AL613" t="str" cm="1">
        <f t="array" ref="AL6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13">
        <f>IF(HR_Employee_Attrition[[#This Row],[Attrition]]="Yes",1,0)</f>
        <v>0</v>
      </c>
    </row>
    <row r="614" spans="1:39" x14ac:dyDescent="0.3">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c r="AJ614" t="str">
        <f>IF(HR_Employee_Attrition[[#This Row],[Age]]&gt;60,"60+",IF(HR_Employee_Attrition[[#This Row],[Age]]&gt;=50,"50-59",IF(HR_Employee_Attrition[[#This Row],[Age]]&gt;=40,"40-49",IF(HR_Employee_Attrition[[#This Row],[Age]]&gt;=30,"30-39",IF(HR_Employee_Attrition[[#This Row],[Age]]&gt;=20,"20-29",IF(HR_Employee_Attrition[[#This Row],[Age]]&gt;=18,"18-20"))))))</f>
        <v>20-29</v>
      </c>
      <c r="AK614" t="str" cm="1">
        <f t="array" ref="AK614">_xlfn.IFS(HR_Employee_Attrition[[#This Row],[YearsAtCompany]]&lt;=2,"0-2",HR_Employee_Attrition[[#This Row],[YearsAtCompany]]&lt;=5,"3-5",HR_Employee_Attrition[[#This Row],[YearsAtCompany]]&lt;=10,"6-10",HR_Employee_Attrition[[#This Row],[YearsAtCompany]]&gt;10,"10+")</f>
        <v>6-10</v>
      </c>
      <c r="AL614" t="str" cm="1">
        <f t="array" ref="AL6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14">
        <f>IF(HR_Employee_Attrition[[#This Row],[Attrition]]="Yes",1,0)</f>
        <v>0</v>
      </c>
    </row>
    <row r="615" spans="1:39" x14ac:dyDescent="0.3">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c r="AJ615" t="str">
        <f>IF(HR_Employee_Attrition[[#This Row],[Age]]&gt;60,"60+",IF(HR_Employee_Attrition[[#This Row],[Age]]&gt;=50,"50-59",IF(HR_Employee_Attrition[[#This Row],[Age]]&gt;=40,"40-49",IF(HR_Employee_Attrition[[#This Row],[Age]]&gt;=30,"30-39",IF(HR_Employee_Attrition[[#This Row],[Age]]&gt;=20,"20-29",IF(HR_Employee_Attrition[[#This Row],[Age]]&gt;=18,"18-20"))))))</f>
        <v>30-39</v>
      </c>
      <c r="AK615" t="str" cm="1">
        <f t="array" ref="AK615">_xlfn.IFS(HR_Employee_Attrition[[#This Row],[YearsAtCompany]]&lt;=2,"0-2",HR_Employee_Attrition[[#This Row],[YearsAtCompany]]&lt;=5,"3-5",HR_Employee_Attrition[[#This Row],[YearsAtCompany]]&lt;=10,"6-10",HR_Employee_Attrition[[#This Row],[YearsAtCompany]]&gt;10,"10+")</f>
        <v>3-5</v>
      </c>
      <c r="AL615" t="str" cm="1">
        <f t="array" ref="AL6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15">
        <f>IF(HR_Employee_Attrition[[#This Row],[Attrition]]="Yes",1,0)</f>
        <v>0</v>
      </c>
    </row>
    <row r="616" spans="1:39" x14ac:dyDescent="0.3">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c r="AJ616" t="str">
        <f>IF(HR_Employee_Attrition[[#This Row],[Age]]&gt;60,"60+",IF(HR_Employee_Attrition[[#This Row],[Age]]&gt;=50,"50-59",IF(HR_Employee_Attrition[[#This Row],[Age]]&gt;=40,"40-49",IF(HR_Employee_Attrition[[#This Row],[Age]]&gt;=30,"30-39",IF(HR_Employee_Attrition[[#This Row],[Age]]&gt;=20,"20-29",IF(HR_Employee_Attrition[[#This Row],[Age]]&gt;=18,"18-20"))))))</f>
        <v>20-29</v>
      </c>
      <c r="AK616" t="str" cm="1">
        <f t="array" ref="AK616">_xlfn.IFS(HR_Employee_Attrition[[#This Row],[YearsAtCompany]]&lt;=2,"0-2",HR_Employee_Attrition[[#This Row],[YearsAtCompany]]&lt;=5,"3-5",HR_Employee_Attrition[[#This Row],[YearsAtCompany]]&lt;=10,"6-10",HR_Employee_Attrition[[#This Row],[YearsAtCompany]]&gt;10,"10+")</f>
        <v>6-10</v>
      </c>
      <c r="AL616" t="str" cm="1">
        <f t="array" ref="AL6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16">
        <f>IF(HR_Employee_Attrition[[#This Row],[Attrition]]="Yes",1,0)</f>
        <v>1</v>
      </c>
    </row>
    <row r="617" spans="1:39" x14ac:dyDescent="0.3">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c r="AJ617" t="str">
        <f>IF(HR_Employee_Attrition[[#This Row],[Age]]&gt;60,"60+",IF(HR_Employee_Attrition[[#This Row],[Age]]&gt;=50,"50-59",IF(HR_Employee_Attrition[[#This Row],[Age]]&gt;=40,"40-49",IF(HR_Employee_Attrition[[#This Row],[Age]]&gt;=30,"30-39",IF(HR_Employee_Attrition[[#This Row],[Age]]&gt;=20,"20-29",IF(HR_Employee_Attrition[[#This Row],[Age]]&gt;=18,"18-20"))))))</f>
        <v>20-29</v>
      </c>
      <c r="AK617" t="str" cm="1">
        <f t="array" ref="AK617">_xlfn.IFS(HR_Employee_Attrition[[#This Row],[YearsAtCompany]]&lt;=2,"0-2",HR_Employee_Attrition[[#This Row],[YearsAtCompany]]&lt;=5,"3-5",HR_Employee_Attrition[[#This Row],[YearsAtCompany]]&lt;=10,"6-10",HR_Employee_Attrition[[#This Row],[YearsAtCompany]]&gt;10,"10+")</f>
        <v>0-2</v>
      </c>
      <c r="AL617" t="str" cm="1">
        <f t="array" ref="AL6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17">
        <f>IF(HR_Employee_Attrition[[#This Row],[Attrition]]="Yes",1,0)</f>
        <v>0</v>
      </c>
    </row>
    <row r="618" spans="1:39" x14ac:dyDescent="0.3">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c r="AJ618" t="str">
        <f>IF(HR_Employee_Attrition[[#This Row],[Age]]&gt;60,"60+",IF(HR_Employee_Attrition[[#This Row],[Age]]&gt;=50,"50-59",IF(HR_Employee_Attrition[[#This Row],[Age]]&gt;=40,"40-49",IF(HR_Employee_Attrition[[#This Row],[Age]]&gt;=30,"30-39",IF(HR_Employee_Attrition[[#This Row],[Age]]&gt;=20,"20-29",IF(HR_Employee_Attrition[[#This Row],[Age]]&gt;=18,"18-20"))))))</f>
        <v>50-59</v>
      </c>
      <c r="AK618" t="str" cm="1">
        <f t="array" ref="AK618">_xlfn.IFS(HR_Employee_Attrition[[#This Row],[YearsAtCompany]]&lt;=2,"0-2",HR_Employee_Attrition[[#This Row],[YearsAtCompany]]&lt;=5,"3-5",HR_Employee_Attrition[[#This Row],[YearsAtCompany]]&lt;=10,"6-10",HR_Employee_Attrition[[#This Row],[YearsAtCompany]]&gt;10,"10+")</f>
        <v>10+</v>
      </c>
      <c r="AL618" t="str" cm="1">
        <f t="array" ref="AL6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618">
        <f>IF(HR_Employee_Attrition[[#This Row],[Attrition]]="Yes",1,0)</f>
        <v>0</v>
      </c>
    </row>
    <row r="619" spans="1:39" x14ac:dyDescent="0.3">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c r="AJ619" t="str">
        <f>IF(HR_Employee_Attrition[[#This Row],[Age]]&gt;60,"60+",IF(HR_Employee_Attrition[[#This Row],[Age]]&gt;=50,"50-59",IF(HR_Employee_Attrition[[#This Row],[Age]]&gt;=40,"40-49",IF(HR_Employee_Attrition[[#This Row],[Age]]&gt;=30,"30-39",IF(HR_Employee_Attrition[[#This Row],[Age]]&gt;=20,"20-29",IF(HR_Employee_Attrition[[#This Row],[Age]]&gt;=18,"18-20"))))))</f>
        <v>40-49</v>
      </c>
      <c r="AK619" t="str" cm="1">
        <f t="array" ref="AK619">_xlfn.IFS(HR_Employee_Attrition[[#This Row],[YearsAtCompany]]&lt;=2,"0-2",HR_Employee_Attrition[[#This Row],[YearsAtCompany]]&lt;=5,"3-5",HR_Employee_Attrition[[#This Row],[YearsAtCompany]]&lt;=10,"6-10",HR_Employee_Attrition[[#This Row],[YearsAtCompany]]&gt;10,"10+")</f>
        <v>3-5</v>
      </c>
      <c r="AL619" t="str" cm="1">
        <f t="array" ref="AL6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19">
        <f>IF(HR_Employee_Attrition[[#This Row],[Attrition]]="Yes",1,0)</f>
        <v>0</v>
      </c>
    </row>
    <row r="620" spans="1:39" x14ac:dyDescent="0.3">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c r="AJ620" t="str">
        <f>IF(HR_Employee_Attrition[[#This Row],[Age]]&gt;60,"60+",IF(HR_Employee_Attrition[[#This Row],[Age]]&gt;=50,"50-59",IF(HR_Employee_Attrition[[#This Row],[Age]]&gt;=40,"40-49",IF(HR_Employee_Attrition[[#This Row],[Age]]&gt;=30,"30-39",IF(HR_Employee_Attrition[[#This Row],[Age]]&gt;=20,"20-29",IF(HR_Employee_Attrition[[#This Row],[Age]]&gt;=18,"18-20"))))))</f>
        <v>20-29</v>
      </c>
      <c r="AK620" t="str" cm="1">
        <f t="array" ref="AK620">_xlfn.IFS(HR_Employee_Attrition[[#This Row],[YearsAtCompany]]&lt;=2,"0-2",HR_Employee_Attrition[[#This Row],[YearsAtCompany]]&lt;=5,"3-5",HR_Employee_Attrition[[#This Row],[YearsAtCompany]]&lt;=10,"6-10",HR_Employee_Attrition[[#This Row],[YearsAtCompany]]&gt;10,"10+")</f>
        <v>3-5</v>
      </c>
      <c r="AL620" t="str" cm="1">
        <f t="array" ref="AL6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20">
        <f>IF(HR_Employee_Attrition[[#This Row],[Attrition]]="Yes",1,0)</f>
        <v>0</v>
      </c>
    </row>
    <row r="621" spans="1:39" x14ac:dyDescent="0.3">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c r="AJ621" t="str">
        <f>IF(HR_Employee_Attrition[[#This Row],[Age]]&gt;60,"60+",IF(HR_Employee_Attrition[[#This Row],[Age]]&gt;=50,"50-59",IF(HR_Employee_Attrition[[#This Row],[Age]]&gt;=40,"40-49",IF(HR_Employee_Attrition[[#This Row],[Age]]&gt;=30,"30-39",IF(HR_Employee_Attrition[[#This Row],[Age]]&gt;=20,"20-29",IF(HR_Employee_Attrition[[#This Row],[Age]]&gt;=18,"18-20"))))))</f>
        <v>30-39</v>
      </c>
      <c r="AK621" t="str" cm="1">
        <f t="array" ref="AK621">_xlfn.IFS(HR_Employee_Attrition[[#This Row],[YearsAtCompany]]&lt;=2,"0-2",HR_Employee_Attrition[[#This Row],[YearsAtCompany]]&lt;=5,"3-5",HR_Employee_Attrition[[#This Row],[YearsAtCompany]]&lt;=10,"6-10",HR_Employee_Attrition[[#This Row],[YearsAtCompany]]&gt;10,"10+")</f>
        <v>6-10</v>
      </c>
      <c r="AL621" t="str" cm="1">
        <f t="array" ref="AL6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21">
        <f>IF(HR_Employee_Attrition[[#This Row],[Attrition]]="Yes",1,0)</f>
        <v>0</v>
      </c>
    </row>
    <row r="622" spans="1:39" x14ac:dyDescent="0.3">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c r="AJ622" t="str">
        <f>IF(HR_Employee_Attrition[[#This Row],[Age]]&gt;60,"60+",IF(HR_Employee_Attrition[[#This Row],[Age]]&gt;=50,"50-59",IF(HR_Employee_Attrition[[#This Row],[Age]]&gt;=40,"40-49",IF(HR_Employee_Attrition[[#This Row],[Age]]&gt;=30,"30-39",IF(HR_Employee_Attrition[[#This Row],[Age]]&gt;=20,"20-29",IF(HR_Employee_Attrition[[#This Row],[Age]]&gt;=18,"18-20"))))))</f>
        <v>30-39</v>
      </c>
      <c r="AK622" t="str" cm="1">
        <f t="array" ref="AK622">_xlfn.IFS(HR_Employee_Attrition[[#This Row],[YearsAtCompany]]&lt;=2,"0-2",HR_Employee_Attrition[[#This Row],[YearsAtCompany]]&lt;=5,"3-5",HR_Employee_Attrition[[#This Row],[YearsAtCompany]]&lt;=10,"6-10",HR_Employee_Attrition[[#This Row],[YearsAtCompany]]&gt;10,"10+")</f>
        <v>6-10</v>
      </c>
      <c r="AL622" t="str" cm="1">
        <f t="array" ref="AL6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22">
        <f>IF(HR_Employee_Attrition[[#This Row],[Attrition]]="Yes",1,0)</f>
        <v>0</v>
      </c>
    </row>
    <row r="623" spans="1:39" x14ac:dyDescent="0.3">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c r="AJ623" t="str">
        <f>IF(HR_Employee_Attrition[[#This Row],[Age]]&gt;60,"60+",IF(HR_Employee_Attrition[[#This Row],[Age]]&gt;=50,"50-59",IF(HR_Employee_Attrition[[#This Row],[Age]]&gt;=40,"40-49",IF(HR_Employee_Attrition[[#This Row],[Age]]&gt;=30,"30-39",IF(HR_Employee_Attrition[[#This Row],[Age]]&gt;=20,"20-29",IF(HR_Employee_Attrition[[#This Row],[Age]]&gt;=18,"18-20"))))))</f>
        <v>30-39</v>
      </c>
      <c r="AK623" t="str" cm="1">
        <f t="array" ref="AK623">_xlfn.IFS(HR_Employee_Attrition[[#This Row],[YearsAtCompany]]&lt;=2,"0-2",HR_Employee_Attrition[[#This Row],[YearsAtCompany]]&lt;=5,"3-5",HR_Employee_Attrition[[#This Row],[YearsAtCompany]]&lt;=10,"6-10",HR_Employee_Attrition[[#This Row],[YearsAtCompany]]&gt;10,"10+")</f>
        <v>10+</v>
      </c>
      <c r="AL623" t="str" cm="1">
        <f t="array" ref="AL6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23">
        <f>IF(HR_Employee_Attrition[[#This Row],[Attrition]]="Yes",1,0)</f>
        <v>0</v>
      </c>
    </row>
    <row r="624" spans="1:39" x14ac:dyDescent="0.3">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c r="AJ624" t="str">
        <f>IF(HR_Employee_Attrition[[#This Row],[Age]]&gt;60,"60+",IF(HR_Employee_Attrition[[#This Row],[Age]]&gt;=50,"50-59",IF(HR_Employee_Attrition[[#This Row],[Age]]&gt;=40,"40-49",IF(HR_Employee_Attrition[[#This Row],[Age]]&gt;=30,"30-39",IF(HR_Employee_Attrition[[#This Row],[Age]]&gt;=20,"20-29",IF(HR_Employee_Attrition[[#This Row],[Age]]&gt;=18,"18-20"))))))</f>
        <v>30-39</v>
      </c>
      <c r="AK624" t="str" cm="1">
        <f t="array" ref="AK624">_xlfn.IFS(HR_Employee_Attrition[[#This Row],[YearsAtCompany]]&lt;=2,"0-2",HR_Employee_Attrition[[#This Row],[YearsAtCompany]]&lt;=5,"3-5",HR_Employee_Attrition[[#This Row],[YearsAtCompany]]&lt;=10,"6-10",HR_Employee_Attrition[[#This Row],[YearsAtCompany]]&gt;10,"10+")</f>
        <v>3-5</v>
      </c>
      <c r="AL624" t="str" cm="1">
        <f t="array" ref="AL6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24">
        <f>IF(HR_Employee_Attrition[[#This Row],[Attrition]]="Yes",1,0)</f>
        <v>0</v>
      </c>
    </row>
    <row r="625" spans="1:39" x14ac:dyDescent="0.3">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c r="AJ625" t="str">
        <f>IF(HR_Employee_Attrition[[#This Row],[Age]]&gt;60,"60+",IF(HR_Employee_Attrition[[#This Row],[Age]]&gt;=50,"50-59",IF(HR_Employee_Attrition[[#This Row],[Age]]&gt;=40,"40-49",IF(HR_Employee_Attrition[[#This Row],[Age]]&gt;=30,"30-39",IF(HR_Employee_Attrition[[#This Row],[Age]]&gt;=20,"20-29",IF(HR_Employee_Attrition[[#This Row],[Age]]&gt;=18,"18-20"))))))</f>
        <v>30-39</v>
      </c>
      <c r="AK625" t="str" cm="1">
        <f t="array" ref="AK625">_xlfn.IFS(HR_Employee_Attrition[[#This Row],[YearsAtCompany]]&lt;=2,"0-2",HR_Employee_Attrition[[#This Row],[YearsAtCompany]]&lt;=5,"3-5",HR_Employee_Attrition[[#This Row],[YearsAtCompany]]&lt;=10,"6-10",HR_Employee_Attrition[[#This Row],[YearsAtCompany]]&gt;10,"10+")</f>
        <v>3-5</v>
      </c>
      <c r="AL625" t="str" cm="1">
        <f t="array" ref="AL6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25">
        <f>IF(HR_Employee_Attrition[[#This Row],[Attrition]]="Yes",1,0)</f>
        <v>0</v>
      </c>
    </row>
    <row r="626" spans="1:39" x14ac:dyDescent="0.3">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c r="AJ626" t="str">
        <f>IF(HR_Employee_Attrition[[#This Row],[Age]]&gt;60,"60+",IF(HR_Employee_Attrition[[#This Row],[Age]]&gt;=50,"50-59",IF(HR_Employee_Attrition[[#This Row],[Age]]&gt;=40,"40-49",IF(HR_Employee_Attrition[[#This Row],[Age]]&gt;=30,"30-39",IF(HR_Employee_Attrition[[#This Row],[Age]]&gt;=20,"20-29",IF(HR_Employee_Attrition[[#This Row],[Age]]&gt;=18,"18-20"))))))</f>
        <v>50-59</v>
      </c>
      <c r="AK626" t="str" cm="1">
        <f t="array" ref="AK626">_xlfn.IFS(HR_Employee_Attrition[[#This Row],[YearsAtCompany]]&lt;=2,"0-2",HR_Employee_Attrition[[#This Row],[YearsAtCompany]]&lt;=5,"3-5",HR_Employee_Attrition[[#This Row],[YearsAtCompany]]&lt;=10,"6-10",HR_Employee_Attrition[[#This Row],[YearsAtCompany]]&gt;10,"10+")</f>
        <v>3-5</v>
      </c>
      <c r="AL626" t="str" cm="1">
        <f t="array" ref="AL6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26">
        <f>IF(HR_Employee_Attrition[[#This Row],[Attrition]]="Yes",1,0)</f>
        <v>0</v>
      </c>
    </row>
    <row r="627" spans="1:39" x14ac:dyDescent="0.3">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c r="AJ627" t="str">
        <f>IF(HR_Employee_Attrition[[#This Row],[Age]]&gt;60,"60+",IF(HR_Employee_Attrition[[#This Row],[Age]]&gt;=50,"50-59",IF(HR_Employee_Attrition[[#This Row],[Age]]&gt;=40,"40-49",IF(HR_Employee_Attrition[[#This Row],[Age]]&gt;=30,"30-39",IF(HR_Employee_Attrition[[#This Row],[Age]]&gt;=20,"20-29",IF(HR_Employee_Attrition[[#This Row],[Age]]&gt;=18,"18-20"))))))</f>
        <v>40-49</v>
      </c>
      <c r="AK627" t="str" cm="1">
        <f t="array" ref="AK627">_xlfn.IFS(HR_Employee_Attrition[[#This Row],[YearsAtCompany]]&lt;=2,"0-2",HR_Employee_Attrition[[#This Row],[YearsAtCompany]]&lt;=5,"3-5",HR_Employee_Attrition[[#This Row],[YearsAtCompany]]&lt;=10,"6-10",HR_Employee_Attrition[[#This Row],[YearsAtCompany]]&gt;10,"10+")</f>
        <v>3-5</v>
      </c>
      <c r="AL627" t="str" cm="1">
        <f t="array" ref="AL6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27">
        <f>IF(HR_Employee_Attrition[[#This Row],[Attrition]]="Yes",1,0)</f>
        <v>0</v>
      </c>
    </row>
    <row r="628" spans="1:39" x14ac:dyDescent="0.3">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c r="AJ628" t="str">
        <f>IF(HR_Employee_Attrition[[#This Row],[Age]]&gt;60,"60+",IF(HR_Employee_Attrition[[#This Row],[Age]]&gt;=50,"50-59",IF(HR_Employee_Attrition[[#This Row],[Age]]&gt;=40,"40-49",IF(HR_Employee_Attrition[[#This Row],[Age]]&gt;=30,"30-39",IF(HR_Employee_Attrition[[#This Row],[Age]]&gt;=20,"20-29",IF(HR_Employee_Attrition[[#This Row],[Age]]&gt;=18,"18-20"))))))</f>
        <v>30-39</v>
      </c>
      <c r="AK628" t="str" cm="1">
        <f t="array" ref="AK628">_xlfn.IFS(HR_Employee_Attrition[[#This Row],[YearsAtCompany]]&lt;=2,"0-2",HR_Employee_Attrition[[#This Row],[YearsAtCompany]]&lt;=5,"3-5",HR_Employee_Attrition[[#This Row],[YearsAtCompany]]&lt;=10,"6-10",HR_Employee_Attrition[[#This Row],[YearsAtCompany]]&gt;10,"10+")</f>
        <v>3-5</v>
      </c>
      <c r="AL628" t="str" cm="1">
        <f t="array" ref="AL6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28">
        <f>IF(HR_Employee_Attrition[[#This Row],[Attrition]]="Yes",1,0)</f>
        <v>0</v>
      </c>
    </row>
    <row r="629" spans="1:39" x14ac:dyDescent="0.3">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c r="AJ629" t="str">
        <f>IF(HR_Employee_Attrition[[#This Row],[Age]]&gt;60,"60+",IF(HR_Employee_Attrition[[#This Row],[Age]]&gt;=50,"50-59",IF(HR_Employee_Attrition[[#This Row],[Age]]&gt;=40,"40-49",IF(HR_Employee_Attrition[[#This Row],[Age]]&gt;=30,"30-39",IF(HR_Employee_Attrition[[#This Row],[Age]]&gt;=20,"20-29",IF(HR_Employee_Attrition[[#This Row],[Age]]&gt;=18,"18-20"))))))</f>
        <v>50-59</v>
      </c>
      <c r="AK629" t="str" cm="1">
        <f t="array" ref="AK629">_xlfn.IFS(HR_Employee_Attrition[[#This Row],[YearsAtCompany]]&lt;=2,"0-2",HR_Employee_Attrition[[#This Row],[YearsAtCompany]]&lt;=5,"3-5",HR_Employee_Attrition[[#This Row],[YearsAtCompany]]&lt;=10,"6-10",HR_Employee_Attrition[[#This Row],[YearsAtCompany]]&gt;10,"10+")</f>
        <v>6-10</v>
      </c>
      <c r="AL629" t="str" cm="1">
        <f t="array" ref="AL6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29">
        <f>IF(HR_Employee_Attrition[[#This Row],[Attrition]]="Yes",1,0)</f>
        <v>0</v>
      </c>
    </row>
    <row r="630" spans="1:39" x14ac:dyDescent="0.3">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c r="AJ630" t="str">
        <f>IF(HR_Employee_Attrition[[#This Row],[Age]]&gt;60,"60+",IF(HR_Employee_Attrition[[#This Row],[Age]]&gt;=50,"50-59",IF(HR_Employee_Attrition[[#This Row],[Age]]&gt;=40,"40-49",IF(HR_Employee_Attrition[[#This Row],[Age]]&gt;=30,"30-39",IF(HR_Employee_Attrition[[#This Row],[Age]]&gt;=20,"20-29",IF(HR_Employee_Attrition[[#This Row],[Age]]&gt;=18,"18-20"))))))</f>
        <v>30-39</v>
      </c>
      <c r="AK630" t="str" cm="1">
        <f t="array" ref="AK630">_xlfn.IFS(HR_Employee_Attrition[[#This Row],[YearsAtCompany]]&lt;=2,"0-2",HR_Employee_Attrition[[#This Row],[YearsAtCompany]]&lt;=5,"3-5",HR_Employee_Attrition[[#This Row],[YearsAtCompany]]&lt;=10,"6-10",HR_Employee_Attrition[[#This Row],[YearsAtCompany]]&gt;10,"10+")</f>
        <v>0-2</v>
      </c>
      <c r="AL630" t="str" cm="1">
        <f t="array" ref="AL6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30">
        <f>IF(HR_Employee_Attrition[[#This Row],[Attrition]]="Yes",1,0)</f>
        <v>0</v>
      </c>
    </row>
    <row r="631" spans="1:39" x14ac:dyDescent="0.3">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c r="AJ631" t="str">
        <f>IF(HR_Employee_Attrition[[#This Row],[Age]]&gt;60,"60+",IF(HR_Employee_Attrition[[#This Row],[Age]]&gt;=50,"50-59",IF(HR_Employee_Attrition[[#This Row],[Age]]&gt;=40,"40-49",IF(HR_Employee_Attrition[[#This Row],[Age]]&gt;=30,"30-39",IF(HR_Employee_Attrition[[#This Row],[Age]]&gt;=20,"20-29",IF(HR_Employee_Attrition[[#This Row],[Age]]&gt;=18,"18-20"))))))</f>
        <v>20-29</v>
      </c>
      <c r="AK631" t="str" cm="1">
        <f t="array" ref="AK631">_xlfn.IFS(HR_Employee_Attrition[[#This Row],[YearsAtCompany]]&lt;=2,"0-2",HR_Employee_Attrition[[#This Row],[YearsAtCompany]]&lt;=5,"3-5",HR_Employee_Attrition[[#This Row],[YearsAtCompany]]&lt;=10,"6-10",HR_Employee_Attrition[[#This Row],[YearsAtCompany]]&gt;10,"10+")</f>
        <v>3-5</v>
      </c>
      <c r="AL631" t="str" cm="1">
        <f t="array" ref="AL6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1">
        <f>IF(HR_Employee_Attrition[[#This Row],[Attrition]]="Yes",1,0)</f>
        <v>0</v>
      </c>
    </row>
    <row r="632" spans="1:39" x14ac:dyDescent="0.3">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c r="AJ632" t="str">
        <f>IF(HR_Employee_Attrition[[#This Row],[Age]]&gt;60,"60+",IF(HR_Employee_Attrition[[#This Row],[Age]]&gt;=50,"50-59",IF(HR_Employee_Attrition[[#This Row],[Age]]&gt;=40,"40-49",IF(HR_Employee_Attrition[[#This Row],[Age]]&gt;=30,"30-39",IF(HR_Employee_Attrition[[#This Row],[Age]]&gt;=20,"20-29",IF(HR_Employee_Attrition[[#This Row],[Age]]&gt;=18,"18-20"))))))</f>
        <v>20-29</v>
      </c>
      <c r="AK632" t="str" cm="1">
        <f t="array" ref="AK632">_xlfn.IFS(HR_Employee_Attrition[[#This Row],[YearsAtCompany]]&lt;=2,"0-2",HR_Employee_Attrition[[#This Row],[YearsAtCompany]]&lt;=5,"3-5",HR_Employee_Attrition[[#This Row],[YearsAtCompany]]&lt;=10,"6-10",HR_Employee_Attrition[[#This Row],[YearsAtCompany]]&gt;10,"10+")</f>
        <v>0-2</v>
      </c>
      <c r="AL632" t="str" cm="1">
        <f t="array" ref="AL6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2">
        <f>IF(HR_Employee_Attrition[[#This Row],[Attrition]]="Yes",1,0)</f>
        <v>0</v>
      </c>
    </row>
    <row r="633" spans="1:39" x14ac:dyDescent="0.3">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c r="AJ633" t="str">
        <f>IF(HR_Employee_Attrition[[#This Row],[Age]]&gt;60,"60+",IF(HR_Employee_Attrition[[#This Row],[Age]]&gt;=50,"50-59",IF(HR_Employee_Attrition[[#This Row],[Age]]&gt;=40,"40-49",IF(HR_Employee_Attrition[[#This Row],[Age]]&gt;=30,"30-39",IF(HR_Employee_Attrition[[#This Row],[Age]]&gt;=20,"20-29",IF(HR_Employee_Attrition[[#This Row],[Age]]&gt;=18,"18-20"))))))</f>
        <v>40-49</v>
      </c>
      <c r="AK633" t="str" cm="1">
        <f t="array" ref="AK633">_xlfn.IFS(HR_Employee_Attrition[[#This Row],[YearsAtCompany]]&lt;=2,"0-2",HR_Employee_Attrition[[#This Row],[YearsAtCompany]]&lt;=5,"3-5",HR_Employee_Attrition[[#This Row],[YearsAtCompany]]&lt;=10,"6-10",HR_Employee_Attrition[[#This Row],[YearsAtCompany]]&gt;10,"10+")</f>
        <v>3-5</v>
      </c>
      <c r="AL633" t="str" cm="1">
        <f t="array" ref="AL6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3">
        <f>IF(HR_Employee_Attrition[[#This Row],[Attrition]]="Yes",1,0)</f>
        <v>0</v>
      </c>
    </row>
    <row r="634" spans="1:39" x14ac:dyDescent="0.3">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c r="AJ634" t="str">
        <f>IF(HR_Employee_Attrition[[#This Row],[Age]]&gt;60,"60+",IF(HR_Employee_Attrition[[#This Row],[Age]]&gt;=50,"50-59",IF(HR_Employee_Attrition[[#This Row],[Age]]&gt;=40,"40-49",IF(HR_Employee_Attrition[[#This Row],[Age]]&gt;=30,"30-39",IF(HR_Employee_Attrition[[#This Row],[Age]]&gt;=20,"20-29",IF(HR_Employee_Attrition[[#This Row],[Age]]&gt;=18,"18-20"))))))</f>
        <v>40-49</v>
      </c>
      <c r="AK634" t="str" cm="1">
        <f t="array" ref="AK634">_xlfn.IFS(HR_Employee_Attrition[[#This Row],[YearsAtCompany]]&lt;=2,"0-2",HR_Employee_Attrition[[#This Row],[YearsAtCompany]]&lt;=5,"3-5",HR_Employee_Attrition[[#This Row],[YearsAtCompany]]&lt;=10,"6-10",HR_Employee_Attrition[[#This Row],[YearsAtCompany]]&gt;10,"10+")</f>
        <v>0-2</v>
      </c>
      <c r="AL634" t="str" cm="1">
        <f t="array" ref="AL6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4">
        <f>IF(HR_Employee_Attrition[[#This Row],[Attrition]]="Yes",1,0)</f>
        <v>0</v>
      </c>
    </row>
    <row r="635" spans="1:39" x14ac:dyDescent="0.3">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c r="AJ635" t="str">
        <f>IF(HR_Employee_Attrition[[#This Row],[Age]]&gt;60,"60+",IF(HR_Employee_Attrition[[#This Row],[Age]]&gt;=50,"50-59",IF(HR_Employee_Attrition[[#This Row],[Age]]&gt;=40,"40-49",IF(HR_Employee_Attrition[[#This Row],[Age]]&gt;=30,"30-39",IF(HR_Employee_Attrition[[#This Row],[Age]]&gt;=20,"20-29",IF(HR_Employee_Attrition[[#This Row],[Age]]&gt;=18,"18-20"))))))</f>
        <v>30-39</v>
      </c>
      <c r="AK635" t="str" cm="1">
        <f t="array" ref="AK635">_xlfn.IFS(HR_Employee_Attrition[[#This Row],[YearsAtCompany]]&lt;=2,"0-2",HR_Employee_Attrition[[#This Row],[YearsAtCompany]]&lt;=5,"3-5",HR_Employee_Attrition[[#This Row],[YearsAtCompany]]&lt;=10,"6-10",HR_Employee_Attrition[[#This Row],[YearsAtCompany]]&gt;10,"10+")</f>
        <v>3-5</v>
      </c>
      <c r="AL635" t="str" cm="1">
        <f t="array" ref="AL6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5">
        <f>IF(HR_Employee_Attrition[[#This Row],[Attrition]]="Yes",1,0)</f>
        <v>0</v>
      </c>
    </row>
    <row r="636" spans="1:39" x14ac:dyDescent="0.3">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c r="AJ636" t="str">
        <f>IF(HR_Employee_Attrition[[#This Row],[Age]]&gt;60,"60+",IF(HR_Employee_Attrition[[#This Row],[Age]]&gt;=50,"50-59",IF(HR_Employee_Attrition[[#This Row],[Age]]&gt;=40,"40-49",IF(HR_Employee_Attrition[[#This Row],[Age]]&gt;=30,"30-39",IF(HR_Employee_Attrition[[#This Row],[Age]]&gt;=20,"20-29",IF(HR_Employee_Attrition[[#This Row],[Age]]&gt;=18,"18-20"))))))</f>
        <v>20-29</v>
      </c>
      <c r="AK636" t="str" cm="1">
        <f t="array" ref="AK636">_xlfn.IFS(HR_Employee_Attrition[[#This Row],[YearsAtCompany]]&lt;=2,"0-2",HR_Employee_Attrition[[#This Row],[YearsAtCompany]]&lt;=5,"3-5",HR_Employee_Attrition[[#This Row],[YearsAtCompany]]&lt;=10,"6-10",HR_Employee_Attrition[[#This Row],[YearsAtCompany]]&gt;10,"10+")</f>
        <v>3-5</v>
      </c>
      <c r="AL636" t="str" cm="1">
        <f t="array" ref="AL6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6">
        <f>IF(HR_Employee_Attrition[[#This Row],[Attrition]]="Yes",1,0)</f>
        <v>0</v>
      </c>
    </row>
    <row r="637" spans="1:39" x14ac:dyDescent="0.3">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c r="AJ637" t="str">
        <f>IF(HR_Employee_Attrition[[#This Row],[Age]]&gt;60,"60+",IF(HR_Employee_Attrition[[#This Row],[Age]]&gt;=50,"50-59",IF(HR_Employee_Attrition[[#This Row],[Age]]&gt;=40,"40-49",IF(HR_Employee_Attrition[[#This Row],[Age]]&gt;=30,"30-39",IF(HR_Employee_Attrition[[#This Row],[Age]]&gt;=20,"20-29",IF(HR_Employee_Attrition[[#This Row],[Age]]&gt;=18,"18-20"))))))</f>
        <v>30-39</v>
      </c>
      <c r="AK637" t="str" cm="1">
        <f t="array" ref="AK637">_xlfn.IFS(HR_Employee_Attrition[[#This Row],[YearsAtCompany]]&lt;=2,"0-2",HR_Employee_Attrition[[#This Row],[YearsAtCompany]]&lt;=5,"3-5",HR_Employee_Attrition[[#This Row],[YearsAtCompany]]&lt;=10,"6-10",HR_Employee_Attrition[[#This Row],[YearsAtCompany]]&gt;10,"10+")</f>
        <v>10+</v>
      </c>
      <c r="AL637" t="str" cm="1">
        <f t="array" ref="AL6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37">
        <f>IF(HR_Employee_Attrition[[#This Row],[Attrition]]="Yes",1,0)</f>
        <v>0</v>
      </c>
    </row>
    <row r="638" spans="1:39" x14ac:dyDescent="0.3">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c r="AJ638" t="str">
        <f>IF(HR_Employee_Attrition[[#This Row],[Age]]&gt;60,"60+",IF(HR_Employee_Attrition[[#This Row],[Age]]&gt;=50,"50-59",IF(HR_Employee_Attrition[[#This Row],[Age]]&gt;=40,"40-49",IF(HR_Employee_Attrition[[#This Row],[Age]]&gt;=30,"30-39",IF(HR_Employee_Attrition[[#This Row],[Age]]&gt;=20,"20-29",IF(HR_Employee_Attrition[[#This Row],[Age]]&gt;=18,"18-20"))))))</f>
        <v>30-39</v>
      </c>
      <c r="AK638" t="str" cm="1">
        <f t="array" ref="AK638">_xlfn.IFS(HR_Employee_Attrition[[#This Row],[YearsAtCompany]]&lt;=2,"0-2",HR_Employee_Attrition[[#This Row],[YearsAtCompany]]&lt;=5,"3-5",HR_Employee_Attrition[[#This Row],[YearsAtCompany]]&lt;=10,"6-10",HR_Employee_Attrition[[#This Row],[YearsAtCompany]]&gt;10,"10+")</f>
        <v>6-10</v>
      </c>
      <c r="AL638" t="str" cm="1">
        <f t="array" ref="AL6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8">
        <f>IF(HR_Employee_Attrition[[#This Row],[Attrition]]="Yes",1,0)</f>
        <v>1</v>
      </c>
    </row>
    <row r="639" spans="1:39" x14ac:dyDescent="0.3">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c r="AJ639" t="str">
        <f>IF(HR_Employee_Attrition[[#This Row],[Age]]&gt;60,"60+",IF(HR_Employee_Attrition[[#This Row],[Age]]&gt;=50,"50-59",IF(HR_Employee_Attrition[[#This Row],[Age]]&gt;=40,"40-49",IF(HR_Employee_Attrition[[#This Row],[Age]]&gt;=30,"30-39",IF(HR_Employee_Attrition[[#This Row],[Age]]&gt;=20,"20-29",IF(HR_Employee_Attrition[[#This Row],[Age]]&gt;=18,"18-20"))))))</f>
        <v>30-39</v>
      </c>
      <c r="AK639" t="str" cm="1">
        <f t="array" ref="AK639">_xlfn.IFS(HR_Employee_Attrition[[#This Row],[YearsAtCompany]]&lt;=2,"0-2",HR_Employee_Attrition[[#This Row],[YearsAtCompany]]&lt;=5,"3-5",HR_Employee_Attrition[[#This Row],[YearsAtCompany]]&lt;=10,"6-10",HR_Employee_Attrition[[#This Row],[YearsAtCompany]]&gt;10,"10+")</f>
        <v>3-5</v>
      </c>
      <c r="AL639" t="str" cm="1">
        <f t="array" ref="AL6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9">
        <f>IF(HR_Employee_Attrition[[#This Row],[Attrition]]="Yes",1,0)</f>
        <v>0</v>
      </c>
    </row>
    <row r="640" spans="1:39" x14ac:dyDescent="0.3">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c r="AJ640" t="str">
        <f>IF(HR_Employee_Attrition[[#This Row],[Age]]&gt;60,"60+",IF(HR_Employee_Attrition[[#This Row],[Age]]&gt;=50,"50-59",IF(HR_Employee_Attrition[[#This Row],[Age]]&gt;=40,"40-49",IF(HR_Employee_Attrition[[#This Row],[Age]]&gt;=30,"30-39",IF(HR_Employee_Attrition[[#This Row],[Age]]&gt;=20,"20-29",IF(HR_Employee_Attrition[[#This Row],[Age]]&gt;=18,"18-20"))))))</f>
        <v>20-29</v>
      </c>
      <c r="AK640" t="str" cm="1">
        <f t="array" ref="AK640">_xlfn.IFS(HR_Employee_Attrition[[#This Row],[YearsAtCompany]]&lt;=2,"0-2",HR_Employee_Attrition[[#This Row],[YearsAtCompany]]&lt;=5,"3-5",HR_Employee_Attrition[[#This Row],[YearsAtCompany]]&lt;=10,"6-10",HR_Employee_Attrition[[#This Row],[YearsAtCompany]]&gt;10,"10+")</f>
        <v>3-5</v>
      </c>
      <c r="AL640" t="str" cm="1">
        <f t="array" ref="AL6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40">
        <f>IF(HR_Employee_Attrition[[#This Row],[Attrition]]="Yes",1,0)</f>
        <v>0</v>
      </c>
    </row>
    <row r="641" spans="1:39" x14ac:dyDescent="0.3">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c r="AJ641" t="str">
        <f>IF(HR_Employee_Attrition[[#This Row],[Age]]&gt;60,"60+",IF(HR_Employee_Attrition[[#This Row],[Age]]&gt;=50,"50-59",IF(HR_Employee_Attrition[[#This Row],[Age]]&gt;=40,"40-49",IF(HR_Employee_Attrition[[#This Row],[Age]]&gt;=30,"30-39",IF(HR_Employee_Attrition[[#This Row],[Age]]&gt;=20,"20-29",IF(HR_Employee_Attrition[[#This Row],[Age]]&gt;=18,"18-20"))))))</f>
        <v>40-49</v>
      </c>
      <c r="AK641" t="str" cm="1">
        <f t="array" ref="AK641">_xlfn.IFS(HR_Employee_Attrition[[#This Row],[YearsAtCompany]]&lt;=2,"0-2",HR_Employee_Attrition[[#This Row],[YearsAtCompany]]&lt;=5,"3-5",HR_Employee_Attrition[[#This Row],[YearsAtCompany]]&lt;=10,"6-10",HR_Employee_Attrition[[#This Row],[YearsAtCompany]]&gt;10,"10+")</f>
        <v>3-5</v>
      </c>
      <c r="AL641" t="str" cm="1">
        <f t="array" ref="AL6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41">
        <f>IF(HR_Employee_Attrition[[#This Row],[Attrition]]="Yes",1,0)</f>
        <v>0</v>
      </c>
    </row>
    <row r="642" spans="1:39" x14ac:dyDescent="0.3">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c r="AJ642" t="str">
        <f>IF(HR_Employee_Attrition[[#This Row],[Age]]&gt;60,"60+",IF(HR_Employee_Attrition[[#This Row],[Age]]&gt;=50,"50-59",IF(HR_Employee_Attrition[[#This Row],[Age]]&gt;=40,"40-49",IF(HR_Employee_Attrition[[#This Row],[Age]]&gt;=30,"30-39",IF(HR_Employee_Attrition[[#This Row],[Age]]&gt;=20,"20-29",IF(HR_Employee_Attrition[[#This Row],[Age]]&gt;=18,"18-20"))))))</f>
        <v>20-29</v>
      </c>
      <c r="AK642" t="str" cm="1">
        <f t="array" ref="AK642">_xlfn.IFS(HR_Employee_Attrition[[#This Row],[YearsAtCompany]]&lt;=2,"0-2",HR_Employee_Attrition[[#This Row],[YearsAtCompany]]&lt;=5,"3-5",HR_Employee_Attrition[[#This Row],[YearsAtCompany]]&lt;=10,"6-10",HR_Employee_Attrition[[#This Row],[YearsAtCompany]]&gt;10,"10+")</f>
        <v>3-5</v>
      </c>
      <c r="AL642" t="str" cm="1">
        <f t="array" ref="AL6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42">
        <f>IF(HR_Employee_Attrition[[#This Row],[Attrition]]="Yes",1,0)</f>
        <v>0</v>
      </c>
    </row>
    <row r="643" spans="1:39" x14ac:dyDescent="0.3">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c r="AJ643" t="str">
        <f>IF(HR_Employee_Attrition[[#This Row],[Age]]&gt;60,"60+",IF(HR_Employee_Attrition[[#This Row],[Age]]&gt;=50,"50-59",IF(HR_Employee_Attrition[[#This Row],[Age]]&gt;=40,"40-49",IF(HR_Employee_Attrition[[#This Row],[Age]]&gt;=30,"30-39",IF(HR_Employee_Attrition[[#This Row],[Age]]&gt;=20,"20-29",IF(HR_Employee_Attrition[[#This Row],[Age]]&gt;=18,"18-20"))))))</f>
        <v>30-39</v>
      </c>
      <c r="AK643" t="str" cm="1">
        <f t="array" ref="AK643">_xlfn.IFS(HR_Employee_Attrition[[#This Row],[YearsAtCompany]]&lt;=2,"0-2",HR_Employee_Attrition[[#This Row],[YearsAtCompany]]&lt;=5,"3-5",HR_Employee_Attrition[[#This Row],[YearsAtCompany]]&lt;=10,"6-10",HR_Employee_Attrition[[#This Row],[YearsAtCompany]]&gt;10,"10+")</f>
        <v>6-10</v>
      </c>
      <c r="AL643" t="str" cm="1">
        <f t="array" ref="AL6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43">
        <f>IF(HR_Employee_Attrition[[#This Row],[Attrition]]="Yes",1,0)</f>
        <v>0</v>
      </c>
    </row>
    <row r="644" spans="1:39" x14ac:dyDescent="0.3">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c r="AJ644" t="str">
        <f>IF(HR_Employee_Attrition[[#This Row],[Age]]&gt;60,"60+",IF(HR_Employee_Attrition[[#This Row],[Age]]&gt;=50,"50-59",IF(HR_Employee_Attrition[[#This Row],[Age]]&gt;=40,"40-49",IF(HR_Employee_Attrition[[#This Row],[Age]]&gt;=30,"30-39",IF(HR_Employee_Attrition[[#This Row],[Age]]&gt;=20,"20-29",IF(HR_Employee_Attrition[[#This Row],[Age]]&gt;=18,"18-20"))))))</f>
        <v>30-39</v>
      </c>
      <c r="AK644" t="str" cm="1">
        <f t="array" ref="AK644">_xlfn.IFS(HR_Employee_Attrition[[#This Row],[YearsAtCompany]]&lt;=2,"0-2",HR_Employee_Attrition[[#This Row],[YearsAtCompany]]&lt;=5,"3-5",HR_Employee_Attrition[[#This Row],[YearsAtCompany]]&lt;=10,"6-10",HR_Employee_Attrition[[#This Row],[YearsAtCompany]]&gt;10,"10+")</f>
        <v>0-2</v>
      </c>
      <c r="AL644" t="str" cm="1">
        <f t="array" ref="AL6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44">
        <f>IF(HR_Employee_Attrition[[#This Row],[Attrition]]="Yes",1,0)</f>
        <v>0</v>
      </c>
    </row>
    <row r="645" spans="1:39" x14ac:dyDescent="0.3">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c r="AJ645" t="str">
        <f>IF(HR_Employee_Attrition[[#This Row],[Age]]&gt;60,"60+",IF(HR_Employee_Attrition[[#This Row],[Age]]&gt;=50,"50-59",IF(HR_Employee_Attrition[[#This Row],[Age]]&gt;=40,"40-49",IF(HR_Employee_Attrition[[#This Row],[Age]]&gt;=30,"30-39",IF(HR_Employee_Attrition[[#This Row],[Age]]&gt;=20,"20-29",IF(HR_Employee_Attrition[[#This Row],[Age]]&gt;=18,"18-20"))))))</f>
        <v>40-49</v>
      </c>
      <c r="AK645" t="str" cm="1">
        <f t="array" ref="AK645">_xlfn.IFS(HR_Employee_Attrition[[#This Row],[YearsAtCompany]]&lt;=2,"0-2",HR_Employee_Attrition[[#This Row],[YearsAtCompany]]&lt;=5,"3-5",HR_Employee_Attrition[[#This Row],[YearsAtCompany]]&lt;=10,"6-10",HR_Employee_Attrition[[#This Row],[YearsAtCompany]]&gt;10,"10+")</f>
        <v>3-5</v>
      </c>
      <c r="AL645" t="str" cm="1">
        <f t="array" ref="AL6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45">
        <f>IF(HR_Employee_Attrition[[#This Row],[Attrition]]="Yes",1,0)</f>
        <v>0</v>
      </c>
    </row>
    <row r="646" spans="1:39" x14ac:dyDescent="0.3">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c r="AJ646" t="str">
        <f>IF(HR_Employee_Attrition[[#This Row],[Age]]&gt;60,"60+",IF(HR_Employee_Attrition[[#This Row],[Age]]&gt;=50,"50-59",IF(HR_Employee_Attrition[[#This Row],[Age]]&gt;=40,"40-49",IF(HR_Employee_Attrition[[#This Row],[Age]]&gt;=30,"30-39",IF(HR_Employee_Attrition[[#This Row],[Age]]&gt;=20,"20-29",IF(HR_Employee_Attrition[[#This Row],[Age]]&gt;=18,"18-20"))))))</f>
        <v>30-39</v>
      </c>
      <c r="AK646" t="str" cm="1">
        <f t="array" ref="AK646">_xlfn.IFS(HR_Employee_Attrition[[#This Row],[YearsAtCompany]]&lt;=2,"0-2",HR_Employee_Attrition[[#This Row],[YearsAtCompany]]&lt;=5,"3-5",HR_Employee_Attrition[[#This Row],[YearsAtCompany]]&lt;=10,"6-10",HR_Employee_Attrition[[#This Row],[YearsAtCompany]]&gt;10,"10+")</f>
        <v>6-10</v>
      </c>
      <c r="AL646" t="str" cm="1">
        <f t="array" ref="AL6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46">
        <f>IF(HR_Employee_Attrition[[#This Row],[Attrition]]="Yes",1,0)</f>
        <v>0</v>
      </c>
    </row>
    <row r="647" spans="1:39" x14ac:dyDescent="0.3">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c r="AJ647" t="str">
        <f>IF(HR_Employee_Attrition[[#This Row],[Age]]&gt;60,"60+",IF(HR_Employee_Attrition[[#This Row],[Age]]&gt;=50,"50-59",IF(HR_Employee_Attrition[[#This Row],[Age]]&gt;=40,"40-49",IF(HR_Employee_Attrition[[#This Row],[Age]]&gt;=30,"30-39",IF(HR_Employee_Attrition[[#This Row],[Age]]&gt;=20,"20-29",IF(HR_Employee_Attrition[[#This Row],[Age]]&gt;=18,"18-20"))))))</f>
        <v>20-29</v>
      </c>
      <c r="AK647" t="str" cm="1">
        <f t="array" ref="AK647">_xlfn.IFS(HR_Employee_Attrition[[#This Row],[YearsAtCompany]]&lt;=2,"0-2",HR_Employee_Attrition[[#This Row],[YearsAtCompany]]&lt;=5,"3-5",HR_Employee_Attrition[[#This Row],[YearsAtCompany]]&lt;=10,"6-10",HR_Employee_Attrition[[#This Row],[YearsAtCompany]]&gt;10,"10+")</f>
        <v>3-5</v>
      </c>
      <c r="AL647" t="str" cm="1">
        <f t="array" ref="AL6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47">
        <f>IF(HR_Employee_Attrition[[#This Row],[Attrition]]="Yes",1,0)</f>
        <v>1</v>
      </c>
    </row>
    <row r="648" spans="1:39" x14ac:dyDescent="0.3">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c r="AJ648" t="str">
        <f>IF(HR_Employee_Attrition[[#This Row],[Age]]&gt;60,"60+",IF(HR_Employee_Attrition[[#This Row],[Age]]&gt;=50,"50-59",IF(HR_Employee_Attrition[[#This Row],[Age]]&gt;=40,"40-49",IF(HR_Employee_Attrition[[#This Row],[Age]]&gt;=30,"30-39",IF(HR_Employee_Attrition[[#This Row],[Age]]&gt;=20,"20-29",IF(HR_Employee_Attrition[[#This Row],[Age]]&gt;=18,"18-20"))))))</f>
        <v>50-59</v>
      </c>
      <c r="AK648" t="str" cm="1">
        <f t="array" ref="AK648">_xlfn.IFS(HR_Employee_Attrition[[#This Row],[YearsAtCompany]]&lt;=2,"0-2",HR_Employee_Attrition[[#This Row],[YearsAtCompany]]&lt;=5,"3-5",HR_Employee_Attrition[[#This Row],[YearsAtCompany]]&lt;=10,"6-10",HR_Employee_Attrition[[#This Row],[YearsAtCompany]]&gt;10,"10+")</f>
        <v>0-2</v>
      </c>
      <c r="AL648" t="str" cm="1">
        <f t="array" ref="AL6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48">
        <f>IF(HR_Employee_Attrition[[#This Row],[Attrition]]="Yes",1,0)</f>
        <v>0</v>
      </c>
    </row>
    <row r="649" spans="1:39" x14ac:dyDescent="0.3">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c r="AJ649" t="str">
        <f>IF(HR_Employee_Attrition[[#This Row],[Age]]&gt;60,"60+",IF(HR_Employee_Attrition[[#This Row],[Age]]&gt;=50,"50-59",IF(HR_Employee_Attrition[[#This Row],[Age]]&gt;=40,"40-49",IF(HR_Employee_Attrition[[#This Row],[Age]]&gt;=30,"30-39",IF(HR_Employee_Attrition[[#This Row],[Age]]&gt;=20,"20-29",IF(HR_Employee_Attrition[[#This Row],[Age]]&gt;=18,"18-20"))))))</f>
        <v>30-39</v>
      </c>
      <c r="AK649" t="str" cm="1">
        <f t="array" ref="AK649">_xlfn.IFS(HR_Employee_Attrition[[#This Row],[YearsAtCompany]]&lt;=2,"0-2",HR_Employee_Attrition[[#This Row],[YearsAtCompany]]&lt;=5,"3-5",HR_Employee_Attrition[[#This Row],[YearsAtCompany]]&lt;=10,"6-10",HR_Employee_Attrition[[#This Row],[YearsAtCompany]]&gt;10,"10+")</f>
        <v>10+</v>
      </c>
      <c r="AL649" t="str" cm="1">
        <f t="array" ref="AL6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49">
        <f>IF(HR_Employee_Attrition[[#This Row],[Attrition]]="Yes",1,0)</f>
        <v>0</v>
      </c>
    </row>
    <row r="650" spans="1:39" x14ac:dyDescent="0.3">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c r="AJ650" t="str">
        <f>IF(HR_Employee_Attrition[[#This Row],[Age]]&gt;60,"60+",IF(HR_Employee_Attrition[[#This Row],[Age]]&gt;=50,"50-59",IF(HR_Employee_Attrition[[#This Row],[Age]]&gt;=40,"40-49",IF(HR_Employee_Attrition[[#This Row],[Age]]&gt;=30,"30-39",IF(HR_Employee_Attrition[[#This Row],[Age]]&gt;=20,"20-29",IF(HR_Employee_Attrition[[#This Row],[Age]]&gt;=18,"18-20"))))))</f>
        <v>30-39</v>
      </c>
      <c r="AK650" t="str" cm="1">
        <f t="array" ref="AK650">_xlfn.IFS(HR_Employee_Attrition[[#This Row],[YearsAtCompany]]&lt;=2,"0-2",HR_Employee_Attrition[[#This Row],[YearsAtCompany]]&lt;=5,"3-5",HR_Employee_Attrition[[#This Row],[YearsAtCompany]]&lt;=10,"6-10",HR_Employee_Attrition[[#This Row],[YearsAtCompany]]&gt;10,"10+")</f>
        <v>3-5</v>
      </c>
      <c r="AL650" t="str" cm="1">
        <f t="array" ref="AL6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50">
        <f>IF(HR_Employee_Attrition[[#This Row],[Attrition]]="Yes",1,0)</f>
        <v>0</v>
      </c>
    </row>
    <row r="651" spans="1:39" x14ac:dyDescent="0.3">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c r="AJ651" t="str">
        <f>IF(HR_Employee_Attrition[[#This Row],[Age]]&gt;60,"60+",IF(HR_Employee_Attrition[[#This Row],[Age]]&gt;=50,"50-59",IF(HR_Employee_Attrition[[#This Row],[Age]]&gt;=40,"40-49",IF(HR_Employee_Attrition[[#This Row],[Age]]&gt;=30,"30-39",IF(HR_Employee_Attrition[[#This Row],[Age]]&gt;=20,"20-29",IF(HR_Employee_Attrition[[#This Row],[Age]]&gt;=18,"18-20"))))))</f>
        <v>50-59</v>
      </c>
      <c r="AK651" t="str" cm="1">
        <f t="array" ref="AK651">_xlfn.IFS(HR_Employee_Attrition[[#This Row],[YearsAtCompany]]&lt;=2,"0-2",HR_Employee_Attrition[[#This Row],[YearsAtCompany]]&lt;=5,"3-5",HR_Employee_Attrition[[#This Row],[YearsAtCompany]]&lt;=10,"6-10",HR_Employee_Attrition[[#This Row],[YearsAtCompany]]&gt;10,"10+")</f>
        <v>10+</v>
      </c>
      <c r="AL651" t="str" cm="1">
        <f t="array" ref="AL6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51">
        <f>IF(HR_Employee_Attrition[[#This Row],[Attrition]]="Yes",1,0)</f>
        <v>0</v>
      </c>
    </row>
    <row r="652" spans="1:39" x14ac:dyDescent="0.3">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c r="AJ652" t="str">
        <f>IF(HR_Employee_Attrition[[#This Row],[Age]]&gt;60,"60+",IF(HR_Employee_Attrition[[#This Row],[Age]]&gt;=50,"50-59",IF(HR_Employee_Attrition[[#This Row],[Age]]&gt;=40,"40-49",IF(HR_Employee_Attrition[[#This Row],[Age]]&gt;=30,"30-39",IF(HR_Employee_Attrition[[#This Row],[Age]]&gt;=20,"20-29",IF(HR_Employee_Attrition[[#This Row],[Age]]&gt;=18,"18-20"))))))</f>
        <v>40-49</v>
      </c>
      <c r="AK652" t="str" cm="1">
        <f t="array" ref="AK652">_xlfn.IFS(HR_Employee_Attrition[[#This Row],[YearsAtCompany]]&lt;=2,"0-2",HR_Employee_Attrition[[#This Row],[YearsAtCompany]]&lt;=5,"3-5",HR_Employee_Attrition[[#This Row],[YearsAtCompany]]&lt;=10,"6-10",HR_Employee_Attrition[[#This Row],[YearsAtCompany]]&gt;10,"10+")</f>
        <v>3-5</v>
      </c>
      <c r="AL652" t="str" cm="1">
        <f t="array" ref="AL6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52">
        <f>IF(HR_Employee_Attrition[[#This Row],[Attrition]]="Yes",1,0)</f>
        <v>0</v>
      </c>
    </row>
    <row r="653" spans="1:39" x14ac:dyDescent="0.3">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c r="AJ653" t="str">
        <f>IF(HR_Employee_Attrition[[#This Row],[Age]]&gt;60,"60+",IF(HR_Employee_Attrition[[#This Row],[Age]]&gt;=50,"50-59",IF(HR_Employee_Attrition[[#This Row],[Age]]&gt;=40,"40-49",IF(HR_Employee_Attrition[[#This Row],[Age]]&gt;=30,"30-39",IF(HR_Employee_Attrition[[#This Row],[Age]]&gt;=20,"20-29",IF(HR_Employee_Attrition[[#This Row],[Age]]&gt;=18,"18-20"))))))</f>
        <v>40-49</v>
      </c>
      <c r="AK653" t="str" cm="1">
        <f t="array" ref="AK653">_xlfn.IFS(HR_Employee_Attrition[[#This Row],[YearsAtCompany]]&lt;=2,"0-2",HR_Employee_Attrition[[#This Row],[YearsAtCompany]]&lt;=5,"3-5",HR_Employee_Attrition[[#This Row],[YearsAtCompany]]&lt;=10,"6-10",HR_Employee_Attrition[[#This Row],[YearsAtCompany]]&gt;10,"10+")</f>
        <v>6-10</v>
      </c>
      <c r="AL653" t="str" cm="1">
        <f t="array" ref="AL6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53">
        <f>IF(HR_Employee_Attrition[[#This Row],[Attrition]]="Yes",1,0)</f>
        <v>0</v>
      </c>
    </row>
    <row r="654" spans="1:39" x14ac:dyDescent="0.3">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c r="AJ654" t="str">
        <f>IF(HR_Employee_Attrition[[#This Row],[Age]]&gt;60,"60+",IF(HR_Employee_Attrition[[#This Row],[Age]]&gt;=50,"50-59",IF(HR_Employee_Attrition[[#This Row],[Age]]&gt;=40,"40-49",IF(HR_Employee_Attrition[[#This Row],[Age]]&gt;=30,"30-39",IF(HR_Employee_Attrition[[#This Row],[Age]]&gt;=20,"20-29",IF(HR_Employee_Attrition[[#This Row],[Age]]&gt;=18,"18-20"))))))</f>
        <v>30-39</v>
      </c>
      <c r="AK654" t="str" cm="1">
        <f t="array" ref="AK654">_xlfn.IFS(HR_Employee_Attrition[[#This Row],[YearsAtCompany]]&lt;=2,"0-2",HR_Employee_Attrition[[#This Row],[YearsAtCompany]]&lt;=5,"3-5",HR_Employee_Attrition[[#This Row],[YearsAtCompany]]&lt;=10,"6-10",HR_Employee_Attrition[[#This Row],[YearsAtCompany]]&gt;10,"10+")</f>
        <v>6-10</v>
      </c>
      <c r="AL654" t="str" cm="1">
        <f t="array" ref="AL6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54">
        <f>IF(HR_Employee_Attrition[[#This Row],[Attrition]]="Yes",1,0)</f>
        <v>0</v>
      </c>
    </row>
    <row r="655" spans="1:39" x14ac:dyDescent="0.3">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c r="AJ655" t="str">
        <f>IF(HR_Employee_Attrition[[#This Row],[Age]]&gt;60,"60+",IF(HR_Employee_Attrition[[#This Row],[Age]]&gt;=50,"50-59",IF(HR_Employee_Attrition[[#This Row],[Age]]&gt;=40,"40-49",IF(HR_Employee_Attrition[[#This Row],[Age]]&gt;=30,"30-39",IF(HR_Employee_Attrition[[#This Row],[Age]]&gt;=20,"20-29",IF(HR_Employee_Attrition[[#This Row],[Age]]&gt;=18,"18-20"))))))</f>
        <v>50-59</v>
      </c>
      <c r="AK655" t="str" cm="1">
        <f t="array" ref="AK655">_xlfn.IFS(HR_Employee_Attrition[[#This Row],[YearsAtCompany]]&lt;=2,"0-2",HR_Employee_Attrition[[#This Row],[YearsAtCompany]]&lt;=5,"3-5",HR_Employee_Attrition[[#This Row],[YearsAtCompany]]&lt;=10,"6-10",HR_Employee_Attrition[[#This Row],[YearsAtCompany]]&gt;10,"10+")</f>
        <v>10+</v>
      </c>
      <c r="AL655" t="str" cm="1">
        <f t="array" ref="AL6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655">
        <f>IF(HR_Employee_Attrition[[#This Row],[Attrition]]="Yes",1,0)</f>
        <v>0</v>
      </c>
    </row>
    <row r="656" spans="1:39" x14ac:dyDescent="0.3">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c r="AJ656" t="str">
        <f>IF(HR_Employee_Attrition[[#This Row],[Age]]&gt;60,"60+",IF(HR_Employee_Attrition[[#This Row],[Age]]&gt;=50,"50-59",IF(HR_Employee_Attrition[[#This Row],[Age]]&gt;=40,"40-49",IF(HR_Employee_Attrition[[#This Row],[Age]]&gt;=30,"30-39",IF(HR_Employee_Attrition[[#This Row],[Age]]&gt;=20,"20-29",IF(HR_Employee_Attrition[[#This Row],[Age]]&gt;=18,"18-20"))))))</f>
        <v>30-39</v>
      </c>
      <c r="AK656" t="str" cm="1">
        <f t="array" ref="AK656">_xlfn.IFS(HR_Employee_Attrition[[#This Row],[YearsAtCompany]]&lt;=2,"0-2",HR_Employee_Attrition[[#This Row],[YearsAtCompany]]&lt;=5,"3-5",HR_Employee_Attrition[[#This Row],[YearsAtCompany]]&lt;=10,"6-10",HR_Employee_Attrition[[#This Row],[YearsAtCompany]]&gt;10,"10+")</f>
        <v>3-5</v>
      </c>
      <c r="AL656" t="str" cm="1">
        <f t="array" ref="AL6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56">
        <f>IF(HR_Employee_Attrition[[#This Row],[Attrition]]="Yes",1,0)</f>
        <v>0</v>
      </c>
    </row>
    <row r="657" spans="1:39" x14ac:dyDescent="0.3">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c r="AJ657" t="str">
        <f>IF(HR_Employee_Attrition[[#This Row],[Age]]&gt;60,"60+",IF(HR_Employee_Attrition[[#This Row],[Age]]&gt;=50,"50-59",IF(HR_Employee_Attrition[[#This Row],[Age]]&gt;=40,"40-49",IF(HR_Employee_Attrition[[#This Row],[Age]]&gt;=30,"30-39",IF(HR_Employee_Attrition[[#This Row],[Age]]&gt;=20,"20-29",IF(HR_Employee_Attrition[[#This Row],[Age]]&gt;=18,"18-20"))))))</f>
        <v>30-39</v>
      </c>
      <c r="AK657" t="str" cm="1">
        <f t="array" ref="AK657">_xlfn.IFS(HR_Employee_Attrition[[#This Row],[YearsAtCompany]]&lt;=2,"0-2",HR_Employee_Attrition[[#This Row],[YearsAtCompany]]&lt;=5,"3-5",HR_Employee_Attrition[[#This Row],[YearsAtCompany]]&lt;=10,"6-10",HR_Employee_Attrition[[#This Row],[YearsAtCompany]]&gt;10,"10+")</f>
        <v>3-5</v>
      </c>
      <c r="AL657" t="str" cm="1">
        <f t="array" ref="AL6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57">
        <f>IF(HR_Employee_Attrition[[#This Row],[Attrition]]="Yes",1,0)</f>
        <v>0</v>
      </c>
    </row>
    <row r="658" spans="1:39" x14ac:dyDescent="0.3">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c r="AJ658" t="str">
        <f>IF(HR_Employee_Attrition[[#This Row],[Age]]&gt;60,"60+",IF(HR_Employee_Attrition[[#This Row],[Age]]&gt;=50,"50-59",IF(HR_Employee_Attrition[[#This Row],[Age]]&gt;=40,"40-49",IF(HR_Employee_Attrition[[#This Row],[Age]]&gt;=30,"30-39",IF(HR_Employee_Attrition[[#This Row],[Age]]&gt;=20,"20-29",IF(HR_Employee_Attrition[[#This Row],[Age]]&gt;=18,"18-20"))))))</f>
        <v>30-39</v>
      </c>
      <c r="AK658" t="str" cm="1">
        <f t="array" ref="AK658">_xlfn.IFS(HR_Employee_Attrition[[#This Row],[YearsAtCompany]]&lt;=2,"0-2",HR_Employee_Attrition[[#This Row],[YearsAtCompany]]&lt;=5,"3-5",HR_Employee_Attrition[[#This Row],[YearsAtCompany]]&lt;=10,"6-10",HR_Employee_Attrition[[#This Row],[YearsAtCompany]]&gt;10,"10+")</f>
        <v>0-2</v>
      </c>
      <c r="AL658" t="str" cm="1">
        <f t="array" ref="AL6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58">
        <f>IF(HR_Employee_Attrition[[#This Row],[Attrition]]="Yes",1,0)</f>
        <v>1</v>
      </c>
    </row>
    <row r="659" spans="1:39" x14ac:dyDescent="0.3">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c r="AJ659" t="str">
        <f>IF(HR_Employee_Attrition[[#This Row],[Age]]&gt;60,"60+",IF(HR_Employee_Attrition[[#This Row],[Age]]&gt;=50,"50-59",IF(HR_Employee_Attrition[[#This Row],[Age]]&gt;=40,"40-49",IF(HR_Employee_Attrition[[#This Row],[Age]]&gt;=30,"30-39",IF(HR_Employee_Attrition[[#This Row],[Age]]&gt;=20,"20-29",IF(HR_Employee_Attrition[[#This Row],[Age]]&gt;=18,"18-20"))))))</f>
        <v>20-29</v>
      </c>
      <c r="AK659" t="str" cm="1">
        <f t="array" ref="AK659">_xlfn.IFS(HR_Employee_Attrition[[#This Row],[YearsAtCompany]]&lt;=2,"0-2",HR_Employee_Attrition[[#This Row],[YearsAtCompany]]&lt;=5,"3-5",HR_Employee_Attrition[[#This Row],[YearsAtCompany]]&lt;=10,"6-10",HR_Employee_Attrition[[#This Row],[YearsAtCompany]]&gt;10,"10+")</f>
        <v>3-5</v>
      </c>
      <c r="AL659" t="str" cm="1">
        <f t="array" ref="AL6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59">
        <f>IF(HR_Employee_Attrition[[#This Row],[Attrition]]="Yes",1,0)</f>
        <v>0</v>
      </c>
    </row>
    <row r="660" spans="1:39" x14ac:dyDescent="0.3">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c r="AJ660" t="str">
        <f>IF(HR_Employee_Attrition[[#This Row],[Age]]&gt;60,"60+",IF(HR_Employee_Attrition[[#This Row],[Age]]&gt;=50,"50-59",IF(HR_Employee_Attrition[[#This Row],[Age]]&gt;=40,"40-49",IF(HR_Employee_Attrition[[#This Row],[Age]]&gt;=30,"30-39",IF(HR_Employee_Attrition[[#This Row],[Age]]&gt;=20,"20-29",IF(HR_Employee_Attrition[[#This Row],[Age]]&gt;=18,"18-20"))))))</f>
        <v>40-49</v>
      </c>
      <c r="AK660" t="str" cm="1">
        <f t="array" ref="AK660">_xlfn.IFS(HR_Employee_Attrition[[#This Row],[YearsAtCompany]]&lt;=2,"0-2",HR_Employee_Attrition[[#This Row],[YearsAtCompany]]&lt;=5,"3-5",HR_Employee_Attrition[[#This Row],[YearsAtCompany]]&lt;=10,"6-10",HR_Employee_Attrition[[#This Row],[YearsAtCompany]]&gt;10,"10+")</f>
        <v>6-10</v>
      </c>
      <c r="AL660" t="str" cm="1">
        <f t="array" ref="AL6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0">
        <f>IF(HR_Employee_Attrition[[#This Row],[Attrition]]="Yes",1,0)</f>
        <v>0</v>
      </c>
    </row>
    <row r="661" spans="1:39" x14ac:dyDescent="0.3">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c r="AJ661" t="str">
        <f>IF(HR_Employee_Attrition[[#This Row],[Age]]&gt;60,"60+",IF(HR_Employee_Attrition[[#This Row],[Age]]&gt;=50,"50-59",IF(HR_Employee_Attrition[[#This Row],[Age]]&gt;=40,"40-49",IF(HR_Employee_Attrition[[#This Row],[Age]]&gt;=30,"30-39",IF(HR_Employee_Attrition[[#This Row],[Age]]&gt;=20,"20-29",IF(HR_Employee_Attrition[[#This Row],[Age]]&gt;=18,"18-20"))))))</f>
        <v>20-29</v>
      </c>
      <c r="AK661" t="str" cm="1">
        <f t="array" ref="AK661">_xlfn.IFS(HR_Employee_Attrition[[#This Row],[YearsAtCompany]]&lt;=2,"0-2",HR_Employee_Attrition[[#This Row],[YearsAtCompany]]&lt;=5,"3-5",HR_Employee_Attrition[[#This Row],[YearsAtCompany]]&lt;=10,"6-10",HR_Employee_Attrition[[#This Row],[YearsAtCompany]]&gt;10,"10+")</f>
        <v>3-5</v>
      </c>
      <c r="AL661" t="str" cm="1">
        <f t="array" ref="AL6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1">
        <f>IF(HR_Employee_Attrition[[#This Row],[Attrition]]="Yes",1,0)</f>
        <v>0</v>
      </c>
    </row>
    <row r="662" spans="1:39" x14ac:dyDescent="0.3">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c r="AJ662" t="str">
        <f>IF(HR_Employee_Attrition[[#This Row],[Age]]&gt;60,"60+",IF(HR_Employee_Attrition[[#This Row],[Age]]&gt;=50,"50-59",IF(HR_Employee_Attrition[[#This Row],[Age]]&gt;=40,"40-49",IF(HR_Employee_Attrition[[#This Row],[Age]]&gt;=30,"30-39",IF(HR_Employee_Attrition[[#This Row],[Age]]&gt;=20,"20-29",IF(HR_Employee_Attrition[[#This Row],[Age]]&gt;=18,"18-20"))))))</f>
        <v>50-59</v>
      </c>
      <c r="AK662" t="str" cm="1">
        <f t="array" ref="AK662">_xlfn.IFS(HR_Employee_Attrition[[#This Row],[YearsAtCompany]]&lt;=2,"0-2",HR_Employee_Attrition[[#This Row],[YearsAtCompany]]&lt;=5,"3-5",HR_Employee_Attrition[[#This Row],[YearsAtCompany]]&lt;=10,"6-10",HR_Employee_Attrition[[#This Row],[YearsAtCompany]]&gt;10,"10+")</f>
        <v>0-2</v>
      </c>
      <c r="AL662" t="str" cm="1">
        <f t="array" ref="AL6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2">
        <f>IF(HR_Employee_Attrition[[#This Row],[Attrition]]="Yes",1,0)</f>
        <v>1</v>
      </c>
    </row>
    <row r="663" spans="1:39" x14ac:dyDescent="0.3">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c r="AJ663" t="str">
        <f>IF(HR_Employee_Attrition[[#This Row],[Age]]&gt;60,"60+",IF(HR_Employee_Attrition[[#This Row],[Age]]&gt;=50,"50-59",IF(HR_Employee_Attrition[[#This Row],[Age]]&gt;=40,"40-49",IF(HR_Employee_Attrition[[#This Row],[Age]]&gt;=30,"30-39",IF(HR_Employee_Attrition[[#This Row],[Age]]&gt;=20,"20-29",IF(HR_Employee_Attrition[[#This Row],[Age]]&gt;=18,"18-20"))))))</f>
        <v>40-49</v>
      </c>
      <c r="AK663" t="str" cm="1">
        <f t="array" ref="AK663">_xlfn.IFS(HR_Employee_Attrition[[#This Row],[YearsAtCompany]]&lt;=2,"0-2",HR_Employee_Attrition[[#This Row],[YearsAtCompany]]&lt;=5,"3-5",HR_Employee_Attrition[[#This Row],[YearsAtCompany]]&lt;=10,"6-10",HR_Employee_Attrition[[#This Row],[YearsAtCompany]]&gt;10,"10+")</f>
        <v>0-2</v>
      </c>
      <c r="AL663" t="str" cm="1">
        <f t="array" ref="AL6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3">
        <f>IF(HR_Employee_Attrition[[#This Row],[Attrition]]="Yes",1,0)</f>
        <v>0</v>
      </c>
    </row>
    <row r="664" spans="1:39" x14ac:dyDescent="0.3">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c r="AJ664" t="str">
        <f>IF(HR_Employee_Attrition[[#This Row],[Age]]&gt;60,"60+",IF(HR_Employee_Attrition[[#This Row],[Age]]&gt;=50,"50-59",IF(HR_Employee_Attrition[[#This Row],[Age]]&gt;=40,"40-49",IF(HR_Employee_Attrition[[#This Row],[Age]]&gt;=30,"30-39",IF(HR_Employee_Attrition[[#This Row],[Age]]&gt;=20,"20-29",IF(HR_Employee_Attrition[[#This Row],[Age]]&gt;=18,"18-20"))))))</f>
        <v>20-29</v>
      </c>
      <c r="AK664" t="str" cm="1">
        <f t="array" ref="AK664">_xlfn.IFS(HR_Employee_Attrition[[#This Row],[YearsAtCompany]]&lt;=2,"0-2",HR_Employee_Attrition[[#This Row],[YearsAtCompany]]&lt;=5,"3-5",HR_Employee_Attrition[[#This Row],[YearsAtCompany]]&lt;=10,"6-10",HR_Employee_Attrition[[#This Row],[YearsAtCompany]]&gt;10,"10+")</f>
        <v>0-2</v>
      </c>
      <c r="AL664" t="str" cm="1">
        <f t="array" ref="AL6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4">
        <f>IF(HR_Employee_Attrition[[#This Row],[Attrition]]="Yes",1,0)</f>
        <v>1</v>
      </c>
    </row>
    <row r="665" spans="1:39" x14ac:dyDescent="0.3">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c r="AJ665" t="str">
        <f>IF(HR_Employee_Attrition[[#This Row],[Age]]&gt;60,"60+",IF(HR_Employee_Attrition[[#This Row],[Age]]&gt;=50,"50-59",IF(HR_Employee_Attrition[[#This Row],[Age]]&gt;=40,"40-49",IF(HR_Employee_Attrition[[#This Row],[Age]]&gt;=30,"30-39",IF(HR_Employee_Attrition[[#This Row],[Age]]&gt;=20,"20-29",IF(HR_Employee_Attrition[[#This Row],[Age]]&gt;=18,"18-20"))))))</f>
        <v>20-29</v>
      </c>
      <c r="AK665" t="str" cm="1">
        <f t="array" ref="AK665">_xlfn.IFS(HR_Employee_Attrition[[#This Row],[YearsAtCompany]]&lt;=2,"0-2",HR_Employee_Attrition[[#This Row],[YearsAtCompany]]&lt;=5,"3-5",HR_Employee_Attrition[[#This Row],[YearsAtCompany]]&lt;=10,"6-10",HR_Employee_Attrition[[#This Row],[YearsAtCompany]]&gt;10,"10+")</f>
        <v>0-2</v>
      </c>
      <c r="AL665" t="str" cm="1">
        <f t="array" ref="AL6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5">
        <f>IF(HR_Employee_Attrition[[#This Row],[Attrition]]="Yes",1,0)</f>
        <v>1</v>
      </c>
    </row>
    <row r="666" spans="1:39" x14ac:dyDescent="0.3">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c r="AJ666" t="str">
        <f>IF(HR_Employee_Attrition[[#This Row],[Age]]&gt;60,"60+",IF(HR_Employee_Attrition[[#This Row],[Age]]&gt;=50,"50-59",IF(HR_Employee_Attrition[[#This Row],[Age]]&gt;=40,"40-49",IF(HR_Employee_Attrition[[#This Row],[Age]]&gt;=30,"30-39",IF(HR_Employee_Attrition[[#This Row],[Age]]&gt;=20,"20-29",IF(HR_Employee_Attrition[[#This Row],[Age]]&gt;=18,"18-20"))))))</f>
        <v>30-39</v>
      </c>
      <c r="AK666" t="str" cm="1">
        <f t="array" ref="AK666">_xlfn.IFS(HR_Employee_Attrition[[#This Row],[YearsAtCompany]]&lt;=2,"0-2",HR_Employee_Attrition[[#This Row],[YearsAtCompany]]&lt;=5,"3-5",HR_Employee_Attrition[[#This Row],[YearsAtCompany]]&lt;=10,"6-10",HR_Employee_Attrition[[#This Row],[YearsAtCompany]]&gt;10,"10+")</f>
        <v>10+</v>
      </c>
      <c r="AL666" t="str" cm="1">
        <f t="array" ref="AL6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66">
        <f>IF(HR_Employee_Attrition[[#This Row],[Attrition]]="Yes",1,0)</f>
        <v>0</v>
      </c>
    </row>
    <row r="667" spans="1:39" x14ac:dyDescent="0.3">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c r="AJ667" t="str">
        <f>IF(HR_Employee_Attrition[[#This Row],[Age]]&gt;60,"60+",IF(HR_Employee_Attrition[[#This Row],[Age]]&gt;=50,"50-59",IF(HR_Employee_Attrition[[#This Row],[Age]]&gt;=40,"40-49",IF(HR_Employee_Attrition[[#This Row],[Age]]&gt;=30,"30-39",IF(HR_Employee_Attrition[[#This Row],[Age]]&gt;=20,"20-29",IF(HR_Employee_Attrition[[#This Row],[Age]]&gt;=18,"18-20"))))))</f>
        <v>40-49</v>
      </c>
      <c r="AK667" t="str" cm="1">
        <f t="array" ref="AK667">_xlfn.IFS(HR_Employee_Attrition[[#This Row],[YearsAtCompany]]&lt;=2,"0-2",HR_Employee_Attrition[[#This Row],[YearsAtCompany]]&lt;=5,"3-5",HR_Employee_Attrition[[#This Row],[YearsAtCompany]]&lt;=10,"6-10",HR_Employee_Attrition[[#This Row],[YearsAtCompany]]&gt;10,"10+")</f>
        <v>3-5</v>
      </c>
      <c r="AL667" t="str" cm="1">
        <f t="array" ref="AL6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7">
        <f>IF(HR_Employee_Attrition[[#This Row],[Attrition]]="Yes",1,0)</f>
        <v>0</v>
      </c>
    </row>
    <row r="668" spans="1:39" x14ac:dyDescent="0.3">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c r="AJ668" t="str">
        <f>IF(HR_Employee_Attrition[[#This Row],[Age]]&gt;60,"60+",IF(HR_Employee_Attrition[[#This Row],[Age]]&gt;=50,"50-59",IF(HR_Employee_Attrition[[#This Row],[Age]]&gt;=40,"40-49",IF(HR_Employee_Attrition[[#This Row],[Age]]&gt;=30,"30-39",IF(HR_Employee_Attrition[[#This Row],[Age]]&gt;=20,"20-29",IF(HR_Employee_Attrition[[#This Row],[Age]]&gt;=18,"18-20"))))))</f>
        <v>20-29</v>
      </c>
      <c r="AK668" t="str" cm="1">
        <f t="array" ref="AK668">_xlfn.IFS(HR_Employee_Attrition[[#This Row],[YearsAtCompany]]&lt;=2,"0-2",HR_Employee_Attrition[[#This Row],[YearsAtCompany]]&lt;=5,"3-5",HR_Employee_Attrition[[#This Row],[YearsAtCompany]]&lt;=10,"6-10",HR_Employee_Attrition[[#This Row],[YearsAtCompany]]&gt;10,"10+")</f>
        <v>3-5</v>
      </c>
      <c r="AL668" t="str" cm="1">
        <f t="array" ref="AL6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8">
        <f>IF(HR_Employee_Attrition[[#This Row],[Attrition]]="Yes",1,0)</f>
        <v>1</v>
      </c>
    </row>
    <row r="669" spans="1:39" x14ac:dyDescent="0.3">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c r="AJ669" t="str">
        <f>IF(HR_Employee_Attrition[[#This Row],[Age]]&gt;60,"60+",IF(HR_Employee_Attrition[[#This Row],[Age]]&gt;=50,"50-59",IF(HR_Employee_Attrition[[#This Row],[Age]]&gt;=40,"40-49",IF(HR_Employee_Attrition[[#This Row],[Age]]&gt;=30,"30-39",IF(HR_Employee_Attrition[[#This Row],[Age]]&gt;=20,"20-29",IF(HR_Employee_Attrition[[#This Row],[Age]]&gt;=18,"18-20"))))))</f>
        <v>40-49</v>
      </c>
      <c r="AK669" t="str" cm="1">
        <f t="array" ref="AK669">_xlfn.IFS(HR_Employee_Attrition[[#This Row],[YearsAtCompany]]&lt;=2,"0-2",HR_Employee_Attrition[[#This Row],[YearsAtCompany]]&lt;=5,"3-5",HR_Employee_Attrition[[#This Row],[YearsAtCompany]]&lt;=10,"6-10",HR_Employee_Attrition[[#This Row],[YearsAtCompany]]&gt;10,"10+")</f>
        <v>6-10</v>
      </c>
      <c r="AL669" t="str" cm="1">
        <f t="array" ref="AL6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9">
        <f>IF(HR_Employee_Attrition[[#This Row],[Attrition]]="Yes",1,0)</f>
        <v>1</v>
      </c>
    </row>
    <row r="670" spans="1:39" x14ac:dyDescent="0.3">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c r="AJ670" t="str">
        <f>IF(HR_Employee_Attrition[[#This Row],[Age]]&gt;60,"60+",IF(HR_Employee_Attrition[[#This Row],[Age]]&gt;=50,"50-59",IF(HR_Employee_Attrition[[#This Row],[Age]]&gt;=40,"40-49",IF(HR_Employee_Attrition[[#This Row],[Age]]&gt;=30,"30-39",IF(HR_Employee_Attrition[[#This Row],[Age]]&gt;=20,"20-29",IF(HR_Employee_Attrition[[#This Row],[Age]]&gt;=18,"18-20"))))))</f>
        <v>20-29</v>
      </c>
      <c r="AK670" t="str" cm="1">
        <f t="array" ref="AK670">_xlfn.IFS(HR_Employee_Attrition[[#This Row],[YearsAtCompany]]&lt;=2,"0-2",HR_Employee_Attrition[[#This Row],[YearsAtCompany]]&lt;=5,"3-5",HR_Employee_Attrition[[#This Row],[YearsAtCompany]]&lt;=10,"6-10",HR_Employee_Attrition[[#This Row],[YearsAtCompany]]&gt;10,"10+")</f>
        <v>0-2</v>
      </c>
      <c r="AL670" t="str" cm="1">
        <f t="array" ref="AL6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70">
        <f>IF(HR_Employee_Attrition[[#This Row],[Attrition]]="Yes",1,0)</f>
        <v>0</v>
      </c>
    </row>
    <row r="671" spans="1:39" x14ac:dyDescent="0.3">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c r="AJ671" t="str">
        <f>IF(HR_Employee_Attrition[[#This Row],[Age]]&gt;60,"60+",IF(HR_Employee_Attrition[[#This Row],[Age]]&gt;=50,"50-59",IF(HR_Employee_Attrition[[#This Row],[Age]]&gt;=40,"40-49",IF(HR_Employee_Attrition[[#This Row],[Age]]&gt;=30,"30-39",IF(HR_Employee_Attrition[[#This Row],[Age]]&gt;=20,"20-29",IF(HR_Employee_Attrition[[#This Row],[Age]]&gt;=18,"18-20"))))))</f>
        <v>30-39</v>
      </c>
      <c r="AK671" t="str" cm="1">
        <f t="array" ref="AK671">_xlfn.IFS(HR_Employee_Attrition[[#This Row],[YearsAtCompany]]&lt;=2,"0-2",HR_Employee_Attrition[[#This Row],[YearsAtCompany]]&lt;=5,"3-5",HR_Employee_Attrition[[#This Row],[YearsAtCompany]]&lt;=10,"6-10",HR_Employee_Attrition[[#This Row],[YearsAtCompany]]&gt;10,"10+")</f>
        <v>0-2</v>
      </c>
      <c r="AL671" t="str" cm="1">
        <f t="array" ref="AL6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71">
        <f>IF(HR_Employee_Attrition[[#This Row],[Attrition]]="Yes",1,0)</f>
        <v>1</v>
      </c>
    </row>
    <row r="672" spans="1:39" x14ac:dyDescent="0.3">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c r="AJ672" t="str">
        <f>IF(HR_Employee_Attrition[[#This Row],[Age]]&gt;60,"60+",IF(HR_Employee_Attrition[[#This Row],[Age]]&gt;=50,"50-59",IF(HR_Employee_Attrition[[#This Row],[Age]]&gt;=40,"40-49",IF(HR_Employee_Attrition[[#This Row],[Age]]&gt;=30,"30-39",IF(HR_Employee_Attrition[[#This Row],[Age]]&gt;=20,"20-29",IF(HR_Employee_Attrition[[#This Row],[Age]]&gt;=18,"18-20"))))))</f>
        <v>20-29</v>
      </c>
      <c r="AK672" t="str" cm="1">
        <f t="array" ref="AK672">_xlfn.IFS(HR_Employee_Attrition[[#This Row],[YearsAtCompany]]&lt;=2,"0-2",HR_Employee_Attrition[[#This Row],[YearsAtCompany]]&lt;=5,"3-5",HR_Employee_Attrition[[#This Row],[YearsAtCompany]]&lt;=10,"6-10",HR_Employee_Attrition[[#This Row],[YearsAtCompany]]&gt;10,"10+")</f>
        <v>0-2</v>
      </c>
      <c r="AL672" t="str" cm="1">
        <f t="array" ref="AL6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72">
        <f>IF(HR_Employee_Attrition[[#This Row],[Attrition]]="Yes",1,0)</f>
        <v>0</v>
      </c>
    </row>
    <row r="673" spans="1:39" x14ac:dyDescent="0.3">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c r="AJ673" t="str">
        <f>IF(HR_Employee_Attrition[[#This Row],[Age]]&gt;60,"60+",IF(HR_Employee_Attrition[[#This Row],[Age]]&gt;=50,"50-59",IF(HR_Employee_Attrition[[#This Row],[Age]]&gt;=40,"40-49",IF(HR_Employee_Attrition[[#This Row],[Age]]&gt;=30,"30-39",IF(HR_Employee_Attrition[[#This Row],[Age]]&gt;=20,"20-29",IF(HR_Employee_Attrition[[#This Row],[Age]]&gt;=18,"18-20"))))))</f>
        <v>30-39</v>
      </c>
      <c r="AK673" t="str" cm="1">
        <f t="array" ref="AK673">_xlfn.IFS(HR_Employee_Attrition[[#This Row],[YearsAtCompany]]&lt;=2,"0-2",HR_Employee_Attrition[[#This Row],[YearsAtCompany]]&lt;=5,"3-5",HR_Employee_Attrition[[#This Row],[YearsAtCompany]]&lt;=10,"6-10",HR_Employee_Attrition[[#This Row],[YearsAtCompany]]&gt;10,"10+")</f>
        <v>0-2</v>
      </c>
      <c r="AL673" t="str" cm="1">
        <f t="array" ref="AL6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73">
        <f>IF(HR_Employee_Attrition[[#This Row],[Attrition]]="Yes",1,0)</f>
        <v>0</v>
      </c>
    </row>
    <row r="674" spans="1:39" x14ac:dyDescent="0.3">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c r="AJ674" t="str">
        <f>IF(HR_Employee_Attrition[[#This Row],[Age]]&gt;60,"60+",IF(HR_Employee_Attrition[[#This Row],[Age]]&gt;=50,"50-59",IF(HR_Employee_Attrition[[#This Row],[Age]]&gt;=40,"40-49",IF(HR_Employee_Attrition[[#This Row],[Age]]&gt;=30,"30-39",IF(HR_Employee_Attrition[[#This Row],[Age]]&gt;=20,"20-29",IF(HR_Employee_Attrition[[#This Row],[Age]]&gt;=18,"18-20"))))))</f>
        <v>40-49</v>
      </c>
      <c r="AK674" t="str" cm="1">
        <f t="array" ref="AK674">_xlfn.IFS(HR_Employee_Attrition[[#This Row],[YearsAtCompany]]&lt;=2,"0-2",HR_Employee_Attrition[[#This Row],[YearsAtCompany]]&lt;=5,"3-5",HR_Employee_Attrition[[#This Row],[YearsAtCompany]]&lt;=10,"6-10",HR_Employee_Attrition[[#This Row],[YearsAtCompany]]&gt;10,"10+")</f>
        <v>3-5</v>
      </c>
      <c r="AL674" t="str" cm="1">
        <f t="array" ref="AL6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74">
        <f>IF(HR_Employee_Attrition[[#This Row],[Attrition]]="Yes",1,0)</f>
        <v>0</v>
      </c>
    </row>
    <row r="675" spans="1:39" x14ac:dyDescent="0.3">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c r="AJ675" t="str">
        <f>IF(HR_Employee_Attrition[[#This Row],[Age]]&gt;60,"60+",IF(HR_Employee_Attrition[[#This Row],[Age]]&gt;=50,"50-59",IF(HR_Employee_Attrition[[#This Row],[Age]]&gt;=40,"40-49",IF(HR_Employee_Attrition[[#This Row],[Age]]&gt;=30,"30-39",IF(HR_Employee_Attrition[[#This Row],[Age]]&gt;=20,"20-29",IF(HR_Employee_Attrition[[#This Row],[Age]]&gt;=18,"18-20"))))))</f>
        <v>30-39</v>
      </c>
      <c r="AK675" t="str" cm="1">
        <f t="array" ref="AK675">_xlfn.IFS(HR_Employee_Attrition[[#This Row],[YearsAtCompany]]&lt;=2,"0-2",HR_Employee_Attrition[[#This Row],[YearsAtCompany]]&lt;=5,"3-5",HR_Employee_Attrition[[#This Row],[YearsAtCompany]]&lt;=10,"6-10",HR_Employee_Attrition[[#This Row],[YearsAtCompany]]&gt;10,"10+")</f>
        <v>3-5</v>
      </c>
      <c r="AL675" t="str" cm="1">
        <f t="array" ref="AL6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75">
        <f>IF(HR_Employee_Attrition[[#This Row],[Attrition]]="Yes",1,0)</f>
        <v>0</v>
      </c>
    </row>
    <row r="676" spans="1:39" x14ac:dyDescent="0.3">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c r="AJ676" t="str">
        <f>IF(HR_Employee_Attrition[[#This Row],[Age]]&gt;60,"60+",IF(HR_Employee_Attrition[[#This Row],[Age]]&gt;=50,"50-59",IF(HR_Employee_Attrition[[#This Row],[Age]]&gt;=40,"40-49",IF(HR_Employee_Attrition[[#This Row],[Age]]&gt;=30,"30-39",IF(HR_Employee_Attrition[[#This Row],[Age]]&gt;=20,"20-29",IF(HR_Employee_Attrition[[#This Row],[Age]]&gt;=18,"18-20"))))))</f>
        <v>50-59</v>
      </c>
      <c r="AK676" t="str" cm="1">
        <f t="array" ref="AK676">_xlfn.IFS(HR_Employee_Attrition[[#This Row],[YearsAtCompany]]&lt;=2,"0-2",HR_Employee_Attrition[[#This Row],[YearsAtCompany]]&lt;=5,"3-5",HR_Employee_Attrition[[#This Row],[YearsAtCompany]]&lt;=10,"6-10",HR_Employee_Attrition[[#This Row],[YearsAtCompany]]&gt;10,"10+")</f>
        <v>6-10</v>
      </c>
      <c r="AL676" t="str" cm="1">
        <f t="array" ref="AL6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76">
        <f>IF(HR_Employee_Attrition[[#This Row],[Attrition]]="Yes",1,0)</f>
        <v>0</v>
      </c>
    </row>
    <row r="677" spans="1:39" x14ac:dyDescent="0.3">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c r="AJ677" t="str">
        <f>IF(HR_Employee_Attrition[[#This Row],[Age]]&gt;60,"60+",IF(HR_Employee_Attrition[[#This Row],[Age]]&gt;=50,"50-59",IF(HR_Employee_Attrition[[#This Row],[Age]]&gt;=40,"40-49",IF(HR_Employee_Attrition[[#This Row],[Age]]&gt;=30,"30-39",IF(HR_Employee_Attrition[[#This Row],[Age]]&gt;=20,"20-29",IF(HR_Employee_Attrition[[#This Row],[Age]]&gt;=18,"18-20"))))))</f>
        <v>30-39</v>
      </c>
      <c r="AK677" t="str" cm="1">
        <f t="array" ref="AK677">_xlfn.IFS(HR_Employee_Attrition[[#This Row],[YearsAtCompany]]&lt;=2,"0-2",HR_Employee_Attrition[[#This Row],[YearsAtCompany]]&lt;=5,"3-5",HR_Employee_Attrition[[#This Row],[YearsAtCompany]]&lt;=10,"6-10",HR_Employee_Attrition[[#This Row],[YearsAtCompany]]&gt;10,"10+")</f>
        <v>6-10</v>
      </c>
      <c r="AL677" t="str" cm="1">
        <f t="array" ref="AL6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77">
        <f>IF(HR_Employee_Attrition[[#This Row],[Attrition]]="Yes",1,0)</f>
        <v>0</v>
      </c>
    </row>
    <row r="678" spans="1:39" x14ac:dyDescent="0.3">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c r="AJ678" t="str">
        <f>IF(HR_Employee_Attrition[[#This Row],[Age]]&gt;60,"60+",IF(HR_Employee_Attrition[[#This Row],[Age]]&gt;=50,"50-59",IF(HR_Employee_Attrition[[#This Row],[Age]]&gt;=40,"40-49",IF(HR_Employee_Attrition[[#This Row],[Age]]&gt;=30,"30-39",IF(HR_Employee_Attrition[[#This Row],[Age]]&gt;=20,"20-29",IF(HR_Employee_Attrition[[#This Row],[Age]]&gt;=18,"18-20"))))))</f>
        <v>30-39</v>
      </c>
      <c r="AK678" t="str" cm="1">
        <f t="array" ref="AK678">_xlfn.IFS(HR_Employee_Attrition[[#This Row],[YearsAtCompany]]&lt;=2,"0-2",HR_Employee_Attrition[[#This Row],[YearsAtCompany]]&lt;=5,"3-5",HR_Employee_Attrition[[#This Row],[YearsAtCompany]]&lt;=10,"6-10",HR_Employee_Attrition[[#This Row],[YearsAtCompany]]&gt;10,"10+")</f>
        <v>6-10</v>
      </c>
      <c r="AL678" t="str" cm="1">
        <f t="array" ref="AL6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78">
        <f>IF(HR_Employee_Attrition[[#This Row],[Attrition]]="Yes",1,0)</f>
        <v>0</v>
      </c>
    </row>
    <row r="679" spans="1:39" x14ac:dyDescent="0.3">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c r="AJ679" t="str">
        <f>IF(HR_Employee_Attrition[[#This Row],[Age]]&gt;60,"60+",IF(HR_Employee_Attrition[[#This Row],[Age]]&gt;=50,"50-59",IF(HR_Employee_Attrition[[#This Row],[Age]]&gt;=40,"40-49",IF(HR_Employee_Attrition[[#This Row],[Age]]&gt;=30,"30-39",IF(HR_Employee_Attrition[[#This Row],[Age]]&gt;=20,"20-29",IF(HR_Employee_Attrition[[#This Row],[Age]]&gt;=18,"18-20"))))))</f>
        <v>40-49</v>
      </c>
      <c r="AK679" t="str" cm="1">
        <f t="array" ref="AK679">_xlfn.IFS(HR_Employee_Attrition[[#This Row],[YearsAtCompany]]&lt;=2,"0-2",HR_Employee_Attrition[[#This Row],[YearsAtCompany]]&lt;=5,"3-5",HR_Employee_Attrition[[#This Row],[YearsAtCompany]]&lt;=10,"6-10",HR_Employee_Attrition[[#This Row],[YearsAtCompany]]&gt;10,"10+")</f>
        <v>10+</v>
      </c>
      <c r="AL679" t="str" cm="1">
        <f t="array" ref="AL6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79">
        <f>IF(HR_Employee_Attrition[[#This Row],[Attrition]]="Yes",1,0)</f>
        <v>0</v>
      </c>
    </row>
    <row r="680" spans="1:39" x14ac:dyDescent="0.3">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c r="AJ680" t="str">
        <f>IF(HR_Employee_Attrition[[#This Row],[Age]]&gt;60,"60+",IF(HR_Employee_Attrition[[#This Row],[Age]]&gt;=50,"50-59",IF(HR_Employee_Attrition[[#This Row],[Age]]&gt;=40,"40-49",IF(HR_Employee_Attrition[[#This Row],[Age]]&gt;=30,"30-39",IF(HR_Employee_Attrition[[#This Row],[Age]]&gt;=20,"20-29",IF(HR_Employee_Attrition[[#This Row],[Age]]&gt;=18,"18-20"))))))</f>
        <v>40-49</v>
      </c>
      <c r="AK680" t="str" cm="1">
        <f t="array" ref="AK680">_xlfn.IFS(HR_Employee_Attrition[[#This Row],[YearsAtCompany]]&lt;=2,"0-2",HR_Employee_Attrition[[#This Row],[YearsAtCompany]]&lt;=5,"3-5",HR_Employee_Attrition[[#This Row],[YearsAtCompany]]&lt;=10,"6-10",HR_Employee_Attrition[[#This Row],[YearsAtCompany]]&gt;10,"10+")</f>
        <v>0-2</v>
      </c>
      <c r="AL680" t="str" cm="1">
        <f t="array" ref="AL6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80">
        <f>IF(HR_Employee_Attrition[[#This Row],[Attrition]]="Yes",1,0)</f>
        <v>0</v>
      </c>
    </row>
    <row r="681" spans="1:39" x14ac:dyDescent="0.3">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c r="AJ681" t="str">
        <f>IF(HR_Employee_Attrition[[#This Row],[Age]]&gt;60,"60+",IF(HR_Employee_Attrition[[#This Row],[Age]]&gt;=50,"50-59",IF(HR_Employee_Attrition[[#This Row],[Age]]&gt;=40,"40-49",IF(HR_Employee_Attrition[[#This Row],[Age]]&gt;=30,"30-39",IF(HR_Employee_Attrition[[#This Row],[Age]]&gt;=20,"20-29",IF(HR_Employee_Attrition[[#This Row],[Age]]&gt;=18,"18-20"))))))</f>
        <v>30-39</v>
      </c>
      <c r="AK681" t="str" cm="1">
        <f t="array" ref="AK681">_xlfn.IFS(HR_Employee_Attrition[[#This Row],[YearsAtCompany]]&lt;=2,"0-2",HR_Employee_Attrition[[#This Row],[YearsAtCompany]]&lt;=5,"3-5",HR_Employee_Attrition[[#This Row],[YearsAtCompany]]&lt;=10,"6-10",HR_Employee_Attrition[[#This Row],[YearsAtCompany]]&gt;10,"10+")</f>
        <v>6-10</v>
      </c>
      <c r="AL681" t="str" cm="1">
        <f t="array" ref="AL6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81">
        <f>IF(HR_Employee_Attrition[[#This Row],[Attrition]]="Yes",1,0)</f>
        <v>0</v>
      </c>
    </row>
    <row r="682" spans="1:39" x14ac:dyDescent="0.3">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c r="AJ682" t="str">
        <f>IF(HR_Employee_Attrition[[#This Row],[Age]]&gt;60,"60+",IF(HR_Employee_Attrition[[#This Row],[Age]]&gt;=50,"50-59",IF(HR_Employee_Attrition[[#This Row],[Age]]&gt;=40,"40-49",IF(HR_Employee_Attrition[[#This Row],[Age]]&gt;=30,"30-39",IF(HR_Employee_Attrition[[#This Row],[Age]]&gt;=20,"20-29",IF(HR_Employee_Attrition[[#This Row],[Age]]&gt;=18,"18-20"))))))</f>
        <v>30-39</v>
      </c>
      <c r="AK682" t="str" cm="1">
        <f t="array" ref="AK682">_xlfn.IFS(HR_Employee_Attrition[[#This Row],[YearsAtCompany]]&lt;=2,"0-2",HR_Employee_Attrition[[#This Row],[YearsAtCompany]]&lt;=5,"3-5",HR_Employee_Attrition[[#This Row],[YearsAtCompany]]&lt;=10,"6-10",HR_Employee_Attrition[[#This Row],[YearsAtCompany]]&gt;10,"10+")</f>
        <v>6-10</v>
      </c>
      <c r="AL682" t="str" cm="1">
        <f t="array" ref="AL6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82">
        <f>IF(HR_Employee_Attrition[[#This Row],[Attrition]]="Yes",1,0)</f>
        <v>0</v>
      </c>
    </row>
    <row r="683" spans="1:39" x14ac:dyDescent="0.3">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c r="AJ683" t="str">
        <f>IF(HR_Employee_Attrition[[#This Row],[Age]]&gt;60,"60+",IF(HR_Employee_Attrition[[#This Row],[Age]]&gt;=50,"50-59",IF(HR_Employee_Attrition[[#This Row],[Age]]&gt;=40,"40-49",IF(HR_Employee_Attrition[[#This Row],[Age]]&gt;=30,"30-39",IF(HR_Employee_Attrition[[#This Row],[Age]]&gt;=20,"20-29",IF(HR_Employee_Attrition[[#This Row],[Age]]&gt;=18,"18-20"))))))</f>
        <v>30-39</v>
      </c>
      <c r="AK683" t="str" cm="1">
        <f t="array" ref="AK683">_xlfn.IFS(HR_Employee_Attrition[[#This Row],[YearsAtCompany]]&lt;=2,"0-2",HR_Employee_Attrition[[#This Row],[YearsAtCompany]]&lt;=5,"3-5",HR_Employee_Attrition[[#This Row],[YearsAtCompany]]&lt;=10,"6-10",HR_Employee_Attrition[[#This Row],[YearsAtCompany]]&gt;10,"10+")</f>
        <v>10+</v>
      </c>
      <c r="AL683" t="str" cm="1">
        <f t="array" ref="AL6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83">
        <f>IF(HR_Employee_Attrition[[#This Row],[Attrition]]="Yes",1,0)</f>
        <v>0</v>
      </c>
    </row>
    <row r="684" spans="1:39" x14ac:dyDescent="0.3">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c r="AJ684" t="str">
        <f>IF(HR_Employee_Attrition[[#This Row],[Age]]&gt;60,"60+",IF(HR_Employee_Attrition[[#This Row],[Age]]&gt;=50,"50-59",IF(HR_Employee_Attrition[[#This Row],[Age]]&gt;=40,"40-49",IF(HR_Employee_Attrition[[#This Row],[Age]]&gt;=30,"30-39",IF(HR_Employee_Attrition[[#This Row],[Age]]&gt;=20,"20-29",IF(HR_Employee_Attrition[[#This Row],[Age]]&gt;=18,"18-20"))))))</f>
        <v>30-39</v>
      </c>
      <c r="AK684" t="str" cm="1">
        <f t="array" ref="AK684">_xlfn.IFS(HR_Employee_Attrition[[#This Row],[YearsAtCompany]]&lt;=2,"0-2",HR_Employee_Attrition[[#This Row],[YearsAtCompany]]&lt;=5,"3-5",HR_Employee_Attrition[[#This Row],[YearsAtCompany]]&lt;=10,"6-10",HR_Employee_Attrition[[#This Row],[YearsAtCompany]]&gt;10,"10+")</f>
        <v>3-5</v>
      </c>
      <c r="AL684" t="str" cm="1">
        <f t="array" ref="AL6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84">
        <f>IF(HR_Employee_Attrition[[#This Row],[Attrition]]="Yes",1,0)</f>
        <v>0</v>
      </c>
    </row>
    <row r="685" spans="1:39" x14ac:dyDescent="0.3">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c r="AJ685" t="str">
        <f>IF(HR_Employee_Attrition[[#This Row],[Age]]&gt;60,"60+",IF(HR_Employee_Attrition[[#This Row],[Age]]&gt;=50,"50-59",IF(HR_Employee_Attrition[[#This Row],[Age]]&gt;=40,"40-49",IF(HR_Employee_Attrition[[#This Row],[Age]]&gt;=30,"30-39",IF(HR_Employee_Attrition[[#This Row],[Age]]&gt;=20,"20-29",IF(HR_Employee_Attrition[[#This Row],[Age]]&gt;=18,"18-20"))))))</f>
        <v>20-29</v>
      </c>
      <c r="AK685" t="str" cm="1">
        <f t="array" ref="AK685">_xlfn.IFS(HR_Employee_Attrition[[#This Row],[YearsAtCompany]]&lt;=2,"0-2",HR_Employee_Attrition[[#This Row],[YearsAtCompany]]&lt;=5,"3-5",HR_Employee_Attrition[[#This Row],[YearsAtCompany]]&lt;=10,"6-10",HR_Employee_Attrition[[#This Row],[YearsAtCompany]]&gt;10,"10+")</f>
        <v>0-2</v>
      </c>
      <c r="AL685" t="str" cm="1">
        <f t="array" ref="AL6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85">
        <f>IF(HR_Employee_Attrition[[#This Row],[Attrition]]="Yes",1,0)</f>
        <v>1</v>
      </c>
    </row>
    <row r="686" spans="1:39" x14ac:dyDescent="0.3">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c r="AJ686" t="str">
        <f>IF(HR_Employee_Attrition[[#This Row],[Age]]&gt;60,"60+",IF(HR_Employee_Attrition[[#This Row],[Age]]&gt;=50,"50-59",IF(HR_Employee_Attrition[[#This Row],[Age]]&gt;=40,"40-49",IF(HR_Employee_Attrition[[#This Row],[Age]]&gt;=30,"30-39",IF(HR_Employee_Attrition[[#This Row],[Age]]&gt;=20,"20-29",IF(HR_Employee_Attrition[[#This Row],[Age]]&gt;=18,"18-20"))))))</f>
        <v>40-49</v>
      </c>
      <c r="AK686" t="str" cm="1">
        <f t="array" ref="AK686">_xlfn.IFS(HR_Employee_Attrition[[#This Row],[YearsAtCompany]]&lt;=2,"0-2",HR_Employee_Attrition[[#This Row],[YearsAtCompany]]&lt;=5,"3-5",HR_Employee_Attrition[[#This Row],[YearsAtCompany]]&lt;=10,"6-10",HR_Employee_Attrition[[#This Row],[YearsAtCompany]]&gt;10,"10+")</f>
        <v>0-2</v>
      </c>
      <c r="AL686" t="str" cm="1">
        <f t="array" ref="AL6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86">
        <f>IF(HR_Employee_Attrition[[#This Row],[Attrition]]="Yes",1,0)</f>
        <v>0</v>
      </c>
    </row>
    <row r="687" spans="1:39" x14ac:dyDescent="0.3">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c r="AJ687" t="str">
        <f>IF(HR_Employee_Attrition[[#This Row],[Age]]&gt;60,"60+",IF(HR_Employee_Attrition[[#This Row],[Age]]&gt;=50,"50-59",IF(HR_Employee_Attrition[[#This Row],[Age]]&gt;=40,"40-49",IF(HR_Employee_Attrition[[#This Row],[Age]]&gt;=30,"30-39",IF(HR_Employee_Attrition[[#This Row],[Age]]&gt;=20,"20-29",IF(HR_Employee_Attrition[[#This Row],[Age]]&gt;=18,"18-20"))))))</f>
        <v>20-29</v>
      </c>
      <c r="AK687" t="str" cm="1">
        <f t="array" ref="AK687">_xlfn.IFS(HR_Employee_Attrition[[#This Row],[YearsAtCompany]]&lt;=2,"0-2",HR_Employee_Attrition[[#This Row],[YearsAtCompany]]&lt;=5,"3-5",HR_Employee_Attrition[[#This Row],[YearsAtCompany]]&lt;=10,"6-10",HR_Employee_Attrition[[#This Row],[YearsAtCompany]]&gt;10,"10+")</f>
        <v>6-10</v>
      </c>
      <c r="AL687" t="str" cm="1">
        <f t="array" ref="AL6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87">
        <f>IF(HR_Employee_Attrition[[#This Row],[Attrition]]="Yes",1,0)</f>
        <v>0</v>
      </c>
    </row>
    <row r="688" spans="1:39" x14ac:dyDescent="0.3">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c r="AJ688" t="str">
        <f>IF(HR_Employee_Attrition[[#This Row],[Age]]&gt;60,"60+",IF(HR_Employee_Attrition[[#This Row],[Age]]&gt;=50,"50-59",IF(HR_Employee_Attrition[[#This Row],[Age]]&gt;=40,"40-49",IF(HR_Employee_Attrition[[#This Row],[Age]]&gt;=30,"30-39",IF(HR_Employee_Attrition[[#This Row],[Age]]&gt;=20,"20-29",IF(HR_Employee_Attrition[[#This Row],[Age]]&gt;=18,"18-20"))))))</f>
        <v>40-49</v>
      </c>
      <c r="AK688" t="str" cm="1">
        <f t="array" ref="AK688">_xlfn.IFS(HR_Employee_Attrition[[#This Row],[YearsAtCompany]]&lt;=2,"0-2",HR_Employee_Attrition[[#This Row],[YearsAtCompany]]&lt;=5,"3-5",HR_Employee_Attrition[[#This Row],[YearsAtCompany]]&lt;=10,"6-10",HR_Employee_Attrition[[#This Row],[YearsAtCompany]]&gt;10,"10+")</f>
        <v>10+</v>
      </c>
      <c r="AL688" t="str" cm="1">
        <f t="array" ref="AL6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88">
        <f>IF(HR_Employee_Attrition[[#This Row],[Attrition]]="Yes",1,0)</f>
        <v>0</v>
      </c>
    </row>
    <row r="689" spans="1:39" x14ac:dyDescent="0.3">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c r="AJ689" t="str">
        <f>IF(HR_Employee_Attrition[[#This Row],[Age]]&gt;60,"60+",IF(HR_Employee_Attrition[[#This Row],[Age]]&gt;=50,"50-59",IF(HR_Employee_Attrition[[#This Row],[Age]]&gt;=40,"40-49",IF(HR_Employee_Attrition[[#This Row],[Age]]&gt;=30,"30-39",IF(HR_Employee_Attrition[[#This Row],[Age]]&gt;=20,"20-29",IF(HR_Employee_Attrition[[#This Row],[Age]]&gt;=18,"18-20"))))))</f>
        <v>30-39</v>
      </c>
      <c r="AK689" t="str" cm="1">
        <f t="array" ref="AK689">_xlfn.IFS(HR_Employee_Attrition[[#This Row],[YearsAtCompany]]&lt;=2,"0-2",HR_Employee_Attrition[[#This Row],[YearsAtCompany]]&lt;=5,"3-5",HR_Employee_Attrition[[#This Row],[YearsAtCompany]]&lt;=10,"6-10",HR_Employee_Attrition[[#This Row],[YearsAtCompany]]&gt;10,"10+")</f>
        <v>10+</v>
      </c>
      <c r="AL689" t="str" cm="1">
        <f t="array" ref="AL6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89">
        <f>IF(HR_Employee_Attrition[[#This Row],[Attrition]]="Yes",1,0)</f>
        <v>0</v>
      </c>
    </row>
    <row r="690" spans="1:39" x14ac:dyDescent="0.3">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c r="AJ690" t="str">
        <f>IF(HR_Employee_Attrition[[#This Row],[Age]]&gt;60,"60+",IF(HR_Employee_Attrition[[#This Row],[Age]]&gt;=50,"50-59",IF(HR_Employee_Attrition[[#This Row],[Age]]&gt;=40,"40-49",IF(HR_Employee_Attrition[[#This Row],[Age]]&gt;=30,"30-39",IF(HR_Employee_Attrition[[#This Row],[Age]]&gt;=20,"20-29",IF(HR_Employee_Attrition[[#This Row],[Age]]&gt;=18,"18-20"))))))</f>
        <v>18-20</v>
      </c>
      <c r="AK690" t="str" cm="1">
        <f t="array" ref="AK690">_xlfn.IFS(HR_Employee_Attrition[[#This Row],[YearsAtCompany]]&lt;=2,"0-2",HR_Employee_Attrition[[#This Row],[YearsAtCompany]]&lt;=5,"3-5",HR_Employee_Attrition[[#This Row],[YearsAtCompany]]&lt;=10,"6-10",HR_Employee_Attrition[[#This Row],[YearsAtCompany]]&gt;10,"10+")</f>
        <v>0-2</v>
      </c>
      <c r="AL690" t="str" cm="1">
        <f t="array" ref="AL6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90">
        <f>IF(HR_Employee_Attrition[[#This Row],[Attrition]]="Yes",1,0)</f>
        <v>1</v>
      </c>
    </row>
    <row r="691" spans="1:39" x14ac:dyDescent="0.3">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c r="AJ691" t="str">
        <f>IF(HR_Employee_Attrition[[#This Row],[Age]]&gt;60,"60+",IF(HR_Employee_Attrition[[#This Row],[Age]]&gt;=50,"50-59",IF(HR_Employee_Attrition[[#This Row],[Age]]&gt;=40,"40-49",IF(HR_Employee_Attrition[[#This Row],[Age]]&gt;=30,"30-39",IF(HR_Employee_Attrition[[#This Row],[Age]]&gt;=20,"20-29",IF(HR_Employee_Attrition[[#This Row],[Age]]&gt;=18,"18-20"))))))</f>
        <v>20-29</v>
      </c>
      <c r="AK691" t="str" cm="1">
        <f t="array" ref="AK691">_xlfn.IFS(HR_Employee_Attrition[[#This Row],[YearsAtCompany]]&lt;=2,"0-2",HR_Employee_Attrition[[#This Row],[YearsAtCompany]]&lt;=5,"3-5",HR_Employee_Attrition[[#This Row],[YearsAtCompany]]&lt;=10,"6-10",HR_Employee_Attrition[[#This Row],[YearsAtCompany]]&gt;10,"10+")</f>
        <v>0-2</v>
      </c>
      <c r="AL691" t="str" cm="1">
        <f t="array" ref="AL6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91">
        <f>IF(HR_Employee_Attrition[[#This Row],[Attrition]]="Yes",1,0)</f>
        <v>1</v>
      </c>
    </row>
    <row r="692" spans="1:39" x14ac:dyDescent="0.3">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c r="AJ692" t="str">
        <f>IF(HR_Employee_Attrition[[#This Row],[Age]]&gt;60,"60+",IF(HR_Employee_Attrition[[#This Row],[Age]]&gt;=50,"50-59",IF(HR_Employee_Attrition[[#This Row],[Age]]&gt;=40,"40-49",IF(HR_Employee_Attrition[[#This Row],[Age]]&gt;=30,"30-39",IF(HR_Employee_Attrition[[#This Row],[Age]]&gt;=20,"20-29",IF(HR_Employee_Attrition[[#This Row],[Age]]&gt;=18,"18-20"))))))</f>
        <v>30-39</v>
      </c>
      <c r="AK692" t="str" cm="1">
        <f t="array" ref="AK692">_xlfn.IFS(HR_Employee_Attrition[[#This Row],[YearsAtCompany]]&lt;=2,"0-2",HR_Employee_Attrition[[#This Row],[YearsAtCompany]]&lt;=5,"3-5",HR_Employee_Attrition[[#This Row],[YearsAtCompany]]&lt;=10,"6-10",HR_Employee_Attrition[[#This Row],[YearsAtCompany]]&gt;10,"10+")</f>
        <v>6-10</v>
      </c>
      <c r="AL692" t="str" cm="1">
        <f t="array" ref="AL6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92">
        <f>IF(HR_Employee_Attrition[[#This Row],[Attrition]]="Yes",1,0)</f>
        <v>0</v>
      </c>
    </row>
    <row r="693" spans="1:39" x14ac:dyDescent="0.3">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c r="AJ693" t="str">
        <f>IF(HR_Employee_Attrition[[#This Row],[Age]]&gt;60,"60+",IF(HR_Employee_Attrition[[#This Row],[Age]]&gt;=50,"50-59",IF(HR_Employee_Attrition[[#This Row],[Age]]&gt;=40,"40-49",IF(HR_Employee_Attrition[[#This Row],[Age]]&gt;=30,"30-39",IF(HR_Employee_Attrition[[#This Row],[Age]]&gt;=20,"20-29",IF(HR_Employee_Attrition[[#This Row],[Age]]&gt;=18,"18-20"))))))</f>
        <v>40-49</v>
      </c>
      <c r="AK693" t="str" cm="1">
        <f t="array" ref="AK693">_xlfn.IFS(HR_Employee_Attrition[[#This Row],[YearsAtCompany]]&lt;=2,"0-2",HR_Employee_Attrition[[#This Row],[YearsAtCompany]]&lt;=5,"3-5",HR_Employee_Attrition[[#This Row],[YearsAtCompany]]&lt;=10,"6-10",HR_Employee_Attrition[[#This Row],[YearsAtCompany]]&gt;10,"10+")</f>
        <v>0-2</v>
      </c>
      <c r="AL693" t="str" cm="1">
        <f t="array" ref="AL6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93">
        <f>IF(HR_Employee_Attrition[[#This Row],[Attrition]]="Yes",1,0)</f>
        <v>0</v>
      </c>
    </row>
    <row r="694" spans="1:39" x14ac:dyDescent="0.3">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c r="AJ694" t="str">
        <f>IF(HR_Employee_Attrition[[#This Row],[Age]]&gt;60,"60+",IF(HR_Employee_Attrition[[#This Row],[Age]]&gt;=50,"50-59",IF(HR_Employee_Attrition[[#This Row],[Age]]&gt;=40,"40-49",IF(HR_Employee_Attrition[[#This Row],[Age]]&gt;=30,"30-39",IF(HR_Employee_Attrition[[#This Row],[Age]]&gt;=20,"20-29",IF(HR_Employee_Attrition[[#This Row],[Age]]&gt;=18,"18-20"))))))</f>
        <v>30-39</v>
      </c>
      <c r="AK694" t="str" cm="1">
        <f t="array" ref="AK694">_xlfn.IFS(HR_Employee_Attrition[[#This Row],[YearsAtCompany]]&lt;=2,"0-2",HR_Employee_Attrition[[#This Row],[YearsAtCompany]]&lt;=5,"3-5",HR_Employee_Attrition[[#This Row],[YearsAtCompany]]&lt;=10,"6-10",HR_Employee_Attrition[[#This Row],[YearsAtCompany]]&gt;10,"10+")</f>
        <v>6-10</v>
      </c>
      <c r="AL694" t="str" cm="1">
        <f t="array" ref="AL6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94">
        <f>IF(HR_Employee_Attrition[[#This Row],[Attrition]]="Yes",1,0)</f>
        <v>0</v>
      </c>
    </row>
    <row r="695" spans="1:39" x14ac:dyDescent="0.3">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c r="AJ695" t="str">
        <f>IF(HR_Employee_Attrition[[#This Row],[Age]]&gt;60,"60+",IF(HR_Employee_Attrition[[#This Row],[Age]]&gt;=50,"50-59",IF(HR_Employee_Attrition[[#This Row],[Age]]&gt;=40,"40-49",IF(HR_Employee_Attrition[[#This Row],[Age]]&gt;=30,"30-39",IF(HR_Employee_Attrition[[#This Row],[Age]]&gt;=20,"20-29",IF(HR_Employee_Attrition[[#This Row],[Age]]&gt;=18,"18-20"))))))</f>
        <v>30-39</v>
      </c>
      <c r="AK695" t="str" cm="1">
        <f t="array" ref="AK695">_xlfn.IFS(HR_Employee_Attrition[[#This Row],[YearsAtCompany]]&lt;=2,"0-2",HR_Employee_Attrition[[#This Row],[YearsAtCompany]]&lt;=5,"3-5",HR_Employee_Attrition[[#This Row],[YearsAtCompany]]&lt;=10,"6-10",HR_Employee_Attrition[[#This Row],[YearsAtCompany]]&gt;10,"10+")</f>
        <v>10+</v>
      </c>
      <c r="AL695" t="str" cm="1">
        <f t="array" ref="AL6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95">
        <f>IF(HR_Employee_Attrition[[#This Row],[Attrition]]="Yes",1,0)</f>
        <v>1</v>
      </c>
    </row>
    <row r="696" spans="1:39" x14ac:dyDescent="0.3">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c r="AJ696" t="str">
        <f>IF(HR_Employee_Attrition[[#This Row],[Age]]&gt;60,"60+",IF(HR_Employee_Attrition[[#This Row],[Age]]&gt;=50,"50-59",IF(HR_Employee_Attrition[[#This Row],[Age]]&gt;=40,"40-49",IF(HR_Employee_Attrition[[#This Row],[Age]]&gt;=30,"30-39",IF(HR_Employee_Attrition[[#This Row],[Age]]&gt;=20,"20-29",IF(HR_Employee_Attrition[[#This Row],[Age]]&gt;=18,"18-20"))))))</f>
        <v>30-39</v>
      </c>
      <c r="AK696" t="str" cm="1">
        <f t="array" ref="AK696">_xlfn.IFS(HR_Employee_Attrition[[#This Row],[YearsAtCompany]]&lt;=2,"0-2",HR_Employee_Attrition[[#This Row],[YearsAtCompany]]&lt;=5,"3-5",HR_Employee_Attrition[[#This Row],[YearsAtCompany]]&lt;=10,"6-10",HR_Employee_Attrition[[#This Row],[YearsAtCompany]]&gt;10,"10+")</f>
        <v>3-5</v>
      </c>
      <c r="AL696" t="str" cm="1">
        <f t="array" ref="AL6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96">
        <f>IF(HR_Employee_Attrition[[#This Row],[Attrition]]="Yes",1,0)</f>
        <v>0</v>
      </c>
    </row>
    <row r="697" spans="1:39" x14ac:dyDescent="0.3">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c r="AJ697" t="str">
        <f>IF(HR_Employee_Attrition[[#This Row],[Age]]&gt;60,"60+",IF(HR_Employee_Attrition[[#This Row],[Age]]&gt;=50,"50-59",IF(HR_Employee_Attrition[[#This Row],[Age]]&gt;=40,"40-49",IF(HR_Employee_Attrition[[#This Row],[Age]]&gt;=30,"30-39",IF(HR_Employee_Attrition[[#This Row],[Age]]&gt;=20,"20-29",IF(HR_Employee_Attrition[[#This Row],[Age]]&gt;=18,"18-20"))))))</f>
        <v>30-39</v>
      </c>
      <c r="AK697" t="str" cm="1">
        <f t="array" ref="AK697">_xlfn.IFS(HR_Employee_Attrition[[#This Row],[YearsAtCompany]]&lt;=2,"0-2",HR_Employee_Attrition[[#This Row],[YearsAtCompany]]&lt;=5,"3-5",HR_Employee_Attrition[[#This Row],[YearsAtCompany]]&lt;=10,"6-10",HR_Employee_Attrition[[#This Row],[YearsAtCompany]]&gt;10,"10+")</f>
        <v>10+</v>
      </c>
      <c r="AL697" t="str" cm="1">
        <f t="array" ref="AL6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97">
        <f>IF(HR_Employee_Attrition[[#This Row],[Attrition]]="Yes",1,0)</f>
        <v>1</v>
      </c>
    </row>
    <row r="698" spans="1:39" x14ac:dyDescent="0.3">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c r="AJ698" t="str">
        <f>IF(HR_Employee_Attrition[[#This Row],[Age]]&gt;60,"60+",IF(HR_Employee_Attrition[[#This Row],[Age]]&gt;=50,"50-59",IF(HR_Employee_Attrition[[#This Row],[Age]]&gt;=40,"40-49",IF(HR_Employee_Attrition[[#This Row],[Age]]&gt;=30,"30-39",IF(HR_Employee_Attrition[[#This Row],[Age]]&gt;=20,"20-29",IF(HR_Employee_Attrition[[#This Row],[Age]]&gt;=18,"18-20"))))))</f>
        <v>40-49</v>
      </c>
      <c r="AK698" t="str" cm="1">
        <f t="array" ref="AK698">_xlfn.IFS(HR_Employee_Attrition[[#This Row],[YearsAtCompany]]&lt;=2,"0-2",HR_Employee_Attrition[[#This Row],[YearsAtCompany]]&lt;=5,"3-5",HR_Employee_Attrition[[#This Row],[YearsAtCompany]]&lt;=10,"6-10",HR_Employee_Attrition[[#This Row],[YearsAtCompany]]&gt;10,"10+")</f>
        <v>6-10</v>
      </c>
      <c r="AL698" t="str" cm="1">
        <f t="array" ref="AL6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98">
        <f>IF(HR_Employee_Attrition[[#This Row],[Attrition]]="Yes",1,0)</f>
        <v>0</v>
      </c>
    </row>
    <row r="699" spans="1:39" x14ac:dyDescent="0.3">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c r="AJ699" t="str">
        <f>IF(HR_Employee_Attrition[[#This Row],[Age]]&gt;60,"60+",IF(HR_Employee_Attrition[[#This Row],[Age]]&gt;=50,"50-59",IF(HR_Employee_Attrition[[#This Row],[Age]]&gt;=40,"40-49",IF(HR_Employee_Attrition[[#This Row],[Age]]&gt;=30,"30-39",IF(HR_Employee_Attrition[[#This Row],[Age]]&gt;=20,"20-29",IF(HR_Employee_Attrition[[#This Row],[Age]]&gt;=18,"18-20"))))))</f>
        <v>20-29</v>
      </c>
      <c r="AK699" t="str" cm="1">
        <f t="array" ref="AK699">_xlfn.IFS(HR_Employee_Attrition[[#This Row],[YearsAtCompany]]&lt;=2,"0-2",HR_Employee_Attrition[[#This Row],[YearsAtCompany]]&lt;=5,"3-5",HR_Employee_Attrition[[#This Row],[YearsAtCompany]]&lt;=10,"6-10",HR_Employee_Attrition[[#This Row],[YearsAtCompany]]&gt;10,"10+")</f>
        <v>3-5</v>
      </c>
      <c r="AL699" t="str" cm="1">
        <f t="array" ref="AL6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99">
        <f>IF(HR_Employee_Attrition[[#This Row],[Attrition]]="Yes",1,0)</f>
        <v>0</v>
      </c>
    </row>
    <row r="700" spans="1:39" x14ac:dyDescent="0.3">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c r="AJ700" t="str">
        <f>IF(HR_Employee_Attrition[[#This Row],[Age]]&gt;60,"60+",IF(HR_Employee_Attrition[[#This Row],[Age]]&gt;=50,"50-59",IF(HR_Employee_Attrition[[#This Row],[Age]]&gt;=40,"40-49",IF(HR_Employee_Attrition[[#This Row],[Age]]&gt;=30,"30-39",IF(HR_Employee_Attrition[[#This Row],[Age]]&gt;=20,"20-29",IF(HR_Employee_Attrition[[#This Row],[Age]]&gt;=18,"18-20"))))))</f>
        <v>30-39</v>
      </c>
      <c r="AK700" t="str" cm="1">
        <f t="array" ref="AK700">_xlfn.IFS(HR_Employee_Attrition[[#This Row],[YearsAtCompany]]&lt;=2,"0-2",HR_Employee_Attrition[[#This Row],[YearsAtCompany]]&lt;=5,"3-5",HR_Employee_Attrition[[#This Row],[YearsAtCompany]]&lt;=10,"6-10",HR_Employee_Attrition[[#This Row],[YearsAtCompany]]&gt;10,"10+")</f>
        <v>3-5</v>
      </c>
      <c r="AL700" t="str" cm="1">
        <f t="array" ref="AL7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00">
        <f>IF(HR_Employee_Attrition[[#This Row],[Attrition]]="Yes",1,0)</f>
        <v>0</v>
      </c>
    </row>
    <row r="701" spans="1:39" x14ac:dyDescent="0.3">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c r="AJ701" t="str">
        <f>IF(HR_Employee_Attrition[[#This Row],[Age]]&gt;60,"60+",IF(HR_Employee_Attrition[[#This Row],[Age]]&gt;=50,"50-59",IF(HR_Employee_Attrition[[#This Row],[Age]]&gt;=40,"40-49",IF(HR_Employee_Attrition[[#This Row],[Age]]&gt;=30,"30-39",IF(HR_Employee_Attrition[[#This Row],[Age]]&gt;=20,"20-29",IF(HR_Employee_Attrition[[#This Row],[Age]]&gt;=18,"18-20"))))))</f>
        <v>50-59</v>
      </c>
      <c r="AK701" t="str" cm="1">
        <f t="array" ref="AK701">_xlfn.IFS(HR_Employee_Attrition[[#This Row],[YearsAtCompany]]&lt;=2,"0-2",HR_Employee_Attrition[[#This Row],[YearsAtCompany]]&lt;=5,"3-5",HR_Employee_Attrition[[#This Row],[YearsAtCompany]]&lt;=10,"6-10",HR_Employee_Attrition[[#This Row],[YearsAtCompany]]&gt;10,"10+")</f>
        <v>6-10</v>
      </c>
      <c r="AL701" t="str" cm="1">
        <f t="array" ref="AL7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01">
        <f>IF(HR_Employee_Attrition[[#This Row],[Attrition]]="Yes",1,0)</f>
        <v>0</v>
      </c>
    </row>
    <row r="702" spans="1:39" x14ac:dyDescent="0.3">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c r="AJ702" t="str">
        <f>IF(HR_Employee_Attrition[[#This Row],[Age]]&gt;60,"60+",IF(HR_Employee_Attrition[[#This Row],[Age]]&gt;=50,"50-59",IF(HR_Employee_Attrition[[#This Row],[Age]]&gt;=40,"40-49",IF(HR_Employee_Attrition[[#This Row],[Age]]&gt;=30,"30-39",IF(HR_Employee_Attrition[[#This Row],[Age]]&gt;=20,"20-29",IF(HR_Employee_Attrition[[#This Row],[Age]]&gt;=18,"18-20"))))))</f>
        <v>50-59</v>
      </c>
      <c r="AK702" t="str" cm="1">
        <f t="array" ref="AK702">_xlfn.IFS(HR_Employee_Attrition[[#This Row],[YearsAtCompany]]&lt;=2,"0-2",HR_Employee_Attrition[[#This Row],[YearsAtCompany]]&lt;=5,"3-5",HR_Employee_Attrition[[#This Row],[YearsAtCompany]]&lt;=10,"6-10",HR_Employee_Attrition[[#This Row],[YearsAtCompany]]&gt;10,"10+")</f>
        <v>0-2</v>
      </c>
      <c r="AL702" t="str" cm="1">
        <f t="array" ref="AL7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02">
        <f>IF(HR_Employee_Attrition[[#This Row],[Attrition]]="Yes",1,0)</f>
        <v>1</v>
      </c>
    </row>
    <row r="703" spans="1:39" x14ac:dyDescent="0.3">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c r="AJ703" t="str">
        <f>IF(HR_Employee_Attrition[[#This Row],[Age]]&gt;60,"60+",IF(HR_Employee_Attrition[[#This Row],[Age]]&gt;=50,"50-59",IF(HR_Employee_Attrition[[#This Row],[Age]]&gt;=40,"40-49",IF(HR_Employee_Attrition[[#This Row],[Age]]&gt;=30,"30-39",IF(HR_Employee_Attrition[[#This Row],[Age]]&gt;=20,"20-29",IF(HR_Employee_Attrition[[#This Row],[Age]]&gt;=18,"18-20"))))))</f>
        <v>50-59</v>
      </c>
      <c r="AK703" t="str" cm="1">
        <f t="array" ref="AK703">_xlfn.IFS(HR_Employee_Attrition[[#This Row],[YearsAtCompany]]&lt;=2,"0-2",HR_Employee_Attrition[[#This Row],[YearsAtCompany]]&lt;=5,"3-5",HR_Employee_Attrition[[#This Row],[YearsAtCompany]]&lt;=10,"6-10",HR_Employee_Attrition[[#This Row],[YearsAtCompany]]&gt;10,"10+")</f>
        <v>10+</v>
      </c>
      <c r="AL703" t="str" cm="1">
        <f t="array" ref="AL7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03">
        <f>IF(HR_Employee_Attrition[[#This Row],[Attrition]]="Yes",1,0)</f>
        <v>0</v>
      </c>
    </row>
    <row r="704" spans="1:39" x14ac:dyDescent="0.3">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c r="AJ704" t="str">
        <f>IF(HR_Employee_Attrition[[#This Row],[Age]]&gt;60,"60+",IF(HR_Employee_Attrition[[#This Row],[Age]]&gt;=50,"50-59",IF(HR_Employee_Attrition[[#This Row],[Age]]&gt;=40,"40-49",IF(HR_Employee_Attrition[[#This Row],[Age]]&gt;=30,"30-39",IF(HR_Employee_Attrition[[#This Row],[Age]]&gt;=20,"20-29",IF(HR_Employee_Attrition[[#This Row],[Age]]&gt;=18,"18-20"))))))</f>
        <v>30-39</v>
      </c>
      <c r="AK704" t="str" cm="1">
        <f t="array" ref="AK704">_xlfn.IFS(HR_Employee_Attrition[[#This Row],[YearsAtCompany]]&lt;=2,"0-2",HR_Employee_Attrition[[#This Row],[YearsAtCompany]]&lt;=5,"3-5",HR_Employee_Attrition[[#This Row],[YearsAtCompany]]&lt;=10,"6-10",HR_Employee_Attrition[[#This Row],[YearsAtCompany]]&gt;10,"10+")</f>
        <v>6-10</v>
      </c>
      <c r="AL704" t="str" cm="1">
        <f t="array" ref="AL7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04">
        <f>IF(HR_Employee_Attrition[[#This Row],[Attrition]]="Yes",1,0)</f>
        <v>0</v>
      </c>
    </row>
    <row r="705" spans="1:39" x14ac:dyDescent="0.3">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c r="AJ705" t="str">
        <f>IF(HR_Employee_Attrition[[#This Row],[Age]]&gt;60,"60+",IF(HR_Employee_Attrition[[#This Row],[Age]]&gt;=50,"50-59",IF(HR_Employee_Attrition[[#This Row],[Age]]&gt;=40,"40-49",IF(HR_Employee_Attrition[[#This Row],[Age]]&gt;=30,"30-39",IF(HR_Employee_Attrition[[#This Row],[Age]]&gt;=20,"20-29",IF(HR_Employee_Attrition[[#This Row],[Age]]&gt;=18,"18-20"))))))</f>
        <v>30-39</v>
      </c>
      <c r="AK705" t="str" cm="1">
        <f t="array" ref="AK705">_xlfn.IFS(HR_Employee_Attrition[[#This Row],[YearsAtCompany]]&lt;=2,"0-2",HR_Employee_Attrition[[#This Row],[YearsAtCompany]]&lt;=5,"3-5",HR_Employee_Attrition[[#This Row],[YearsAtCompany]]&lt;=10,"6-10",HR_Employee_Attrition[[#This Row],[YearsAtCompany]]&gt;10,"10+")</f>
        <v>3-5</v>
      </c>
      <c r="AL705" t="str" cm="1">
        <f t="array" ref="AL7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05">
        <f>IF(HR_Employee_Attrition[[#This Row],[Attrition]]="Yes",1,0)</f>
        <v>0</v>
      </c>
    </row>
    <row r="706" spans="1:39" x14ac:dyDescent="0.3">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c r="AJ706" t="str">
        <f>IF(HR_Employee_Attrition[[#This Row],[Age]]&gt;60,"60+",IF(HR_Employee_Attrition[[#This Row],[Age]]&gt;=50,"50-59",IF(HR_Employee_Attrition[[#This Row],[Age]]&gt;=40,"40-49",IF(HR_Employee_Attrition[[#This Row],[Age]]&gt;=30,"30-39",IF(HR_Employee_Attrition[[#This Row],[Age]]&gt;=20,"20-29",IF(HR_Employee_Attrition[[#This Row],[Age]]&gt;=18,"18-20"))))))</f>
        <v>30-39</v>
      </c>
      <c r="AK706" t="str" cm="1">
        <f t="array" ref="AK706">_xlfn.IFS(HR_Employee_Attrition[[#This Row],[YearsAtCompany]]&lt;=2,"0-2",HR_Employee_Attrition[[#This Row],[YearsAtCompany]]&lt;=5,"3-5",HR_Employee_Attrition[[#This Row],[YearsAtCompany]]&lt;=10,"6-10",HR_Employee_Attrition[[#This Row],[YearsAtCompany]]&gt;10,"10+")</f>
        <v>6-10</v>
      </c>
      <c r="AL706" t="str" cm="1">
        <f t="array" ref="AL7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06">
        <f>IF(HR_Employee_Attrition[[#This Row],[Attrition]]="Yes",1,0)</f>
        <v>0</v>
      </c>
    </row>
    <row r="707" spans="1:39" x14ac:dyDescent="0.3">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c r="AJ707" t="str">
        <f>IF(HR_Employee_Attrition[[#This Row],[Age]]&gt;60,"60+",IF(HR_Employee_Attrition[[#This Row],[Age]]&gt;=50,"50-59",IF(HR_Employee_Attrition[[#This Row],[Age]]&gt;=40,"40-49",IF(HR_Employee_Attrition[[#This Row],[Age]]&gt;=30,"30-39",IF(HR_Employee_Attrition[[#This Row],[Age]]&gt;=20,"20-29",IF(HR_Employee_Attrition[[#This Row],[Age]]&gt;=18,"18-20"))))))</f>
        <v>30-39</v>
      </c>
      <c r="AK707" t="str" cm="1">
        <f t="array" ref="AK707">_xlfn.IFS(HR_Employee_Attrition[[#This Row],[YearsAtCompany]]&lt;=2,"0-2",HR_Employee_Attrition[[#This Row],[YearsAtCompany]]&lt;=5,"3-5",HR_Employee_Attrition[[#This Row],[YearsAtCompany]]&lt;=10,"6-10",HR_Employee_Attrition[[#This Row],[YearsAtCompany]]&gt;10,"10+")</f>
        <v>6-10</v>
      </c>
      <c r="AL707" t="str" cm="1">
        <f t="array" ref="AL7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07">
        <f>IF(HR_Employee_Attrition[[#This Row],[Attrition]]="Yes",1,0)</f>
        <v>0</v>
      </c>
    </row>
    <row r="708" spans="1:39" x14ac:dyDescent="0.3">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c r="AJ708" t="str">
        <f>IF(HR_Employee_Attrition[[#This Row],[Age]]&gt;60,"60+",IF(HR_Employee_Attrition[[#This Row],[Age]]&gt;=50,"50-59",IF(HR_Employee_Attrition[[#This Row],[Age]]&gt;=40,"40-49",IF(HR_Employee_Attrition[[#This Row],[Age]]&gt;=30,"30-39",IF(HR_Employee_Attrition[[#This Row],[Age]]&gt;=20,"20-29",IF(HR_Employee_Attrition[[#This Row],[Age]]&gt;=18,"18-20"))))))</f>
        <v>40-49</v>
      </c>
      <c r="AK708" t="str" cm="1">
        <f t="array" ref="AK708">_xlfn.IFS(HR_Employee_Attrition[[#This Row],[YearsAtCompany]]&lt;=2,"0-2",HR_Employee_Attrition[[#This Row],[YearsAtCompany]]&lt;=5,"3-5",HR_Employee_Attrition[[#This Row],[YearsAtCompany]]&lt;=10,"6-10",HR_Employee_Attrition[[#This Row],[YearsAtCompany]]&gt;10,"10+")</f>
        <v>0-2</v>
      </c>
      <c r="AL708" t="str" cm="1">
        <f t="array" ref="AL7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08">
        <f>IF(HR_Employee_Attrition[[#This Row],[Attrition]]="Yes",1,0)</f>
        <v>1</v>
      </c>
    </row>
    <row r="709" spans="1:39" x14ac:dyDescent="0.3">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c r="AJ709" t="str">
        <f>IF(HR_Employee_Attrition[[#This Row],[Age]]&gt;60,"60+",IF(HR_Employee_Attrition[[#This Row],[Age]]&gt;=50,"50-59",IF(HR_Employee_Attrition[[#This Row],[Age]]&gt;=40,"40-49",IF(HR_Employee_Attrition[[#This Row],[Age]]&gt;=30,"30-39",IF(HR_Employee_Attrition[[#This Row],[Age]]&gt;=20,"20-29",IF(HR_Employee_Attrition[[#This Row],[Age]]&gt;=18,"18-20"))))))</f>
        <v>40-49</v>
      </c>
      <c r="AK709" t="str" cm="1">
        <f t="array" ref="AK709">_xlfn.IFS(HR_Employee_Attrition[[#This Row],[YearsAtCompany]]&lt;=2,"0-2",HR_Employee_Attrition[[#This Row],[YearsAtCompany]]&lt;=5,"3-5",HR_Employee_Attrition[[#This Row],[YearsAtCompany]]&lt;=10,"6-10",HR_Employee_Attrition[[#This Row],[YearsAtCompany]]&gt;10,"10+")</f>
        <v>10+</v>
      </c>
      <c r="AL709" t="str" cm="1">
        <f t="array" ref="AL7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09">
        <f>IF(HR_Employee_Attrition[[#This Row],[Attrition]]="Yes",1,0)</f>
        <v>0</v>
      </c>
    </row>
    <row r="710" spans="1:39" x14ac:dyDescent="0.3">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c r="AJ710" t="str">
        <f>IF(HR_Employee_Attrition[[#This Row],[Age]]&gt;60,"60+",IF(HR_Employee_Attrition[[#This Row],[Age]]&gt;=50,"50-59",IF(HR_Employee_Attrition[[#This Row],[Age]]&gt;=40,"40-49",IF(HR_Employee_Attrition[[#This Row],[Age]]&gt;=30,"30-39",IF(HR_Employee_Attrition[[#This Row],[Age]]&gt;=20,"20-29",IF(HR_Employee_Attrition[[#This Row],[Age]]&gt;=18,"18-20"))))))</f>
        <v>30-39</v>
      </c>
      <c r="AK710" t="str" cm="1">
        <f t="array" ref="AK710">_xlfn.IFS(HR_Employee_Attrition[[#This Row],[YearsAtCompany]]&lt;=2,"0-2",HR_Employee_Attrition[[#This Row],[YearsAtCompany]]&lt;=5,"3-5",HR_Employee_Attrition[[#This Row],[YearsAtCompany]]&lt;=10,"6-10",HR_Employee_Attrition[[#This Row],[YearsAtCompany]]&gt;10,"10+")</f>
        <v>6-10</v>
      </c>
      <c r="AL710" t="str" cm="1">
        <f t="array" ref="AL7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10">
        <f>IF(HR_Employee_Attrition[[#This Row],[Attrition]]="Yes",1,0)</f>
        <v>0</v>
      </c>
    </row>
    <row r="711" spans="1:39" x14ac:dyDescent="0.3">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c r="AJ711" t="str">
        <f>IF(HR_Employee_Attrition[[#This Row],[Age]]&gt;60,"60+",IF(HR_Employee_Attrition[[#This Row],[Age]]&gt;=50,"50-59",IF(HR_Employee_Attrition[[#This Row],[Age]]&gt;=40,"40-49",IF(HR_Employee_Attrition[[#This Row],[Age]]&gt;=30,"30-39",IF(HR_Employee_Attrition[[#This Row],[Age]]&gt;=20,"20-29",IF(HR_Employee_Attrition[[#This Row],[Age]]&gt;=18,"18-20"))))))</f>
        <v>30-39</v>
      </c>
      <c r="AK711" t="str" cm="1">
        <f t="array" ref="AK711">_xlfn.IFS(HR_Employee_Attrition[[#This Row],[YearsAtCompany]]&lt;=2,"0-2",HR_Employee_Attrition[[#This Row],[YearsAtCompany]]&lt;=5,"3-5",HR_Employee_Attrition[[#This Row],[YearsAtCompany]]&lt;=10,"6-10",HR_Employee_Attrition[[#This Row],[YearsAtCompany]]&gt;10,"10+")</f>
        <v>3-5</v>
      </c>
      <c r="AL711" t="str" cm="1">
        <f t="array" ref="AL7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11">
        <f>IF(HR_Employee_Attrition[[#This Row],[Attrition]]="Yes",1,0)</f>
        <v>1</v>
      </c>
    </row>
    <row r="712" spans="1:39" x14ac:dyDescent="0.3">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c r="AJ712" t="str">
        <f>IF(HR_Employee_Attrition[[#This Row],[Age]]&gt;60,"60+",IF(HR_Employee_Attrition[[#This Row],[Age]]&gt;=50,"50-59",IF(HR_Employee_Attrition[[#This Row],[Age]]&gt;=40,"40-49",IF(HR_Employee_Attrition[[#This Row],[Age]]&gt;=30,"30-39",IF(HR_Employee_Attrition[[#This Row],[Age]]&gt;=20,"20-29",IF(HR_Employee_Attrition[[#This Row],[Age]]&gt;=18,"18-20"))))))</f>
        <v>30-39</v>
      </c>
      <c r="AK712" t="str" cm="1">
        <f t="array" ref="AK712">_xlfn.IFS(HR_Employee_Attrition[[#This Row],[YearsAtCompany]]&lt;=2,"0-2",HR_Employee_Attrition[[#This Row],[YearsAtCompany]]&lt;=5,"3-5",HR_Employee_Attrition[[#This Row],[YearsAtCompany]]&lt;=10,"6-10",HR_Employee_Attrition[[#This Row],[YearsAtCompany]]&gt;10,"10+")</f>
        <v>6-10</v>
      </c>
      <c r="AL712" t="str" cm="1">
        <f t="array" ref="AL7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12">
        <f>IF(HR_Employee_Attrition[[#This Row],[Attrition]]="Yes",1,0)</f>
        <v>0</v>
      </c>
    </row>
    <row r="713" spans="1:39" x14ac:dyDescent="0.3">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c r="AJ713" t="str">
        <f>IF(HR_Employee_Attrition[[#This Row],[Age]]&gt;60,"60+",IF(HR_Employee_Attrition[[#This Row],[Age]]&gt;=50,"50-59",IF(HR_Employee_Attrition[[#This Row],[Age]]&gt;=40,"40-49",IF(HR_Employee_Attrition[[#This Row],[Age]]&gt;=30,"30-39",IF(HR_Employee_Attrition[[#This Row],[Age]]&gt;=20,"20-29",IF(HR_Employee_Attrition[[#This Row],[Age]]&gt;=18,"18-20"))))))</f>
        <v>20-29</v>
      </c>
      <c r="AK713" t="str" cm="1">
        <f t="array" ref="AK713">_xlfn.IFS(HR_Employee_Attrition[[#This Row],[YearsAtCompany]]&lt;=2,"0-2",HR_Employee_Attrition[[#This Row],[YearsAtCompany]]&lt;=5,"3-5",HR_Employee_Attrition[[#This Row],[YearsAtCompany]]&lt;=10,"6-10",HR_Employee_Attrition[[#This Row],[YearsAtCompany]]&gt;10,"10+")</f>
        <v>0-2</v>
      </c>
      <c r="AL713" t="str" cm="1">
        <f t="array" ref="AL7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13">
        <f>IF(HR_Employee_Attrition[[#This Row],[Attrition]]="Yes",1,0)</f>
        <v>1</v>
      </c>
    </row>
    <row r="714" spans="1:39" x14ac:dyDescent="0.3">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c r="AJ714" t="str">
        <f>IF(HR_Employee_Attrition[[#This Row],[Age]]&gt;60,"60+",IF(HR_Employee_Attrition[[#This Row],[Age]]&gt;=50,"50-59",IF(HR_Employee_Attrition[[#This Row],[Age]]&gt;=40,"40-49",IF(HR_Employee_Attrition[[#This Row],[Age]]&gt;=30,"30-39",IF(HR_Employee_Attrition[[#This Row],[Age]]&gt;=20,"20-29",IF(HR_Employee_Attrition[[#This Row],[Age]]&gt;=18,"18-20"))))))</f>
        <v>30-39</v>
      </c>
      <c r="AK714" t="str" cm="1">
        <f t="array" ref="AK714">_xlfn.IFS(HR_Employee_Attrition[[#This Row],[YearsAtCompany]]&lt;=2,"0-2",HR_Employee_Attrition[[#This Row],[YearsAtCompany]]&lt;=5,"3-5",HR_Employee_Attrition[[#This Row],[YearsAtCompany]]&lt;=10,"6-10",HR_Employee_Attrition[[#This Row],[YearsAtCompany]]&gt;10,"10+")</f>
        <v>3-5</v>
      </c>
      <c r="AL714" t="str" cm="1">
        <f t="array" ref="AL7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14">
        <f>IF(HR_Employee_Attrition[[#This Row],[Attrition]]="Yes",1,0)</f>
        <v>0</v>
      </c>
    </row>
    <row r="715" spans="1:39" x14ac:dyDescent="0.3">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c r="AJ715" t="str">
        <f>IF(HR_Employee_Attrition[[#This Row],[Age]]&gt;60,"60+",IF(HR_Employee_Attrition[[#This Row],[Age]]&gt;=50,"50-59",IF(HR_Employee_Attrition[[#This Row],[Age]]&gt;=40,"40-49",IF(HR_Employee_Attrition[[#This Row],[Age]]&gt;=30,"30-39",IF(HR_Employee_Attrition[[#This Row],[Age]]&gt;=20,"20-29",IF(HR_Employee_Attrition[[#This Row],[Age]]&gt;=18,"18-20"))))))</f>
        <v>40-49</v>
      </c>
      <c r="AK715" t="str" cm="1">
        <f t="array" ref="AK715">_xlfn.IFS(HR_Employee_Attrition[[#This Row],[YearsAtCompany]]&lt;=2,"0-2",HR_Employee_Attrition[[#This Row],[YearsAtCompany]]&lt;=5,"3-5",HR_Employee_Attrition[[#This Row],[YearsAtCompany]]&lt;=10,"6-10",HR_Employee_Attrition[[#This Row],[YearsAtCompany]]&gt;10,"10+")</f>
        <v>3-5</v>
      </c>
      <c r="AL715" t="str" cm="1">
        <f t="array" ref="AL7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15">
        <f>IF(HR_Employee_Attrition[[#This Row],[Attrition]]="Yes",1,0)</f>
        <v>0</v>
      </c>
    </row>
    <row r="716" spans="1:39" x14ac:dyDescent="0.3">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c r="AJ716" t="str">
        <f>IF(HR_Employee_Attrition[[#This Row],[Age]]&gt;60,"60+",IF(HR_Employee_Attrition[[#This Row],[Age]]&gt;=50,"50-59",IF(HR_Employee_Attrition[[#This Row],[Age]]&gt;=40,"40-49",IF(HR_Employee_Attrition[[#This Row],[Age]]&gt;=30,"30-39",IF(HR_Employee_Attrition[[#This Row],[Age]]&gt;=20,"20-29",IF(HR_Employee_Attrition[[#This Row],[Age]]&gt;=18,"18-20"))))))</f>
        <v>50-59</v>
      </c>
      <c r="AK716" t="str" cm="1">
        <f t="array" ref="AK716">_xlfn.IFS(HR_Employee_Attrition[[#This Row],[YearsAtCompany]]&lt;=2,"0-2",HR_Employee_Attrition[[#This Row],[YearsAtCompany]]&lt;=5,"3-5",HR_Employee_Attrition[[#This Row],[YearsAtCompany]]&lt;=10,"6-10",HR_Employee_Attrition[[#This Row],[YearsAtCompany]]&gt;10,"10+")</f>
        <v>3-5</v>
      </c>
      <c r="AL716" t="str" cm="1">
        <f t="array" ref="AL7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16">
        <f>IF(HR_Employee_Attrition[[#This Row],[Attrition]]="Yes",1,0)</f>
        <v>0</v>
      </c>
    </row>
    <row r="717" spans="1:39" x14ac:dyDescent="0.3">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c r="AJ717" t="str">
        <f>IF(HR_Employee_Attrition[[#This Row],[Age]]&gt;60,"60+",IF(HR_Employee_Attrition[[#This Row],[Age]]&gt;=50,"50-59",IF(HR_Employee_Attrition[[#This Row],[Age]]&gt;=40,"40-49",IF(HR_Employee_Attrition[[#This Row],[Age]]&gt;=30,"30-39",IF(HR_Employee_Attrition[[#This Row],[Age]]&gt;=20,"20-29",IF(HR_Employee_Attrition[[#This Row],[Age]]&gt;=18,"18-20"))))))</f>
        <v>30-39</v>
      </c>
      <c r="AK717" t="str" cm="1">
        <f t="array" ref="AK717">_xlfn.IFS(HR_Employee_Attrition[[#This Row],[YearsAtCompany]]&lt;=2,"0-2",HR_Employee_Attrition[[#This Row],[YearsAtCompany]]&lt;=5,"3-5",HR_Employee_Attrition[[#This Row],[YearsAtCompany]]&lt;=10,"6-10",HR_Employee_Attrition[[#This Row],[YearsAtCompany]]&gt;10,"10+")</f>
        <v>6-10</v>
      </c>
      <c r="AL717" t="str" cm="1">
        <f t="array" ref="AL7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17">
        <f>IF(HR_Employee_Attrition[[#This Row],[Attrition]]="Yes",1,0)</f>
        <v>0</v>
      </c>
    </row>
    <row r="718" spans="1:39" x14ac:dyDescent="0.3">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c r="AJ718" t="str">
        <f>IF(HR_Employee_Attrition[[#This Row],[Age]]&gt;60,"60+",IF(HR_Employee_Attrition[[#This Row],[Age]]&gt;=50,"50-59",IF(HR_Employee_Attrition[[#This Row],[Age]]&gt;=40,"40-49",IF(HR_Employee_Attrition[[#This Row],[Age]]&gt;=30,"30-39",IF(HR_Employee_Attrition[[#This Row],[Age]]&gt;=20,"20-29",IF(HR_Employee_Attrition[[#This Row],[Age]]&gt;=18,"18-20"))))))</f>
        <v>40-49</v>
      </c>
      <c r="AK718" t="str" cm="1">
        <f t="array" ref="AK718">_xlfn.IFS(HR_Employee_Attrition[[#This Row],[YearsAtCompany]]&lt;=2,"0-2",HR_Employee_Attrition[[#This Row],[YearsAtCompany]]&lt;=5,"3-5",HR_Employee_Attrition[[#This Row],[YearsAtCompany]]&lt;=10,"6-10",HR_Employee_Attrition[[#This Row],[YearsAtCompany]]&gt;10,"10+")</f>
        <v>10+</v>
      </c>
      <c r="AL718" t="str" cm="1">
        <f t="array" ref="AL7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18">
        <f>IF(HR_Employee_Attrition[[#This Row],[Attrition]]="Yes",1,0)</f>
        <v>0</v>
      </c>
    </row>
    <row r="719" spans="1:39" x14ac:dyDescent="0.3">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c r="AJ719" t="str">
        <f>IF(HR_Employee_Attrition[[#This Row],[Age]]&gt;60,"60+",IF(HR_Employee_Attrition[[#This Row],[Age]]&gt;=50,"50-59",IF(HR_Employee_Attrition[[#This Row],[Age]]&gt;=40,"40-49",IF(HR_Employee_Attrition[[#This Row],[Age]]&gt;=30,"30-39",IF(HR_Employee_Attrition[[#This Row],[Age]]&gt;=20,"20-29",IF(HR_Employee_Attrition[[#This Row],[Age]]&gt;=18,"18-20"))))))</f>
        <v>20-29</v>
      </c>
      <c r="AK719" t="str" cm="1">
        <f t="array" ref="AK719">_xlfn.IFS(HR_Employee_Attrition[[#This Row],[YearsAtCompany]]&lt;=2,"0-2",HR_Employee_Attrition[[#This Row],[YearsAtCompany]]&lt;=5,"3-5",HR_Employee_Attrition[[#This Row],[YearsAtCompany]]&lt;=10,"6-10",HR_Employee_Attrition[[#This Row],[YearsAtCompany]]&gt;10,"10+")</f>
        <v>0-2</v>
      </c>
      <c r="AL719" t="str" cm="1">
        <f t="array" ref="AL7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19">
        <f>IF(HR_Employee_Attrition[[#This Row],[Attrition]]="Yes",1,0)</f>
        <v>0</v>
      </c>
    </row>
    <row r="720" spans="1:39" x14ac:dyDescent="0.3">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c r="AJ720" t="str">
        <f>IF(HR_Employee_Attrition[[#This Row],[Age]]&gt;60,"60+",IF(HR_Employee_Attrition[[#This Row],[Age]]&gt;=50,"50-59",IF(HR_Employee_Attrition[[#This Row],[Age]]&gt;=40,"40-49",IF(HR_Employee_Attrition[[#This Row],[Age]]&gt;=30,"30-39",IF(HR_Employee_Attrition[[#This Row],[Age]]&gt;=20,"20-29",IF(HR_Employee_Attrition[[#This Row],[Age]]&gt;=18,"18-20"))))))</f>
        <v>40-49</v>
      </c>
      <c r="AK720" t="str" cm="1">
        <f t="array" ref="AK720">_xlfn.IFS(HR_Employee_Attrition[[#This Row],[YearsAtCompany]]&lt;=2,"0-2",HR_Employee_Attrition[[#This Row],[YearsAtCompany]]&lt;=5,"3-5",HR_Employee_Attrition[[#This Row],[YearsAtCompany]]&lt;=10,"6-10",HR_Employee_Attrition[[#This Row],[YearsAtCompany]]&gt;10,"10+")</f>
        <v>6-10</v>
      </c>
      <c r="AL720" t="str" cm="1">
        <f t="array" ref="AL7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0">
        <f>IF(HR_Employee_Attrition[[#This Row],[Attrition]]="Yes",1,0)</f>
        <v>0</v>
      </c>
    </row>
    <row r="721" spans="1:39" x14ac:dyDescent="0.3">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c r="AJ721" t="str">
        <f>IF(HR_Employee_Attrition[[#This Row],[Age]]&gt;60,"60+",IF(HR_Employee_Attrition[[#This Row],[Age]]&gt;=50,"50-59",IF(HR_Employee_Attrition[[#This Row],[Age]]&gt;=40,"40-49",IF(HR_Employee_Attrition[[#This Row],[Age]]&gt;=30,"30-39",IF(HR_Employee_Attrition[[#This Row],[Age]]&gt;=20,"20-29",IF(HR_Employee_Attrition[[#This Row],[Age]]&gt;=18,"18-20"))))))</f>
        <v>40-49</v>
      </c>
      <c r="AK721" t="str" cm="1">
        <f t="array" ref="AK721">_xlfn.IFS(HR_Employee_Attrition[[#This Row],[YearsAtCompany]]&lt;=2,"0-2",HR_Employee_Attrition[[#This Row],[YearsAtCompany]]&lt;=5,"3-5",HR_Employee_Attrition[[#This Row],[YearsAtCompany]]&lt;=10,"6-10",HR_Employee_Attrition[[#This Row],[YearsAtCompany]]&gt;10,"10+")</f>
        <v>6-10</v>
      </c>
      <c r="AL721" t="str" cm="1">
        <f t="array" ref="AL7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1">
        <f>IF(HR_Employee_Attrition[[#This Row],[Attrition]]="Yes",1,0)</f>
        <v>0</v>
      </c>
    </row>
    <row r="722" spans="1:39" x14ac:dyDescent="0.3">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c r="AJ722" t="str">
        <f>IF(HR_Employee_Attrition[[#This Row],[Age]]&gt;60,"60+",IF(HR_Employee_Attrition[[#This Row],[Age]]&gt;=50,"50-59",IF(HR_Employee_Attrition[[#This Row],[Age]]&gt;=40,"40-49",IF(HR_Employee_Attrition[[#This Row],[Age]]&gt;=30,"30-39",IF(HR_Employee_Attrition[[#This Row],[Age]]&gt;=20,"20-29",IF(HR_Employee_Attrition[[#This Row],[Age]]&gt;=18,"18-20"))))))</f>
        <v>30-39</v>
      </c>
      <c r="AK722" t="str" cm="1">
        <f t="array" ref="AK722">_xlfn.IFS(HR_Employee_Attrition[[#This Row],[YearsAtCompany]]&lt;=2,"0-2",HR_Employee_Attrition[[#This Row],[YearsAtCompany]]&lt;=5,"3-5",HR_Employee_Attrition[[#This Row],[YearsAtCompany]]&lt;=10,"6-10",HR_Employee_Attrition[[#This Row],[YearsAtCompany]]&gt;10,"10+")</f>
        <v>3-5</v>
      </c>
      <c r="AL722" t="str" cm="1">
        <f t="array" ref="AL7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2">
        <f>IF(HR_Employee_Attrition[[#This Row],[Attrition]]="Yes",1,0)</f>
        <v>1</v>
      </c>
    </row>
    <row r="723" spans="1:39" x14ac:dyDescent="0.3">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c r="AJ723" t="str">
        <f>IF(HR_Employee_Attrition[[#This Row],[Age]]&gt;60,"60+",IF(HR_Employee_Attrition[[#This Row],[Age]]&gt;=50,"50-59",IF(HR_Employee_Attrition[[#This Row],[Age]]&gt;=40,"40-49",IF(HR_Employee_Attrition[[#This Row],[Age]]&gt;=30,"30-39",IF(HR_Employee_Attrition[[#This Row],[Age]]&gt;=20,"20-29",IF(HR_Employee_Attrition[[#This Row],[Age]]&gt;=18,"18-20"))))))</f>
        <v>50-59</v>
      </c>
      <c r="AK723" t="str" cm="1">
        <f t="array" ref="AK723">_xlfn.IFS(HR_Employee_Attrition[[#This Row],[YearsAtCompany]]&lt;=2,"0-2",HR_Employee_Attrition[[#This Row],[YearsAtCompany]]&lt;=5,"3-5",HR_Employee_Attrition[[#This Row],[YearsAtCompany]]&lt;=10,"6-10",HR_Employee_Attrition[[#This Row],[YearsAtCompany]]&gt;10,"10+")</f>
        <v>10+</v>
      </c>
      <c r="AL723" t="str" cm="1">
        <f t="array" ref="AL7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23">
        <f>IF(HR_Employee_Attrition[[#This Row],[Attrition]]="Yes",1,0)</f>
        <v>0</v>
      </c>
    </row>
    <row r="724" spans="1:39" x14ac:dyDescent="0.3">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c r="AJ724" t="str">
        <f>IF(HR_Employee_Attrition[[#This Row],[Age]]&gt;60,"60+",IF(HR_Employee_Attrition[[#This Row],[Age]]&gt;=50,"50-59",IF(HR_Employee_Attrition[[#This Row],[Age]]&gt;=40,"40-49",IF(HR_Employee_Attrition[[#This Row],[Age]]&gt;=30,"30-39",IF(HR_Employee_Attrition[[#This Row],[Age]]&gt;=20,"20-29",IF(HR_Employee_Attrition[[#This Row],[Age]]&gt;=18,"18-20"))))))</f>
        <v>30-39</v>
      </c>
      <c r="AK724" t="str" cm="1">
        <f t="array" ref="AK724">_xlfn.IFS(HR_Employee_Attrition[[#This Row],[YearsAtCompany]]&lt;=2,"0-2",HR_Employee_Attrition[[#This Row],[YearsAtCompany]]&lt;=5,"3-5",HR_Employee_Attrition[[#This Row],[YearsAtCompany]]&lt;=10,"6-10",HR_Employee_Attrition[[#This Row],[YearsAtCompany]]&gt;10,"10+")</f>
        <v>0-2</v>
      </c>
      <c r="AL724" t="str" cm="1">
        <f t="array" ref="AL7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4">
        <f>IF(HR_Employee_Attrition[[#This Row],[Attrition]]="Yes",1,0)</f>
        <v>0</v>
      </c>
    </row>
    <row r="725" spans="1:39" x14ac:dyDescent="0.3">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c r="AJ725" t="str">
        <f>IF(HR_Employee_Attrition[[#This Row],[Age]]&gt;60,"60+",IF(HR_Employee_Attrition[[#This Row],[Age]]&gt;=50,"50-59",IF(HR_Employee_Attrition[[#This Row],[Age]]&gt;=40,"40-49",IF(HR_Employee_Attrition[[#This Row],[Age]]&gt;=30,"30-39",IF(HR_Employee_Attrition[[#This Row],[Age]]&gt;=20,"20-29",IF(HR_Employee_Attrition[[#This Row],[Age]]&gt;=18,"18-20"))))))</f>
        <v>40-49</v>
      </c>
      <c r="AK725" t="str" cm="1">
        <f t="array" ref="AK725">_xlfn.IFS(HR_Employee_Attrition[[#This Row],[YearsAtCompany]]&lt;=2,"0-2",HR_Employee_Attrition[[#This Row],[YearsAtCompany]]&lt;=5,"3-5",HR_Employee_Attrition[[#This Row],[YearsAtCompany]]&lt;=10,"6-10",HR_Employee_Attrition[[#This Row],[YearsAtCompany]]&gt;10,"10+")</f>
        <v>6-10</v>
      </c>
      <c r="AL725" t="str" cm="1">
        <f t="array" ref="AL7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25">
        <f>IF(HR_Employee_Attrition[[#This Row],[Attrition]]="Yes",1,0)</f>
        <v>0</v>
      </c>
    </row>
    <row r="726" spans="1:39" x14ac:dyDescent="0.3">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c r="AJ726" t="str">
        <f>IF(HR_Employee_Attrition[[#This Row],[Age]]&gt;60,"60+",IF(HR_Employee_Attrition[[#This Row],[Age]]&gt;=50,"50-59",IF(HR_Employee_Attrition[[#This Row],[Age]]&gt;=40,"40-49",IF(HR_Employee_Attrition[[#This Row],[Age]]&gt;=30,"30-39",IF(HR_Employee_Attrition[[#This Row],[Age]]&gt;=20,"20-29",IF(HR_Employee_Attrition[[#This Row],[Age]]&gt;=18,"18-20"))))))</f>
        <v>20-29</v>
      </c>
      <c r="AK726" t="str" cm="1">
        <f t="array" ref="AK726">_xlfn.IFS(HR_Employee_Attrition[[#This Row],[YearsAtCompany]]&lt;=2,"0-2",HR_Employee_Attrition[[#This Row],[YearsAtCompany]]&lt;=5,"3-5",HR_Employee_Attrition[[#This Row],[YearsAtCompany]]&lt;=10,"6-10",HR_Employee_Attrition[[#This Row],[YearsAtCompany]]&gt;10,"10+")</f>
        <v>3-5</v>
      </c>
      <c r="AL726" t="str" cm="1">
        <f t="array" ref="AL7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6">
        <f>IF(HR_Employee_Attrition[[#This Row],[Attrition]]="Yes",1,0)</f>
        <v>0</v>
      </c>
    </row>
    <row r="727" spans="1:39" x14ac:dyDescent="0.3">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c r="AJ727" t="str">
        <f>IF(HR_Employee_Attrition[[#This Row],[Age]]&gt;60,"60+",IF(HR_Employee_Attrition[[#This Row],[Age]]&gt;=50,"50-59",IF(HR_Employee_Attrition[[#This Row],[Age]]&gt;=40,"40-49",IF(HR_Employee_Attrition[[#This Row],[Age]]&gt;=30,"30-39",IF(HR_Employee_Attrition[[#This Row],[Age]]&gt;=20,"20-29",IF(HR_Employee_Attrition[[#This Row],[Age]]&gt;=18,"18-20"))))))</f>
        <v>30-39</v>
      </c>
      <c r="AK727" t="str" cm="1">
        <f t="array" ref="AK727">_xlfn.IFS(HR_Employee_Attrition[[#This Row],[YearsAtCompany]]&lt;=2,"0-2",HR_Employee_Attrition[[#This Row],[YearsAtCompany]]&lt;=5,"3-5",HR_Employee_Attrition[[#This Row],[YearsAtCompany]]&lt;=10,"6-10",HR_Employee_Attrition[[#This Row],[YearsAtCompany]]&gt;10,"10+")</f>
        <v>3-5</v>
      </c>
      <c r="AL727" t="str" cm="1">
        <f t="array" ref="AL7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7">
        <f>IF(HR_Employee_Attrition[[#This Row],[Attrition]]="Yes",1,0)</f>
        <v>1</v>
      </c>
    </row>
    <row r="728" spans="1:39" x14ac:dyDescent="0.3">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c r="AJ728" t="str">
        <f>IF(HR_Employee_Attrition[[#This Row],[Age]]&gt;60,"60+",IF(HR_Employee_Attrition[[#This Row],[Age]]&gt;=50,"50-59",IF(HR_Employee_Attrition[[#This Row],[Age]]&gt;=40,"40-49",IF(HR_Employee_Attrition[[#This Row],[Age]]&gt;=30,"30-39",IF(HR_Employee_Attrition[[#This Row],[Age]]&gt;=20,"20-29",IF(HR_Employee_Attrition[[#This Row],[Age]]&gt;=18,"18-20"))))))</f>
        <v>30-39</v>
      </c>
      <c r="AK728" t="str" cm="1">
        <f t="array" ref="AK728">_xlfn.IFS(HR_Employee_Attrition[[#This Row],[YearsAtCompany]]&lt;=2,"0-2",HR_Employee_Attrition[[#This Row],[YearsAtCompany]]&lt;=5,"3-5",HR_Employee_Attrition[[#This Row],[YearsAtCompany]]&lt;=10,"6-10",HR_Employee_Attrition[[#This Row],[YearsAtCompany]]&gt;10,"10+")</f>
        <v>3-5</v>
      </c>
      <c r="AL728" t="str" cm="1">
        <f t="array" ref="AL7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8">
        <f>IF(HR_Employee_Attrition[[#This Row],[Attrition]]="Yes",1,0)</f>
        <v>0</v>
      </c>
    </row>
    <row r="729" spans="1:39" x14ac:dyDescent="0.3">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c r="AJ729" t="str">
        <f>IF(HR_Employee_Attrition[[#This Row],[Age]]&gt;60,"60+",IF(HR_Employee_Attrition[[#This Row],[Age]]&gt;=50,"50-59",IF(HR_Employee_Attrition[[#This Row],[Age]]&gt;=40,"40-49",IF(HR_Employee_Attrition[[#This Row],[Age]]&gt;=30,"30-39",IF(HR_Employee_Attrition[[#This Row],[Age]]&gt;=20,"20-29",IF(HR_Employee_Attrition[[#This Row],[Age]]&gt;=18,"18-20"))))))</f>
        <v>18-20</v>
      </c>
      <c r="AK729" t="str" cm="1">
        <f t="array" ref="AK729">_xlfn.IFS(HR_Employee_Attrition[[#This Row],[YearsAtCompany]]&lt;=2,"0-2",HR_Employee_Attrition[[#This Row],[YearsAtCompany]]&lt;=5,"3-5",HR_Employee_Attrition[[#This Row],[YearsAtCompany]]&lt;=10,"6-10",HR_Employee_Attrition[[#This Row],[YearsAtCompany]]&gt;10,"10+")</f>
        <v>0-2</v>
      </c>
      <c r="AL729" t="str" cm="1">
        <f t="array" ref="AL7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9">
        <f>IF(HR_Employee_Attrition[[#This Row],[Attrition]]="Yes",1,0)</f>
        <v>0</v>
      </c>
    </row>
    <row r="730" spans="1:39" x14ac:dyDescent="0.3">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c r="AJ730" t="str">
        <f>IF(HR_Employee_Attrition[[#This Row],[Age]]&gt;60,"60+",IF(HR_Employee_Attrition[[#This Row],[Age]]&gt;=50,"50-59",IF(HR_Employee_Attrition[[#This Row],[Age]]&gt;=40,"40-49",IF(HR_Employee_Attrition[[#This Row],[Age]]&gt;=30,"30-39",IF(HR_Employee_Attrition[[#This Row],[Age]]&gt;=20,"20-29",IF(HR_Employee_Attrition[[#This Row],[Age]]&gt;=18,"18-20"))))))</f>
        <v>50-59</v>
      </c>
      <c r="AK730" t="str" cm="1">
        <f t="array" ref="AK730">_xlfn.IFS(HR_Employee_Attrition[[#This Row],[YearsAtCompany]]&lt;=2,"0-2",HR_Employee_Attrition[[#This Row],[YearsAtCompany]]&lt;=5,"3-5",HR_Employee_Attrition[[#This Row],[YearsAtCompany]]&lt;=10,"6-10",HR_Employee_Attrition[[#This Row],[YearsAtCompany]]&gt;10,"10+")</f>
        <v>6-10</v>
      </c>
      <c r="AL730" t="str" cm="1">
        <f t="array" ref="AL7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30">
        <f>IF(HR_Employee_Attrition[[#This Row],[Attrition]]="Yes",1,0)</f>
        <v>0</v>
      </c>
    </row>
    <row r="731" spans="1:39" x14ac:dyDescent="0.3">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c r="AJ731" t="str">
        <f>IF(HR_Employee_Attrition[[#This Row],[Age]]&gt;60,"60+",IF(HR_Employee_Attrition[[#This Row],[Age]]&gt;=50,"50-59",IF(HR_Employee_Attrition[[#This Row],[Age]]&gt;=40,"40-49",IF(HR_Employee_Attrition[[#This Row],[Age]]&gt;=30,"30-39",IF(HR_Employee_Attrition[[#This Row],[Age]]&gt;=20,"20-29",IF(HR_Employee_Attrition[[#This Row],[Age]]&gt;=18,"18-20"))))))</f>
        <v>30-39</v>
      </c>
      <c r="AK731" t="str" cm="1">
        <f t="array" ref="AK731">_xlfn.IFS(HR_Employee_Attrition[[#This Row],[YearsAtCompany]]&lt;=2,"0-2",HR_Employee_Attrition[[#This Row],[YearsAtCompany]]&lt;=5,"3-5",HR_Employee_Attrition[[#This Row],[YearsAtCompany]]&lt;=10,"6-10",HR_Employee_Attrition[[#This Row],[YearsAtCompany]]&gt;10,"10+")</f>
        <v>10+</v>
      </c>
      <c r="AL731" t="str" cm="1">
        <f t="array" ref="AL7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31">
        <f>IF(HR_Employee_Attrition[[#This Row],[Attrition]]="Yes",1,0)</f>
        <v>0</v>
      </c>
    </row>
    <row r="732" spans="1:39" x14ac:dyDescent="0.3">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c r="AJ732" t="str">
        <f>IF(HR_Employee_Attrition[[#This Row],[Age]]&gt;60,"60+",IF(HR_Employee_Attrition[[#This Row],[Age]]&gt;=50,"50-59",IF(HR_Employee_Attrition[[#This Row],[Age]]&gt;=40,"40-49",IF(HR_Employee_Attrition[[#This Row],[Age]]&gt;=30,"30-39",IF(HR_Employee_Attrition[[#This Row],[Age]]&gt;=20,"20-29",IF(HR_Employee_Attrition[[#This Row],[Age]]&gt;=18,"18-20"))))))</f>
        <v>30-39</v>
      </c>
      <c r="AK732" t="str" cm="1">
        <f t="array" ref="AK732">_xlfn.IFS(HR_Employee_Attrition[[#This Row],[YearsAtCompany]]&lt;=2,"0-2",HR_Employee_Attrition[[#This Row],[YearsAtCompany]]&lt;=5,"3-5",HR_Employee_Attrition[[#This Row],[YearsAtCompany]]&lt;=10,"6-10",HR_Employee_Attrition[[#This Row],[YearsAtCompany]]&gt;10,"10+")</f>
        <v>6-10</v>
      </c>
      <c r="AL732" t="str" cm="1">
        <f t="array" ref="AL7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32">
        <f>IF(HR_Employee_Attrition[[#This Row],[Attrition]]="Yes",1,0)</f>
        <v>0</v>
      </c>
    </row>
    <row r="733" spans="1:39" x14ac:dyDescent="0.3">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c r="AJ733" t="str">
        <f>IF(HR_Employee_Attrition[[#This Row],[Age]]&gt;60,"60+",IF(HR_Employee_Attrition[[#This Row],[Age]]&gt;=50,"50-59",IF(HR_Employee_Attrition[[#This Row],[Age]]&gt;=40,"40-49",IF(HR_Employee_Attrition[[#This Row],[Age]]&gt;=30,"30-39",IF(HR_Employee_Attrition[[#This Row],[Age]]&gt;=20,"20-29",IF(HR_Employee_Attrition[[#This Row],[Age]]&gt;=18,"18-20"))))))</f>
        <v>20-29</v>
      </c>
      <c r="AK733" t="str" cm="1">
        <f t="array" ref="AK733">_xlfn.IFS(HR_Employee_Attrition[[#This Row],[YearsAtCompany]]&lt;=2,"0-2",HR_Employee_Attrition[[#This Row],[YearsAtCompany]]&lt;=5,"3-5",HR_Employee_Attrition[[#This Row],[YearsAtCompany]]&lt;=10,"6-10",HR_Employee_Attrition[[#This Row],[YearsAtCompany]]&gt;10,"10+")</f>
        <v>0-2</v>
      </c>
      <c r="AL733" t="str" cm="1">
        <f t="array" ref="AL7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33">
        <f>IF(HR_Employee_Attrition[[#This Row],[Attrition]]="Yes",1,0)</f>
        <v>1</v>
      </c>
    </row>
    <row r="734" spans="1:39" x14ac:dyDescent="0.3">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c r="AJ734" t="str">
        <f>IF(HR_Employee_Attrition[[#This Row],[Age]]&gt;60,"60+",IF(HR_Employee_Attrition[[#This Row],[Age]]&gt;=50,"50-59",IF(HR_Employee_Attrition[[#This Row],[Age]]&gt;=40,"40-49",IF(HR_Employee_Attrition[[#This Row],[Age]]&gt;=30,"30-39",IF(HR_Employee_Attrition[[#This Row],[Age]]&gt;=20,"20-29",IF(HR_Employee_Attrition[[#This Row],[Age]]&gt;=18,"18-20"))))))</f>
        <v>30-39</v>
      </c>
      <c r="AK734" t="str" cm="1">
        <f t="array" ref="AK734">_xlfn.IFS(HR_Employee_Attrition[[#This Row],[YearsAtCompany]]&lt;=2,"0-2",HR_Employee_Attrition[[#This Row],[YearsAtCompany]]&lt;=5,"3-5",HR_Employee_Attrition[[#This Row],[YearsAtCompany]]&lt;=10,"6-10",HR_Employee_Attrition[[#This Row],[YearsAtCompany]]&gt;10,"10+")</f>
        <v>3-5</v>
      </c>
      <c r="AL734" t="str" cm="1">
        <f t="array" ref="AL7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34">
        <f>IF(HR_Employee_Attrition[[#This Row],[Attrition]]="Yes",1,0)</f>
        <v>1</v>
      </c>
    </row>
    <row r="735" spans="1:39" x14ac:dyDescent="0.3">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c r="AJ735" t="str">
        <f>IF(HR_Employee_Attrition[[#This Row],[Age]]&gt;60,"60+",IF(HR_Employee_Attrition[[#This Row],[Age]]&gt;=50,"50-59",IF(HR_Employee_Attrition[[#This Row],[Age]]&gt;=40,"40-49",IF(HR_Employee_Attrition[[#This Row],[Age]]&gt;=30,"30-39",IF(HR_Employee_Attrition[[#This Row],[Age]]&gt;=20,"20-29",IF(HR_Employee_Attrition[[#This Row],[Age]]&gt;=18,"18-20"))))))</f>
        <v>20-29</v>
      </c>
      <c r="AK735" t="str" cm="1">
        <f t="array" ref="AK735">_xlfn.IFS(HR_Employee_Attrition[[#This Row],[YearsAtCompany]]&lt;=2,"0-2",HR_Employee_Attrition[[#This Row],[YearsAtCompany]]&lt;=5,"3-5",HR_Employee_Attrition[[#This Row],[YearsAtCompany]]&lt;=10,"6-10",HR_Employee_Attrition[[#This Row],[YearsAtCompany]]&gt;10,"10+")</f>
        <v>6-10</v>
      </c>
      <c r="AL735" t="str" cm="1">
        <f t="array" ref="AL7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35">
        <f>IF(HR_Employee_Attrition[[#This Row],[Attrition]]="Yes",1,0)</f>
        <v>0</v>
      </c>
    </row>
    <row r="736" spans="1:39" x14ac:dyDescent="0.3">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c r="AJ736" t="str">
        <f>IF(HR_Employee_Attrition[[#This Row],[Age]]&gt;60,"60+",IF(HR_Employee_Attrition[[#This Row],[Age]]&gt;=50,"50-59",IF(HR_Employee_Attrition[[#This Row],[Age]]&gt;=40,"40-49",IF(HR_Employee_Attrition[[#This Row],[Age]]&gt;=30,"30-39",IF(HR_Employee_Attrition[[#This Row],[Age]]&gt;=20,"20-29",IF(HR_Employee_Attrition[[#This Row],[Age]]&gt;=18,"18-20"))))))</f>
        <v>20-29</v>
      </c>
      <c r="AK736" t="str" cm="1">
        <f t="array" ref="AK736">_xlfn.IFS(HR_Employee_Attrition[[#This Row],[YearsAtCompany]]&lt;=2,"0-2",HR_Employee_Attrition[[#This Row],[YearsAtCompany]]&lt;=5,"3-5",HR_Employee_Attrition[[#This Row],[YearsAtCompany]]&lt;=10,"6-10",HR_Employee_Attrition[[#This Row],[YearsAtCompany]]&gt;10,"10+")</f>
        <v>3-5</v>
      </c>
      <c r="AL736" t="str" cm="1">
        <f t="array" ref="AL7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36">
        <f>IF(HR_Employee_Attrition[[#This Row],[Attrition]]="Yes",1,0)</f>
        <v>0</v>
      </c>
    </row>
    <row r="737" spans="1:39" x14ac:dyDescent="0.3">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c r="AJ737" t="str">
        <f>IF(HR_Employee_Attrition[[#This Row],[Age]]&gt;60,"60+",IF(HR_Employee_Attrition[[#This Row],[Age]]&gt;=50,"50-59",IF(HR_Employee_Attrition[[#This Row],[Age]]&gt;=40,"40-49",IF(HR_Employee_Attrition[[#This Row],[Age]]&gt;=30,"30-39",IF(HR_Employee_Attrition[[#This Row],[Age]]&gt;=20,"20-29",IF(HR_Employee_Attrition[[#This Row],[Age]]&gt;=18,"18-20"))))))</f>
        <v>40-49</v>
      </c>
      <c r="AK737" t="str" cm="1">
        <f t="array" ref="AK737">_xlfn.IFS(HR_Employee_Attrition[[#This Row],[YearsAtCompany]]&lt;=2,"0-2",HR_Employee_Attrition[[#This Row],[YearsAtCompany]]&lt;=5,"3-5",HR_Employee_Attrition[[#This Row],[YearsAtCompany]]&lt;=10,"6-10",HR_Employee_Attrition[[#This Row],[YearsAtCompany]]&gt;10,"10+")</f>
        <v>0-2</v>
      </c>
      <c r="AL737" t="str" cm="1">
        <f t="array" ref="AL7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37">
        <f>IF(HR_Employee_Attrition[[#This Row],[Attrition]]="Yes",1,0)</f>
        <v>0</v>
      </c>
    </row>
    <row r="738" spans="1:39" x14ac:dyDescent="0.3">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c r="AJ738" t="str">
        <f>IF(HR_Employee_Attrition[[#This Row],[Age]]&gt;60,"60+",IF(HR_Employee_Attrition[[#This Row],[Age]]&gt;=50,"50-59",IF(HR_Employee_Attrition[[#This Row],[Age]]&gt;=40,"40-49",IF(HR_Employee_Attrition[[#This Row],[Age]]&gt;=30,"30-39",IF(HR_Employee_Attrition[[#This Row],[Age]]&gt;=20,"20-29",IF(HR_Employee_Attrition[[#This Row],[Age]]&gt;=18,"18-20"))))))</f>
        <v>40-49</v>
      </c>
      <c r="AK738" t="str" cm="1">
        <f t="array" ref="AK738">_xlfn.IFS(HR_Employee_Attrition[[#This Row],[YearsAtCompany]]&lt;=2,"0-2",HR_Employee_Attrition[[#This Row],[YearsAtCompany]]&lt;=5,"3-5",HR_Employee_Attrition[[#This Row],[YearsAtCompany]]&lt;=10,"6-10",HR_Employee_Attrition[[#This Row],[YearsAtCompany]]&gt;10,"10+")</f>
        <v>10+</v>
      </c>
      <c r="AL738" t="str" cm="1">
        <f t="array" ref="AL7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38">
        <f>IF(HR_Employee_Attrition[[#This Row],[Attrition]]="Yes",1,0)</f>
        <v>0</v>
      </c>
    </row>
    <row r="739" spans="1:39" x14ac:dyDescent="0.3">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c r="AJ739" t="str">
        <f>IF(HR_Employee_Attrition[[#This Row],[Age]]&gt;60,"60+",IF(HR_Employee_Attrition[[#This Row],[Age]]&gt;=50,"50-59",IF(HR_Employee_Attrition[[#This Row],[Age]]&gt;=40,"40-49",IF(HR_Employee_Attrition[[#This Row],[Age]]&gt;=30,"30-39",IF(HR_Employee_Attrition[[#This Row],[Age]]&gt;=20,"20-29",IF(HR_Employee_Attrition[[#This Row],[Age]]&gt;=18,"18-20"))))))</f>
        <v>40-49</v>
      </c>
      <c r="AK739" t="str" cm="1">
        <f t="array" ref="AK739">_xlfn.IFS(HR_Employee_Attrition[[#This Row],[YearsAtCompany]]&lt;=2,"0-2",HR_Employee_Attrition[[#This Row],[YearsAtCompany]]&lt;=5,"3-5",HR_Employee_Attrition[[#This Row],[YearsAtCompany]]&lt;=10,"6-10",HR_Employee_Attrition[[#This Row],[YearsAtCompany]]&gt;10,"10+")</f>
        <v>0-2</v>
      </c>
      <c r="AL739" t="str" cm="1">
        <f t="array" ref="AL7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39">
        <f>IF(HR_Employee_Attrition[[#This Row],[Attrition]]="Yes",1,0)</f>
        <v>0</v>
      </c>
    </row>
    <row r="740" spans="1:39" x14ac:dyDescent="0.3">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c r="AJ740" t="str">
        <f>IF(HR_Employee_Attrition[[#This Row],[Age]]&gt;60,"60+",IF(HR_Employee_Attrition[[#This Row],[Age]]&gt;=50,"50-59",IF(HR_Employee_Attrition[[#This Row],[Age]]&gt;=40,"40-49",IF(HR_Employee_Attrition[[#This Row],[Age]]&gt;=30,"30-39",IF(HR_Employee_Attrition[[#This Row],[Age]]&gt;=20,"20-29",IF(HR_Employee_Attrition[[#This Row],[Age]]&gt;=18,"18-20"))))))</f>
        <v>30-39</v>
      </c>
      <c r="AK740" t="str" cm="1">
        <f t="array" ref="AK740">_xlfn.IFS(HR_Employee_Attrition[[#This Row],[YearsAtCompany]]&lt;=2,"0-2",HR_Employee_Attrition[[#This Row],[YearsAtCompany]]&lt;=5,"3-5",HR_Employee_Attrition[[#This Row],[YearsAtCompany]]&lt;=10,"6-10",HR_Employee_Attrition[[#This Row],[YearsAtCompany]]&gt;10,"10+")</f>
        <v>10+</v>
      </c>
      <c r="AL740" t="str" cm="1">
        <f t="array" ref="AL7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40">
        <f>IF(HR_Employee_Attrition[[#This Row],[Attrition]]="Yes",1,0)</f>
        <v>0</v>
      </c>
    </row>
    <row r="741" spans="1:39" x14ac:dyDescent="0.3">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c r="AJ741" t="str">
        <f>IF(HR_Employee_Attrition[[#This Row],[Age]]&gt;60,"60+",IF(HR_Employee_Attrition[[#This Row],[Age]]&gt;=50,"50-59",IF(HR_Employee_Attrition[[#This Row],[Age]]&gt;=40,"40-49",IF(HR_Employee_Attrition[[#This Row],[Age]]&gt;=30,"30-39",IF(HR_Employee_Attrition[[#This Row],[Age]]&gt;=20,"20-29",IF(HR_Employee_Attrition[[#This Row],[Age]]&gt;=18,"18-20"))))))</f>
        <v>20-29</v>
      </c>
      <c r="AK741" t="str" cm="1">
        <f t="array" ref="AK741">_xlfn.IFS(HR_Employee_Attrition[[#This Row],[YearsAtCompany]]&lt;=2,"0-2",HR_Employee_Attrition[[#This Row],[YearsAtCompany]]&lt;=5,"3-5",HR_Employee_Attrition[[#This Row],[YearsAtCompany]]&lt;=10,"6-10",HR_Employee_Attrition[[#This Row],[YearsAtCompany]]&gt;10,"10+")</f>
        <v>3-5</v>
      </c>
      <c r="AL741" t="str" cm="1">
        <f t="array" ref="AL7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41">
        <f>IF(HR_Employee_Attrition[[#This Row],[Attrition]]="Yes",1,0)</f>
        <v>0</v>
      </c>
    </row>
    <row r="742" spans="1:39" x14ac:dyDescent="0.3">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c r="AJ742" t="str">
        <f>IF(HR_Employee_Attrition[[#This Row],[Age]]&gt;60,"60+",IF(HR_Employee_Attrition[[#This Row],[Age]]&gt;=50,"50-59",IF(HR_Employee_Attrition[[#This Row],[Age]]&gt;=40,"40-49",IF(HR_Employee_Attrition[[#This Row],[Age]]&gt;=30,"30-39",IF(HR_Employee_Attrition[[#This Row],[Age]]&gt;=20,"20-29",IF(HR_Employee_Attrition[[#This Row],[Age]]&gt;=18,"18-20"))))))</f>
        <v>30-39</v>
      </c>
      <c r="AK742" t="str" cm="1">
        <f t="array" ref="AK742">_xlfn.IFS(HR_Employee_Attrition[[#This Row],[YearsAtCompany]]&lt;=2,"0-2",HR_Employee_Attrition[[#This Row],[YearsAtCompany]]&lt;=5,"3-5",HR_Employee_Attrition[[#This Row],[YearsAtCompany]]&lt;=10,"6-10",HR_Employee_Attrition[[#This Row],[YearsAtCompany]]&gt;10,"10+")</f>
        <v>3-5</v>
      </c>
      <c r="AL742" t="str" cm="1">
        <f t="array" ref="AL7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42">
        <f>IF(HR_Employee_Attrition[[#This Row],[Attrition]]="Yes",1,0)</f>
        <v>0</v>
      </c>
    </row>
    <row r="743" spans="1:39" x14ac:dyDescent="0.3">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c r="AJ743" t="str">
        <f>IF(HR_Employee_Attrition[[#This Row],[Age]]&gt;60,"60+",IF(HR_Employee_Attrition[[#This Row],[Age]]&gt;=50,"50-59",IF(HR_Employee_Attrition[[#This Row],[Age]]&gt;=40,"40-49",IF(HR_Employee_Attrition[[#This Row],[Age]]&gt;=30,"30-39",IF(HR_Employee_Attrition[[#This Row],[Age]]&gt;=20,"20-29",IF(HR_Employee_Attrition[[#This Row],[Age]]&gt;=18,"18-20"))))))</f>
        <v>40-49</v>
      </c>
      <c r="AK743" t="str" cm="1">
        <f t="array" ref="AK743">_xlfn.IFS(HR_Employee_Attrition[[#This Row],[YearsAtCompany]]&lt;=2,"0-2",HR_Employee_Attrition[[#This Row],[YearsAtCompany]]&lt;=5,"3-5",HR_Employee_Attrition[[#This Row],[YearsAtCompany]]&lt;=10,"6-10",HR_Employee_Attrition[[#This Row],[YearsAtCompany]]&gt;10,"10+")</f>
        <v>0-2</v>
      </c>
      <c r="AL743" t="str" cm="1">
        <f t="array" ref="AL7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43">
        <f>IF(HR_Employee_Attrition[[#This Row],[Attrition]]="Yes",1,0)</f>
        <v>0</v>
      </c>
    </row>
    <row r="744" spans="1:39" x14ac:dyDescent="0.3">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c r="AJ744" t="str">
        <f>IF(HR_Employee_Attrition[[#This Row],[Age]]&gt;60,"60+",IF(HR_Employee_Attrition[[#This Row],[Age]]&gt;=50,"50-59",IF(HR_Employee_Attrition[[#This Row],[Age]]&gt;=40,"40-49",IF(HR_Employee_Attrition[[#This Row],[Age]]&gt;=30,"30-39",IF(HR_Employee_Attrition[[#This Row],[Age]]&gt;=20,"20-29",IF(HR_Employee_Attrition[[#This Row],[Age]]&gt;=18,"18-20"))))))</f>
        <v>50-59</v>
      </c>
      <c r="AK744" t="str" cm="1">
        <f t="array" ref="AK744">_xlfn.IFS(HR_Employee_Attrition[[#This Row],[YearsAtCompany]]&lt;=2,"0-2",HR_Employee_Attrition[[#This Row],[YearsAtCompany]]&lt;=5,"3-5",HR_Employee_Attrition[[#This Row],[YearsAtCompany]]&lt;=10,"6-10",HR_Employee_Attrition[[#This Row],[YearsAtCompany]]&gt;10,"10+")</f>
        <v>0-2</v>
      </c>
      <c r="AL744" t="str" cm="1">
        <f t="array" ref="AL7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44">
        <f>IF(HR_Employee_Attrition[[#This Row],[Attrition]]="Yes",1,0)</f>
        <v>0</v>
      </c>
    </row>
    <row r="745" spans="1:39" x14ac:dyDescent="0.3">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c r="AJ745" t="str">
        <f>IF(HR_Employee_Attrition[[#This Row],[Age]]&gt;60,"60+",IF(HR_Employee_Attrition[[#This Row],[Age]]&gt;=50,"50-59",IF(HR_Employee_Attrition[[#This Row],[Age]]&gt;=40,"40-49",IF(HR_Employee_Attrition[[#This Row],[Age]]&gt;=30,"30-39",IF(HR_Employee_Attrition[[#This Row],[Age]]&gt;=20,"20-29",IF(HR_Employee_Attrition[[#This Row],[Age]]&gt;=18,"18-20"))))))</f>
        <v>50-59</v>
      </c>
      <c r="AK745" t="str" cm="1">
        <f t="array" ref="AK745">_xlfn.IFS(HR_Employee_Attrition[[#This Row],[YearsAtCompany]]&lt;=2,"0-2",HR_Employee_Attrition[[#This Row],[YearsAtCompany]]&lt;=5,"3-5",HR_Employee_Attrition[[#This Row],[YearsAtCompany]]&lt;=10,"6-10",HR_Employee_Attrition[[#This Row],[YearsAtCompany]]&gt;10,"10+")</f>
        <v>3-5</v>
      </c>
      <c r="AL745" t="str" cm="1">
        <f t="array" ref="AL7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45">
        <f>IF(HR_Employee_Attrition[[#This Row],[Attrition]]="Yes",1,0)</f>
        <v>0</v>
      </c>
    </row>
    <row r="746" spans="1:39" x14ac:dyDescent="0.3">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c r="AJ746" t="str">
        <f>IF(HR_Employee_Attrition[[#This Row],[Age]]&gt;60,"60+",IF(HR_Employee_Attrition[[#This Row],[Age]]&gt;=50,"50-59",IF(HR_Employee_Attrition[[#This Row],[Age]]&gt;=40,"40-49",IF(HR_Employee_Attrition[[#This Row],[Age]]&gt;=30,"30-39",IF(HR_Employee_Attrition[[#This Row],[Age]]&gt;=20,"20-29",IF(HR_Employee_Attrition[[#This Row],[Age]]&gt;=18,"18-20"))))))</f>
        <v>30-39</v>
      </c>
      <c r="AK746" t="str" cm="1">
        <f t="array" ref="AK746">_xlfn.IFS(HR_Employee_Attrition[[#This Row],[YearsAtCompany]]&lt;=2,"0-2",HR_Employee_Attrition[[#This Row],[YearsAtCompany]]&lt;=5,"3-5",HR_Employee_Attrition[[#This Row],[YearsAtCompany]]&lt;=10,"6-10",HR_Employee_Attrition[[#This Row],[YearsAtCompany]]&gt;10,"10+")</f>
        <v>0-2</v>
      </c>
      <c r="AL746" t="str" cm="1">
        <f t="array" ref="AL7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46">
        <f>IF(HR_Employee_Attrition[[#This Row],[Attrition]]="Yes",1,0)</f>
        <v>1</v>
      </c>
    </row>
    <row r="747" spans="1:39" x14ac:dyDescent="0.3">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c r="AJ747" t="str">
        <f>IF(HR_Employee_Attrition[[#This Row],[Age]]&gt;60,"60+",IF(HR_Employee_Attrition[[#This Row],[Age]]&gt;=50,"50-59",IF(HR_Employee_Attrition[[#This Row],[Age]]&gt;=40,"40-49",IF(HR_Employee_Attrition[[#This Row],[Age]]&gt;=30,"30-39",IF(HR_Employee_Attrition[[#This Row],[Age]]&gt;=20,"20-29",IF(HR_Employee_Attrition[[#This Row],[Age]]&gt;=18,"18-20"))))))</f>
        <v>50-59</v>
      </c>
      <c r="AK747" t="str" cm="1">
        <f t="array" ref="AK747">_xlfn.IFS(HR_Employee_Attrition[[#This Row],[YearsAtCompany]]&lt;=2,"0-2",HR_Employee_Attrition[[#This Row],[YearsAtCompany]]&lt;=5,"3-5",HR_Employee_Attrition[[#This Row],[YearsAtCompany]]&lt;=10,"6-10",HR_Employee_Attrition[[#This Row],[YearsAtCompany]]&gt;10,"10+")</f>
        <v>6-10</v>
      </c>
      <c r="AL747" t="str" cm="1">
        <f t="array" ref="AL7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47">
        <f>IF(HR_Employee_Attrition[[#This Row],[Attrition]]="Yes",1,0)</f>
        <v>0</v>
      </c>
    </row>
    <row r="748" spans="1:39" x14ac:dyDescent="0.3">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c r="AJ748" t="str">
        <f>IF(HR_Employee_Attrition[[#This Row],[Age]]&gt;60,"60+",IF(HR_Employee_Attrition[[#This Row],[Age]]&gt;=50,"50-59",IF(HR_Employee_Attrition[[#This Row],[Age]]&gt;=40,"40-49",IF(HR_Employee_Attrition[[#This Row],[Age]]&gt;=30,"30-39",IF(HR_Employee_Attrition[[#This Row],[Age]]&gt;=20,"20-29",IF(HR_Employee_Attrition[[#This Row],[Age]]&gt;=18,"18-20"))))))</f>
        <v>40-49</v>
      </c>
      <c r="AK748" t="str" cm="1">
        <f t="array" ref="AK748">_xlfn.IFS(HR_Employee_Attrition[[#This Row],[YearsAtCompany]]&lt;=2,"0-2",HR_Employee_Attrition[[#This Row],[YearsAtCompany]]&lt;=5,"3-5",HR_Employee_Attrition[[#This Row],[YearsAtCompany]]&lt;=10,"6-10",HR_Employee_Attrition[[#This Row],[YearsAtCompany]]&gt;10,"10+")</f>
        <v>10+</v>
      </c>
      <c r="AL748" t="str" cm="1">
        <f t="array" ref="AL7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48">
        <f>IF(HR_Employee_Attrition[[#This Row],[Attrition]]="Yes",1,0)</f>
        <v>0</v>
      </c>
    </row>
    <row r="749" spans="1:39" x14ac:dyDescent="0.3">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c r="AJ749" t="str">
        <f>IF(HR_Employee_Attrition[[#This Row],[Age]]&gt;60,"60+",IF(HR_Employee_Attrition[[#This Row],[Age]]&gt;=50,"50-59",IF(HR_Employee_Attrition[[#This Row],[Age]]&gt;=40,"40-49",IF(HR_Employee_Attrition[[#This Row],[Age]]&gt;=30,"30-39",IF(HR_Employee_Attrition[[#This Row],[Age]]&gt;=20,"20-29",IF(HR_Employee_Attrition[[#This Row],[Age]]&gt;=18,"18-20"))))))</f>
        <v>30-39</v>
      </c>
      <c r="AK749" t="str" cm="1">
        <f t="array" ref="AK749">_xlfn.IFS(HR_Employee_Attrition[[#This Row],[YearsAtCompany]]&lt;=2,"0-2",HR_Employee_Attrition[[#This Row],[YearsAtCompany]]&lt;=5,"3-5",HR_Employee_Attrition[[#This Row],[YearsAtCompany]]&lt;=10,"6-10",HR_Employee_Attrition[[#This Row],[YearsAtCompany]]&gt;10,"10+")</f>
        <v>0-2</v>
      </c>
      <c r="AL749" t="str" cm="1">
        <f t="array" ref="AL7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49">
        <f>IF(HR_Employee_Attrition[[#This Row],[Attrition]]="Yes",1,0)</f>
        <v>0</v>
      </c>
    </row>
    <row r="750" spans="1:39" x14ac:dyDescent="0.3">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c r="AJ750" t="str">
        <f>IF(HR_Employee_Attrition[[#This Row],[Age]]&gt;60,"60+",IF(HR_Employee_Attrition[[#This Row],[Age]]&gt;=50,"50-59",IF(HR_Employee_Attrition[[#This Row],[Age]]&gt;=40,"40-49",IF(HR_Employee_Attrition[[#This Row],[Age]]&gt;=30,"30-39",IF(HR_Employee_Attrition[[#This Row],[Age]]&gt;=20,"20-29",IF(HR_Employee_Attrition[[#This Row],[Age]]&gt;=18,"18-20"))))))</f>
        <v>20-29</v>
      </c>
      <c r="AK750" t="str" cm="1">
        <f t="array" ref="AK750">_xlfn.IFS(HR_Employee_Attrition[[#This Row],[YearsAtCompany]]&lt;=2,"0-2",HR_Employee_Attrition[[#This Row],[YearsAtCompany]]&lt;=5,"3-5",HR_Employee_Attrition[[#This Row],[YearsAtCompany]]&lt;=10,"6-10",HR_Employee_Attrition[[#This Row],[YearsAtCompany]]&gt;10,"10+")</f>
        <v>0-2</v>
      </c>
      <c r="AL750" t="str" cm="1">
        <f t="array" ref="AL7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50">
        <f>IF(HR_Employee_Attrition[[#This Row],[Attrition]]="Yes",1,0)</f>
        <v>1</v>
      </c>
    </row>
    <row r="751" spans="1:39" x14ac:dyDescent="0.3">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c r="AJ751" t="str">
        <f>IF(HR_Employee_Attrition[[#This Row],[Age]]&gt;60,"60+",IF(HR_Employee_Attrition[[#This Row],[Age]]&gt;=50,"50-59",IF(HR_Employee_Attrition[[#This Row],[Age]]&gt;=40,"40-49",IF(HR_Employee_Attrition[[#This Row],[Age]]&gt;=30,"30-39",IF(HR_Employee_Attrition[[#This Row],[Age]]&gt;=20,"20-29",IF(HR_Employee_Attrition[[#This Row],[Age]]&gt;=18,"18-20"))))))</f>
        <v>50-59</v>
      </c>
      <c r="AK751" t="str" cm="1">
        <f t="array" ref="AK751">_xlfn.IFS(HR_Employee_Attrition[[#This Row],[YearsAtCompany]]&lt;=2,"0-2",HR_Employee_Attrition[[#This Row],[YearsAtCompany]]&lt;=5,"3-5",HR_Employee_Attrition[[#This Row],[YearsAtCompany]]&lt;=10,"6-10",HR_Employee_Attrition[[#This Row],[YearsAtCompany]]&gt;10,"10+")</f>
        <v>10+</v>
      </c>
      <c r="AL751" t="str" cm="1">
        <f t="array" ref="AL7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51">
        <f>IF(HR_Employee_Attrition[[#This Row],[Attrition]]="Yes",1,0)</f>
        <v>1</v>
      </c>
    </row>
    <row r="752" spans="1:39" x14ac:dyDescent="0.3">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c r="AJ752" t="str">
        <f>IF(HR_Employee_Attrition[[#This Row],[Age]]&gt;60,"60+",IF(HR_Employee_Attrition[[#This Row],[Age]]&gt;=50,"50-59",IF(HR_Employee_Attrition[[#This Row],[Age]]&gt;=40,"40-49",IF(HR_Employee_Attrition[[#This Row],[Age]]&gt;=30,"30-39",IF(HR_Employee_Attrition[[#This Row],[Age]]&gt;=20,"20-29",IF(HR_Employee_Attrition[[#This Row],[Age]]&gt;=18,"18-20"))))))</f>
        <v>40-49</v>
      </c>
      <c r="AK752" t="str" cm="1">
        <f t="array" ref="AK752">_xlfn.IFS(HR_Employee_Attrition[[#This Row],[YearsAtCompany]]&lt;=2,"0-2",HR_Employee_Attrition[[#This Row],[YearsAtCompany]]&lt;=5,"3-5",HR_Employee_Attrition[[#This Row],[YearsAtCompany]]&lt;=10,"6-10",HR_Employee_Attrition[[#This Row],[YearsAtCompany]]&gt;10,"10+")</f>
        <v>10+</v>
      </c>
      <c r="AL752" t="str" cm="1">
        <f t="array" ref="AL7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52">
        <f>IF(HR_Employee_Attrition[[#This Row],[Attrition]]="Yes",1,0)</f>
        <v>0</v>
      </c>
    </row>
    <row r="753" spans="1:39" x14ac:dyDescent="0.3">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c r="AJ753" t="str">
        <f>IF(HR_Employee_Attrition[[#This Row],[Age]]&gt;60,"60+",IF(HR_Employee_Attrition[[#This Row],[Age]]&gt;=50,"50-59",IF(HR_Employee_Attrition[[#This Row],[Age]]&gt;=40,"40-49",IF(HR_Employee_Attrition[[#This Row],[Age]]&gt;=30,"30-39",IF(HR_Employee_Attrition[[#This Row],[Age]]&gt;=20,"20-29",IF(HR_Employee_Attrition[[#This Row],[Age]]&gt;=18,"18-20"))))))</f>
        <v>50-59</v>
      </c>
      <c r="AK753" t="str" cm="1">
        <f t="array" ref="AK753">_xlfn.IFS(HR_Employee_Attrition[[#This Row],[YearsAtCompany]]&lt;=2,"0-2",HR_Employee_Attrition[[#This Row],[YearsAtCompany]]&lt;=5,"3-5",HR_Employee_Attrition[[#This Row],[YearsAtCompany]]&lt;=10,"6-10",HR_Employee_Attrition[[#This Row],[YearsAtCompany]]&gt;10,"10+")</f>
        <v>10+</v>
      </c>
      <c r="AL753" t="str" cm="1">
        <f t="array" ref="AL7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53">
        <f>IF(HR_Employee_Attrition[[#This Row],[Attrition]]="Yes",1,0)</f>
        <v>0</v>
      </c>
    </row>
    <row r="754" spans="1:39" x14ac:dyDescent="0.3">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c r="AJ754" t="str">
        <f>IF(HR_Employee_Attrition[[#This Row],[Age]]&gt;60,"60+",IF(HR_Employee_Attrition[[#This Row],[Age]]&gt;=50,"50-59",IF(HR_Employee_Attrition[[#This Row],[Age]]&gt;=40,"40-49",IF(HR_Employee_Attrition[[#This Row],[Age]]&gt;=30,"30-39",IF(HR_Employee_Attrition[[#This Row],[Age]]&gt;=20,"20-29",IF(HR_Employee_Attrition[[#This Row],[Age]]&gt;=18,"18-20"))))))</f>
        <v>30-39</v>
      </c>
      <c r="AK754" t="str" cm="1">
        <f t="array" ref="AK754">_xlfn.IFS(HR_Employee_Attrition[[#This Row],[YearsAtCompany]]&lt;=2,"0-2",HR_Employee_Attrition[[#This Row],[YearsAtCompany]]&lt;=5,"3-5",HR_Employee_Attrition[[#This Row],[YearsAtCompany]]&lt;=10,"6-10",HR_Employee_Attrition[[#This Row],[YearsAtCompany]]&gt;10,"10+")</f>
        <v>10+</v>
      </c>
      <c r="AL754" t="str" cm="1">
        <f t="array" ref="AL7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54">
        <f>IF(HR_Employee_Attrition[[#This Row],[Attrition]]="Yes",1,0)</f>
        <v>1</v>
      </c>
    </row>
    <row r="755" spans="1:39" x14ac:dyDescent="0.3">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c r="AJ755" t="str">
        <f>IF(HR_Employee_Attrition[[#This Row],[Age]]&gt;60,"60+",IF(HR_Employee_Attrition[[#This Row],[Age]]&gt;=50,"50-59",IF(HR_Employee_Attrition[[#This Row],[Age]]&gt;=40,"40-49",IF(HR_Employee_Attrition[[#This Row],[Age]]&gt;=30,"30-39",IF(HR_Employee_Attrition[[#This Row],[Age]]&gt;=20,"20-29",IF(HR_Employee_Attrition[[#This Row],[Age]]&gt;=18,"18-20"))))))</f>
        <v>30-39</v>
      </c>
      <c r="AK755" t="str" cm="1">
        <f t="array" ref="AK755">_xlfn.IFS(HR_Employee_Attrition[[#This Row],[YearsAtCompany]]&lt;=2,"0-2",HR_Employee_Attrition[[#This Row],[YearsAtCompany]]&lt;=5,"3-5",HR_Employee_Attrition[[#This Row],[YearsAtCompany]]&lt;=10,"6-10",HR_Employee_Attrition[[#This Row],[YearsAtCompany]]&gt;10,"10+")</f>
        <v>10+</v>
      </c>
      <c r="AL755" t="str" cm="1">
        <f t="array" ref="AL7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55">
        <f>IF(HR_Employee_Attrition[[#This Row],[Attrition]]="Yes",1,0)</f>
        <v>0</v>
      </c>
    </row>
    <row r="756" spans="1:39" x14ac:dyDescent="0.3">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c r="AJ756" t="str">
        <f>IF(HR_Employee_Attrition[[#This Row],[Age]]&gt;60,"60+",IF(HR_Employee_Attrition[[#This Row],[Age]]&gt;=50,"50-59",IF(HR_Employee_Attrition[[#This Row],[Age]]&gt;=40,"40-49",IF(HR_Employee_Attrition[[#This Row],[Age]]&gt;=30,"30-39",IF(HR_Employee_Attrition[[#This Row],[Age]]&gt;=20,"20-29",IF(HR_Employee_Attrition[[#This Row],[Age]]&gt;=18,"18-20"))))))</f>
        <v>30-39</v>
      </c>
      <c r="AK756" t="str" cm="1">
        <f t="array" ref="AK756">_xlfn.IFS(HR_Employee_Attrition[[#This Row],[YearsAtCompany]]&lt;=2,"0-2",HR_Employee_Attrition[[#This Row],[YearsAtCompany]]&lt;=5,"3-5",HR_Employee_Attrition[[#This Row],[YearsAtCompany]]&lt;=10,"6-10",HR_Employee_Attrition[[#This Row],[YearsAtCompany]]&gt;10,"10+")</f>
        <v>0-2</v>
      </c>
      <c r="AL756" t="str" cm="1">
        <f t="array" ref="AL7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56">
        <f>IF(HR_Employee_Attrition[[#This Row],[Attrition]]="Yes",1,0)</f>
        <v>0</v>
      </c>
    </row>
    <row r="757" spans="1:39" x14ac:dyDescent="0.3">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c r="AJ757" t="str">
        <f>IF(HR_Employee_Attrition[[#This Row],[Age]]&gt;60,"60+",IF(HR_Employee_Attrition[[#This Row],[Age]]&gt;=50,"50-59",IF(HR_Employee_Attrition[[#This Row],[Age]]&gt;=40,"40-49",IF(HR_Employee_Attrition[[#This Row],[Age]]&gt;=30,"30-39",IF(HR_Employee_Attrition[[#This Row],[Age]]&gt;=20,"20-29",IF(HR_Employee_Attrition[[#This Row],[Age]]&gt;=18,"18-20"))))))</f>
        <v>40-49</v>
      </c>
      <c r="AK757" t="str" cm="1">
        <f t="array" ref="AK757">_xlfn.IFS(HR_Employee_Attrition[[#This Row],[YearsAtCompany]]&lt;=2,"0-2",HR_Employee_Attrition[[#This Row],[YearsAtCompany]]&lt;=5,"3-5",HR_Employee_Attrition[[#This Row],[YearsAtCompany]]&lt;=10,"6-10",HR_Employee_Attrition[[#This Row],[YearsAtCompany]]&gt;10,"10+")</f>
        <v>6-10</v>
      </c>
      <c r="AL757" t="str" cm="1">
        <f t="array" ref="AL7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57">
        <f>IF(HR_Employee_Attrition[[#This Row],[Attrition]]="Yes",1,0)</f>
        <v>0</v>
      </c>
    </row>
    <row r="758" spans="1:39" x14ac:dyDescent="0.3">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c r="AJ758" t="str">
        <f>IF(HR_Employee_Attrition[[#This Row],[Age]]&gt;60,"60+",IF(HR_Employee_Attrition[[#This Row],[Age]]&gt;=50,"50-59",IF(HR_Employee_Attrition[[#This Row],[Age]]&gt;=40,"40-49",IF(HR_Employee_Attrition[[#This Row],[Age]]&gt;=30,"30-39",IF(HR_Employee_Attrition[[#This Row],[Age]]&gt;=20,"20-29",IF(HR_Employee_Attrition[[#This Row],[Age]]&gt;=18,"18-20"))))))</f>
        <v>30-39</v>
      </c>
      <c r="AK758" t="str" cm="1">
        <f t="array" ref="AK758">_xlfn.IFS(HR_Employee_Attrition[[#This Row],[YearsAtCompany]]&lt;=2,"0-2",HR_Employee_Attrition[[#This Row],[YearsAtCompany]]&lt;=5,"3-5",HR_Employee_Attrition[[#This Row],[YearsAtCompany]]&lt;=10,"6-10",HR_Employee_Attrition[[#This Row],[YearsAtCompany]]&gt;10,"10+")</f>
        <v>6-10</v>
      </c>
      <c r="AL758" t="str" cm="1">
        <f t="array" ref="AL7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58">
        <f>IF(HR_Employee_Attrition[[#This Row],[Attrition]]="Yes",1,0)</f>
        <v>0</v>
      </c>
    </row>
    <row r="759" spans="1:39" x14ac:dyDescent="0.3">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c r="AJ759" t="str">
        <f>IF(HR_Employee_Attrition[[#This Row],[Age]]&gt;60,"60+",IF(HR_Employee_Attrition[[#This Row],[Age]]&gt;=50,"50-59",IF(HR_Employee_Attrition[[#This Row],[Age]]&gt;=40,"40-49",IF(HR_Employee_Attrition[[#This Row],[Age]]&gt;=30,"30-39",IF(HR_Employee_Attrition[[#This Row],[Age]]&gt;=20,"20-29",IF(HR_Employee_Attrition[[#This Row],[Age]]&gt;=18,"18-20"))))))</f>
        <v>30-39</v>
      </c>
      <c r="AK759" t="str" cm="1">
        <f t="array" ref="AK759">_xlfn.IFS(HR_Employee_Attrition[[#This Row],[YearsAtCompany]]&lt;=2,"0-2",HR_Employee_Attrition[[#This Row],[YearsAtCompany]]&lt;=5,"3-5",HR_Employee_Attrition[[#This Row],[YearsAtCompany]]&lt;=10,"6-10",HR_Employee_Attrition[[#This Row],[YearsAtCompany]]&gt;10,"10+")</f>
        <v>10+</v>
      </c>
      <c r="AL759" t="str" cm="1">
        <f t="array" ref="AL7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59">
        <f>IF(HR_Employee_Attrition[[#This Row],[Attrition]]="Yes",1,0)</f>
        <v>0</v>
      </c>
    </row>
    <row r="760" spans="1:39" x14ac:dyDescent="0.3">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c r="AJ760" t="str">
        <f>IF(HR_Employee_Attrition[[#This Row],[Age]]&gt;60,"60+",IF(HR_Employee_Attrition[[#This Row],[Age]]&gt;=50,"50-59",IF(HR_Employee_Attrition[[#This Row],[Age]]&gt;=40,"40-49",IF(HR_Employee_Attrition[[#This Row],[Age]]&gt;=30,"30-39",IF(HR_Employee_Attrition[[#This Row],[Age]]&gt;=20,"20-29",IF(HR_Employee_Attrition[[#This Row],[Age]]&gt;=18,"18-20"))))))</f>
        <v>50-59</v>
      </c>
      <c r="AK760" t="str" cm="1">
        <f t="array" ref="AK760">_xlfn.IFS(HR_Employee_Attrition[[#This Row],[YearsAtCompany]]&lt;=2,"0-2",HR_Employee_Attrition[[#This Row],[YearsAtCompany]]&lt;=5,"3-5",HR_Employee_Attrition[[#This Row],[YearsAtCompany]]&lt;=10,"6-10",HR_Employee_Attrition[[#This Row],[YearsAtCompany]]&gt;10,"10+")</f>
        <v>6-10</v>
      </c>
      <c r="AL760" t="str" cm="1">
        <f t="array" ref="AL7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60">
        <f>IF(HR_Employee_Attrition[[#This Row],[Attrition]]="Yes",1,0)</f>
        <v>0</v>
      </c>
    </row>
    <row r="761" spans="1:39" x14ac:dyDescent="0.3">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c r="AJ761" t="str">
        <f>IF(HR_Employee_Attrition[[#This Row],[Age]]&gt;60,"60+",IF(HR_Employee_Attrition[[#This Row],[Age]]&gt;=50,"50-59",IF(HR_Employee_Attrition[[#This Row],[Age]]&gt;=40,"40-49",IF(HR_Employee_Attrition[[#This Row],[Age]]&gt;=30,"30-39",IF(HR_Employee_Attrition[[#This Row],[Age]]&gt;=20,"20-29",IF(HR_Employee_Attrition[[#This Row],[Age]]&gt;=18,"18-20"))))))</f>
        <v>40-49</v>
      </c>
      <c r="AK761" t="str" cm="1">
        <f t="array" ref="AK761">_xlfn.IFS(HR_Employee_Attrition[[#This Row],[YearsAtCompany]]&lt;=2,"0-2",HR_Employee_Attrition[[#This Row],[YearsAtCompany]]&lt;=5,"3-5",HR_Employee_Attrition[[#This Row],[YearsAtCompany]]&lt;=10,"6-10",HR_Employee_Attrition[[#This Row],[YearsAtCompany]]&gt;10,"10+")</f>
        <v>6-10</v>
      </c>
      <c r="AL761" t="str" cm="1">
        <f t="array" ref="AL7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1">
        <f>IF(HR_Employee_Attrition[[#This Row],[Attrition]]="Yes",1,0)</f>
        <v>0</v>
      </c>
    </row>
    <row r="762" spans="1:39" x14ac:dyDescent="0.3">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c r="AJ762" t="str">
        <f>IF(HR_Employee_Attrition[[#This Row],[Age]]&gt;60,"60+",IF(HR_Employee_Attrition[[#This Row],[Age]]&gt;=50,"50-59",IF(HR_Employee_Attrition[[#This Row],[Age]]&gt;=40,"40-49",IF(HR_Employee_Attrition[[#This Row],[Age]]&gt;=30,"30-39",IF(HR_Employee_Attrition[[#This Row],[Age]]&gt;=20,"20-29",IF(HR_Employee_Attrition[[#This Row],[Age]]&gt;=18,"18-20"))))))</f>
        <v>50-59</v>
      </c>
      <c r="AK762" t="str" cm="1">
        <f t="array" ref="AK762">_xlfn.IFS(HR_Employee_Attrition[[#This Row],[YearsAtCompany]]&lt;=2,"0-2",HR_Employee_Attrition[[#This Row],[YearsAtCompany]]&lt;=5,"3-5",HR_Employee_Attrition[[#This Row],[YearsAtCompany]]&lt;=10,"6-10",HR_Employee_Attrition[[#This Row],[YearsAtCompany]]&gt;10,"10+")</f>
        <v>10+</v>
      </c>
      <c r="AL762" t="str" cm="1">
        <f t="array" ref="AL7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62">
        <f>IF(HR_Employee_Attrition[[#This Row],[Attrition]]="Yes",1,0)</f>
        <v>0</v>
      </c>
    </row>
    <row r="763" spans="1:39" x14ac:dyDescent="0.3">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c r="AJ763" t="str">
        <f>IF(HR_Employee_Attrition[[#This Row],[Age]]&gt;60,"60+",IF(HR_Employee_Attrition[[#This Row],[Age]]&gt;=50,"50-59",IF(HR_Employee_Attrition[[#This Row],[Age]]&gt;=40,"40-49",IF(HR_Employee_Attrition[[#This Row],[Age]]&gt;=30,"30-39",IF(HR_Employee_Attrition[[#This Row],[Age]]&gt;=20,"20-29",IF(HR_Employee_Attrition[[#This Row],[Age]]&gt;=18,"18-20"))))))</f>
        <v>30-39</v>
      </c>
      <c r="AK763" t="str" cm="1">
        <f t="array" ref="AK763">_xlfn.IFS(HR_Employee_Attrition[[#This Row],[YearsAtCompany]]&lt;=2,"0-2",HR_Employee_Attrition[[#This Row],[YearsAtCompany]]&lt;=5,"3-5",HR_Employee_Attrition[[#This Row],[YearsAtCompany]]&lt;=10,"6-10",HR_Employee_Attrition[[#This Row],[YearsAtCompany]]&gt;10,"10+")</f>
        <v>0-2</v>
      </c>
      <c r="AL763" t="str" cm="1">
        <f t="array" ref="AL7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3">
        <f>IF(HR_Employee_Attrition[[#This Row],[Attrition]]="Yes",1,0)</f>
        <v>1</v>
      </c>
    </row>
    <row r="764" spans="1:39" x14ac:dyDescent="0.3">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c r="AJ764" t="str">
        <f>IF(HR_Employee_Attrition[[#This Row],[Age]]&gt;60,"60+",IF(HR_Employee_Attrition[[#This Row],[Age]]&gt;=50,"50-59",IF(HR_Employee_Attrition[[#This Row],[Age]]&gt;=40,"40-49",IF(HR_Employee_Attrition[[#This Row],[Age]]&gt;=30,"30-39",IF(HR_Employee_Attrition[[#This Row],[Age]]&gt;=20,"20-29",IF(HR_Employee_Attrition[[#This Row],[Age]]&gt;=18,"18-20"))))))</f>
        <v>20-29</v>
      </c>
      <c r="AK764" t="str" cm="1">
        <f t="array" ref="AK764">_xlfn.IFS(HR_Employee_Attrition[[#This Row],[YearsAtCompany]]&lt;=2,"0-2",HR_Employee_Attrition[[#This Row],[YearsAtCompany]]&lt;=5,"3-5",HR_Employee_Attrition[[#This Row],[YearsAtCompany]]&lt;=10,"6-10",HR_Employee_Attrition[[#This Row],[YearsAtCompany]]&gt;10,"10+")</f>
        <v>3-5</v>
      </c>
      <c r="AL764" t="str" cm="1">
        <f t="array" ref="AL7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4">
        <f>IF(HR_Employee_Attrition[[#This Row],[Attrition]]="Yes",1,0)</f>
        <v>1</v>
      </c>
    </row>
    <row r="765" spans="1:39" x14ac:dyDescent="0.3">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c r="AJ765" t="str">
        <f>IF(HR_Employee_Attrition[[#This Row],[Age]]&gt;60,"60+",IF(HR_Employee_Attrition[[#This Row],[Age]]&gt;=50,"50-59",IF(HR_Employee_Attrition[[#This Row],[Age]]&gt;=40,"40-49",IF(HR_Employee_Attrition[[#This Row],[Age]]&gt;=30,"30-39",IF(HR_Employee_Attrition[[#This Row],[Age]]&gt;=20,"20-29",IF(HR_Employee_Attrition[[#This Row],[Age]]&gt;=18,"18-20"))))))</f>
        <v>30-39</v>
      </c>
      <c r="AK765" t="str" cm="1">
        <f t="array" ref="AK765">_xlfn.IFS(HR_Employee_Attrition[[#This Row],[YearsAtCompany]]&lt;=2,"0-2",HR_Employee_Attrition[[#This Row],[YearsAtCompany]]&lt;=5,"3-5",HR_Employee_Attrition[[#This Row],[YearsAtCompany]]&lt;=10,"6-10",HR_Employee_Attrition[[#This Row],[YearsAtCompany]]&gt;10,"10+")</f>
        <v>0-2</v>
      </c>
      <c r="AL765" t="str" cm="1">
        <f t="array" ref="AL7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5">
        <f>IF(HR_Employee_Attrition[[#This Row],[Attrition]]="Yes",1,0)</f>
        <v>0</v>
      </c>
    </row>
    <row r="766" spans="1:39" x14ac:dyDescent="0.3">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c r="AJ766" t="str">
        <f>IF(HR_Employee_Attrition[[#This Row],[Age]]&gt;60,"60+",IF(HR_Employee_Attrition[[#This Row],[Age]]&gt;=50,"50-59",IF(HR_Employee_Attrition[[#This Row],[Age]]&gt;=40,"40-49",IF(HR_Employee_Attrition[[#This Row],[Age]]&gt;=30,"30-39",IF(HR_Employee_Attrition[[#This Row],[Age]]&gt;=20,"20-29",IF(HR_Employee_Attrition[[#This Row],[Age]]&gt;=18,"18-20"))))))</f>
        <v>20-29</v>
      </c>
      <c r="AK766" t="str" cm="1">
        <f t="array" ref="AK766">_xlfn.IFS(HR_Employee_Attrition[[#This Row],[YearsAtCompany]]&lt;=2,"0-2",HR_Employee_Attrition[[#This Row],[YearsAtCompany]]&lt;=5,"3-5",HR_Employee_Attrition[[#This Row],[YearsAtCompany]]&lt;=10,"6-10",HR_Employee_Attrition[[#This Row],[YearsAtCompany]]&gt;10,"10+")</f>
        <v>0-2</v>
      </c>
      <c r="AL766" t="str" cm="1">
        <f t="array" ref="AL7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6">
        <f>IF(HR_Employee_Attrition[[#This Row],[Attrition]]="Yes",1,0)</f>
        <v>0</v>
      </c>
    </row>
    <row r="767" spans="1:39" x14ac:dyDescent="0.3">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c r="AJ767" t="str">
        <f>IF(HR_Employee_Attrition[[#This Row],[Age]]&gt;60,"60+",IF(HR_Employee_Attrition[[#This Row],[Age]]&gt;=50,"50-59",IF(HR_Employee_Attrition[[#This Row],[Age]]&gt;=40,"40-49",IF(HR_Employee_Attrition[[#This Row],[Age]]&gt;=30,"30-39",IF(HR_Employee_Attrition[[#This Row],[Age]]&gt;=20,"20-29",IF(HR_Employee_Attrition[[#This Row],[Age]]&gt;=18,"18-20"))))))</f>
        <v>30-39</v>
      </c>
      <c r="AK767" t="str" cm="1">
        <f t="array" ref="AK767">_xlfn.IFS(HR_Employee_Attrition[[#This Row],[YearsAtCompany]]&lt;=2,"0-2",HR_Employee_Attrition[[#This Row],[YearsAtCompany]]&lt;=5,"3-5",HR_Employee_Attrition[[#This Row],[YearsAtCompany]]&lt;=10,"6-10",HR_Employee_Attrition[[#This Row],[YearsAtCompany]]&gt;10,"10+")</f>
        <v>0-2</v>
      </c>
      <c r="AL767" t="str" cm="1">
        <f t="array" ref="AL7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7">
        <f>IF(HR_Employee_Attrition[[#This Row],[Attrition]]="Yes",1,0)</f>
        <v>0</v>
      </c>
    </row>
    <row r="768" spans="1:39" x14ac:dyDescent="0.3">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c r="AJ768" t="str">
        <f>IF(HR_Employee_Attrition[[#This Row],[Age]]&gt;60,"60+",IF(HR_Employee_Attrition[[#This Row],[Age]]&gt;=50,"50-59",IF(HR_Employee_Attrition[[#This Row],[Age]]&gt;=40,"40-49",IF(HR_Employee_Attrition[[#This Row],[Age]]&gt;=30,"30-39",IF(HR_Employee_Attrition[[#This Row],[Age]]&gt;=20,"20-29",IF(HR_Employee_Attrition[[#This Row],[Age]]&gt;=18,"18-20"))))))</f>
        <v>50-59</v>
      </c>
      <c r="AK768" t="str" cm="1">
        <f t="array" ref="AK768">_xlfn.IFS(HR_Employee_Attrition[[#This Row],[YearsAtCompany]]&lt;=2,"0-2",HR_Employee_Attrition[[#This Row],[YearsAtCompany]]&lt;=5,"3-5",HR_Employee_Attrition[[#This Row],[YearsAtCompany]]&lt;=10,"6-10",HR_Employee_Attrition[[#This Row],[YearsAtCompany]]&gt;10,"10+")</f>
        <v>6-10</v>
      </c>
      <c r="AL768" t="str" cm="1">
        <f t="array" ref="AL7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68">
        <f>IF(HR_Employee_Attrition[[#This Row],[Attrition]]="Yes",1,0)</f>
        <v>0</v>
      </c>
    </row>
    <row r="769" spans="1:39" x14ac:dyDescent="0.3">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c r="AJ769" t="str">
        <f>IF(HR_Employee_Attrition[[#This Row],[Age]]&gt;60,"60+",IF(HR_Employee_Attrition[[#This Row],[Age]]&gt;=50,"50-59",IF(HR_Employee_Attrition[[#This Row],[Age]]&gt;=40,"40-49",IF(HR_Employee_Attrition[[#This Row],[Age]]&gt;=30,"30-39",IF(HR_Employee_Attrition[[#This Row],[Age]]&gt;=20,"20-29",IF(HR_Employee_Attrition[[#This Row],[Age]]&gt;=18,"18-20"))))))</f>
        <v>30-39</v>
      </c>
      <c r="AK769" t="str" cm="1">
        <f t="array" ref="AK769">_xlfn.IFS(HR_Employee_Attrition[[#This Row],[YearsAtCompany]]&lt;=2,"0-2",HR_Employee_Attrition[[#This Row],[YearsAtCompany]]&lt;=5,"3-5",HR_Employee_Attrition[[#This Row],[YearsAtCompany]]&lt;=10,"6-10",HR_Employee_Attrition[[#This Row],[YearsAtCompany]]&gt;10,"10+")</f>
        <v>3-5</v>
      </c>
      <c r="AL769" t="str" cm="1">
        <f t="array" ref="AL7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9">
        <f>IF(HR_Employee_Attrition[[#This Row],[Attrition]]="Yes",1,0)</f>
        <v>0</v>
      </c>
    </row>
    <row r="770" spans="1:39" x14ac:dyDescent="0.3">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c r="AJ770" t="str">
        <f>IF(HR_Employee_Attrition[[#This Row],[Age]]&gt;60,"60+",IF(HR_Employee_Attrition[[#This Row],[Age]]&gt;=50,"50-59",IF(HR_Employee_Attrition[[#This Row],[Age]]&gt;=40,"40-49",IF(HR_Employee_Attrition[[#This Row],[Age]]&gt;=30,"30-39",IF(HR_Employee_Attrition[[#This Row],[Age]]&gt;=20,"20-29",IF(HR_Employee_Attrition[[#This Row],[Age]]&gt;=18,"18-20"))))))</f>
        <v>40-49</v>
      </c>
      <c r="AK770" t="str" cm="1">
        <f t="array" ref="AK770">_xlfn.IFS(HR_Employee_Attrition[[#This Row],[YearsAtCompany]]&lt;=2,"0-2",HR_Employee_Attrition[[#This Row],[YearsAtCompany]]&lt;=5,"3-5",HR_Employee_Attrition[[#This Row],[YearsAtCompany]]&lt;=10,"6-10",HR_Employee_Attrition[[#This Row],[YearsAtCompany]]&gt;10,"10+")</f>
        <v>6-10</v>
      </c>
      <c r="AL770" t="str" cm="1">
        <f t="array" ref="AL7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70">
        <f>IF(HR_Employee_Attrition[[#This Row],[Attrition]]="Yes",1,0)</f>
        <v>0</v>
      </c>
    </row>
    <row r="771" spans="1:39" x14ac:dyDescent="0.3">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c r="AJ771" t="str">
        <f>IF(HR_Employee_Attrition[[#This Row],[Age]]&gt;60,"60+",IF(HR_Employee_Attrition[[#This Row],[Age]]&gt;=50,"50-59",IF(HR_Employee_Attrition[[#This Row],[Age]]&gt;=40,"40-49",IF(HR_Employee_Attrition[[#This Row],[Age]]&gt;=30,"30-39",IF(HR_Employee_Attrition[[#This Row],[Age]]&gt;=20,"20-29",IF(HR_Employee_Attrition[[#This Row],[Age]]&gt;=18,"18-20"))))))</f>
        <v>20-29</v>
      </c>
      <c r="AK771" t="str" cm="1">
        <f t="array" ref="AK771">_xlfn.IFS(HR_Employee_Attrition[[#This Row],[YearsAtCompany]]&lt;=2,"0-2",HR_Employee_Attrition[[#This Row],[YearsAtCompany]]&lt;=5,"3-5",HR_Employee_Attrition[[#This Row],[YearsAtCompany]]&lt;=10,"6-10",HR_Employee_Attrition[[#This Row],[YearsAtCompany]]&gt;10,"10+")</f>
        <v>3-5</v>
      </c>
      <c r="AL771" t="str" cm="1">
        <f t="array" ref="AL7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71">
        <f>IF(HR_Employee_Attrition[[#This Row],[Attrition]]="Yes",1,0)</f>
        <v>0</v>
      </c>
    </row>
    <row r="772" spans="1:39" x14ac:dyDescent="0.3">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c r="AJ772" t="str">
        <f>IF(HR_Employee_Attrition[[#This Row],[Age]]&gt;60,"60+",IF(HR_Employee_Attrition[[#This Row],[Age]]&gt;=50,"50-59",IF(HR_Employee_Attrition[[#This Row],[Age]]&gt;=40,"40-49",IF(HR_Employee_Attrition[[#This Row],[Age]]&gt;=30,"30-39",IF(HR_Employee_Attrition[[#This Row],[Age]]&gt;=20,"20-29",IF(HR_Employee_Attrition[[#This Row],[Age]]&gt;=18,"18-20"))))))</f>
        <v>40-49</v>
      </c>
      <c r="AK772" t="str" cm="1">
        <f t="array" ref="AK772">_xlfn.IFS(HR_Employee_Attrition[[#This Row],[YearsAtCompany]]&lt;=2,"0-2",HR_Employee_Attrition[[#This Row],[YearsAtCompany]]&lt;=5,"3-5",HR_Employee_Attrition[[#This Row],[YearsAtCompany]]&lt;=10,"6-10",HR_Employee_Attrition[[#This Row],[YearsAtCompany]]&gt;10,"10+")</f>
        <v>0-2</v>
      </c>
      <c r="AL772" t="str" cm="1">
        <f t="array" ref="AL7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72">
        <f>IF(HR_Employee_Attrition[[#This Row],[Attrition]]="Yes",1,0)</f>
        <v>0</v>
      </c>
    </row>
    <row r="773" spans="1:39" x14ac:dyDescent="0.3">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c r="AJ773" t="str">
        <f>IF(HR_Employee_Attrition[[#This Row],[Age]]&gt;60,"60+",IF(HR_Employee_Attrition[[#This Row],[Age]]&gt;=50,"50-59",IF(HR_Employee_Attrition[[#This Row],[Age]]&gt;=40,"40-49",IF(HR_Employee_Attrition[[#This Row],[Age]]&gt;=30,"30-39",IF(HR_Employee_Attrition[[#This Row],[Age]]&gt;=20,"20-29",IF(HR_Employee_Attrition[[#This Row],[Age]]&gt;=18,"18-20"))))))</f>
        <v>50-59</v>
      </c>
      <c r="AK773" t="str" cm="1">
        <f t="array" ref="AK773">_xlfn.IFS(HR_Employee_Attrition[[#This Row],[YearsAtCompany]]&lt;=2,"0-2",HR_Employee_Attrition[[#This Row],[YearsAtCompany]]&lt;=5,"3-5",HR_Employee_Attrition[[#This Row],[YearsAtCompany]]&lt;=10,"6-10",HR_Employee_Attrition[[#This Row],[YearsAtCompany]]&gt;10,"10+")</f>
        <v>6-10</v>
      </c>
      <c r="AL773" t="str" cm="1">
        <f t="array" ref="AL7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73">
        <f>IF(HR_Employee_Attrition[[#This Row],[Attrition]]="Yes",1,0)</f>
        <v>0</v>
      </c>
    </row>
    <row r="774" spans="1:39" x14ac:dyDescent="0.3">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c r="AJ774" t="str">
        <f>IF(HR_Employee_Attrition[[#This Row],[Age]]&gt;60,"60+",IF(HR_Employee_Attrition[[#This Row],[Age]]&gt;=50,"50-59",IF(HR_Employee_Attrition[[#This Row],[Age]]&gt;=40,"40-49",IF(HR_Employee_Attrition[[#This Row],[Age]]&gt;=30,"30-39",IF(HR_Employee_Attrition[[#This Row],[Age]]&gt;=20,"20-29",IF(HR_Employee_Attrition[[#This Row],[Age]]&gt;=18,"18-20"))))))</f>
        <v>50-59</v>
      </c>
      <c r="AK774" t="str" cm="1">
        <f t="array" ref="AK774">_xlfn.IFS(HR_Employee_Attrition[[#This Row],[YearsAtCompany]]&lt;=2,"0-2",HR_Employee_Attrition[[#This Row],[YearsAtCompany]]&lt;=5,"3-5",HR_Employee_Attrition[[#This Row],[YearsAtCompany]]&lt;=10,"6-10",HR_Employee_Attrition[[#This Row],[YearsAtCompany]]&gt;10,"10+")</f>
        <v>3-5</v>
      </c>
      <c r="AL774" t="str" cm="1">
        <f t="array" ref="AL7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74">
        <f>IF(HR_Employee_Attrition[[#This Row],[Attrition]]="Yes",1,0)</f>
        <v>0</v>
      </c>
    </row>
    <row r="775" spans="1:39" x14ac:dyDescent="0.3">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c r="AJ775" t="str">
        <f>IF(HR_Employee_Attrition[[#This Row],[Age]]&gt;60,"60+",IF(HR_Employee_Attrition[[#This Row],[Age]]&gt;=50,"50-59",IF(HR_Employee_Attrition[[#This Row],[Age]]&gt;=40,"40-49",IF(HR_Employee_Attrition[[#This Row],[Age]]&gt;=30,"30-39",IF(HR_Employee_Attrition[[#This Row],[Age]]&gt;=20,"20-29",IF(HR_Employee_Attrition[[#This Row],[Age]]&gt;=18,"18-20"))))))</f>
        <v>30-39</v>
      </c>
      <c r="AK775" t="str" cm="1">
        <f t="array" ref="AK775">_xlfn.IFS(HR_Employee_Attrition[[#This Row],[YearsAtCompany]]&lt;=2,"0-2",HR_Employee_Attrition[[#This Row],[YearsAtCompany]]&lt;=5,"3-5",HR_Employee_Attrition[[#This Row],[YearsAtCompany]]&lt;=10,"6-10",HR_Employee_Attrition[[#This Row],[YearsAtCompany]]&gt;10,"10+")</f>
        <v>10+</v>
      </c>
      <c r="AL775" t="str" cm="1">
        <f t="array" ref="AL7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75">
        <f>IF(HR_Employee_Attrition[[#This Row],[Attrition]]="Yes",1,0)</f>
        <v>0</v>
      </c>
    </row>
    <row r="776" spans="1:39" x14ac:dyDescent="0.3">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c r="AJ776" t="str">
        <f>IF(HR_Employee_Attrition[[#This Row],[Age]]&gt;60,"60+",IF(HR_Employee_Attrition[[#This Row],[Age]]&gt;=50,"50-59",IF(HR_Employee_Attrition[[#This Row],[Age]]&gt;=40,"40-49",IF(HR_Employee_Attrition[[#This Row],[Age]]&gt;=30,"30-39",IF(HR_Employee_Attrition[[#This Row],[Age]]&gt;=20,"20-29",IF(HR_Employee_Attrition[[#This Row],[Age]]&gt;=18,"18-20"))))))</f>
        <v>50-59</v>
      </c>
      <c r="AK776" t="str" cm="1">
        <f t="array" ref="AK776">_xlfn.IFS(HR_Employee_Attrition[[#This Row],[YearsAtCompany]]&lt;=2,"0-2",HR_Employee_Attrition[[#This Row],[YearsAtCompany]]&lt;=5,"3-5",HR_Employee_Attrition[[#This Row],[YearsAtCompany]]&lt;=10,"6-10",HR_Employee_Attrition[[#This Row],[YearsAtCompany]]&gt;10,"10+")</f>
        <v>6-10</v>
      </c>
      <c r="AL776" t="str" cm="1">
        <f t="array" ref="AL7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76">
        <f>IF(HR_Employee_Attrition[[#This Row],[Attrition]]="Yes",1,0)</f>
        <v>0</v>
      </c>
    </row>
    <row r="777" spans="1:39" x14ac:dyDescent="0.3">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c r="AJ777" t="str">
        <f>IF(HR_Employee_Attrition[[#This Row],[Age]]&gt;60,"60+",IF(HR_Employee_Attrition[[#This Row],[Age]]&gt;=50,"50-59",IF(HR_Employee_Attrition[[#This Row],[Age]]&gt;=40,"40-49",IF(HR_Employee_Attrition[[#This Row],[Age]]&gt;=30,"30-39",IF(HR_Employee_Attrition[[#This Row],[Age]]&gt;=20,"20-29",IF(HR_Employee_Attrition[[#This Row],[Age]]&gt;=18,"18-20"))))))</f>
        <v>40-49</v>
      </c>
      <c r="AK777" t="str" cm="1">
        <f t="array" ref="AK777">_xlfn.IFS(HR_Employee_Attrition[[#This Row],[YearsAtCompany]]&lt;=2,"0-2",HR_Employee_Attrition[[#This Row],[YearsAtCompany]]&lt;=5,"3-5",HR_Employee_Attrition[[#This Row],[YearsAtCompany]]&lt;=10,"6-10",HR_Employee_Attrition[[#This Row],[YearsAtCompany]]&gt;10,"10+")</f>
        <v>0-2</v>
      </c>
      <c r="AL777" t="str" cm="1">
        <f t="array" ref="AL7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77">
        <f>IF(HR_Employee_Attrition[[#This Row],[Attrition]]="Yes",1,0)</f>
        <v>0</v>
      </c>
    </row>
    <row r="778" spans="1:39" x14ac:dyDescent="0.3">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c r="AJ778" t="str">
        <f>IF(HR_Employee_Attrition[[#This Row],[Age]]&gt;60,"60+",IF(HR_Employee_Attrition[[#This Row],[Age]]&gt;=50,"50-59",IF(HR_Employee_Attrition[[#This Row],[Age]]&gt;=40,"40-49",IF(HR_Employee_Attrition[[#This Row],[Age]]&gt;=30,"30-39",IF(HR_Employee_Attrition[[#This Row],[Age]]&gt;=20,"20-29",IF(HR_Employee_Attrition[[#This Row],[Age]]&gt;=18,"18-20"))))))</f>
        <v>20-29</v>
      </c>
      <c r="AK778" t="str" cm="1">
        <f t="array" ref="AK778">_xlfn.IFS(HR_Employee_Attrition[[#This Row],[YearsAtCompany]]&lt;=2,"0-2",HR_Employee_Attrition[[#This Row],[YearsAtCompany]]&lt;=5,"3-5",HR_Employee_Attrition[[#This Row],[YearsAtCompany]]&lt;=10,"6-10",HR_Employee_Attrition[[#This Row],[YearsAtCompany]]&gt;10,"10+")</f>
        <v>0-2</v>
      </c>
      <c r="AL778" t="str" cm="1">
        <f t="array" ref="AL7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78">
        <f>IF(HR_Employee_Attrition[[#This Row],[Attrition]]="Yes",1,0)</f>
        <v>1</v>
      </c>
    </row>
    <row r="779" spans="1:39" x14ac:dyDescent="0.3">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c r="AJ779" t="str">
        <f>IF(HR_Employee_Attrition[[#This Row],[Age]]&gt;60,"60+",IF(HR_Employee_Attrition[[#This Row],[Age]]&gt;=50,"50-59",IF(HR_Employee_Attrition[[#This Row],[Age]]&gt;=40,"40-49",IF(HR_Employee_Attrition[[#This Row],[Age]]&gt;=30,"30-39",IF(HR_Employee_Attrition[[#This Row],[Age]]&gt;=20,"20-29",IF(HR_Employee_Attrition[[#This Row],[Age]]&gt;=18,"18-20"))))))</f>
        <v>20-29</v>
      </c>
      <c r="AK779" t="str" cm="1">
        <f t="array" ref="AK779">_xlfn.IFS(HR_Employee_Attrition[[#This Row],[YearsAtCompany]]&lt;=2,"0-2",HR_Employee_Attrition[[#This Row],[YearsAtCompany]]&lt;=5,"3-5",HR_Employee_Attrition[[#This Row],[YearsAtCompany]]&lt;=10,"6-10",HR_Employee_Attrition[[#This Row],[YearsAtCompany]]&gt;10,"10+")</f>
        <v>0-2</v>
      </c>
      <c r="AL779" t="str" cm="1">
        <f t="array" ref="AL7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79">
        <f>IF(HR_Employee_Attrition[[#This Row],[Attrition]]="Yes",1,0)</f>
        <v>1</v>
      </c>
    </row>
    <row r="780" spans="1:39" x14ac:dyDescent="0.3">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c r="AJ780" t="str">
        <f>IF(HR_Employee_Attrition[[#This Row],[Age]]&gt;60,"60+",IF(HR_Employee_Attrition[[#This Row],[Age]]&gt;=50,"50-59",IF(HR_Employee_Attrition[[#This Row],[Age]]&gt;=40,"40-49",IF(HR_Employee_Attrition[[#This Row],[Age]]&gt;=30,"30-39",IF(HR_Employee_Attrition[[#This Row],[Age]]&gt;=20,"20-29",IF(HR_Employee_Attrition[[#This Row],[Age]]&gt;=18,"18-20"))))))</f>
        <v>40-49</v>
      </c>
      <c r="AK780" t="str" cm="1">
        <f t="array" ref="AK780">_xlfn.IFS(HR_Employee_Attrition[[#This Row],[YearsAtCompany]]&lt;=2,"0-2",HR_Employee_Attrition[[#This Row],[YearsAtCompany]]&lt;=5,"3-5",HR_Employee_Attrition[[#This Row],[YearsAtCompany]]&lt;=10,"6-10",HR_Employee_Attrition[[#This Row],[YearsAtCompany]]&gt;10,"10+")</f>
        <v>10+</v>
      </c>
      <c r="AL780" t="str" cm="1">
        <f t="array" ref="AL7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80">
        <f>IF(HR_Employee_Attrition[[#This Row],[Attrition]]="Yes",1,0)</f>
        <v>0</v>
      </c>
    </row>
    <row r="781" spans="1:39" x14ac:dyDescent="0.3">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c r="AJ781" t="str">
        <f>IF(HR_Employee_Attrition[[#This Row],[Age]]&gt;60,"60+",IF(HR_Employee_Attrition[[#This Row],[Age]]&gt;=50,"50-59",IF(HR_Employee_Attrition[[#This Row],[Age]]&gt;=40,"40-49",IF(HR_Employee_Attrition[[#This Row],[Age]]&gt;=30,"30-39",IF(HR_Employee_Attrition[[#This Row],[Age]]&gt;=20,"20-29",IF(HR_Employee_Attrition[[#This Row],[Age]]&gt;=18,"18-20"))))))</f>
        <v>50-59</v>
      </c>
      <c r="AK781" t="str" cm="1">
        <f t="array" ref="AK781">_xlfn.IFS(HR_Employee_Attrition[[#This Row],[YearsAtCompany]]&lt;=2,"0-2",HR_Employee_Attrition[[#This Row],[YearsAtCompany]]&lt;=5,"3-5",HR_Employee_Attrition[[#This Row],[YearsAtCompany]]&lt;=10,"6-10",HR_Employee_Attrition[[#This Row],[YearsAtCompany]]&gt;10,"10+")</f>
        <v>6-10</v>
      </c>
      <c r="AL781" t="str" cm="1">
        <f t="array" ref="AL7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81">
        <f>IF(HR_Employee_Attrition[[#This Row],[Attrition]]="Yes",1,0)</f>
        <v>1</v>
      </c>
    </row>
    <row r="782" spans="1:39" x14ac:dyDescent="0.3">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c r="AJ782" t="str">
        <f>IF(HR_Employee_Attrition[[#This Row],[Age]]&gt;60,"60+",IF(HR_Employee_Attrition[[#This Row],[Age]]&gt;=50,"50-59",IF(HR_Employee_Attrition[[#This Row],[Age]]&gt;=40,"40-49",IF(HR_Employee_Attrition[[#This Row],[Age]]&gt;=30,"30-39",IF(HR_Employee_Attrition[[#This Row],[Age]]&gt;=20,"20-29",IF(HR_Employee_Attrition[[#This Row],[Age]]&gt;=18,"18-20"))))))</f>
        <v>20-29</v>
      </c>
      <c r="AK782" t="str" cm="1">
        <f t="array" ref="AK782">_xlfn.IFS(HR_Employee_Attrition[[#This Row],[YearsAtCompany]]&lt;=2,"0-2",HR_Employee_Attrition[[#This Row],[YearsAtCompany]]&lt;=5,"3-5",HR_Employee_Attrition[[#This Row],[YearsAtCompany]]&lt;=10,"6-10",HR_Employee_Attrition[[#This Row],[YearsAtCompany]]&gt;10,"10+")</f>
        <v>6-10</v>
      </c>
      <c r="AL782" t="str" cm="1">
        <f t="array" ref="AL7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82">
        <f>IF(HR_Employee_Attrition[[#This Row],[Attrition]]="Yes",1,0)</f>
        <v>1</v>
      </c>
    </row>
    <row r="783" spans="1:39" x14ac:dyDescent="0.3">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c r="AJ783" t="str">
        <f>IF(HR_Employee_Attrition[[#This Row],[Age]]&gt;60,"60+",IF(HR_Employee_Attrition[[#This Row],[Age]]&gt;=50,"50-59",IF(HR_Employee_Attrition[[#This Row],[Age]]&gt;=40,"40-49",IF(HR_Employee_Attrition[[#This Row],[Age]]&gt;=30,"30-39",IF(HR_Employee_Attrition[[#This Row],[Age]]&gt;=20,"20-29",IF(HR_Employee_Attrition[[#This Row],[Age]]&gt;=18,"18-20"))))))</f>
        <v>20-29</v>
      </c>
      <c r="AK783" t="str" cm="1">
        <f t="array" ref="AK783">_xlfn.IFS(HR_Employee_Attrition[[#This Row],[YearsAtCompany]]&lt;=2,"0-2",HR_Employee_Attrition[[#This Row],[YearsAtCompany]]&lt;=5,"3-5",HR_Employee_Attrition[[#This Row],[YearsAtCompany]]&lt;=10,"6-10",HR_Employee_Attrition[[#This Row],[YearsAtCompany]]&gt;10,"10+")</f>
        <v>3-5</v>
      </c>
      <c r="AL783" t="str" cm="1">
        <f t="array" ref="AL7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83">
        <f>IF(HR_Employee_Attrition[[#This Row],[Attrition]]="Yes",1,0)</f>
        <v>0</v>
      </c>
    </row>
    <row r="784" spans="1:39" x14ac:dyDescent="0.3">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c r="AJ784" t="str">
        <f>IF(HR_Employee_Attrition[[#This Row],[Age]]&gt;60,"60+",IF(HR_Employee_Attrition[[#This Row],[Age]]&gt;=50,"50-59",IF(HR_Employee_Attrition[[#This Row],[Age]]&gt;=40,"40-49",IF(HR_Employee_Attrition[[#This Row],[Age]]&gt;=30,"30-39",IF(HR_Employee_Attrition[[#This Row],[Age]]&gt;=20,"20-29",IF(HR_Employee_Attrition[[#This Row],[Age]]&gt;=18,"18-20"))))))</f>
        <v>30-39</v>
      </c>
      <c r="AK784" t="str" cm="1">
        <f t="array" ref="AK784">_xlfn.IFS(HR_Employee_Attrition[[#This Row],[YearsAtCompany]]&lt;=2,"0-2",HR_Employee_Attrition[[#This Row],[YearsAtCompany]]&lt;=5,"3-5",HR_Employee_Attrition[[#This Row],[YearsAtCompany]]&lt;=10,"6-10",HR_Employee_Attrition[[#This Row],[YearsAtCompany]]&gt;10,"10+")</f>
        <v>6-10</v>
      </c>
      <c r="AL784" t="str" cm="1">
        <f t="array" ref="AL7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84">
        <f>IF(HR_Employee_Attrition[[#This Row],[Attrition]]="Yes",1,0)</f>
        <v>0</v>
      </c>
    </row>
    <row r="785" spans="1:39" x14ac:dyDescent="0.3">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c r="AJ785" t="str">
        <f>IF(HR_Employee_Attrition[[#This Row],[Age]]&gt;60,"60+",IF(HR_Employee_Attrition[[#This Row],[Age]]&gt;=50,"50-59",IF(HR_Employee_Attrition[[#This Row],[Age]]&gt;=40,"40-49",IF(HR_Employee_Attrition[[#This Row],[Age]]&gt;=30,"30-39",IF(HR_Employee_Attrition[[#This Row],[Age]]&gt;=20,"20-29",IF(HR_Employee_Attrition[[#This Row],[Age]]&gt;=18,"18-20"))))))</f>
        <v>40-49</v>
      </c>
      <c r="AK785" t="str" cm="1">
        <f t="array" ref="AK785">_xlfn.IFS(HR_Employee_Attrition[[#This Row],[YearsAtCompany]]&lt;=2,"0-2",HR_Employee_Attrition[[#This Row],[YearsAtCompany]]&lt;=5,"3-5",HR_Employee_Attrition[[#This Row],[YearsAtCompany]]&lt;=10,"6-10",HR_Employee_Attrition[[#This Row],[YearsAtCompany]]&gt;10,"10+")</f>
        <v>6-10</v>
      </c>
      <c r="AL785" t="str" cm="1">
        <f t="array" ref="AL7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85">
        <f>IF(HR_Employee_Attrition[[#This Row],[Attrition]]="Yes",1,0)</f>
        <v>0</v>
      </c>
    </row>
    <row r="786" spans="1:39" x14ac:dyDescent="0.3">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c r="AJ786" t="str">
        <f>IF(HR_Employee_Attrition[[#This Row],[Age]]&gt;60,"60+",IF(HR_Employee_Attrition[[#This Row],[Age]]&gt;=50,"50-59",IF(HR_Employee_Attrition[[#This Row],[Age]]&gt;=40,"40-49",IF(HR_Employee_Attrition[[#This Row],[Age]]&gt;=30,"30-39",IF(HR_Employee_Attrition[[#This Row],[Age]]&gt;=20,"20-29",IF(HR_Employee_Attrition[[#This Row],[Age]]&gt;=18,"18-20"))))))</f>
        <v>30-39</v>
      </c>
      <c r="AK786" t="str" cm="1">
        <f t="array" ref="AK786">_xlfn.IFS(HR_Employee_Attrition[[#This Row],[YearsAtCompany]]&lt;=2,"0-2",HR_Employee_Attrition[[#This Row],[YearsAtCompany]]&lt;=5,"3-5",HR_Employee_Attrition[[#This Row],[YearsAtCompany]]&lt;=10,"6-10",HR_Employee_Attrition[[#This Row],[YearsAtCompany]]&gt;10,"10+")</f>
        <v>10+</v>
      </c>
      <c r="AL786" t="str" cm="1">
        <f t="array" ref="AL7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86">
        <f>IF(HR_Employee_Attrition[[#This Row],[Attrition]]="Yes",1,0)</f>
        <v>0</v>
      </c>
    </row>
    <row r="787" spans="1:39" x14ac:dyDescent="0.3">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c r="AJ787" t="str">
        <f>IF(HR_Employee_Attrition[[#This Row],[Age]]&gt;60,"60+",IF(HR_Employee_Attrition[[#This Row],[Age]]&gt;=50,"50-59",IF(HR_Employee_Attrition[[#This Row],[Age]]&gt;=40,"40-49",IF(HR_Employee_Attrition[[#This Row],[Age]]&gt;=30,"30-39",IF(HR_Employee_Attrition[[#This Row],[Age]]&gt;=20,"20-29",IF(HR_Employee_Attrition[[#This Row],[Age]]&gt;=18,"18-20"))))))</f>
        <v>40-49</v>
      </c>
      <c r="AK787" t="str" cm="1">
        <f t="array" ref="AK787">_xlfn.IFS(HR_Employee_Attrition[[#This Row],[YearsAtCompany]]&lt;=2,"0-2",HR_Employee_Attrition[[#This Row],[YearsAtCompany]]&lt;=5,"3-5",HR_Employee_Attrition[[#This Row],[YearsAtCompany]]&lt;=10,"6-10",HR_Employee_Attrition[[#This Row],[YearsAtCompany]]&gt;10,"10+")</f>
        <v>10+</v>
      </c>
      <c r="AL787" t="str" cm="1">
        <f t="array" ref="AL7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87">
        <f>IF(HR_Employee_Attrition[[#This Row],[Attrition]]="Yes",1,0)</f>
        <v>0</v>
      </c>
    </row>
    <row r="788" spans="1:39" x14ac:dyDescent="0.3">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c r="AJ788" t="str">
        <f>IF(HR_Employee_Attrition[[#This Row],[Age]]&gt;60,"60+",IF(HR_Employee_Attrition[[#This Row],[Age]]&gt;=50,"50-59",IF(HR_Employee_Attrition[[#This Row],[Age]]&gt;=40,"40-49",IF(HR_Employee_Attrition[[#This Row],[Age]]&gt;=30,"30-39",IF(HR_Employee_Attrition[[#This Row],[Age]]&gt;=20,"20-29",IF(HR_Employee_Attrition[[#This Row],[Age]]&gt;=18,"18-20"))))))</f>
        <v>20-29</v>
      </c>
      <c r="AK788" t="str" cm="1">
        <f t="array" ref="AK788">_xlfn.IFS(HR_Employee_Attrition[[#This Row],[YearsAtCompany]]&lt;=2,"0-2",HR_Employee_Attrition[[#This Row],[YearsAtCompany]]&lt;=5,"3-5",HR_Employee_Attrition[[#This Row],[YearsAtCompany]]&lt;=10,"6-10",HR_Employee_Attrition[[#This Row],[YearsAtCompany]]&gt;10,"10+")</f>
        <v>3-5</v>
      </c>
      <c r="AL788" t="str" cm="1">
        <f t="array" ref="AL7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88">
        <f>IF(HR_Employee_Attrition[[#This Row],[Attrition]]="Yes",1,0)</f>
        <v>0</v>
      </c>
    </row>
    <row r="789" spans="1:39" x14ac:dyDescent="0.3">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c r="AJ789" t="str">
        <f>IF(HR_Employee_Attrition[[#This Row],[Age]]&gt;60,"60+",IF(HR_Employee_Attrition[[#This Row],[Age]]&gt;=50,"50-59",IF(HR_Employee_Attrition[[#This Row],[Age]]&gt;=40,"40-49",IF(HR_Employee_Attrition[[#This Row],[Age]]&gt;=30,"30-39",IF(HR_Employee_Attrition[[#This Row],[Age]]&gt;=20,"20-29",IF(HR_Employee_Attrition[[#This Row],[Age]]&gt;=18,"18-20"))))))</f>
        <v>50-59</v>
      </c>
      <c r="AK789" t="str" cm="1">
        <f t="array" ref="AK789">_xlfn.IFS(HR_Employee_Attrition[[#This Row],[YearsAtCompany]]&lt;=2,"0-2",HR_Employee_Attrition[[#This Row],[YearsAtCompany]]&lt;=5,"3-5",HR_Employee_Attrition[[#This Row],[YearsAtCompany]]&lt;=10,"6-10",HR_Employee_Attrition[[#This Row],[YearsAtCompany]]&gt;10,"10+")</f>
        <v>3-5</v>
      </c>
      <c r="AL789" t="str" cm="1">
        <f t="array" ref="AL7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89">
        <f>IF(HR_Employee_Attrition[[#This Row],[Attrition]]="Yes",1,0)</f>
        <v>0</v>
      </c>
    </row>
    <row r="790" spans="1:39" x14ac:dyDescent="0.3">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c r="AJ790" t="str">
        <f>IF(HR_Employee_Attrition[[#This Row],[Age]]&gt;60,"60+",IF(HR_Employee_Attrition[[#This Row],[Age]]&gt;=50,"50-59",IF(HR_Employee_Attrition[[#This Row],[Age]]&gt;=40,"40-49",IF(HR_Employee_Attrition[[#This Row],[Age]]&gt;=30,"30-39",IF(HR_Employee_Attrition[[#This Row],[Age]]&gt;=20,"20-29",IF(HR_Employee_Attrition[[#This Row],[Age]]&gt;=18,"18-20"))))))</f>
        <v>20-29</v>
      </c>
      <c r="AK790" t="str" cm="1">
        <f t="array" ref="AK790">_xlfn.IFS(HR_Employee_Attrition[[#This Row],[YearsAtCompany]]&lt;=2,"0-2",HR_Employee_Attrition[[#This Row],[YearsAtCompany]]&lt;=5,"3-5",HR_Employee_Attrition[[#This Row],[YearsAtCompany]]&lt;=10,"6-10",HR_Employee_Attrition[[#This Row],[YearsAtCompany]]&gt;10,"10+")</f>
        <v>6-10</v>
      </c>
      <c r="AL790" t="str" cm="1">
        <f t="array" ref="AL7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90">
        <f>IF(HR_Employee_Attrition[[#This Row],[Attrition]]="Yes",1,0)</f>
        <v>0</v>
      </c>
    </row>
    <row r="791" spans="1:39" x14ac:dyDescent="0.3">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c r="AJ791" t="str">
        <f>IF(HR_Employee_Attrition[[#This Row],[Age]]&gt;60,"60+",IF(HR_Employee_Attrition[[#This Row],[Age]]&gt;=50,"50-59",IF(HR_Employee_Attrition[[#This Row],[Age]]&gt;=40,"40-49",IF(HR_Employee_Attrition[[#This Row],[Age]]&gt;=30,"30-39",IF(HR_Employee_Attrition[[#This Row],[Age]]&gt;=20,"20-29",IF(HR_Employee_Attrition[[#This Row],[Age]]&gt;=18,"18-20"))))))</f>
        <v>40-49</v>
      </c>
      <c r="AK791" t="str" cm="1">
        <f t="array" ref="AK791">_xlfn.IFS(HR_Employee_Attrition[[#This Row],[YearsAtCompany]]&lt;=2,"0-2",HR_Employee_Attrition[[#This Row],[YearsAtCompany]]&lt;=5,"3-5",HR_Employee_Attrition[[#This Row],[YearsAtCompany]]&lt;=10,"6-10",HR_Employee_Attrition[[#This Row],[YearsAtCompany]]&gt;10,"10+")</f>
        <v>10+</v>
      </c>
      <c r="AL791" t="str" cm="1">
        <f t="array" ref="AL7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91">
        <f>IF(HR_Employee_Attrition[[#This Row],[Attrition]]="Yes",1,0)</f>
        <v>1</v>
      </c>
    </row>
    <row r="792" spans="1:39" x14ac:dyDescent="0.3">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c r="AJ792" t="str">
        <f>IF(HR_Employee_Attrition[[#This Row],[Age]]&gt;60,"60+",IF(HR_Employee_Attrition[[#This Row],[Age]]&gt;=50,"50-59",IF(HR_Employee_Attrition[[#This Row],[Age]]&gt;=40,"40-49",IF(HR_Employee_Attrition[[#This Row],[Age]]&gt;=30,"30-39",IF(HR_Employee_Attrition[[#This Row],[Age]]&gt;=20,"20-29",IF(HR_Employee_Attrition[[#This Row],[Age]]&gt;=18,"18-20"))))))</f>
        <v>30-39</v>
      </c>
      <c r="AK792" t="str" cm="1">
        <f t="array" ref="AK792">_xlfn.IFS(HR_Employee_Attrition[[#This Row],[YearsAtCompany]]&lt;=2,"0-2",HR_Employee_Attrition[[#This Row],[YearsAtCompany]]&lt;=5,"3-5",HR_Employee_Attrition[[#This Row],[YearsAtCompany]]&lt;=10,"6-10",HR_Employee_Attrition[[#This Row],[YearsAtCompany]]&gt;10,"10+")</f>
        <v>3-5</v>
      </c>
      <c r="AL792" t="str" cm="1">
        <f t="array" ref="AL7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92">
        <f>IF(HR_Employee_Attrition[[#This Row],[Attrition]]="Yes",1,0)</f>
        <v>0</v>
      </c>
    </row>
    <row r="793" spans="1:39" x14ac:dyDescent="0.3">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c r="AJ793" t="str">
        <f>IF(HR_Employee_Attrition[[#This Row],[Age]]&gt;60,"60+",IF(HR_Employee_Attrition[[#This Row],[Age]]&gt;=50,"50-59",IF(HR_Employee_Attrition[[#This Row],[Age]]&gt;=40,"40-49",IF(HR_Employee_Attrition[[#This Row],[Age]]&gt;=30,"30-39",IF(HR_Employee_Attrition[[#This Row],[Age]]&gt;=20,"20-29",IF(HR_Employee_Attrition[[#This Row],[Age]]&gt;=18,"18-20"))))))</f>
        <v>30-39</v>
      </c>
      <c r="AK793" t="str" cm="1">
        <f t="array" ref="AK793">_xlfn.IFS(HR_Employee_Attrition[[#This Row],[YearsAtCompany]]&lt;=2,"0-2",HR_Employee_Attrition[[#This Row],[YearsAtCompany]]&lt;=5,"3-5",HR_Employee_Attrition[[#This Row],[YearsAtCompany]]&lt;=10,"6-10",HR_Employee_Attrition[[#This Row],[YearsAtCompany]]&gt;10,"10+")</f>
        <v>6-10</v>
      </c>
      <c r="AL793" t="str" cm="1">
        <f t="array" ref="AL7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93">
        <f>IF(HR_Employee_Attrition[[#This Row],[Attrition]]="Yes",1,0)</f>
        <v>1</v>
      </c>
    </row>
    <row r="794" spans="1:39" x14ac:dyDescent="0.3">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c r="AJ794" t="str">
        <f>IF(HR_Employee_Attrition[[#This Row],[Age]]&gt;60,"60+",IF(HR_Employee_Attrition[[#This Row],[Age]]&gt;=50,"50-59",IF(HR_Employee_Attrition[[#This Row],[Age]]&gt;=40,"40-49",IF(HR_Employee_Attrition[[#This Row],[Age]]&gt;=30,"30-39",IF(HR_Employee_Attrition[[#This Row],[Age]]&gt;=20,"20-29",IF(HR_Employee_Attrition[[#This Row],[Age]]&gt;=18,"18-20"))))))</f>
        <v>30-39</v>
      </c>
      <c r="AK794" t="str" cm="1">
        <f t="array" ref="AK794">_xlfn.IFS(HR_Employee_Attrition[[#This Row],[YearsAtCompany]]&lt;=2,"0-2",HR_Employee_Attrition[[#This Row],[YearsAtCompany]]&lt;=5,"3-5",HR_Employee_Attrition[[#This Row],[YearsAtCompany]]&lt;=10,"6-10",HR_Employee_Attrition[[#This Row],[YearsAtCompany]]&gt;10,"10+")</f>
        <v>10+</v>
      </c>
      <c r="AL794" t="str" cm="1">
        <f t="array" ref="AL7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94">
        <f>IF(HR_Employee_Attrition[[#This Row],[Attrition]]="Yes",1,0)</f>
        <v>1</v>
      </c>
    </row>
    <row r="795" spans="1:39" x14ac:dyDescent="0.3">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c r="AJ795" t="str">
        <f>IF(HR_Employee_Attrition[[#This Row],[Age]]&gt;60,"60+",IF(HR_Employee_Attrition[[#This Row],[Age]]&gt;=50,"50-59",IF(HR_Employee_Attrition[[#This Row],[Age]]&gt;=40,"40-49",IF(HR_Employee_Attrition[[#This Row],[Age]]&gt;=30,"30-39",IF(HR_Employee_Attrition[[#This Row],[Age]]&gt;=20,"20-29",IF(HR_Employee_Attrition[[#This Row],[Age]]&gt;=18,"18-20"))))))</f>
        <v>20-29</v>
      </c>
      <c r="AK795" t="str" cm="1">
        <f t="array" ref="AK795">_xlfn.IFS(HR_Employee_Attrition[[#This Row],[YearsAtCompany]]&lt;=2,"0-2",HR_Employee_Attrition[[#This Row],[YearsAtCompany]]&lt;=5,"3-5",HR_Employee_Attrition[[#This Row],[YearsAtCompany]]&lt;=10,"6-10",HR_Employee_Attrition[[#This Row],[YearsAtCompany]]&gt;10,"10+")</f>
        <v>3-5</v>
      </c>
      <c r="AL795" t="str" cm="1">
        <f t="array" ref="AL7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95">
        <f>IF(HR_Employee_Attrition[[#This Row],[Attrition]]="Yes",1,0)</f>
        <v>0</v>
      </c>
    </row>
    <row r="796" spans="1:39" x14ac:dyDescent="0.3">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c r="AJ796" t="str">
        <f>IF(HR_Employee_Attrition[[#This Row],[Age]]&gt;60,"60+",IF(HR_Employee_Attrition[[#This Row],[Age]]&gt;=50,"50-59",IF(HR_Employee_Attrition[[#This Row],[Age]]&gt;=40,"40-49",IF(HR_Employee_Attrition[[#This Row],[Age]]&gt;=30,"30-39",IF(HR_Employee_Attrition[[#This Row],[Age]]&gt;=20,"20-29",IF(HR_Employee_Attrition[[#This Row],[Age]]&gt;=18,"18-20"))))))</f>
        <v>30-39</v>
      </c>
      <c r="AK796" t="str" cm="1">
        <f t="array" ref="AK796">_xlfn.IFS(HR_Employee_Attrition[[#This Row],[YearsAtCompany]]&lt;=2,"0-2",HR_Employee_Attrition[[#This Row],[YearsAtCompany]]&lt;=5,"3-5",HR_Employee_Attrition[[#This Row],[YearsAtCompany]]&lt;=10,"6-10",HR_Employee_Attrition[[#This Row],[YearsAtCompany]]&gt;10,"10+")</f>
        <v>6-10</v>
      </c>
      <c r="AL796" t="str" cm="1">
        <f t="array" ref="AL7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96">
        <f>IF(HR_Employee_Attrition[[#This Row],[Attrition]]="Yes",1,0)</f>
        <v>0</v>
      </c>
    </row>
    <row r="797" spans="1:39" x14ac:dyDescent="0.3">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c r="AJ797" t="str">
        <f>IF(HR_Employee_Attrition[[#This Row],[Age]]&gt;60,"60+",IF(HR_Employee_Attrition[[#This Row],[Age]]&gt;=50,"50-59",IF(HR_Employee_Attrition[[#This Row],[Age]]&gt;=40,"40-49",IF(HR_Employee_Attrition[[#This Row],[Age]]&gt;=30,"30-39",IF(HR_Employee_Attrition[[#This Row],[Age]]&gt;=20,"20-29",IF(HR_Employee_Attrition[[#This Row],[Age]]&gt;=18,"18-20"))))))</f>
        <v>30-39</v>
      </c>
      <c r="AK797" t="str" cm="1">
        <f t="array" ref="AK797">_xlfn.IFS(HR_Employee_Attrition[[#This Row],[YearsAtCompany]]&lt;=2,"0-2",HR_Employee_Attrition[[#This Row],[YearsAtCompany]]&lt;=5,"3-5",HR_Employee_Attrition[[#This Row],[YearsAtCompany]]&lt;=10,"6-10",HR_Employee_Attrition[[#This Row],[YearsAtCompany]]&gt;10,"10+")</f>
        <v>0-2</v>
      </c>
      <c r="AL797" t="str" cm="1">
        <f t="array" ref="AL7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97">
        <f>IF(HR_Employee_Attrition[[#This Row],[Attrition]]="Yes",1,0)</f>
        <v>0</v>
      </c>
    </row>
    <row r="798" spans="1:39" x14ac:dyDescent="0.3">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c r="AJ798" t="str">
        <f>IF(HR_Employee_Attrition[[#This Row],[Age]]&gt;60,"60+",IF(HR_Employee_Attrition[[#This Row],[Age]]&gt;=50,"50-59",IF(HR_Employee_Attrition[[#This Row],[Age]]&gt;=40,"40-49",IF(HR_Employee_Attrition[[#This Row],[Age]]&gt;=30,"30-39",IF(HR_Employee_Attrition[[#This Row],[Age]]&gt;=20,"20-29",IF(HR_Employee_Attrition[[#This Row],[Age]]&gt;=18,"18-20"))))))</f>
        <v>20-29</v>
      </c>
      <c r="AK798" t="str" cm="1">
        <f t="array" ref="AK798">_xlfn.IFS(HR_Employee_Attrition[[#This Row],[YearsAtCompany]]&lt;=2,"0-2",HR_Employee_Attrition[[#This Row],[YearsAtCompany]]&lt;=5,"3-5",HR_Employee_Attrition[[#This Row],[YearsAtCompany]]&lt;=10,"6-10",HR_Employee_Attrition[[#This Row],[YearsAtCompany]]&gt;10,"10+")</f>
        <v>6-10</v>
      </c>
      <c r="AL798" t="str" cm="1">
        <f t="array" ref="AL7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98">
        <f>IF(HR_Employee_Attrition[[#This Row],[Attrition]]="Yes",1,0)</f>
        <v>1</v>
      </c>
    </row>
    <row r="799" spans="1:39" x14ac:dyDescent="0.3">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c r="AJ799" t="str">
        <f>IF(HR_Employee_Attrition[[#This Row],[Age]]&gt;60,"60+",IF(HR_Employee_Attrition[[#This Row],[Age]]&gt;=50,"50-59",IF(HR_Employee_Attrition[[#This Row],[Age]]&gt;=40,"40-49",IF(HR_Employee_Attrition[[#This Row],[Age]]&gt;=30,"30-39",IF(HR_Employee_Attrition[[#This Row],[Age]]&gt;=20,"20-29",IF(HR_Employee_Attrition[[#This Row],[Age]]&gt;=18,"18-20"))))))</f>
        <v>20-29</v>
      </c>
      <c r="AK799" t="str" cm="1">
        <f t="array" ref="AK799">_xlfn.IFS(HR_Employee_Attrition[[#This Row],[YearsAtCompany]]&lt;=2,"0-2",HR_Employee_Attrition[[#This Row],[YearsAtCompany]]&lt;=5,"3-5",HR_Employee_Attrition[[#This Row],[YearsAtCompany]]&lt;=10,"6-10",HR_Employee_Attrition[[#This Row],[YearsAtCompany]]&gt;10,"10+")</f>
        <v>0-2</v>
      </c>
      <c r="AL799" t="str" cm="1">
        <f t="array" ref="AL7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99">
        <f>IF(HR_Employee_Attrition[[#This Row],[Attrition]]="Yes",1,0)</f>
        <v>1</v>
      </c>
    </row>
    <row r="800" spans="1:39" x14ac:dyDescent="0.3">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c r="AJ800" t="str">
        <f>IF(HR_Employee_Attrition[[#This Row],[Age]]&gt;60,"60+",IF(HR_Employee_Attrition[[#This Row],[Age]]&gt;=50,"50-59",IF(HR_Employee_Attrition[[#This Row],[Age]]&gt;=40,"40-49",IF(HR_Employee_Attrition[[#This Row],[Age]]&gt;=30,"30-39",IF(HR_Employee_Attrition[[#This Row],[Age]]&gt;=20,"20-29",IF(HR_Employee_Attrition[[#This Row],[Age]]&gt;=18,"18-20"))))))</f>
        <v>30-39</v>
      </c>
      <c r="AK800" t="str" cm="1">
        <f t="array" ref="AK800">_xlfn.IFS(HR_Employee_Attrition[[#This Row],[YearsAtCompany]]&lt;=2,"0-2",HR_Employee_Attrition[[#This Row],[YearsAtCompany]]&lt;=5,"3-5",HR_Employee_Attrition[[#This Row],[YearsAtCompany]]&lt;=10,"6-10",HR_Employee_Attrition[[#This Row],[YearsAtCompany]]&gt;10,"10+")</f>
        <v>0-2</v>
      </c>
      <c r="AL800" t="str" cm="1">
        <f t="array" ref="AL8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00">
        <f>IF(HR_Employee_Attrition[[#This Row],[Attrition]]="Yes",1,0)</f>
        <v>1</v>
      </c>
    </row>
    <row r="801" spans="1:39" x14ac:dyDescent="0.3">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c r="AJ801" t="str">
        <f>IF(HR_Employee_Attrition[[#This Row],[Age]]&gt;60,"60+",IF(HR_Employee_Attrition[[#This Row],[Age]]&gt;=50,"50-59",IF(HR_Employee_Attrition[[#This Row],[Age]]&gt;=40,"40-49",IF(HR_Employee_Attrition[[#This Row],[Age]]&gt;=30,"30-39",IF(HR_Employee_Attrition[[#This Row],[Age]]&gt;=20,"20-29",IF(HR_Employee_Attrition[[#This Row],[Age]]&gt;=18,"18-20"))))))</f>
        <v>40-49</v>
      </c>
      <c r="AK801" t="str" cm="1">
        <f t="array" ref="AK801">_xlfn.IFS(HR_Employee_Attrition[[#This Row],[YearsAtCompany]]&lt;=2,"0-2",HR_Employee_Attrition[[#This Row],[YearsAtCompany]]&lt;=5,"3-5",HR_Employee_Attrition[[#This Row],[YearsAtCompany]]&lt;=10,"6-10",HR_Employee_Attrition[[#This Row],[YearsAtCompany]]&gt;10,"10+")</f>
        <v>10+</v>
      </c>
      <c r="AL801" t="str" cm="1">
        <f t="array" ref="AL8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01">
        <f>IF(HR_Employee_Attrition[[#This Row],[Attrition]]="Yes",1,0)</f>
        <v>0</v>
      </c>
    </row>
    <row r="802" spans="1:39" x14ac:dyDescent="0.3">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c r="AJ802" t="str">
        <f>IF(HR_Employee_Attrition[[#This Row],[Age]]&gt;60,"60+",IF(HR_Employee_Attrition[[#This Row],[Age]]&gt;=50,"50-59",IF(HR_Employee_Attrition[[#This Row],[Age]]&gt;=40,"40-49",IF(HR_Employee_Attrition[[#This Row],[Age]]&gt;=30,"30-39",IF(HR_Employee_Attrition[[#This Row],[Age]]&gt;=20,"20-29",IF(HR_Employee_Attrition[[#This Row],[Age]]&gt;=18,"18-20"))))))</f>
        <v>20-29</v>
      </c>
      <c r="AK802" t="str" cm="1">
        <f t="array" ref="AK802">_xlfn.IFS(HR_Employee_Attrition[[#This Row],[YearsAtCompany]]&lt;=2,"0-2",HR_Employee_Attrition[[#This Row],[YearsAtCompany]]&lt;=5,"3-5",HR_Employee_Attrition[[#This Row],[YearsAtCompany]]&lt;=10,"6-10",HR_Employee_Attrition[[#This Row],[YearsAtCompany]]&gt;10,"10+")</f>
        <v>0-2</v>
      </c>
      <c r="AL802" t="str" cm="1">
        <f t="array" ref="AL8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02">
        <f>IF(HR_Employee_Attrition[[#This Row],[Attrition]]="Yes",1,0)</f>
        <v>1</v>
      </c>
    </row>
    <row r="803" spans="1:39" x14ac:dyDescent="0.3">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c r="AJ803" t="str">
        <f>IF(HR_Employee_Attrition[[#This Row],[Age]]&gt;60,"60+",IF(HR_Employee_Attrition[[#This Row],[Age]]&gt;=50,"50-59",IF(HR_Employee_Attrition[[#This Row],[Age]]&gt;=40,"40-49",IF(HR_Employee_Attrition[[#This Row],[Age]]&gt;=30,"30-39",IF(HR_Employee_Attrition[[#This Row],[Age]]&gt;=20,"20-29",IF(HR_Employee_Attrition[[#This Row],[Age]]&gt;=18,"18-20"))))))</f>
        <v>50-59</v>
      </c>
      <c r="AK803" t="str" cm="1">
        <f t="array" ref="AK803">_xlfn.IFS(HR_Employee_Attrition[[#This Row],[YearsAtCompany]]&lt;=2,"0-2",HR_Employee_Attrition[[#This Row],[YearsAtCompany]]&lt;=5,"3-5",HR_Employee_Attrition[[#This Row],[YearsAtCompany]]&lt;=10,"6-10",HR_Employee_Attrition[[#This Row],[YearsAtCompany]]&gt;10,"10+")</f>
        <v>0-2</v>
      </c>
      <c r="AL803" t="str" cm="1">
        <f t="array" ref="AL8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03">
        <f>IF(HR_Employee_Attrition[[#This Row],[Attrition]]="Yes",1,0)</f>
        <v>1</v>
      </c>
    </row>
    <row r="804" spans="1:39" x14ac:dyDescent="0.3">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c r="AJ804" t="str">
        <f>IF(HR_Employee_Attrition[[#This Row],[Age]]&gt;60,"60+",IF(HR_Employee_Attrition[[#This Row],[Age]]&gt;=50,"50-59",IF(HR_Employee_Attrition[[#This Row],[Age]]&gt;=40,"40-49",IF(HR_Employee_Attrition[[#This Row],[Age]]&gt;=30,"30-39",IF(HR_Employee_Attrition[[#This Row],[Age]]&gt;=20,"20-29",IF(HR_Employee_Attrition[[#This Row],[Age]]&gt;=18,"18-20"))))))</f>
        <v>30-39</v>
      </c>
      <c r="AK804" t="str" cm="1">
        <f t="array" ref="AK804">_xlfn.IFS(HR_Employee_Attrition[[#This Row],[YearsAtCompany]]&lt;=2,"0-2",HR_Employee_Attrition[[#This Row],[YearsAtCompany]]&lt;=5,"3-5",HR_Employee_Attrition[[#This Row],[YearsAtCompany]]&lt;=10,"6-10",HR_Employee_Attrition[[#This Row],[YearsAtCompany]]&gt;10,"10+")</f>
        <v>3-5</v>
      </c>
      <c r="AL804" t="str" cm="1">
        <f t="array" ref="AL8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04">
        <f>IF(HR_Employee_Attrition[[#This Row],[Attrition]]="Yes",1,0)</f>
        <v>0</v>
      </c>
    </row>
    <row r="805" spans="1:39" x14ac:dyDescent="0.3">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c r="AJ805" t="str">
        <f>IF(HR_Employee_Attrition[[#This Row],[Age]]&gt;60,"60+",IF(HR_Employee_Attrition[[#This Row],[Age]]&gt;=50,"50-59",IF(HR_Employee_Attrition[[#This Row],[Age]]&gt;=40,"40-49",IF(HR_Employee_Attrition[[#This Row],[Age]]&gt;=30,"30-39",IF(HR_Employee_Attrition[[#This Row],[Age]]&gt;=20,"20-29",IF(HR_Employee_Attrition[[#This Row],[Age]]&gt;=18,"18-20"))))))</f>
        <v>30-39</v>
      </c>
      <c r="AK805" t="str" cm="1">
        <f t="array" ref="AK805">_xlfn.IFS(HR_Employee_Attrition[[#This Row],[YearsAtCompany]]&lt;=2,"0-2",HR_Employee_Attrition[[#This Row],[YearsAtCompany]]&lt;=5,"3-5",HR_Employee_Attrition[[#This Row],[YearsAtCompany]]&lt;=10,"6-10",HR_Employee_Attrition[[#This Row],[YearsAtCompany]]&gt;10,"10+")</f>
        <v>0-2</v>
      </c>
      <c r="AL805" t="str" cm="1">
        <f t="array" ref="AL8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05">
        <f>IF(HR_Employee_Attrition[[#This Row],[Attrition]]="Yes",1,0)</f>
        <v>0</v>
      </c>
    </row>
    <row r="806" spans="1:39" x14ac:dyDescent="0.3">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c r="AJ806" t="str">
        <f>IF(HR_Employee_Attrition[[#This Row],[Age]]&gt;60,"60+",IF(HR_Employee_Attrition[[#This Row],[Age]]&gt;=50,"50-59",IF(HR_Employee_Attrition[[#This Row],[Age]]&gt;=40,"40-49",IF(HR_Employee_Attrition[[#This Row],[Age]]&gt;=30,"30-39",IF(HR_Employee_Attrition[[#This Row],[Age]]&gt;=20,"20-29",IF(HR_Employee_Attrition[[#This Row],[Age]]&gt;=18,"18-20"))))))</f>
        <v>40-49</v>
      </c>
      <c r="AK806" t="str" cm="1">
        <f t="array" ref="AK806">_xlfn.IFS(HR_Employee_Attrition[[#This Row],[YearsAtCompany]]&lt;=2,"0-2",HR_Employee_Attrition[[#This Row],[YearsAtCompany]]&lt;=5,"3-5",HR_Employee_Attrition[[#This Row],[YearsAtCompany]]&lt;=10,"6-10",HR_Employee_Attrition[[#This Row],[YearsAtCompany]]&gt;10,"10+")</f>
        <v>3-5</v>
      </c>
      <c r="AL806" t="str" cm="1">
        <f t="array" ref="AL8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06">
        <f>IF(HR_Employee_Attrition[[#This Row],[Attrition]]="Yes",1,0)</f>
        <v>0</v>
      </c>
    </row>
    <row r="807" spans="1:39" x14ac:dyDescent="0.3">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c r="AJ807" t="str">
        <f>IF(HR_Employee_Attrition[[#This Row],[Age]]&gt;60,"60+",IF(HR_Employee_Attrition[[#This Row],[Age]]&gt;=50,"50-59",IF(HR_Employee_Attrition[[#This Row],[Age]]&gt;=40,"40-49",IF(HR_Employee_Attrition[[#This Row],[Age]]&gt;=30,"30-39",IF(HR_Employee_Attrition[[#This Row],[Age]]&gt;=20,"20-29",IF(HR_Employee_Attrition[[#This Row],[Age]]&gt;=18,"18-20"))))))</f>
        <v>40-49</v>
      </c>
      <c r="AK807" t="str" cm="1">
        <f t="array" ref="AK807">_xlfn.IFS(HR_Employee_Attrition[[#This Row],[YearsAtCompany]]&lt;=2,"0-2",HR_Employee_Attrition[[#This Row],[YearsAtCompany]]&lt;=5,"3-5",HR_Employee_Attrition[[#This Row],[YearsAtCompany]]&lt;=10,"6-10",HR_Employee_Attrition[[#This Row],[YearsAtCompany]]&gt;10,"10+")</f>
        <v>10+</v>
      </c>
      <c r="AL807" t="str" cm="1">
        <f t="array" ref="AL8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07">
        <f>IF(HR_Employee_Attrition[[#This Row],[Attrition]]="Yes",1,0)</f>
        <v>0</v>
      </c>
    </row>
    <row r="808" spans="1:39" x14ac:dyDescent="0.3">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c r="AJ808" t="str">
        <f>IF(HR_Employee_Attrition[[#This Row],[Age]]&gt;60,"60+",IF(HR_Employee_Attrition[[#This Row],[Age]]&gt;=50,"50-59",IF(HR_Employee_Attrition[[#This Row],[Age]]&gt;=40,"40-49",IF(HR_Employee_Attrition[[#This Row],[Age]]&gt;=30,"30-39",IF(HR_Employee_Attrition[[#This Row],[Age]]&gt;=20,"20-29",IF(HR_Employee_Attrition[[#This Row],[Age]]&gt;=18,"18-20"))))))</f>
        <v>50-59</v>
      </c>
      <c r="AK808" t="str" cm="1">
        <f t="array" ref="AK808">_xlfn.IFS(HR_Employee_Attrition[[#This Row],[YearsAtCompany]]&lt;=2,"0-2",HR_Employee_Attrition[[#This Row],[YearsAtCompany]]&lt;=5,"3-5",HR_Employee_Attrition[[#This Row],[YearsAtCompany]]&lt;=10,"6-10",HR_Employee_Attrition[[#This Row],[YearsAtCompany]]&gt;10,"10+")</f>
        <v>6-10</v>
      </c>
      <c r="AL808" t="str" cm="1">
        <f t="array" ref="AL8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08">
        <f>IF(HR_Employee_Attrition[[#This Row],[Attrition]]="Yes",1,0)</f>
        <v>0</v>
      </c>
    </row>
    <row r="809" spans="1:39" x14ac:dyDescent="0.3">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c r="AJ809" t="str">
        <f>IF(HR_Employee_Attrition[[#This Row],[Age]]&gt;60,"60+",IF(HR_Employee_Attrition[[#This Row],[Age]]&gt;=50,"50-59",IF(HR_Employee_Attrition[[#This Row],[Age]]&gt;=40,"40-49",IF(HR_Employee_Attrition[[#This Row],[Age]]&gt;=30,"30-39",IF(HR_Employee_Attrition[[#This Row],[Age]]&gt;=20,"20-29",IF(HR_Employee_Attrition[[#This Row],[Age]]&gt;=18,"18-20"))))))</f>
        <v>30-39</v>
      </c>
      <c r="AK809" t="str" cm="1">
        <f t="array" ref="AK809">_xlfn.IFS(HR_Employee_Attrition[[#This Row],[YearsAtCompany]]&lt;=2,"0-2",HR_Employee_Attrition[[#This Row],[YearsAtCompany]]&lt;=5,"3-5",HR_Employee_Attrition[[#This Row],[YearsAtCompany]]&lt;=10,"6-10",HR_Employee_Attrition[[#This Row],[YearsAtCompany]]&gt;10,"10+")</f>
        <v>6-10</v>
      </c>
      <c r="AL809" t="str" cm="1">
        <f t="array" ref="AL8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09">
        <f>IF(HR_Employee_Attrition[[#This Row],[Attrition]]="Yes",1,0)</f>
        <v>0</v>
      </c>
    </row>
    <row r="810" spans="1:39" x14ac:dyDescent="0.3">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c r="AJ810" t="str">
        <f>IF(HR_Employee_Attrition[[#This Row],[Age]]&gt;60,"60+",IF(HR_Employee_Attrition[[#This Row],[Age]]&gt;=50,"50-59",IF(HR_Employee_Attrition[[#This Row],[Age]]&gt;=40,"40-49",IF(HR_Employee_Attrition[[#This Row],[Age]]&gt;=30,"30-39",IF(HR_Employee_Attrition[[#This Row],[Age]]&gt;=20,"20-29",IF(HR_Employee_Attrition[[#This Row],[Age]]&gt;=18,"18-20"))))))</f>
        <v>20-29</v>
      </c>
      <c r="AK810" t="str" cm="1">
        <f t="array" ref="AK810">_xlfn.IFS(HR_Employee_Attrition[[#This Row],[YearsAtCompany]]&lt;=2,"0-2",HR_Employee_Attrition[[#This Row],[YearsAtCompany]]&lt;=5,"3-5",HR_Employee_Attrition[[#This Row],[YearsAtCompany]]&lt;=10,"6-10",HR_Employee_Attrition[[#This Row],[YearsAtCompany]]&gt;10,"10+")</f>
        <v>6-10</v>
      </c>
      <c r="AL810" t="str" cm="1">
        <f t="array" ref="AL8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10">
        <f>IF(HR_Employee_Attrition[[#This Row],[Attrition]]="Yes",1,0)</f>
        <v>0</v>
      </c>
    </row>
    <row r="811" spans="1:39" x14ac:dyDescent="0.3">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c r="AJ811" t="str">
        <f>IF(HR_Employee_Attrition[[#This Row],[Age]]&gt;60,"60+",IF(HR_Employee_Attrition[[#This Row],[Age]]&gt;=50,"50-59",IF(HR_Employee_Attrition[[#This Row],[Age]]&gt;=40,"40-49",IF(HR_Employee_Attrition[[#This Row],[Age]]&gt;=30,"30-39",IF(HR_Employee_Attrition[[#This Row],[Age]]&gt;=20,"20-29",IF(HR_Employee_Attrition[[#This Row],[Age]]&gt;=18,"18-20"))))))</f>
        <v>20-29</v>
      </c>
      <c r="AK811" t="str" cm="1">
        <f t="array" ref="AK811">_xlfn.IFS(HR_Employee_Attrition[[#This Row],[YearsAtCompany]]&lt;=2,"0-2",HR_Employee_Attrition[[#This Row],[YearsAtCompany]]&lt;=5,"3-5",HR_Employee_Attrition[[#This Row],[YearsAtCompany]]&lt;=10,"6-10",HR_Employee_Attrition[[#This Row],[YearsAtCompany]]&gt;10,"10+")</f>
        <v>6-10</v>
      </c>
      <c r="AL811" t="str" cm="1">
        <f t="array" ref="AL8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11">
        <f>IF(HR_Employee_Attrition[[#This Row],[Attrition]]="Yes",1,0)</f>
        <v>0</v>
      </c>
    </row>
    <row r="812" spans="1:39" x14ac:dyDescent="0.3">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c r="AJ812" t="str">
        <f>IF(HR_Employee_Attrition[[#This Row],[Age]]&gt;60,"60+",IF(HR_Employee_Attrition[[#This Row],[Age]]&gt;=50,"50-59",IF(HR_Employee_Attrition[[#This Row],[Age]]&gt;=40,"40-49",IF(HR_Employee_Attrition[[#This Row],[Age]]&gt;=30,"30-39",IF(HR_Employee_Attrition[[#This Row],[Age]]&gt;=20,"20-29",IF(HR_Employee_Attrition[[#This Row],[Age]]&gt;=18,"18-20"))))))</f>
        <v>40-49</v>
      </c>
      <c r="AK812" t="str" cm="1">
        <f t="array" ref="AK812">_xlfn.IFS(HR_Employee_Attrition[[#This Row],[YearsAtCompany]]&lt;=2,"0-2",HR_Employee_Attrition[[#This Row],[YearsAtCompany]]&lt;=5,"3-5",HR_Employee_Attrition[[#This Row],[YearsAtCompany]]&lt;=10,"6-10",HR_Employee_Attrition[[#This Row],[YearsAtCompany]]&gt;10,"10+")</f>
        <v>10+</v>
      </c>
      <c r="AL812" t="str" cm="1">
        <f t="array" ref="AL8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12">
        <f>IF(HR_Employee_Attrition[[#This Row],[Attrition]]="Yes",1,0)</f>
        <v>0</v>
      </c>
    </row>
    <row r="813" spans="1:39" x14ac:dyDescent="0.3">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c r="AJ813" t="str">
        <f>IF(HR_Employee_Attrition[[#This Row],[Age]]&gt;60,"60+",IF(HR_Employee_Attrition[[#This Row],[Age]]&gt;=50,"50-59",IF(HR_Employee_Attrition[[#This Row],[Age]]&gt;=40,"40-49",IF(HR_Employee_Attrition[[#This Row],[Age]]&gt;=30,"30-39",IF(HR_Employee_Attrition[[#This Row],[Age]]&gt;=20,"20-29",IF(HR_Employee_Attrition[[#This Row],[Age]]&gt;=18,"18-20"))))))</f>
        <v>30-39</v>
      </c>
      <c r="AK813" t="str" cm="1">
        <f t="array" ref="AK813">_xlfn.IFS(HR_Employee_Attrition[[#This Row],[YearsAtCompany]]&lt;=2,"0-2",HR_Employee_Attrition[[#This Row],[YearsAtCompany]]&lt;=5,"3-5",HR_Employee_Attrition[[#This Row],[YearsAtCompany]]&lt;=10,"6-10",HR_Employee_Attrition[[#This Row],[YearsAtCompany]]&gt;10,"10+")</f>
        <v>0-2</v>
      </c>
      <c r="AL813" t="str" cm="1">
        <f t="array" ref="AL8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13">
        <f>IF(HR_Employee_Attrition[[#This Row],[Attrition]]="Yes",1,0)</f>
        <v>0</v>
      </c>
    </row>
    <row r="814" spans="1:39" x14ac:dyDescent="0.3">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c r="AJ814" t="str">
        <f>IF(HR_Employee_Attrition[[#This Row],[Age]]&gt;60,"60+",IF(HR_Employee_Attrition[[#This Row],[Age]]&gt;=50,"50-59",IF(HR_Employee_Attrition[[#This Row],[Age]]&gt;=40,"40-49",IF(HR_Employee_Attrition[[#This Row],[Age]]&gt;=30,"30-39",IF(HR_Employee_Attrition[[#This Row],[Age]]&gt;=20,"20-29",IF(HR_Employee_Attrition[[#This Row],[Age]]&gt;=18,"18-20"))))))</f>
        <v>40-49</v>
      </c>
      <c r="AK814" t="str" cm="1">
        <f t="array" ref="AK814">_xlfn.IFS(HR_Employee_Attrition[[#This Row],[YearsAtCompany]]&lt;=2,"0-2",HR_Employee_Attrition[[#This Row],[YearsAtCompany]]&lt;=5,"3-5",HR_Employee_Attrition[[#This Row],[YearsAtCompany]]&lt;=10,"6-10",HR_Employee_Attrition[[#This Row],[YearsAtCompany]]&gt;10,"10+")</f>
        <v>6-10</v>
      </c>
      <c r="AL814" t="str" cm="1">
        <f t="array" ref="AL8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14">
        <f>IF(HR_Employee_Attrition[[#This Row],[Attrition]]="Yes",1,0)</f>
        <v>0</v>
      </c>
    </row>
    <row r="815" spans="1:39" x14ac:dyDescent="0.3">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c r="AJ815" t="str">
        <f>IF(HR_Employee_Attrition[[#This Row],[Age]]&gt;60,"60+",IF(HR_Employee_Attrition[[#This Row],[Age]]&gt;=50,"50-59",IF(HR_Employee_Attrition[[#This Row],[Age]]&gt;=40,"40-49",IF(HR_Employee_Attrition[[#This Row],[Age]]&gt;=30,"30-39",IF(HR_Employee_Attrition[[#This Row],[Age]]&gt;=20,"20-29",IF(HR_Employee_Attrition[[#This Row],[Age]]&gt;=18,"18-20"))))))</f>
        <v>30-39</v>
      </c>
      <c r="AK815" t="str" cm="1">
        <f t="array" ref="AK815">_xlfn.IFS(HR_Employee_Attrition[[#This Row],[YearsAtCompany]]&lt;=2,"0-2",HR_Employee_Attrition[[#This Row],[YearsAtCompany]]&lt;=5,"3-5",HR_Employee_Attrition[[#This Row],[YearsAtCompany]]&lt;=10,"6-10",HR_Employee_Attrition[[#This Row],[YearsAtCompany]]&gt;10,"10+")</f>
        <v>10+</v>
      </c>
      <c r="AL815" t="str" cm="1">
        <f t="array" ref="AL8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15">
        <f>IF(HR_Employee_Attrition[[#This Row],[Attrition]]="Yes",1,0)</f>
        <v>1</v>
      </c>
    </row>
    <row r="816" spans="1:39" x14ac:dyDescent="0.3">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c r="AJ816" t="str">
        <f>IF(HR_Employee_Attrition[[#This Row],[Age]]&gt;60,"60+",IF(HR_Employee_Attrition[[#This Row],[Age]]&gt;=50,"50-59",IF(HR_Employee_Attrition[[#This Row],[Age]]&gt;=40,"40-49",IF(HR_Employee_Attrition[[#This Row],[Age]]&gt;=30,"30-39",IF(HR_Employee_Attrition[[#This Row],[Age]]&gt;=20,"20-29",IF(HR_Employee_Attrition[[#This Row],[Age]]&gt;=18,"18-20"))))))</f>
        <v>40-49</v>
      </c>
      <c r="AK816" t="str" cm="1">
        <f t="array" ref="AK816">_xlfn.IFS(HR_Employee_Attrition[[#This Row],[YearsAtCompany]]&lt;=2,"0-2",HR_Employee_Attrition[[#This Row],[YearsAtCompany]]&lt;=5,"3-5",HR_Employee_Attrition[[#This Row],[YearsAtCompany]]&lt;=10,"6-10",HR_Employee_Attrition[[#This Row],[YearsAtCompany]]&gt;10,"10+")</f>
        <v>10+</v>
      </c>
      <c r="AL816" t="str" cm="1">
        <f t="array" ref="AL8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16">
        <f>IF(HR_Employee_Attrition[[#This Row],[Attrition]]="Yes",1,0)</f>
        <v>0</v>
      </c>
    </row>
    <row r="817" spans="1:39" x14ac:dyDescent="0.3">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c r="AJ817" t="str">
        <f>IF(HR_Employee_Attrition[[#This Row],[Age]]&gt;60,"60+",IF(HR_Employee_Attrition[[#This Row],[Age]]&gt;=50,"50-59",IF(HR_Employee_Attrition[[#This Row],[Age]]&gt;=40,"40-49",IF(HR_Employee_Attrition[[#This Row],[Age]]&gt;=30,"30-39",IF(HR_Employee_Attrition[[#This Row],[Age]]&gt;=20,"20-29",IF(HR_Employee_Attrition[[#This Row],[Age]]&gt;=18,"18-20"))))))</f>
        <v>20-29</v>
      </c>
      <c r="AK817" t="str" cm="1">
        <f t="array" ref="AK817">_xlfn.IFS(HR_Employee_Attrition[[#This Row],[YearsAtCompany]]&lt;=2,"0-2",HR_Employee_Attrition[[#This Row],[YearsAtCompany]]&lt;=5,"3-5",HR_Employee_Attrition[[#This Row],[YearsAtCompany]]&lt;=10,"6-10",HR_Employee_Attrition[[#This Row],[YearsAtCompany]]&gt;10,"10+")</f>
        <v>0-2</v>
      </c>
      <c r="AL817" t="str" cm="1">
        <f t="array" ref="AL8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17">
        <f>IF(HR_Employee_Attrition[[#This Row],[Attrition]]="Yes",1,0)</f>
        <v>0</v>
      </c>
    </row>
    <row r="818" spans="1:39" x14ac:dyDescent="0.3">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c r="AJ818" t="str">
        <f>IF(HR_Employee_Attrition[[#This Row],[Age]]&gt;60,"60+",IF(HR_Employee_Attrition[[#This Row],[Age]]&gt;=50,"50-59",IF(HR_Employee_Attrition[[#This Row],[Age]]&gt;=40,"40-49",IF(HR_Employee_Attrition[[#This Row],[Age]]&gt;=30,"30-39",IF(HR_Employee_Attrition[[#This Row],[Age]]&gt;=20,"20-29",IF(HR_Employee_Attrition[[#This Row],[Age]]&gt;=18,"18-20"))))))</f>
        <v>30-39</v>
      </c>
      <c r="AK818" t="str" cm="1">
        <f t="array" ref="AK818">_xlfn.IFS(HR_Employee_Attrition[[#This Row],[YearsAtCompany]]&lt;=2,"0-2",HR_Employee_Attrition[[#This Row],[YearsAtCompany]]&lt;=5,"3-5",HR_Employee_Attrition[[#This Row],[YearsAtCompany]]&lt;=10,"6-10",HR_Employee_Attrition[[#This Row],[YearsAtCompany]]&gt;10,"10+")</f>
        <v>3-5</v>
      </c>
      <c r="AL818" t="str" cm="1">
        <f t="array" ref="AL8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18">
        <f>IF(HR_Employee_Attrition[[#This Row],[Attrition]]="Yes",1,0)</f>
        <v>0</v>
      </c>
    </row>
    <row r="819" spans="1:39" x14ac:dyDescent="0.3">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c r="AJ819" t="str">
        <f>IF(HR_Employee_Attrition[[#This Row],[Age]]&gt;60,"60+",IF(HR_Employee_Attrition[[#This Row],[Age]]&gt;=50,"50-59",IF(HR_Employee_Attrition[[#This Row],[Age]]&gt;=40,"40-49",IF(HR_Employee_Attrition[[#This Row],[Age]]&gt;=30,"30-39",IF(HR_Employee_Attrition[[#This Row],[Age]]&gt;=20,"20-29",IF(HR_Employee_Attrition[[#This Row],[Age]]&gt;=18,"18-20"))))))</f>
        <v>30-39</v>
      </c>
      <c r="AK819" t="str" cm="1">
        <f t="array" ref="AK819">_xlfn.IFS(HR_Employee_Attrition[[#This Row],[YearsAtCompany]]&lt;=2,"0-2",HR_Employee_Attrition[[#This Row],[YearsAtCompany]]&lt;=5,"3-5",HR_Employee_Attrition[[#This Row],[YearsAtCompany]]&lt;=10,"6-10",HR_Employee_Attrition[[#This Row],[YearsAtCompany]]&gt;10,"10+")</f>
        <v>10+</v>
      </c>
      <c r="AL819" t="str" cm="1">
        <f t="array" ref="AL8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19">
        <f>IF(HR_Employee_Attrition[[#This Row],[Attrition]]="Yes",1,0)</f>
        <v>0</v>
      </c>
    </row>
    <row r="820" spans="1:39" x14ac:dyDescent="0.3">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c r="AJ820" t="str">
        <f>IF(HR_Employee_Attrition[[#This Row],[Age]]&gt;60,"60+",IF(HR_Employee_Attrition[[#This Row],[Age]]&gt;=50,"50-59",IF(HR_Employee_Attrition[[#This Row],[Age]]&gt;=40,"40-49",IF(HR_Employee_Attrition[[#This Row],[Age]]&gt;=30,"30-39",IF(HR_Employee_Attrition[[#This Row],[Age]]&gt;=20,"20-29",IF(HR_Employee_Attrition[[#This Row],[Age]]&gt;=18,"18-20"))))))</f>
        <v>30-39</v>
      </c>
      <c r="AK820" t="str" cm="1">
        <f t="array" ref="AK820">_xlfn.IFS(HR_Employee_Attrition[[#This Row],[YearsAtCompany]]&lt;=2,"0-2",HR_Employee_Attrition[[#This Row],[YearsAtCompany]]&lt;=5,"3-5",HR_Employee_Attrition[[#This Row],[YearsAtCompany]]&lt;=10,"6-10",HR_Employee_Attrition[[#This Row],[YearsAtCompany]]&gt;10,"10+")</f>
        <v>0-2</v>
      </c>
      <c r="AL820" t="str" cm="1">
        <f t="array" ref="AL8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0">
        <f>IF(HR_Employee_Attrition[[#This Row],[Attrition]]="Yes",1,0)</f>
        <v>0</v>
      </c>
    </row>
    <row r="821" spans="1:39" x14ac:dyDescent="0.3">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c r="AJ821" t="str">
        <f>IF(HR_Employee_Attrition[[#This Row],[Age]]&gt;60,"60+",IF(HR_Employee_Attrition[[#This Row],[Age]]&gt;=50,"50-59",IF(HR_Employee_Attrition[[#This Row],[Age]]&gt;=40,"40-49",IF(HR_Employee_Attrition[[#This Row],[Age]]&gt;=30,"30-39",IF(HR_Employee_Attrition[[#This Row],[Age]]&gt;=20,"20-29",IF(HR_Employee_Attrition[[#This Row],[Age]]&gt;=18,"18-20"))))))</f>
        <v>20-29</v>
      </c>
      <c r="AK821" t="str" cm="1">
        <f t="array" ref="AK821">_xlfn.IFS(HR_Employee_Attrition[[#This Row],[YearsAtCompany]]&lt;=2,"0-2",HR_Employee_Attrition[[#This Row],[YearsAtCompany]]&lt;=5,"3-5",HR_Employee_Attrition[[#This Row],[YearsAtCompany]]&lt;=10,"6-10",HR_Employee_Attrition[[#This Row],[YearsAtCompany]]&gt;10,"10+")</f>
        <v>3-5</v>
      </c>
      <c r="AL821" t="str" cm="1">
        <f t="array" ref="AL8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1">
        <f>IF(HR_Employee_Attrition[[#This Row],[Attrition]]="Yes",1,0)</f>
        <v>0</v>
      </c>
    </row>
    <row r="822" spans="1:39" x14ac:dyDescent="0.3">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c r="AJ822" t="str">
        <f>IF(HR_Employee_Attrition[[#This Row],[Age]]&gt;60,"60+",IF(HR_Employee_Attrition[[#This Row],[Age]]&gt;=50,"50-59",IF(HR_Employee_Attrition[[#This Row],[Age]]&gt;=40,"40-49",IF(HR_Employee_Attrition[[#This Row],[Age]]&gt;=30,"30-39",IF(HR_Employee_Attrition[[#This Row],[Age]]&gt;=20,"20-29",IF(HR_Employee_Attrition[[#This Row],[Age]]&gt;=18,"18-20"))))))</f>
        <v>30-39</v>
      </c>
      <c r="AK822" t="str" cm="1">
        <f t="array" ref="AK822">_xlfn.IFS(HR_Employee_Attrition[[#This Row],[YearsAtCompany]]&lt;=2,"0-2",HR_Employee_Attrition[[#This Row],[YearsAtCompany]]&lt;=5,"3-5",HR_Employee_Attrition[[#This Row],[YearsAtCompany]]&lt;=10,"6-10",HR_Employee_Attrition[[#This Row],[YearsAtCompany]]&gt;10,"10+")</f>
        <v>3-5</v>
      </c>
      <c r="AL822" t="str" cm="1">
        <f t="array" ref="AL8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2">
        <f>IF(HR_Employee_Attrition[[#This Row],[Attrition]]="Yes",1,0)</f>
        <v>0</v>
      </c>
    </row>
    <row r="823" spans="1:39" x14ac:dyDescent="0.3">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c r="AJ823" t="str">
        <f>IF(HR_Employee_Attrition[[#This Row],[Age]]&gt;60,"60+",IF(HR_Employee_Attrition[[#This Row],[Age]]&gt;=50,"50-59",IF(HR_Employee_Attrition[[#This Row],[Age]]&gt;=40,"40-49",IF(HR_Employee_Attrition[[#This Row],[Age]]&gt;=30,"30-39",IF(HR_Employee_Attrition[[#This Row],[Age]]&gt;=20,"20-29",IF(HR_Employee_Attrition[[#This Row],[Age]]&gt;=18,"18-20"))))))</f>
        <v>40-49</v>
      </c>
      <c r="AK823" t="str" cm="1">
        <f t="array" ref="AK823">_xlfn.IFS(HR_Employee_Attrition[[#This Row],[YearsAtCompany]]&lt;=2,"0-2",HR_Employee_Attrition[[#This Row],[YearsAtCompany]]&lt;=5,"3-5",HR_Employee_Attrition[[#This Row],[YearsAtCompany]]&lt;=10,"6-10",HR_Employee_Attrition[[#This Row],[YearsAtCompany]]&gt;10,"10+")</f>
        <v>6-10</v>
      </c>
      <c r="AL823" t="str" cm="1">
        <f t="array" ref="AL8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23">
        <f>IF(HR_Employee_Attrition[[#This Row],[Attrition]]="Yes",1,0)</f>
        <v>0</v>
      </c>
    </row>
    <row r="824" spans="1:39" x14ac:dyDescent="0.3">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c r="AJ824" t="str">
        <f>IF(HR_Employee_Attrition[[#This Row],[Age]]&gt;60,"60+",IF(HR_Employee_Attrition[[#This Row],[Age]]&gt;=50,"50-59",IF(HR_Employee_Attrition[[#This Row],[Age]]&gt;=40,"40-49",IF(HR_Employee_Attrition[[#This Row],[Age]]&gt;=30,"30-39",IF(HR_Employee_Attrition[[#This Row],[Age]]&gt;=20,"20-29",IF(HR_Employee_Attrition[[#This Row],[Age]]&gt;=18,"18-20"))))))</f>
        <v>30-39</v>
      </c>
      <c r="AK824" t="str" cm="1">
        <f t="array" ref="AK824">_xlfn.IFS(HR_Employee_Attrition[[#This Row],[YearsAtCompany]]&lt;=2,"0-2",HR_Employee_Attrition[[#This Row],[YearsAtCompany]]&lt;=5,"3-5",HR_Employee_Attrition[[#This Row],[YearsAtCompany]]&lt;=10,"6-10",HR_Employee_Attrition[[#This Row],[YearsAtCompany]]&gt;10,"10+")</f>
        <v>3-5</v>
      </c>
      <c r="AL824" t="str" cm="1">
        <f t="array" ref="AL8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4">
        <f>IF(HR_Employee_Attrition[[#This Row],[Attrition]]="Yes",1,0)</f>
        <v>0</v>
      </c>
    </row>
    <row r="825" spans="1:39" x14ac:dyDescent="0.3">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c r="AJ825" t="str">
        <f>IF(HR_Employee_Attrition[[#This Row],[Age]]&gt;60,"60+",IF(HR_Employee_Attrition[[#This Row],[Age]]&gt;=50,"50-59",IF(HR_Employee_Attrition[[#This Row],[Age]]&gt;=40,"40-49",IF(HR_Employee_Attrition[[#This Row],[Age]]&gt;=30,"30-39",IF(HR_Employee_Attrition[[#This Row],[Age]]&gt;=20,"20-29",IF(HR_Employee_Attrition[[#This Row],[Age]]&gt;=18,"18-20"))))))</f>
        <v>20-29</v>
      </c>
      <c r="AK825" t="str" cm="1">
        <f t="array" ref="AK825">_xlfn.IFS(HR_Employee_Attrition[[#This Row],[YearsAtCompany]]&lt;=2,"0-2",HR_Employee_Attrition[[#This Row],[YearsAtCompany]]&lt;=5,"3-5",HR_Employee_Attrition[[#This Row],[YearsAtCompany]]&lt;=10,"6-10",HR_Employee_Attrition[[#This Row],[YearsAtCompany]]&gt;10,"10+")</f>
        <v>6-10</v>
      </c>
      <c r="AL825" t="str" cm="1">
        <f t="array" ref="AL8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5">
        <f>IF(HR_Employee_Attrition[[#This Row],[Attrition]]="Yes",1,0)</f>
        <v>0</v>
      </c>
    </row>
    <row r="826" spans="1:39" x14ac:dyDescent="0.3">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c r="AJ826" t="str">
        <f>IF(HR_Employee_Attrition[[#This Row],[Age]]&gt;60,"60+",IF(HR_Employee_Attrition[[#This Row],[Age]]&gt;=50,"50-59",IF(HR_Employee_Attrition[[#This Row],[Age]]&gt;=40,"40-49",IF(HR_Employee_Attrition[[#This Row],[Age]]&gt;=30,"30-39",IF(HR_Employee_Attrition[[#This Row],[Age]]&gt;=20,"20-29",IF(HR_Employee_Attrition[[#This Row],[Age]]&gt;=18,"18-20"))))))</f>
        <v>40-49</v>
      </c>
      <c r="AK826" t="str" cm="1">
        <f t="array" ref="AK826">_xlfn.IFS(HR_Employee_Attrition[[#This Row],[YearsAtCompany]]&lt;=2,"0-2",HR_Employee_Attrition[[#This Row],[YearsAtCompany]]&lt;=5,"3-5",HR_Employee_Attrition[[#This Row],[YearsAtCompany]]&lt;=10,"6-10",HR_Employee_Attrition[[#This Row],[YearsAtCompany]]&gt;10,"10+")</f>
        <v>0-2</v>
      </c>
      <c r="AL826" t="str" cm="1">
        <f t="array" ref="AL8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6">
        <f>IF(HR_Employee_Attrition[[#This Row],[Attrition]]="Yes",1,0)</f>
        <v>0</v>
      </c>
    </row>
    <row r="827" spans="1:39" x14ac:dyDescent="0.3">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c r="AJ827" t="str">
        <f>IF(HR_Employee_Attrition[[#This Row],[Age]]&gt;60,"60+",IF(HR_Employee_Attrition[[#This Row],[Age]]&gt;=50,"50-59",IF(HR_Employee_Attrition[[#This Row],[Age]]&gt;=40,"40-49",IF(HR_Employee_Attrition[[#This Row],[Age]]&gt;=30,"30-39",IF(HR_Employee_Attrition[[#This Row],[Age]]&gt;=20,"20-29",IF(HR_Employee_Attrition[[#This Row],[Age]]&gt;=18,"18-20"))))))</f>
        <v>20-29</v>
      </c>
      <c r="AK827" t="str" cm="1">
        <f t="array" ref="AK827">_xlfn.IFS(HR_Employee_Attrition[[#This Row],[YearsAtCompany]]&lt;=2,"0-2",HR_Employee_Attrition[[#This Row],[YearsAtCompany]]&lt;=5,"3-5",HR_Employee_Attrition[[#This Row],[YearsAtCompany]]&lt;=10,"6-10",HR_Employee_Attrition[[#This Row],[YearsAtCompany]]&gt;10,"10+")</f>
        <v>6-10</v>
      </c>
      <c r="AL827" t="str" cm="1">
        <f t="array" ref="AL8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27">
        <f>IF(HR_Employee_Attrition[[#This Row],[Attrition]]="Yes",1,0)</f>
        <v>0</v>
      </c>
    </row>
    <row r="828" spans="1:39" x14ac:dyDescent="0.3">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c r="AJ828" t="str">
        <f>IF(HR_Employee_Attrition[[#This Row],[Age]]&gt;60,"60+",IF(HR_Employee_Attrition[[#This Row],[Age]]&gt;=50,"50-59",IF(HR_Employee_Attrition[[#This Row],[Age]]&gt;=40,"40-49",IF(HR_Employee_Attrition[[#This Row],[Age]]&gt;=30,"30-39",IF(HR_Employee_Attrition[[#This Row],[Age]]&gt;=20,"20-29",IF(HR_Employee_Attrition[[#This Row],[Age]]&gt;=18,"18-20"))))))</f>
        <v>30-39</v>
      </c>
      <c r="AK828" t="str" cm="1">
        <f t="array" ref="AK828">_xlfn.IFS(HR_Employee_Attrition[[#This Row],[YearsAtCompany]]&lt;=2,"0-2",HR_Employee_Attrition[[#This Row],[YearsAtCompany]]&lt;=5,"3-5",HR_Employee_Attrition[[#This Row],[YearsAtCompany]]&lt;=10,"6-10",HR_Employee_Attrition[[#This Row],[YearsAtCompany]]&gt;10,"10+")</f>
        <v>6-10</v>
      </c>
      <c r="AL828" t="str" cm="1">
        <f t="array" ref="AL8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8">
        <f>IF(HR_Employee_Attrition[[#This Row],[Attrition]]="Yes",1,0)</f>
        <v>0</v>
      </c>
    </row>
    <row r="829" spans="1:39" x14ac:dyDescent="0.3">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c r="AJ829" t="str">
        <f>IF(HR_Employee_Attrition[[#This Row],[Age]]&gt;60,"60+",IF(HR_Employee_Attrition[[#This Row],[Age]]&gt;=50,"50-59",IF(HR_Employee_Attrition[[#This Row],[Age]]&gt;=40,"40-49",IF(HR_Employee_Attrition[[#This Row],[Age]]&gt;=30,"30-39",IF(HR_Employee_Attrition[[#This Row],[Age]]&gt;=20,"20-29",IF(HR_Employee_Attrition[[#This Row],[Age]]&gt;=18,"18-20"))))))</f>
        <v>20-29</v>
      </c>
      <c r="AK829" t="str" cm="1">
        <f t="array" ref="AK829">_xlfn.IFS(HR_Employee_Attrition[[#This Row],[YearsAtCompany]]&lt;=2,"0-2",HR_Employee_Attrition[[#This Row],[YearsAtCompany]]&lt;=5,"3-5",HR_Employee_Attrition[[#This Row],[YearsAtCompany]]&lt;=10,"6-10",HR_Employee_Attrition[[#This Row],[YearsAtCompany]]&gt;10,"10+")</f>
        <v>3-5</v>
      </c>
      <c r="AL829" t="str" cm="1">
        <f t="array" ref="AL8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9">
        <f>IF(HR_Employee_Attrition[[#This Row],[Attrition]]="Yes",1,0)</f>
        <v>0</v>
      </c>
    </row>
    <row r="830" spans="1:39" x14ac:dyDescent="0.3">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c r="AJ830" t="str">
        <f>IF(HR_Employee_Attrition[[#This Row],[Age]]&gt;60,"60+",IF(HR_Employee_Attrition[[#This Row],[Age]]&gt;=50,"50-59",IF(HR_Employee_Attrition[[#This Row],[Age]]&gt;=40,"40-49",IF(HR_Employee_Attrition[[#This Row],[Age]]&gt;=30,"30-39",IF(HR_Employee_Attrition[[#This Row],[Age]]&gt;=20,"20-29",IF(HR_Employee_Attrition[[#This Row],[Age]]&gt;=18,"18-20"))))))</f>
        <v>18-20</v>
      </c>
      <c r="AK830" t="str" cm="1">
        <f t="array" ref="AK830">_xlfn.IFS(HR_Employee_Attrition[[#This Row],[YearsAtCompany]]&lt;=2,"0-2",HR_Employee_Attrition[[#This Row],[YearsAtCompany]]&lt;=5,"3-5",HR_Employee_Attrition[[#This Row],[YearsAtCompany]]&lt;=10,"6-10",HR_Employee_Attrition[[#This Row],[YearsAtCompany]]&gt;10,"10+")</f>
        <v>0-2</v>
      </c>
      <c r="AL830" t="str" cm="1">
        <f t="array" ref="AL8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30">
        <f>IF(HR_Employee_Attrition[[#This Row],[Attrition]]="Yes",1,0)</f>
        <v>1</v>
      </c>
    </row>
    <row r="831" spans="1:39" x14ac:dyDescent="0.3">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c r="AJ831" t="str">
        <f>IF(HR_Employee_Attrition[[#This Row],[Age]]&gt;60,"60+",IF(HR_Employee_Attrition[[#This Row],[Age]]&gt;=50,"50-59",IF(HR_Employee_Attrition[[#This Row],[Age]]&gt;=40,"40-49",IF(HR_Employee_Attrition[[#This Row],[Age]]&gt;=30,"30-39",IF(HR_Employee_Attrition[[#This Row],[Age]]&gt;=20,"20-29",IF(HR_Employee_Attrition[[#This Row],[Age]]&gt;=18,"18-20"))))))</f>
        <v>30-39</v>
      </c>
      <c r="AK831" t="str" cm="1">
        <f t="array" ref="AK831">_xlfn.IFS(HR_Employee_Attrition[[#This Row],[YearsAtCompany]]&lt;=2,"0-2",HR_Employee_Attrition[[#This Row],[YearsAtCompany]]&lt;=5,"3-5",HR_Employee_Attrition[[#This Row],[YearsAtCompany]]&lt;=10,"6-10",HR_Employee_Attrition[[#This Row],[YearsAtCompany]]&gt;10,"10+")</f>
        <v>3-5</v>
      </c>
      <c r="AL831" t="str" cm="1">
        <f t="array" ref="AL8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31">
        <f>IF(HR_Employee_Attrition[[#This Row],[Attrition]]="Yes",1,0)</f>
        <v>1</v>
      </c>
    </row>
    <row r="832" spans="1:39" x14ac:dyDescent="0.3">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c r="AJ832" t="str">
        <f>IF(HR_Employee_Attrition[[#This Row],[Age]]&gt;60,"60+",IF(HR_Employee_Attrition[[#This Row],[Age]]&gt;=50,"50-59",IF(HR_Employee_Attrition[[#This Row],[Age]]&gt;=40,"40-49",IF(HR_Employee_Attrition[[#This Row],[Age]]&gt;=30,"30-39",IF(HR_Employee_Attrition[[#This Row],[Age]]&gt;=20,"20-29",IF(HR_Employee_Attrition[[#This Row],[Age]]&gt;=18,"18-20"))))))</f>
        <v>40-49</v>
      </c>
      <c r="AK832" t="str" cm="1">
        <f t="array" ref="AK832">_xlfn.IFS(HR_Employee_Attrition[[#This Row],[YearsAtCompany]]&lt;=2,"0-2",HR_Employee_Attrition[[#This Row],[YearsAtCompany]]&lt;=5,"3-5",HR_Employee_Attrition[[#This Row],[YearsAtCompany]]&lt;=10,"6-10",HR_Employee_Attrition[[#This Row],[YearsAtCompany]]&gt;10,"10+")</f>
        <v>0-2</v>
      </c>
      <c r="AL832" t="str" cm="1">
        <f t="array" ref="AL8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32">
        <f>IF(HR_Employee_Attrition[[#This Row],[Attrition]]="Yes",1,0)</f>
        <v>0</v>
      </c>
    </row>
    <row r="833" spans="1:39" x14ac:dyDescent="0.3">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c r="AJ833" t="str">
        <f>IF(HR_Employee_Attrition[[#This Row],[Age]]&gt;60,"60+",IF(HR_Employee_Attrition[[#This Row],[Age]]&gt;=50,"50-59",IF(HR_Employee_Attrition[[#This Row],[Age]]&gt;=40,"40-49",IF(HR_Employee_Attrition[[#This Row],[Age]]&gt;=30,"30-39",IF(HR_Employee_Attrition[[#This Row],[Age]]&gt;=20,"20-29",IF(HR_Employee_Attrition[[#This Row],[Age]]&gt;=18,"18-20"))))))</f>
        <v>30-39</v>
      </c>
      <c r="AK833" t="str" cm="1">
        <f t="array" ref="AK833">_xlfn.IFS(HR_Employee_Attrition[[#This Row],[YearsAtCompany]]&lt;=2,"0-2",HR_Employee_Attrition[[#This Row],[YearsAtCompany]]&lt;=5,"3-5",HR_Employee_Attrition[[#This Row],[YearsAtCompany]]&lt;=10,"6-10",HR_Employee_Attrition[[#This Row],[YearsAtCompany]]&gt;10,"10+")</f>
        <v>0-2</v>
      </c>
      <c r="AL833" t="str" cm="1">
        <f t="array" ref="AL8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33">
        <f>IF(HR_Employee_Attrition[[#This Row],[Attrition]]="Yes",1,0)</f>
        <v>1</v>
      </c>
    </row>
    <row r="834" spans="1:39" x14ac:dyDescent="0.3">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c r="AJ834" t="str">
        <f>IF(HR_Employee_Attrition[[#This Row],[Age]]&gt;60,"60+",IF(HR_Employee_Attrition[[#This Row],[Age]]&gt;=50,"50-59",IF(HR_Employee_Attrition[[#This Row],[Age]]&gt;=40,"40-49",IF(HR_Employee_Attrition[[#This Row],[Age]]&gt;=30,"30-39",IF(HR_Employee_Attrition[[#This Row],[Age]]&gt;=20,"20-29",IF(HR_Employee_Attrition[[#This Row],[Age]]&gt;=18,"18-20"))))))</f>
        <v>30-39</v>
      </c>
      <c r="AK834" t="str" cm="1">
        <f t="array" ref="AK834">_xlfn.IFS(HR_Employee_Attrition[[#This Row],[YearsAtCompany]]&lt;=2,"0-2",HR_Employee_Attrition[[#This Row],[YearsAtCompany]]&lt;=5,"3-5",HR_Employee_Attrition[[#This Row],[YearsAtCompany]]&lt;=10,"6-10",HR_Employee_Attrition[[#This Row],[YearsAtCompany]]&gt;10,"10+")</f>
        <v>6-10</v>
      </c>
      <c r="AL834" t="str" cm="1">
        <f t="array" ref="AL8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34">
        <f>IF(HR_Employee_Attrition[[#This Row],[Attrition]]="Yes",1,0)</f>
        <v>0</v>
      </c>
    </row>
    <row r="835" spans="1:39" x14ac:dyDescent="0.3">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c r="AJ835" t="str">
        <f>IF(HR_Employee_Attrition[[#This Row],[Age]]&gt;60,"60+",IF(HR_Employee_Attrition[[#This Row],[Age]]&gt;=50,"50-59",IF(HR_Employee_Attrition[[#This Row],[Age]]&gt;=40,"40-49",IF(HR_Employee_Attrition[[#This Row],[Age]]&gt;=30,"30-39",IF(HR_Employee_Attrition[[#This Row],[Age]]&gt;=20,"20-29",IF(HR_Employee_Attrition[[#This Row],[Age]]&gt;=18,"18-20"))))))</f>
        <v>20-29</v>
      </c>
      <c r="AK835" t="str" cm="1">
        <f t="array" ref="AK835">_xlfn.IFS(HR_Employee_Attrition[[#This Row],[YearsAtCompany]]&lt;=2,"0-2",HR_Employee_Attrition[[#This Row],[YearsAtCompany]]&lt;=5,"3-5",HR_Employee_Attrition[[#This Row],[YearsAtCompany]]&lt;=10,"6-10",HR_Employee_Attrition[[#This Row],[YearsAtCompany]]&gt;10,"10+")</f>
        <v>3-5</v>
      </c>
      <c r="AL835" t="str" cm="1">
        <f t="array" ref="AL8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35">
        <f>IF(HR_Employee_Attrition[[#This Row],[Attrition]]="Yes",1,0)</f>
        <v>0</v>
      </c>
    </row>
    <row r="836" spans="1:39" x14ac:dyDescent="0.3">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c r="AJ836" t="str">
        <f>IF(HR_Employee_Attrition[[#This Row],[Age]]&gt;60,"60+",IF(HR_Employee_Attrition[[#This Row],[Age]]&gt;=50,"50-59",IF(HR_Employee_Attrition[[#This Row],[Age]]&gt;=40,"40-49",IF(HR_Employee_Attrition[[#This Row],[Age]]&gt;=30,"30-39",IF(HR_Employee_Attrition[[#This Row],[Age]]&gt;=20,"20-29",IF(HR_Employee_Attrition[[#This Row],[Age]]&gt;=18,"18-20"))))))</f>
        <v>30-39</v>
      </c>
      <c r="AK836" t="str" cm="1">
        <f t="array" ref="AK836">_xlfn.IFS(HR_Employee_Attrition[[#This Row],[YearsAtCompany]]&lt;=2,"0-2",HR_Employee_Attrition[[#This Row],[YearsAtCompany]]&lt;=5,"3-5",HR_Employee_Attrition[[#This Row],[YearsAtCompany]]&lt;=10,"6-10",HR_Employee_Attrition[[#This Row],[YearsAtCompany]]&gt;10,"10+")</f>
        <v>6-10</v>
      </c>
      <c r="AL836" t="str" cm="1">
        <f t="array" ref="AL8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36">
        <f>IF(HR_Employee_Attrition[[#This Row],[Attrition]]="Yes",1,0)</f>
        <v>0</v>
      </c>
    </row>
    <row r="837" spans="1:39" x14ac:dyDescent="0.3">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c r="AJ837" t="str">
        <f>IF(HR_Employee_Attrition[[#This Row],[Age]]&gt;60,"60+",IF(HR_Employee_Attrition[[#This Row],[Age]]&gt;=50,"50-59",IF(HR_Employee_Attrition[[#This Row],[Age]]&gt;=40,"40-49",IF(HR_Employee_Attrition[[#This Row],[Age]]&gt;=30,"30-39",IF(HR_Employee_Attrition[[#This Row],[Age]]&gt;=20,"20-29",IF(HR_Employee_Attrition[[#This Row],[Age]]&gt;=18,"18-20"))))))</f>
        <v>30-39</v>
      </c>
      <c r="AK837" t="str" cm="1">
        <f t="array" ref="AK837">_xlfn.IFS(HR_Employee_Attrition[[#This Row],[YearsAtCompany]]&lt;=2,"0-2",HR_Employee_Attrition[[#This Row],[YearsAtCompany]]&lt;=5,"3-5",HR_Employee_Attrition[[#This Row],[YearsAtCompany]]&lt;=10,"6-10",HR_Employee_Attrition[[#This Row],[YearsAtCompany]]&gt;10,"10+")</f>
        <v>3-5</v>
      </c>
      <c r="AL837" t="str" cm="1">
        <f t="array" ref="AL8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37">
        <f>IF(HR_Employee_Attrition[[#This Row],[Attrition]]="Yes",1,0)</f>
        <v>0</v>
      </c>
    </row>
    <row r="838" spans="1:39" x14ac:dyDescent="0.3">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c r="AJ838" t="str">
        <f>IF(HR_Employee_Attrition[[#This Row],[Age]]&gt;60,"60+",IF(HR_Employee_Attrition[[#This Row],[Age]]&gt;=50,"50-59",IF(HR_Employee_Attrition[[#This Row],[Age]]&gt;=40,"40-49",IF(HR_Employee_Attrition[[#This Row],[Age]]&gt;=30,"30-39",IF(HR_Employee_Attrition[[#This Row],[Age]]&gt;=20,"20-29",IF(HR_Employee_Attrition[[#This Row],[Age]]&gt;=18,"18-20"))))))</f>
        <v>20-29</v>
      </c>
      <c r="AK838" t="str" cm="1">
        <f t="array" ref="AK838">_xlfn.IFS(HR_Employee_Attrition[[#This Row],[YearsAtCompany]]&lt;=2,"0-2",HR_Employee_Attrition[[#This Row],[YearsAtCompany]]&lt;=5,"3-5",HR_Employee_Attrition[[#This Row],[YearsAtCompany]]&lt;=10,"6-10",HR_Employee_Attrition[[#This Row],[YearsAtCompany]]&gt;10,"10+")</f>
        <v>10+</v>
      </c>
      <c r="AL838" t="str" cm="1">
        <f t="array" ref="AL8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38">
        <f>IF(HR_Employee_Attrition[[#This Row],[Attrition]]="Yes",1,0)</f>
        <v>1</v>
      </c>
    </row>
    <row r="839" spans="1:39" x14ac:dyDescent="0.3">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c r="AJ839" t="str">
        <f>IF(HR_Employee_Attrition[[#This Row],[Age]]&gt;60,"60+",IF(HR_Employee_Attrition[[#This Row],[Age]]&gt;=50,"50-59",IF(HR_Employee_Attrition[[#This Row],[Age]]&gt;=40,"40-49",IF(HR_Employee_Attrition[[#This Row],[Age]]&gt;=30,"30-39",IF(HR_Employee_Attrition[[#This Row],[Age]]&gt;=20,"20-29",IF(HR_Employee_Attrition[[#This Row],[Age]]&gt;=18,"18-20"))))))</f>
        <v>40-49</v>
      </c>
      <c r="AK839" t="str" cm="1">
        <f t="array" ref="AK839">_xlfn.IFS(HR_Employee_Attrition[[#This Row],[YearsAtCompany]]&lt;=2,"0-2",HR_Employee_Attrition[[#This Row],[YearsAtCompany]]&lt;=5,"3-5",HR_Employee_Attrition[[#This Row],[YearsAtCompany]]&lt;=10,"6-10",HR_Employee_Attrition[[#This Row],[YearsAtCompany]]&gt;10,"10+")</f>
        <v>10+</v>
      </c>
      <c r="AL839" t="str" cm="1">
        <f t="array" ref="AL8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39">
        <f>IF(HR_Employee_Attrition[[#This Row],[Attrition]]="Yes",1,0)</f>
        <v>0</v>
      </c>
    </row>
    <row r="840" spans="1:39" x14ac:dyDescent="0.3">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c r="AJ840" t="str">
        <f>IF(HR_Employee_Attrition[[#This Row],[Age]]&gt;60,"60+",IF(HR_Employee_Attrition[[#This Row],[Age]]&gt;=50,"50-59",IF(HR_Employee_Attrition[[#This Row],[Age]]&gt;=40,"40-49",IF(HR_Employee_Attrition[[#This Row],[Age]]&gt;=30,"30-39",IF(HR_Employee_Attrition[[#This Row],[Age]]&gt;=20,"20-29",IF(HR_Employee_Attrition[[#This Row],[Age]]&gt;=18,"18-20"))))))</f>
        <v>40-49</v>
      </c>
      <c r="AK840" t="str" cm="1">
        <f t="array" ref="AK840">_xlfn.IFS(HR_Employee_Attrition[[#This Row],[YearsAtCompany]]&lt;=2,"0-2",HR_Employee_Attrition[[#This Row],[YearsAtCompany]]&lt;=5,"3-5",HR_Employee_Attrition[[#This Row],[YearsAtCompany]]&lt;=10,"6-10",HR_Employee_Attrition[[#This Row],[YearsAtCompany]]&gt;10,"10+")</f>
        <v>10+</v>
      </c>
      <c r="AL840" t="str" cm="1">
        <f t="array" ref="AL8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40">
        <f>IF(HR_Employee_Attrition[[#This Row],[Attrition]]="Yes",1,0)</f>
        <v>1</v>
      </c>
    </row>
    <row r="841" spans="1:39" x14ac:dyDescent="0.3">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c r="AJ841" t="str">
        <f>IF(HR_Employee_Attrition[[#This Row],[Age]]&gt;60,"60+",IF(HR_Employee_Attrition[[#This Row],[Age]]&gt;=50,"50-59",IF(HR_Employee_Attrition[[#This Row],[Age]]&gt;=40,"40-49",IF(HR_Employee_Attrition[[#This Row],[Age]]&gt;=30,"30-39",IF(HR_Employee_Attrition[[#This Row],[Age]]&gt;=20,"20-29",IF(HR_Employee_Attrition[[#This Row],[Age]]&gt;=18,"18-20"))))))</f>
        <v>40-49</v>
      </c>
      <c r="AK841" t="str" cm="1">
        <f t="array" ref="AK841">_xlfn.IFS(HR_Employee_Attrition[[#This Row],[YearsAtCompany]]&lt;=2,"0-2",HR_Employee_Attrition[[#This Row],[YearsAtCompany]]&lt;=5,"3-5",HR_Employee_Attrition[[#This Row],[YearsAtCompany]]&lt;=10,"6-10",HR_Employee_Attrition[[#This Row],[YearsAtCompany]]&gt;10,"10+")</f>
        <v>6-10</v>
      </c>
      <c r="AL841" t="str" cm="1">
        <f t="array" ref="AL8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41">
        <f>IF(HR_Employee_Attrition[[#This Row],[Attrition]]="Yes",1,0)</f>
        <v>0</v>
      </c>
    </row>
    <row r="842" spans="1:39" x14ac:dyDescent="0.3">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c r="AJ842" t="str">
        <f>IF(HR_Employee_Attrition[[#This Row],[Age]]&gt;60,"60+",IF(HR_Employee_Attrition[[#This Row],[Age]]&gt;=50,"50-59",IF(HR_Employee_Attrition[[#This Row],[Age]]&gt;=40,"40-49",IF(HR_Employee_Attrition[[#This Row],[Age]]&gt;=30,"30-39",IF(HR_Employee_Attrition[[#This Row],[Age]]&gt;=20,"20-29",IF(HR_Employee_Attrition[[#This Row],[Age]]&gt;=18,"18-20"))))))</f>
        <v>30-39</v>
      </c>
      <c r="AK842" t="str" cm="1">
        <f t="array" ref="AK842">_xlfn.IFS(HR_Employee_Attrition[[#This Row],[YearsAtCompany]]&lt;=2,"0-2",HR_Employee_Attrition[[#This Row],[YearsAtCompany]]&lt;=5,"3-5",HR_Employee_Attrition[[#This Row],[YearsAtCompany]]&lt;=10,"6-10",HR_Employee_Attrition[[#This Row],[YearsAtCompany]]&gt;10,"10+")</f>
        <v>6-10</v>
      </c>
      <c r="AL842" t="str" cm="1">
        <f t="array" ref="AL8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42">
        <f>IF(HR_Employee_Attrition[[#This Row],[Attrition]]="Yes",1,0)</f>
        <v>0</v>
      </c>
    </row>
    <row r="843" spans="1:39" x14ac:dyDescent="0.3">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c r="AJ843" t="str">
        <f>IF(HR_Employee_Attrition[[#This Row],[Age]]&gt;60,"60+",IF(HR_Employee_Attrition[[#This Row],[Age]]&gt;=50,"50-59",IF(HR_Employee_Attrition[[#This Row],[Age]]&gt;=40,"40-49",IF(HR_Employee_Attrition[[#This Row],[Age]]&gt;=30,"30-39",IF(HR_Employee_Attrition[[#This Row],[Age]]&gt;=20,"20-29",IF(HR_Employee_Attrition[[#This Row],[Age]]&gt;=18,"18-20"))))))</f>
        <v>20-29</v>
      </c>
      <c r="AK843" t="str" cm="1">
        <f t="array" ref="AK843">_xlfn.IFS(HR_Employee_Attrition[[#This Row],[YearsAtCompany]]&lt;=2,"0-2",HR_Employee_Attrition[[#This Row],[YearsAtCompany]]&lt;=5,"3-5",HR_Employee_Attrition[[#This Row],[YearsAtCompany]]&lt;=10,"6-10",HR_Employee_Attrition[[#This Row],[YearsAtCompany]]&gt;10,"10+")</f>
        <v>3-5</v>
      </c>
      <c r="AL843" t="str" cm="1">
        <f t="array" ref="AL8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43">
        <f>IF(HR_Employee_Attrition[[#This Row],[Attrition]]="Yes",1,0)</f>
        <v>0</v>
      </c>
    </row>
    <row r="844" spans="1:39" x14ac:dyDescent="0.3">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c r="AJ844" t="str">
        <f>IF(HR_Employee_Attrition[[#This Row],[Age]]&gt;60,"60+",IF(HR_Employee_Attrition[[#This Row],[Age]]&gt;=50,"50-59",IF(HR_Employee_Attrition[[#This Row],[Age]]&gt;=40,"40-49",IF(HR_Employee_Attrition[[#This Row],[Age]]&gt;=30,"30-39",IF(HR_Employee_Attrition[[#This Row],[Age]]&gt;=20,"20-29",IF(HR_Employee_Attrition[[#This Row],[Age]]&gt;=18,"18-20"))))))</f>
        <v>20-29</v>
      </c>
      <c r="AK844" t="str" cm="1">
        <f t="array" ref="AK844">_xlfn.IFS(HR_Employee_Attrition[[#This Row],[YearsAtCompany]]&lt;=2,"0-2",HR_Employee_Attrition[[#This Row],[YearsAtCompany]]&lt;=5,"3-5",HR_Employee_Attrition[[#This Row],[YearsAtCompany]]&lt;=10,"6-10",HR_Employee_Attrition[[#This Row],[YearsAtCompany]]&gt;10,"10+")</f>
        <v>0-2</v>
      </c>
      <c r="AL844" t="str" cm="1">
        <f t="array" ref="AL8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44">
        <f>IF(HR_Employee_Attrition[[#This Row],[Attrition]]="Yes",1,0)</f>
        <v>1</v>
      </c>
    </row>
    <row r="845" spans="1:39" x14ac:dyDescent="0.3">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c r="AJ845" t="str">
        <f>IF(HR_Employee_Attrition[[#This Row],[Age]]&gt;60,"60+",IF(HR_Employee_Attrition[[#This Row],[Age]]&gt;=50,"50-59",IF(HR_Employee_Attrition[[#This Row],[Age]]&gt;=40,"40-49",IF(HR_Employee_Attrition[[#This Row],[Age]]&gt;=30,"30-39",IF(HR_Employee_Attrition[[#This Row],[Age]]&gt;=20,"20-29",IF(HR_Employee_Attrition[[#This Row],[Age]]&gt;=18,"18-20"))))))</f>
        <v>20-29</v>
      </c>
      <c r="AK845" t="str" cm="1">
        <f t="array" ref="AK845">_xlfn.IFS(HR_Employee_Attrition[[#This Row],[YearsAtCompany]]&lt;=2,"0-2",HR_Employee_Attrition[[#This Row],[YearsAtCompany]]&lt;=5,"3-5",HR_Employee_Attrition[[#This Row],[YearsAtCompany]]&lt;=10,"6-10",HR_Employee_Attrition[[#This Row],[YearsAtCompany]]&gt;10,"10+")</f>
        <v>6-10</v>
      </c>
      <c r="AL845" t="str" cm="1">
        <f t="array" ref="AL8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45">
        <f>IF(HR_Employee_Attrition[[#This Row],[Attrition]]="Yes",1,0)</f>
        <v>0</v>
      </c>
    </row>
    <row r="846" spans="1:39" x14ac:dyDescent="0.3">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c r="AJ846" t="str">
        <f>IF(HR_Employee_Attrition[[#This Row],[Age]]&gt;60,"60+",IF(HR_Employee_Attrition[[#This Row],[Age]]&gt;=50,"50-59",IF(HR_Employee_Attrition[[#This Row],[Age]]&gt;=40,"40-49",IF(HR_Employee_Attrition[[#This Row],[Age]]&gt;=30,"30-39",IF(HR_Employee_Attrition[[#This Row],[Age]]&gt;=20,"20-29",IF(HR_Employee_Attrition[[#This Row],[Age]]&gt;=18,"18-20"))))))</f>
        <v>30-39</v>
      </c>
      <c r="AK846" t="str" cm="1">
        <f t="array" ref="AK846">_xlfn.IFS(HR_Employee_Attrition[[#This Row],[YearsAtCompany]]&lt;=2,"0-2",HR_Employee_Attrition[[#This Row],[YearsAtCompany]]&lt;=5,"3-5",HR_Employee_Attrition[[#This Row],[YearsAtCompany]]&lt;=10,"6-10",HR_Employee_Attrition[[#This Row],[YearsAtCompany]]&gt;10,"10+")</f>
        <v>6-10</v>
      </c>
      <c r="AL846" t="str" cm="1">
        <f t="array" ref="AL8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46">
        <f>IF(HR_Employee_Attrition[[#This Row],[Attrition]]="Yes",1,0)</f>
        <v>0</v>
      </c>
    </row>
    <row r="847" spans="1:39" x14ac:dyDescent="0.3">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c r="AJ847" t="str">
        <f>IF(HR_Employee_Attrition[[#This Row],[Age]]&gt;60,"60+",IF(HR_Employee_Attrition[[#This Row],[Age]]&gt;=50,"50-59",IF(HR_Employee_Attrition[[#This Row],[Age]]&gt;=40,"40-49",IF(HR_Employee_Attrition[[#This Row],[Age]]&gt;=30,"30-39",IF(HR_Employee_Attrition[[#This Row],[Age]]&gt;=20,"20-29",IF(HR_Employee_Attrition[[#This Row],[Age]]&gt;=18,"18-20"))))))</f>
        <v>40-49</v>
      </c>
      <c r="AK847" t="str" cm="1">
        <f t="array" ref="AK847">_xlfn.IFS(HR_Employee_Attrition[[#This Row],[YearsAtCompany]]&lt;=2,"0-2",HR_Employee_Attrition[[#This Row],[YearsAtCompany]]&lt;=5,"3-5",HR_Employee_Attrition[[#This Row],[YearsAtCompany]]&lt;=10,"6-10",HR_Employee_Attrition[[#This Row],[YearsAtCompany]]&gt;10,"10+")</f>
        <v>0-2</v>
      </c>
      <c r="AL847" t="str" cm="1">
        <f t="array" ref="AL8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47">
        <f>IF(HR_Employee_Attrition[[#This Row],[Attrition]]="Yes",1,0)</f>
        <v>0</v>
      </c>
    </row>
    <row r="848" spans="1:39" x14ac:dyDescent="0.3">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c r="AJ848" t="str">
        <f>IF(HR_Employee_Attrition[[#This Row],[Age]]&gt;60,"60+",IF(HR_Employee_Attrition[[#This Row],[Age]]&gt;=50,"50-59",IF(HR_Employee_Attrition[[#This Row],[Age]]&gt;=40,"40-49",IF(HR_Employee_Attrition[[#This Row],[Age]]&gt;=30,"30-39",IF(HR_Employee_Attrition[[#This Row],[Age]]&gt;=20,"20-29",IF(HR_Employee_Attrition[[#This Row],[Age]]&gt;=18,"18-20"))))))</f>
        <v>30-39</v>
      </c>
      <c r="AK848" t="str" cm="1">
        <f t="array" ref="AK848">_xlfn.IFS(HR_Employee_Attrition[[#This Row],[YearsAtCompany]]&lt;=2,"0-2",HR_Employee_Attrition[[#This Row],[YearsAtCompany]]&lt;=5,"3-5",HR_Employee_Attrition[[#This Row],[YearsAtCompany]]&lt;=10,"6-10",HR_Employee_Attrition[[#This Row],[YearsAtCompany]]&gt;10,"10+")</f>
        <v>6-10</v>
      </c>
      <c r="AL848" t="str" cm="1">
        <f t="array" ref="AL8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48">
        <f>IF(HR_Employee_Attrition[[#This Row],[Attrition]]="Yes",1,0)</f>
        <v>0</v>
      </c>
    </row>
    <row r="849" spans="1:39" x14ac:dyDescent="0.3">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c r="AJ849" t="str">
        <f>IF(HR_Employee_Attrition[[#This Row],[Age]]&gt;60,"60+",IF(HR_Employee_Attrition[[#This Row],[Age]]&gt;=50,"50-59",IF(HR_Employee_Attrition[[#This Row],[Age]]&gt;=40,"40-49",IF(HR_Employee_Attrition[[#This Row],[Age]]&gt;=30,"30-39",IF(HR_Employee_Attrition[[#This Row],[Age]]&gt;=20,"20-29",IF(HR_Employee_Attrition[[#This Row],[Age]]&gt;=18,"18-20"))))))</f>
        <v>30-39</v>
      </c>
      <c r="AK849" t="str" cm="1">
        <f t="array" ref="AK849">_xlfn.IFS(HR_Employee_Attrition[[#This Row],[YearsAtCompany]]&lt;=2,"0-2",HR_Employee_Attrition[[#This Row],[YearsAtCompany]]&lt;=5,"3-5",HR_Employee_Attrition[[#This Row],[YearsAtCompany]]&lt;=10,"6-10",HR_Employee_Attrition[[#This Row],[YearsAtCompany]]&gt;10,"10+")</f>
        <v>10+</v>
      </c>
      <c r="AL849" t="str" cm="1">
        <f t="array" ref="AL8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49">
        <f>IF(HR_Employee_Attrition[[#This Row],[Attrition]]="Yes",1,0)</f>
        <v>0</v>
      </c>
    </row>
    <row r="850" spans="1:39" x14ac:dyDescent="0.3">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c r="AJ850" t="str">
        <f>IF(HR_Employee_Attrition[[#This Row],[Age]]&gt;60,"60+",IF(HR_Employee_Attrition[[#This Row],[Age]]&gt;=50,"50-59",IF(HR_Employee_Attrition[[#This Row],[Age]]&gt;=40,"40-49",IF(HR_Employee_Attrition[[#This Row],[Age]]&gt;=30,"30-39",IF(HR_Employee_Attrition[[#This Row],[Age]]&gt;=20,"20-29",IF(HR_Employee_Attrition[[#This Row],[Age]]&gt;=18,"18-20"))))))</f>
        <v>30-39</v>
      </c>
      <c r="AK850" t="str" cm="1">
        <f t="array" ref="AK850">_xlfn.IFS(HR_Employee_Attrition[[#This Row],[YearsAtCompany]]&lt;=2,"0-2",HR_Employee_Attrition[[#This Row],[YearsAtCompany]]&lt;=5,"3-5",HR_Employee_Attrition[[#This Row],[YearsAtCompany]]&lt;=10,"6-10",HR_Employee_Attrition[[#This Row],[YearsAtCompany]]&gt;10,"10+")</f>
        <v>0-2</v>
      </c>
      <c r="AL850" t="str" cm="1">
        <f t="array" ref="AL8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50">
        <f>IF(HR_Employee_Attrition[[#This Row],[Attrition]]="Yes",1,0)</f>
        <v>0</v>
      </c>
    </row>
    <row r="851" spans="1:39" x14ac:dyDescent="0.3">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c r="AJ851" t="str">
        <f>IF(HR_Employee_Attrition[[#This Row],[Age]]&gt;60,"60+",IF(HR_Employee_Attrition[[#This Row],[Age]]&gt;=50,"50-59",IF(HR_Employee_Attrition[[#This Row],[Age]]&gt;=40,"40-49",IF(HR_Employee_Attrition[[#This Row],[Age]]&gt;=30,"30-39",IF(HR_Employee_Attrition[[#This Row],[Age]]&gt;=20,"20-29",IF(HR_Employee_Attrition[[#This Row],[Age]]&gt;=18,"18-20"))))))</f>
        <v>40-49</v>
      </c>
      <c r="AK851" t="str" cm="1">
        <f t="array" ref="AK851">_xlfn.IFS(HR_Employee_Attrition[[#This Row],[YearsAtCompany]]&lt;=2,"0-2",HR_Employee_Attrition[[#This Row],[YearsAtCompany]]&lt;=5,"3-5",HR_Employee_Attrition[[#This Row],[YearsAtCompany]]&lt;=10,"6-10",HR_Employee_Attrition[[#This Row],[YearsAtCompany]]&gt;10,"10+")</f>
        <v>3-5</v>
      </c>
      <c r="AL851" t="str" cm="1">
        <f t="array" ref="AL8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51">
        <f>IF(HR_Employee_Attrition[[#This Row],[Attrition]]="Yes",1,0)</f>
        <v>1</v>
      </c>
    </row>
    <row r="852" spans="1:39" x14ac:dyDescent="0.3">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c r="AJ852" t="str">
        <f>IF(HR_Employee_Attrition[[#This Row],[Age]]&gt;60,"60+",IF(HR_Employee_Attrition[[#This Row],[Age]]&gt;=50,"50-59",IF(HR_Employee_Attrition[[#This Row],[Age]]&gt;=40,"40-49",IF(HR_Employee_Attrition[[#This Row],[Age]]&gt;=30,"30-39",IF(HR_Employee_Attrition[[#This Row],[Age]]&gt;=20,"20-29",IF(HR_Employee_Attrition[[#This Row],[Age]]&gt;=18,"18-20"))))))</f>
        <v>30-39</v>
      </c>
      <c r="AK852" t="str" cm="1">
        <f t="array" ref="AK852">_xlfn.IFS(HR_Employee_Attrition[[#This Row],[YearsAtCompany]]&lt;=2,"0-2",HR_Employee_Attrition[[#This Row],[YearsAtCompany]]&lt;=5,"3-5",HR_Employee_Attrition[[#This Row],[YearsAtCompany]]&lt;=10,"6-10",HR_Employee_Attrition[[#This Row],[YearsAtCompany]]&gt;10,"10+")</f>
        <v>0-2</v>
      </c>
      <c r="AL852" t="str" cm="1">
        <f t="array" ref="AL8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52">
        <f>IF(HR_Employee_Attrition[[#This Row],[Attrition]]="Yes",1,0)</f>
        <v>0</v>
      </c>
    </row>
    <row r="853" spans="1:39" x14ac:dyDescent="0.3">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c r="AJ853" t="str">
        <f>IF(HR_Employee_Attrition[[#This Row],[Age]]&gt;60,"60+",IF(HR_Employee_Attrition[[#This Row],[Age]]&gt;=50,"50-59",IF(HR_Employee_Attrition[[#This Row],[Age]]&gt;=40,"40-49",IF(HR_Employee_Attrition[[#This Row],[Age]]&gt;=30,"30-39",IF(HR_Employee_Attrition[[#This Row],[Age]]&gt;=20,"20-29",IF(HR_Employee_Attrition[[#This Row],[Age]]&gt;=18,"18-20"))))))</f>
        <v>50-59</v>
      </c>
      <c r="AK853" t="str" cm="1">
        <f t="array" ref="AK853">_xlfn.IFS(HR_Employee_Attrition[[#This Row],[YearsAtCompany]]&lt;=2,"0-2",HR_Employee_Attrition[[#This Row],[YearsAtCompany]]&lt;=5,"3-5",HR_Employee_Attrition[[#This Row],[YearsAtCompany]]&lt;=10,"6-10",HR_Employee_Attrition[[#This Row],[YearsAtCompany]]&gt;10,"10+")</f>
        <v>3-5</v>
      </c>
      <c r="AL853" t="str" cm="1">
        <f t="array" ref="AL8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53">
        <f>IF(HR_Employee_Attrition[[#This Row],[Attrition]]="Yes",1,0)</f>
        <v>0</v>
      </c>
    </row>
    <row r="854" spans="1:39" x14ac:dyDescent="0.3">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c r="AJ854" t="str">
        <f>IF(HR_Employee_Attrition[[#This Row],[Age]]&gt;60,"60+",IF(HR_Employee_Attrition[[#This Row],[Age]]&gt;=50,"50-59",IF(HR_Employee_Attrition[[#This Row],[Age]]&gt;=40,"40-49",IF(HR_Employee_Attrition[[#This Row],[Age]]&gt;=30,"30-39",IF(HR_Employee_Attrition[[#This Row],[Age]]&gt;=20,"20-29",IF(HR_Employee_Attrition[[#This Row],[Age]]&gt;=18,"18-20"))))))</f>
        <v>20-29</v>
      </c>
      <c r="AK854" t="str" cm="1">
        <f t="array" ref="AK854">_xlfn.IFS(HR_Employee_Attrition[[#This Row],[YearsAtCompany]]&lt;=2,"0-2",HR_Employee_Attrition[[#This Row],[YearsAtCompany]]&lt;=5,"3-5",HR_Employee_Attrition[[#This Row],[YearsAtCompany]]&lt;=10,"6-10",HR_Employee_Attrition[[#This Row],[YearsAtCompany]]&gt;10,"10+")</f>
        <v>6-10</v>
      </c>
      <c r="AL854" t="str" cm="1">
        <f t="array" ref="AL8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54">
        <f>IF(HR_Employee_Attrition[[#This Row],[Attrition]]="Yes",1,0)</f>
        <v>0</v>
      </c>
    </row>
    <row r="855" spans="1:39" x14ac:dyDescent="0.3">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c r="AJ855" t="str">
        <f>IF(HR_Employee_Attrition[[#This Row],[Age]]&gt;60,"60+",IF(HR_Employee_Attrition[[#This Row],[Age]]&gt;=50,"50-59",IF(HR_Employee_Attrition[[#This Row],[Age]]&gt;=40,"40-49",IF(HR_Employee_Attrition[[#This Row],[Age]]&gt;=30,"30-39",IF(HR_Employee_Attrition[[#This Row],[Age]]&gt;=20,"20-29",IF(HR_Employee_Attrition[[#This Row],[Age]]&gt;=18,"18-20"))))))</f>
        <v>18-20</v>
      </c>
      <c r="AK855" t="str" cm="1">
        <f t="array" ref="AK855">_xlfn.IFS(HR_Employee_Attrition[[#This Row],[YearsAtCompany]]&lt;=2,"0-2",HR_Employee_Attrition[[#This Row],[YearsAtCompany]]&lt;=5,"3-5",HR_Employee_Attrition[[#This Row],[YearsAtCompany]]&lt;=10,"6-10",HR_Employee_Attrition[[#This Row],[YearsAtCompany]]&gt;10,"10+")</f>
        <v>0-2</v>
      </c>
      <c r="AL855" t="str" cm="1">
        <f t="array" ref="AL8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55">
        <f>IF(HR_Employee_Attrition[[#This Row],[Attrition]]="Yes",1,0)</f>
        <v>0</v>
      </c>
    </row>
    <row r="856" spans="1:39" x14ac:dyDescent="0.3">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c r="AJ856" t="str">
        <f>IF(HR_Employee_Attrition[[#This Row],[Age]]&gt;60,"60+",IF(HR_Employee_Attrition[[#This Row],[Age]]&gt;=50,"50-59",IF(HR_Employee_Attrition[[#This Row],[Age]]&gt;=40,"40-49",IF(HR_Employee_Attrition[[#This Row],[Age]]&gt;=30,"30-39",IF(HR_Employee_Attrition[[#This Row],[Age]]&gt;=20,"20-29",IF(HR_Employee_Attrition[[#This Row],[Age]]&gt;=18,"18-20"))))))</f>
        <v>40-49</v>
      </c>
      <c r="AK856" t="str" cm="1">
        <f t="array" ref="AK856">_xlfn.IFS(HR_Employee_Attrition[[#This Row],[YearsAtCompany]]&lt;=2,"0-2",HR_Employee_Attrition[[#This Row],[YearsAtCompany]]&lt;=5,"3-5",HR_Employee_Attrition[[#This Row],[YearsAtCompany]]&lt;=10,"6-10",HR_Employee_Attrition[[#This Row],[YearsAtCompany]]&gt;10,"10+")</f>
        <v>3-5</v>
      </c>
      <c r="AL856" t="str" cm="1">
        <f t="array" ref="AL8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56">
        <f>IF(HR_Employee_Attrition[[#This Row],[Attrition]]="Yes",1,0)</f>
        <v>0</v>
      </c>
    </row>
    <row r="857" spans="1:39" x14ac:dyDescent="0.3">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c r="AJ857" t="str">
        <f>IF(HR_Employee_Attrition[[#This Row],[Age]]&gt;60,"60+",IF(HR_Employee_Attrition[[#This Row],[Age]]&gt;=50,"50-59",IF(HR_Employee_Attrition[[#This Row],[Age]]&gt;=40,"40-49",IF(HR_Employee_Attrition[[#This Row],[Age]]&gt;=30,"30-39",IF(HR_Employee_Attrition[[#This Row],[Age]]&gt;=20,"20-29",IF(HR_Employee_Attrition[[#This Row],[Age]]&gt;=18,"18-20"))))))</f>
        <v>30-39</v>
      </c>
      <c r="AK857" t="str" cm="1">
        <f t="array" ref="AK857">_xlfn.IFS(HR_Employee_Attrition[[#This Row],[YearsAtCompany]]&lt;=2,"0-2",HR_Employee_Attrition[[#This Row],[YearsAtCompany]]&lt;=5,"3-5",HR_Employee_Attrition[[#This Row],[YearsAtCompany]]&lt;=10,"6-10",HR_Employee_Attrition[[#This Row],[YearsAtCompany]]&gt;10,"10+")</f>
        <v>10+</v>
      </c>
      <c r="AL857" t="str" cm="1">
        <f t="array" ref="AL8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57">
        <f>IF(HR_Employee_Attrition[[#This Row],[Attrition]]="Yes",1,0)</f>
        <v>0</v>
      </c>
    </row>
    <row r="858" spans="1:39" x14ac:dyDescent="0.3">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c r="AJ858" t="str">
        <f>IF(HR_Employee_Attrition[[#This Row],[Age]]&gt;60,"60+",IF(HR_Employee_Attrition[[#This Row],[Age]]&gt;=50,"50-59",IF(HR_Employee_Attrition[[#This Row],[Age]]&gt;=40,"40-49",IF(HR_Employee_Attrition[[#This Row],[Age]]&gt;=30,"30-39",IF(HR_Employee_Attrition[[#This Row],[Age]]&gt;=20,"20-29",IF(HR_Employee_Attrition[[#This Row],[Age]]&gt;=18,"18-20"))))))</f>
        <v>20-29</v>
      </c>
      <c r="AK858" t="str" cm="1">
        <f t="array" ref="AK858">_xlfn.IFS(HR_Employee_Attrition[[#This Row],[YearsAtCompany]]&lt;=2,"0-2",HR_Employee_Attrition[[#This Row],[YearsAtCompany]]&lt;=5,"3-5",HR_Employee_Attrition[[#This Row],[YearsAtCompany]]&lt;=10,"6-10",HR_Employee_Attrition[[#This Row],[YearsAtCompany]]&gt;10,"10+")</f>
        <v>0-2</v>
      </c>
      <c r="AL858" t="str" cm="1">
        <f t="array" ref="AL8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58">
        <f>IF(HR_Employee_Attrition[[#This Row],[Attrition]]="Yes",1,0)</f>
        <v>0</v>
      </c>
    </row>
    <row r="859" spans="1:39" x14ac:dyDescent="0.3">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c r="AJ859" t="str">
        <f>IF(HR_Employee_Attrition[[#This Row],[Age]]&gt;60,"60+",IF(HR_Employee_Attrition[[#This Row],[Age]]&gt;=50,"50-59",IF(HR_Employee_Attrition[[#This Row],[Age]]&gt;=40,"40-49",IF(HR_Employee_Attrition[[#This Row],[Age]]&gt;=30,"30-39",IF(HR_Employee_Attrition[[#This Row],[Age]]&gt;=20,"20-29",IF(HR_Employee_Attrition[[#This Row],[Age]]&gt;=18,"18-20"))))))</f>
        <v>40-49</v>
      </c>
      <c r="AK859" t="str" cm="1">
        <f t="array" ref="AK859">_xlfn.IFS(HR_Employee_Attrition[[#This Row],[YearsAtCompany]]&lt;=2,"0-2",HR_Employee_Attrition[[#This Row],[YearsAtCompany]]&lt;=5,"3-5",HR_Employee_Attrition[[#This Row],[YearsAtCompany]]&lt;=10,"6-10",HR_Employee_Attrition[[#This Row],[YearsAtCompany]]&gt;10,"10+")</f>
        <v>6-10</v>
      </c>
      <c r="AL859" t="str" cm="1">
        <f t="array" ref="AL8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59">
        <f>IF(HR_Employee_Attrition[[#This Row],[Attrition]]="Yes",1,0)</f>
        <v>1</v>
      </c>
    </row>
    <row r="860" spans="1:39" x14ac:dyDescent="0.3">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c r="AJ860" t="str">
        <f>IF(HR_Employee_Attrition[[#This Row],[Age]]&gt;60,"60+",IF(HR_Employee_Attrition[[#This Row],[Age]]&gt;=50,"50-59",IF(HR_Employee_Attrition[[#This Row],[Age]]&gt;=40,"40-49",IF(HR_Employee_Attrition[[#This Row],[Age]]&gt;=30,"30-39",IF(HR_Employee_Attrition[[#This Row],[Age]]&gt;=20,"20-29",IF(HR_Employee_Attrition[[#This Row],[Age]]&gt;=18,"18-20"))))))</f>
        <v>50-59</v>
      </c>
      <c r="AK860" t="str" cm="1">
        <f t="array" ref="AK860">_xlfn.IFS(HR_Employee_Attrition[[#This Row],[YearsAtCompany]]&lt;=2,"0-2",HR_Employee_Attrition[[#This Row],[YearsAtCompany]]&lt;=5,"3-5",HR_Employee_Attrition[[#This Row],[YearsAtCompany]]&lt;=10,"6-10",HR_Employee_Attrition[[#This Row],[YearsAtCompany]]&gt;10,"10+")</f>
        <v>6-10</v>
      </c>
      <c r="AL860" t="str" cm="1">
        <f t="array" ref="AL8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60">
        <f>IF(HR_Employee_Attrition[[#This Row],[Attrition]]="Yes",1,0)</f>
        <v>0</v>
      </c>
    </row>
    <row r="861" spans="1:39" x14ac:dyDescent="0.3">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c r="AJ861" t="str">
        <f>IF(HR_Employee_Attrition[[#This Row],[Age]]&gt;60,"60+",IF(HR_Employee_Attrition[[#This Row],[Age]]&gt;=50,"50-59",IF(HR_Employee_Attrition[[#This Row],[Age]]&gt;=40,"40-49",IF(HR_Employee_Attrition[[#This Row],[Age]]&gt;=30,"30-39",IF(HR_Employee_Attrition[[#This Row],[Age]]&gt;=20,"20-29",IF(HR_Employee_Attrition[[#This Row],[Age]]&gt;=18,"18-20"))))))</f>
        <v>20-29</v>
      </c>
      <c r="AK861" t="str" cm="1">
        <f t="array" ref="AK861">_xlfn.IFS(HR_Employee_Attrition[[#This Row],[YearsAtCompany]]&lt;=2,"0-2",HR_Employee_Attrition[[#This Row],[YearsAtCompany]]&lt;=5,"3-5",HR_Employee_Attrition[[#This Row],[YearsAtCompany]]&lt;=10,"6-10",HR_Employee_Attrition[[#This Row],[YearsAtCompany]]&gt;10,"10+")</f>
        <v>3-5</v>
      </c>
      <c r="AL861" t="str" cm="1">
        <f t="array" ref="AL8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1">
        <f>IF(HR_Employee_Attrition[[#This Row],[Attrition]]="Yes",1,0)</f>
        <v>0</v>
      </c>
    </row>
    <row r="862" spans="1:39" x14ac:dyDescent="0.3">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c r="AJ862" t="str">
        <f>IF(HR_Employee_Attrition[[#This Row],[Age]]&gt;60,"60+",IF(HR_Employee_Attrition[[#This Row],[Age]]&gt;=50,"50-59",IF(HR_Employee_Attrition[[#This Row],[Age]]&gt;=40,"40-49",IF(HR_Employee_Attrition[[#This Row],[Age]]&gt;=30,"30-39",IF(HR_Employee_Attrition[[#This Row],[Age]]&gt;=20,"20-29",IF(HR_Employee_Attrition[[#This Row],[Age]]&gt;=18,"18-20"))))))</f>
        <v>20-29</v>
      </c>
      <c r="AK862" t="str" cm="1">
        <f t="array" ref="AK862">_xlfn.IFS(HR_Employee_Attrition[[#This Row],[YearsAtCompany]]&lt;=2,"0-2",HR_Employee_Attrition[[#This Row],[YearsAtCompany]]&lt;=5,"3-5",HR_Employee_Attrition[[#This Row],[YearsAtCompany]]&lt;=10,"6-10",HR_Employee_Attrition[[#This Row],[YearsAtCompany]]&gt;10,"10+")</f>
        <v>0-2</v>
      </c>
      <c r="AL862" t="str" cm="1">
        <f t="array" ref="AL8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2">
        <f>IF(HR_Employee_Attrition[[#This Row],[Attrition]]="Yes",1,0)</f>
        <v>1</v>
      </c>
    </row>
    <row r="863" spans="1:39" x14ac:dyDescent="0.3">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c r="AJ863" t="str">
        <f>IF(HR_Employee_Attrition[[#This Row],[Age]]&gt;60,"60+",IF(HR_Employee_Attrition[[#This Row],[Age]]&gt;=50,"50-59",IF(HR_Employee_Attrition[[#This Row],[Age]]&gt;=40,"40-49",IF(HR_Employee_Attrition[[#This Row],[Age]]&gt;=30,"30-39",IF(HR_Employee_Attrition[[#This Row],[Age]]&gt;=20,"20-29",IF(HR_Employee_Attrition[[#This Row],[Age]]&gt;=18,"18-20"))))))</f>
        <v>40-49</v>
      </c>
      <c r="AK863" t="str" cm="1">
        <f t="array" ref="AK863">_xlfn.IFS(HR_Employee_Attrition[[#This Row],[YearsAtCompany]]&lt;=2,"0-2",HR_Employee_Attrition[[#This Row],[YearsAtCompany]]&lt;=5,"3-5",HR_Employee_Attrition[[#This Row],[YearsAtCompany]]&lt;=10,"6-10",HR_Employee_Attrition[[#This Row],[YearsAtCompany]]&gt;10,"10+")</f>
        <v>10+</v>
      </c>
      <c r="AL863" t="str" cm="1">
        <f t="array" ref="AL8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63">
        <f>IF(HR_Employee_Attrition[[#This Row],[Attrition]]="Yes",1,0)</f>
        <v>0</v>
      </c>
    </row>
    <row r="864" spans="1:39" x14ac:dyDescent="0.3">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c r="AJ864" t="str">
        <f>IF(HR_Employee_Attrition[[#This Row],[Age]]&gt;60,"60+",IF(HR_Employee_Attrition[[#This Row],[Age]]&gt;=50,"50-59",IF(HR_Employee_Attrition[[#This Row],[Age]]&gt;=40,"40-49",IF(HR_Employee_Attrition[[#This Row],[Age]]&gt;=30,"30-39",IF(HR_Employee_Attrition[[#This Row],[Age]]&gt;=20,"20-29",IF(HR_Employee_Attrition[[#This Row],[Age]]&gt;=18,"18-20"))))))</f>
        <v>40-49</v>
      </c>
      <c r="AK864" t="str" cm="1">
        <f t="array" ref="AK864">_xlfn.IFS(HR_Employee_Attrition[[#This Row],[YearsAtCompany]]&lt;=2,"0-2",HR_Employee_Attrition[[#This Row],[YearsAtCompany]]&lt;=5,"3-5",HR_Employee_Attrition[[#This Row],[YearsAtCompany]]&lt;=10,"6-10",HR_Employee_Attrition[[#This Row],[YearsAtCompany]]&gt;10,"10+")</f>
        <v>0-2</v>
      </c>
      <c r="AL864" t="str" cm="1">
        <f t="array" ref="AL8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4">
        <f>IF(HR_Employee_Attrition[[#This Row],[Attrition]]="Yes",1,0)</f>
        <v>0</v>
      </c>
    </row>
    <row r="865" spans="1:39" x14ac:dyDescent="0.3">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c r="AJ865" t="str">
        <f>IF(HR_Employee_Attrition[[#This Row],[Age]]&gt;60,"60+",IF(HR_Employee_Attrition[[#This Row],[Age]]&gt;=50,"50-59",IF(HR_Employee_Attrition[[#This Row],[Age]]&gt;=40,"40-49",IF(HR_Employee_Attrition[[#This Row],[Age]]&gt;=30,"30-39",IF(HR_Employee_Attrition[[#This Row],[Age]]&gt;=20,"20-29",IF(HR_Employee_Attrition[[#This Row],[Age]]&gt;=18,"18-20"))))))</f>
        <v>30-39</v>
      </c>
      <c r="AK865" t="str" cm="1">
        <f t="array" ref="AK865">_xlfn.IFS(HR_Employee_Attrition[[#This Row],[YearsAtCompany]]&lt;=2,"0-2",HR_Employee_Attrition[[#This Row],[YearsAtCompany]]&lt;=5,"3-5",HR_Employee_Attrition[[#This Row],[YearsAtCompany]]&lt;=10,"6-10",HR_Employee_Attrition[[#This Row],[YearsAtCompany]]&gt;10,"10+")</f>
        <v>3-5</v>
      </c>
      <c r="AL865" t="str" cm="1">
        <f t="array" ref="AL8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5">
        <f>IF(HR_Employee_Attrition[[#This Row],[Attrition]]="Yes",1,0)</f>
        <v>0</v>
      </c>
    </row>
    <row r="866" spans="1:39" x14ac:dyDescent="0.3">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c r="AJ866" t="str">
        <f>IF(HR_Employee_Attrition[[#This Row],[Age]]&gt;60,"60+",IF(HR_Employee_Attrition[[#This Row],[Age]]&gt;=50,"50-59",IF(HR_Employee_Attrition[[#This Row],[Age]]&gt;=40,"40-49",IF(HR_Employee_Attrition[[#This Row],[Age]]&gt;=30,"30-39",IF(HR_Employee_Attrition[[#This Row],[Age]]&gt;=20,"20-29",IF(HR_Employee_Attrition[[#This Row],[Age]]&gt;=18,"18-20"))))))</f>
        <v>40-49</v>
      </c>
      <c r="AK866" t="str" cm="1">
        <f t="array" ref="AK866">_xlfn.IFS(HR_Employee_Attrition[[#This Row],[YearsAtCompany]]&lt;=2,"0-2",HR_Employee_Attrition[[#This Row],[YearsAtCompany]]&lt;=5,"3-5",HR_Employee_Attrition[[#This Row],[YearsAtCompany]]&lt;=10,"6-10",HR_Employee_Attrition[[#This Row],[YearsAtCompany]]&gt;10,"10+")</f>
        <v>0-2</v>
      </c>
      <c r="AL866" t="str" cm="1">
        <f t="array" ref="AL8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6">
        <f>IF(HR_Employee_Attrition[[#This Row],[Attrition]]="Yes",1,0)</f>
        <v>1</v>
      </c>
    </row>
    <row r="867" spans="1:39" x14ac:dyDescent="0.3">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c r="AJ867" t="str">
        <f>IF(HR_Employee_Attrition[[#This Row],[Age]]&gt;60,"60+",IF(HR_Employee_Attrition[[#This Row],[Age]]&gt;=50,"50-59",IF(HR_Employee_Attrition[[#This Row],[Age]]&gt;=40,"40-49",IF(HR_Employee_Attrition[[#This Row],[Age]]&gt;=30,"30-39",IF(HR_Employee_Attrition[[#This Row],[Age]]&gt;=20,"20-29",IF(HR_Employee_Attrition[[#This Row],[Age]]&gt;=18,"18-20"))))))</f>
        <v>30-39</v>
      </c>
      <c r="AK867" t="str" cm="1">
        <f t="array" ref="AK867">_xlfn.IFS(HR_Employee_Attrition[[#This Row],[YearsAtCompany]]&lt;=2,"0-2",HR_Employee_Attrition[[#This Row],[YearsAtCompany]]&lt;=5,"3-5",HR_Employee_Attrition[[#This Row],[YearsAtCompany]]&lt;=10,"6-10",HR_Employee_Attrition[[#This Row],[YearsAtCompany]]&gt;10,"10+")</f>
        <v>3-5</v>
      </c>
      <c r="AL867" t="str" cm="1">
        <f t="array" ref="AL8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7">
        <f>IF(HR_Employee_Attrition[[#This Row],[Attrition]]="Yes",1,0)</f>
        <v>0</v>
      </c>
    </row>
    <row r="868" spans="1:39" x14ac:dyDescent="0.3">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c r="AJ868" t="str">
        <f>IF(HR_Employee_Attrition[[#This Row],[Age]]&gt;60,"60+",IF(HR_Employee_Attrition[[#This Row],[Age]]&gt;=50,"50-59",IF(HR_Employee_Attrition[[#This Row],[Age]]&gt;=40,"40-49",IF(HR_Employee_Attrition[[#This Row],[Age]]&gt;=30,"30-39",IF(HR_Employee_Attrition[[#This Row],[Age]]&gt;=20,"20-29",IF(HR_Employee_Attrition[[#This Row],[Age]]&gt;=18,"18-20"))))))</f>
        <v>40-49</v>
      </c>
      <c r="AK868" t="str" cm="1">
        <f t="array" ref="AK868">_xlfn.IFS(HR_Employee_Attrition[[#This Row],[YearsAtCompany]]&lt;=2,"0-2",HR_Employee_Attrition[[#This Row],[YearsAtCompany]]&lt;=5,"3-5",HR_Employee_Attrition[[#This Row],[YearsAtCompany]]&lt;=10,"6-10",HR_Employee_Attrition[[#This Row],[YearsAtCompany]]&gt;10,"10+")</f>
        <v>0-2</v>
      </c>
      <c r="AL868" t="str" cm="1">
        <f t="array" ref="AL8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8">
        <f>IF(HR_Employee_Attrition[[#This Row],[Attrition]]="Yes",1,0)</f>
        <v>0</v>
      </c>
    </row>
    <row r="869" spans="1:39" x14ac:dyDescent="0.3">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c r="AJ869" t="str">
        <f>IF(HR_Employee_Attrition[[#This Row],[Age]]&gt;60,"60+",IF(HR_Employee_Attrition[[#This Row],[Age]]&gt;=50,"50-59",IF(HR_Employee_Attrition[[#This Row],[Age]]&gt;=40,"40-49",IF(HR_Employee_Attrition[[#This Row],[Age]]&gt;=30,"30-39",IF(HR_Employee_Attrition[[#This Row],[Age]]&gt;=20,"20-29",IF(HR_Employee_Attrition[[#This Row],[Age]]&gt;=18,"18-20"))))))</f>
        <v>50-59</v>
      </c>
      <c r="AK869" t="str" cm="1">
        <f t="array" ref="AK869">_xlfn.IFS(HR_Employee_Attrition[[#This Row],[YearsAtCompany]]&lt;=2,"0-2",HR_Employee_Attrition[[#This Row],[YearsAtCompany]]&lt;=5,"3-5",HR_Employee_Attrition[[#This Row],[YearsAtCompany]]&lt;=10,"6-10",HR_Employee_Attrition[[#This Row],[YearsAtCompany]]&gt;10,"10+")</f>
        <v>0-2</v>
      </c>
      <c r="AL869" t="str" cm="1">
        <f t="array" ref="AL8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69">
        <f>IF(HR_Employee_Attrition[[#This Row],[Attrition]]="Yes",1,0)</f>
        <v>0</v>
      </c>
    </row>
    <row r="870" spans="1:39" x14ac:dyDescent="0.3">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c r="AJ870" t="str">
        <f>IF(HR_Employee_Attrition[[#This Row],[Age]]&gt;60,"60+",IF(HR_Employee_Attrition[[#This Row],[Age]]&gt;=50,"50-59",IF(HR_Employee_Attrition[[#This Row],[Age]]&gt;=40,"40-49",IF(HR_Employee_Attrition[[#This Row],[Age]]&gt;=30,"30-39",IF(HR_Employee_Attrition[[#This Row],[Age]]&gt;=20,"20-29",IF(HR_Employee_Attrition[[#This Row],[Age]]&gt;=18,"18-20"))))))</f>
        <v>20-29</v>
      </c>
      <c r="AK870" t="str" cm="1">
        <f t="array" ref="AK870">_xlfn.IFS(HR_Employee_Attrition[[#This Row],[YearsAtCompany]]&lt;=2,"0-2",HR_Employee_Attrition[[#This Row],[YearsAtCompany]]&lt;=5,"3-5",HR_Employee_Attrition[[#This Row],[YearsAtCompany]]&lt;=10,"6-10",HR_Employee_Attrition[[#This Row],[YearsAtCompany]]&gt;10,"10+")</f>
        <v>6-10</v>
      </c>
      <c r="AL870" t="str" cm="1">
        <f t="array" ref="AL8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70">
        <f>IF(HR_Employee_Attrition[[#This Row],[Attrition]]="Yes",1,0)</f>
        <v>0</v>
      </c>
    </row>
    <row r="871" spans="1:39" x14ac:dyDescent="0.3">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c r="AJ871" t="str">
        <f>IF(HR_Employee_Attrition[[#This Row],[Age]]&gt;60,"60+",IF(HR_Employee_Attrition[[#This Row],[Age]]&gt;=50,"50-59",IF(HR_Employee_Attrition[[#This Row],[Age]]&gt;=40,"40-49",IF(HR_Employee_Attrition[[#This Row],[Age]]&gt;=30,"30-39",IF(HR_Employee_Attrition[[#This Row],[Age]]&gt;=20,"20-29",IF(HR_Employee_Attrition[[#This Row],[Age]]&gt;=18,"18-20"))))))</f>
        <v>40-49</v>
      </c>
      <c r="AK871" t="str" cm="1">
        <f t="array" ref="AK871">_xlfn.IFS(HR_Employee_Attrition[[#This Row],[YearsAtCompany]]&lt;=2,"0-2",HR_Employee_Attrition[[#This Row],[YearsAtCompany]]&lt;=5,"3-5",HR_Employee_Attrition[[#This Row],[YearsAtCompany]]&lt;=10,"6-10",HR_Employee_Attrition[[#This Row],[YearsAtCompany]]&gt;10,"10+")</f>
        <v>3-5</v>
      </c>
      <c r="AL871" t="str" cm="1">
        <f t="array" ref="AL8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71">
        <f>IF(HR_Employee_Attrition[[#This Row],[Attrition]]="Yes",1,0)</f>
        <v>0</v>
      </c>
    </row>
    <row r="872" spans="1:39" x14ac:dyDescent="0.3">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c r="AJ872" t="str">
        <f>IF(HR_Employee_Attrition[[#This Row],[Age]]&gt;60,"60+",IF(HR_Employee_Attrition[[#This Row],[Age]]&gt;=50,"50-59",IF(HR_Employee_Attrition[[#This Row],[Age]]&gt;=40,"40-49",IF(HR_Employee_Attrition[[#This Row],[Age]]&gt;=30,"30-39",IF(HR_Employee_Attrition[[#This Row],[Age]]&gt;=20,"20-29",IF(HR_Employee_Attrition[[#This Row],[Age]]&gt;=18,"18-20"))))))</f>
        <v>30-39</v>
      </c>
      <c r="AK872" t="str" cm="1">
        <f t="array" ref="AK872">_xlfn.IFS(HR_Employee_Attrition[[#This Row],[YearsAtCompany]]&lt;=2,"0-2",HR_Employee_Attrition[[#This Row],[YearsAtCompany]]&lt;=5,"3-5",HR_Employee_Attrition[[#This Row],[YearsAtCompany]]&lt;=10,"6-10",HR_Employee_Attrition[[#This Row],[YearsAtCompany]]&gt;10,"10+")</f>
        <v>6-10</v>
      </c>
      <c r="AL872" t="str" cm="1">
        <f t="array" ref="AL8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72">
        <f>IF(HR_Employee_Attrition[[#This Row],[Attrition]]="Yes",1,0)</f>
        <v>0</v>
      </c>
    </row>
    <row r="873" spans="1:39" x14ac:dyDescent="0.3">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c r="AJ873" t="str">
        <f>IF(HR_Employee_Attrition[[#This Row],[Age]]&gt;60,"60+",IF(HR_Employee_Attrition[[#This Row],[Age]]&gt;=50,"50-59",IF(HR_Employee_Attrition[[#This Row],[Age]]&gt;=40,"40-49",IF(HR_Employee_Attrition[[#This Row],[Age]]&gt;=30,"30-39",IF(HR_Employee_Attrition[[#This Row],[Age]]&gt;=20,"20-29",IF(HR_Employee_Attrition[[#This Row],[Age]]&gt;=18,"18-20"))))))</f>
        <v>20-29</v>
      </c>
      <c r="AK873" t="str" cm="1">
        <f t="array" ref="AK873">_xlfn.IFS(HR_Employee_Attrition[[#This Row],[YearsAtCompany]]&lt;=2,"0-2",HR_Employee_Attrition[[#This Row],[YearsAtCompany]]&lt;=5,"3-5",HR_Employee_Attrition[[#This Row],[YearsAtCompany]]&lt;=10,"6-10",HR_Employee_Attrition[[#This Row],[YearsAtCompany]]&gt;10,"10+")</f>
        <v>0-2</v>
      </c>
      <c r="AL873" t="str" cm="1">
        <f t="array" ref="AL8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73">
        <f>IF(HR_Employee_Attrition[[#This Row],[Attrition]]="Yes",1,0)</f>
        <v>1</v>
      </c>
    </row>
    <row r="874" spans="1:39" x14ac:dyDescent="0.3">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c r="AJ874" t="str">
        <f>IF(HR_Employee_Attrition[[#This Row],[Age]]&gt;60,"60+",IF(HR_Employee_Attrition[[#This Row],[Age]]&gt;=50,"50-59",IF(HR_Employee_Attrition[[#This Row],[Age]]&gt;=40,"40-49",IF(HR_Employee_Attrition[[#This Row],[Age]]&gt;=30,"30-39",IF(HR_Employee_Attrition[[#This Row],[Age]]&gt;=20,"20-29",IF(HR_Employee_Attrition[[#This Row],[Age]]&gt;=18,"18-20"))))))</f>
        <v>30-39</v>
      </c>
      <c r="AK874" t="str" cm="1">
        <f t="array" ref="AK874">_xlfn.IFS(HR_Employee_Attrition[[#This Row],[YearsAtCompany]]&lt;=2,"0-2",HR_Employee_Attrition[[#This Row],[YearsAtCompany]]&lt;=5,"3-5",HR_Employee_Attrition[[#This Row],[YearsAtCompany]]&lt;=10,"6-10",HR_Employee_Attrition[[#This Row],[YearsAtCompany]]&gt;10,"10+")</f>
        <v>6-10</v>
      </c>
      <c r="AL874" t="str" cm="1">
        <f t="array" ref="AL8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74">
        <f>IF(HR_Employee_Attrition[[#This Row],[Attrition]]="Yes",1,0)</f>
        <v>0</v>
      </c>
    </row>
    <row r="875" spans="1:39" x14ac:dyDescent="0.3">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c r="AJ875" t="str">
        <f>IF(HR_Employee_Attrition[[#This Row],[Age]]&gt;60,"60+",IF(HR_Employee_Attrition[[#This Row],[Age]]&gt;=50,"50-59",IF(HR_Employee_Attrition[[#This Row],[Age]]&gt;=40,"40-49",IF(HR_Employee_Attrition[[#This Row],[Age]]&gt;=30,"30-39",IF(HR_Employee_Attrition[[#This Row],[Age]]&gt;=20,"20-29",IF(HR_Employee_Attrition[[#This Row],[Age]]&gt;=18,"18-20"))))))</f>
        <v>30-39</v>
      </c>
      <c r="AK875" t="str" cm="1">
        <f t="array" ref="AK875">_xlfn.IFS(HR_Employee_Attrition[[#This Row],[YearsAtCompany]]&lt;=2,"0-2",HR_Employee_Attrition[[#This Row],[YearsAtCompany]]&lt;=5,"3-5",HR_Employee_Attrition[[#This Row],[YearsAtCompany]]&lt;=10,"6-10",HR_Employee_Attrition[[#This Row],[YearsAtCompany]]&gt;10,"10+")</f>
        <v>6-10</v>
      </c>
      <c r="AL875" t="str" cm="1">
        <f t="array" ref="AL8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75">
        <f>IF(HR_Employee_Attrition[[#This Row],[Attrition]]="Yes",1,0)</f>
        <v>0</v>
      </c>
    </row>
    <row r="876" spans="1:39" x14ac:dyDescent="0.3">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c r="AJ876" t="str">
        <f>IF(HR_Employee_Attrition[[#This Row],[Age]]&gt;60,"60+",IF(HR_Employee_Attrition[[#This Row],[Age]]&gt;=50,"50-59",IF(HR_Employee_Attrition[[#This Row],[Age]]&gt;=40,"40-49",IF(HR_Employee_Attrition[[#This Row],[Age]]&gt;=30,"30-39",IF(HR_Employee_Attrition[[#This Row],[Age]]&gt;=20,"20-29",IF(HR_Employee_Attrition[[#This Row],[Age]]&gt;=18,"18-20"))))))</f>
        <v>30-39</v>
      </c>
      <c r="AK876" t="str" cm="1">
        <f t="array" ref="AK876">_xlfn.IFS(HR_Employee_Attrition[[#This Row],[YearsAtCompany]]&lt;=2,"0-2",HR_Employee_Attrition[[#This Row],[YearsAtCompany]]&lt;=5,"3-5",HR_Employee_Attrition[[#This Row],[YearsAtCompany]]&lt;=10,"6-10",HR_Employee_Attrition[[#This Row],[YearsAtCompany]]&gt;10,"10+")</f>
        <v>6-10</v>
      </c>
      <c r="AL876" t="str" cm="1">
        <f t="array" ref="AL8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76">
        <f>IF(HR_Employee_Attrition[[#This Row],[Attrition]]="Yes",1,0)</f>
        <v>0</v>
      </c>
    </row>
    <row r="877" spans="1:39" x14ac:dyDescent="0.3">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c r="AJ877" t="str">
        <f>IF(HR_Employee_Attrition[[#This Row],[Age]]&gt;60,"60+",IF(HR_Employee_Attrition[[#This Row],[Age]]&gt;=50,"50-59",IF(HR_Employee_Attrition[[#This Row],[Age]]&gt;=40,"40-49",IF(HR_Employee_Attrition[[#This Row],[Age]]&gt;=30,"30-39",IF(HR_Employee_Attrition[[#This Row],[Age]]&gt;=20,"20-29",IF(HR_Employee_Attrition[[#This Row],[Age]]&gt;=18,"18-20"))))))</f>
        <v>40-49</v>
      </c>
      <c r="AK877" t="str" cm="1">
        <f t="array" ref="AK877">_xlfn.IFS(HR_Employee_Attrition[[#This Row],[YearsAtCompany]]&lt;=2,"0-2",HR_Employee_Attrition[[#This Row],[YearsAtCompany]]&lt;=5,"3-5",HR_Employee_Attrition[[#This Row],[YearsAtCompany]]&lt;=10,"6-10",HR_Employee_Attrition[[#This Row],[YearsAtCompany]]&gt;10,"10+")</f>
        <v>10+</v>
      </c>
      <c r="AL877" t="str" cm="1">
        <f t="array" ref="AL8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77">
        <f>IF(HR_Employee_Attrition[[#This Row],[Attrition]]="Yes",1,0)</f>
        <v>0</v>
      </c>
    </row>
    <row r="878" spans="1:39" x14ac:dyDescent="0.3">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c r="AJ878" t="str">
        <f>IF(HR_Employee_Attrition[[#This Row],[Age]]&gt;60,"60+",IF(HR_Employee_Attrition[[#This Row],[Age]]&gt;=50,"50-59",IF(HR_Employee_Attrition[[#This Row],[Age]]&gt;=40,"40-49",IF(HR_Employee_Attrition[[#This Row],[Age]]&gt;=30,"30-39",IF(HR_Employee_Attrition[[#This Row],[Age]]&gt;=20,"20-29",IF(HR_Employee_Attrition[[#This Row],[Age]]&gt;=18,"18-20"))))))</f>
        <v>20-29</v>
      </c>
      <c r="AK878" t="str" cm="1">
        <f t="array" ref="AK878">_xlfn.IFS(HR_Employee_Attrition[[#This Row],[YearsAtCompany]]&lt;=2,"0-2",HR_Employee_Attrition[[#This Row],[YearsAtCompany]]&lt;=5,"3-5",HR_Employee_Attrition[[#This Row],[YearsAtCompany]]&lt;=10,"6-10",HR_Employee_Attrition[[#This Row],[YearsAtCompany]]&gt;10,"10+")</f>
        <v>0-2</v>
      </c>
      <c r="AL878" t="str" cm="1">
        <f t="array" ref="AL8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78">
        <f>IF(HR_Employee_Attrition[[#This Row],[Attrition]]="Yes",1,0)</f>
        <v>0</v>
      </c>
    </row>
    <row r="879" spans="1:39" x14ac:dyDescent="0.3">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c r="AJ879" t="str">
        <f>IF(HR_Employee_Attrition[[#This Row],[Age]]&gt;60,"60+",IF(HR_Employee_Attrition[[#This Row],[Age]]&gt;=50,"50-59",IF(HR_Employee_Attrition[[#This Row],[Age]]&gt;=40,"40-49",IF(HR_Employee_Attrition[[#This Row],[Age]]&gt;=30,"30-39",IF(HR_Employee_Attrition[[#This Row],[Age]]&gt;=20,"20-29",IF(HR_Employee_Attrition[[#This Row],[Age]]&gt;=18,"18-20"))))))</f>
        <v>40-49</v>
      </c>
      <c r="AK879" t="str" cm="1">
        <f t="array" ref="AK879">_xlfn.IFS(HR_Employee_Attrition[[#This Row],[YearsAtCompany]]&lt;=2,"0-2",HR_Employee_Attrition[[#This Row],[YearsAtCompany]]&lt;=5,"3-5",HR_Employee_Attrition[[#This Row],[YearsAtCompany]]&lt;=10,"6-10",HR_Employee_Attrition[[#This Row],[YearsAtCompany]]&gt;10,"10+")</f>
        <v>6-10</v>
      </c>
      <c r="AL879" t="str" cm="1">
        <f t="array" ref="AL8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79">
        <f>IF(HR_Employee_Attrition[[#This Row],[Attrition]]="Yes",1,0)</f>
        <v>0</v>
      </c>
    </row>
    <row r="880" spans="1:39" x14ac:dyDescent="0.3">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c r="AJ880" t="str">
        <f>IF(HR_Employee_Attrition[[#This Row],[Age]]&gt;60,"60+",IF(HR_Employee_Attrition[[#This Row],[Age]]&gt;=50,"50-59",IF(HR_Employee_Attrition[[#This Row],[Age]]&gt;=40,"40-49",IF(HR_Employee_Attrition[[#This Row],[Age]]&gt;=30,"30-39",IF(HR_Employee_Attrition[[#This Row],[Age]]&gt;=20,"20-29",IF(HR_Employee_Attrition[[#This Row],[Age]]&gt;=18,"18-20"))))))</f>
        <v>40-49</v>
      </c>
      <c r="AK880" t="str" cm="1">
        <f t="array" ref="AK880">_xlfn.IFS(HR_Employee_Attrition[[#This Row],[YearsAtCompany]]&lt;=2,"0-2",HR_Employee_Attrition[[#This Row],[YearsAtCompany]]&lt;=5,"3-5",HR_Employee_Attrition[[#This Row],[YearsAtCompany]]&lt;=10,"6-10",HR_Employee_Attrition[[#This Row],[YearsAtCompany]]&gt;10,"10+")</f>
        <v>3-5</v>
      </c>
      <c r="AL880" t="str" cm="1">
        <f t="array" ref="AL8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80">
        <f>IF(HR_Employee_Attrition[[#This Row],[Attrition]]="Yes",1,0)</f>
        <v>0</v>
      </c>
    </row>
    <row r="881" spans="1:39" x14ac:dyDescent="0.3">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c r="AJ881" t="str">
        <f>IF(HR_Employee_Attrition[[#This Row],[Age]]&gt;60,"60+",IF(HR_Employee_Attrition[[#This Row],[Age]]&gt;=50,"50-59",IF(HR_Employee_Attrition[[#This Row],[Age]]&gt;=40,"40-49",IF(HR_Employee_Attrition[[#This Row],[Age]]&gt;=30,"30-39",IF(HR_Employee_Attrition[[#This Row],[Age]]&gt;=20,"20-29",IF(HR_Employee_Attrition[[#This Row],[Age]]&gt;=18,"18-20"))))))</f>
        <v>50-59</v>
      </c>
      <c r="AK881" t="str" cm="1">
        <f t="array" ref="AK881">_xlfn.IFS(HR_Employee_Attrition[[#This Row],[YearsAtCompany]]&lt;=2,"0-2",HR_Employee_Attrition[[#This Row],[YearsAtCompany]]&lt;=5,"3-5",HR_Employee_Attrition[[#This Row],[YearsAtCompany]]&lt;=10,"6-10",HR_Employee_Attrition[[#This Row],[YearsAtCompany]]&gt;10,"10+")</f>
        <v>10+</v>
      </c>
      <c r="AL881" t="str" cm="1">
        <f t="array" ref="AL8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81">
        <f>IF(HR_Employee_Attrition[[#This Row],[Attrition]]="Yes",1,0)</f>
        <v>0</v>
      </c>
    </row>
    <row r="882" spans="1:39" x14ac:dyDescent="0.3">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c r="AJ882" t="str">
        <f>IF(HR_Employee_Attrition[[#This Row],[Age]]&gt;60,"60+",IF(HR_Employee_Attrition[[#This Row],[Age]]&gt;=50,"50-59",IF(HR_Employee_Attrition[[#This Row],[Age]]&gt;=40,"40-49",IF(HR_Employee_Attrition[[#This Row],[Age]]&gt;=30,"30-39",IF(HR_Employee_Attrition[[#This Row],[Age]]&gt;=20,"20-29",IF(HR_Employee_Attrition[[#This Row],[Age]]&gt;=18,"18-20"))))))</f>
        <v>30-39</v>
      </c>
      <c r="AK882" t="str" cm="1">
        <f t="array" ref="AK882">_xlfn.IFS(HR_Employee_Attrition[[#This Row],[YearsAtCompany]]&lt;=2,"0-2",HR_Employee_Attrition[[#This Row],[YearsAtCompany]]&lt;=5,"3-5",HR_Employee_Attrition[[#This Row],[YearsAtCompany]]&lt;=10,"6-10",HR_Employee_Attrition[[#This Row],[YearsAtCompany]]&gt;10,"10+")</f>
        <v>0-2</v>
      </c>
      <c r="AL882" t="str" cm="1">
        <f t="array" ref="AL8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82">
        <f>IF(HR_Employee_Attrition[[#This Row],[Attrition]]="Yes",1,0)</f>
        <v>0</v>
      </c>
    </row>
    <row r="883" spans="1:39" x14ac:dyDescent="0.3">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c r="AJ883" t="str">
        <f>IF(HR_Employee_Attrition[[#This Row],[Age]]&gt;60,"60+",IF(HR_Employee_Attrition[[#This Row],[Age]]&gt;=50,"50-59",IF(HR_Employee_Attrition[[#This Row],[Age]]&gt;=40,"40-49",IF(HR_Employee_Attrition[[#This Row],[Age]]&gt;=30,"30-39",IF(HR_Employee_Attrition[[#This Row],[Age]]&gt;=20,"20-29",IF(HR_Employee_Attrition[[#This Row],[Age]]&gt;=18,"18-20"))))))</f>
        <v>30-39</v>
      </c>
      <c r="AK883" t="str" cm="1">
        <f t="array" ref="AK883">_xlfn.IFS(HR_Employee_Attrition[[#This Row],[YearsAtCompany]]&lt;=2,"0-2",HR_Employee_Attrition[[#This Row],[YearsAtCompany]]&lt;=5,"3-5",HR_Employee_Attrition[[#This Row],[YearsAtCompany]]&lt;=10,"6-10",HR_Employee_Attrition[[#This Row],[YearsAtCompany]]&gt;10,"10+")</f>
        <v>6-10</v>
      </c>
      <c r="AL883" t="str" cm="1">
        <f t="array" ref="AL8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83">
        <f>IF(HR_Employee_Attrition[[#This Row],[Attrition]]="Yes",1,0)</f>
        <v>0</v>
      </c>
    </row>
    <row r="884" spans="1:39" x14ac:dyDescent="0.3">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c r="AJ884" t="str">
        <f>IF(HR_Employee_Attrition[[#This Row],[Age]]&gt;60,"60+",IF(HR_Employee_Attrition[[#This Row],[Age]]&gt;=50,"50-59",IF(HR_Employee_Attrition[[#This Row],[Age]]&gt;=40,"40-49",IF(HR_Employee_Attrition[[#This Row],[Age]]&gt;=30,"30-39",IF(HR_Employee_Attrition[[#This Row],[Age]]&gt;=20,"20-29",IF(HR_Employee_Attrition[[#This Row],[Age]]&gt;=18,"18-20"))))))</f>
        <v>30-39</v>
      </c>
      <c r="AK884" t="str" cm="1">
        <f t="array" ref="AK884">_xlfn.IFS(HR_Employee_Attrition[[#This Row],[YearsAtCompany]]&lt;=2,"0-2",HR_Employee_Attrition[[#This Row],[YearsAtCompany]]&lt;=5,"3-5",HR_Employee_Attrition[[#This Row],[YearsAtCompany]]&lt;=10,"6-10",HR_Employee_Attrition[[#This Row],[YearsAtCompany]]&gt;10,"10+")</f>
        <v>6-10</v>
      </c>
      <c r="AL884" t="str" cm="1">
        <f t="array" ref="AL8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84">
        <f>IF(HR_Employee_Attrition[[#This Row],[Attrition]]="Yes",1,0)</f>
        <v>0</v>
      </c>
    </row>
    <row r="885" spans="1:39" x14ac:dyDescent="0.3">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c r="AJ885" t="str">
        <f>IF(HR_Employee_Attrition[[#This Row],[Age]]&gt;60,"60+",IF(HR_Employee_Attrition[[#This Row],[Age]]&gt;=50,"50-59",IF(HR_Employee_Attrition[[#This Row],[Age]]&gt;=40,"40-49",IF(HR_Employee_Attrition[[#This Row],[Age]]&gt;=30,"30-39",IF(HR_Employee_Attrition[[#This Row],[Age]]&gt;=20,"20-29",IF(HR_Employee_Attrition[[#This Row],[Age]]&gt;=18,"18-20"))))))</f>
        <v>30-39</v>
      </c>
      <c r="AK885" t="str" cm="1">
        <f t="array" ref="AK885">_xlfn.IFS(HR_Employee_Attrition[[#This Row],[YearsAtCompany]]&lt;=2,"0-2",HR_Employee_Attrition[[#This Row],[YearsAtCompany]]&lt;=5,"3-5",HR_Employee_Attrition[[#This Row],[YearsAtCompany]]&lt;=10,"6-10",HR_Employee_Attrition[[#This Row],[YearsAtCompany]]&gt;10,"10+")</f>
        <v>10+</v>
      </c>
      <c r="AL885" t="str" cm="1">
        <f t="array" ref="AL8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85">
        <f>IF(HR_Employee_Attrition[[#This Row],[Attrition]]="Yes",1,0)</f>
        <v>0</v>
      </c>
    </row>
    <row r="886" spans="1:39" x14ac:dyDescent="0.3">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c r="AJ886" t="str">
        <f>IF(HR_Employee_Attrition[[#This Row],[Age]]&gt;60,"60+",IF(HR_Employee_Attrition[[#This Row],[Age]]&gt;=50,"50-59",IF(HR_Employee_Attrition[[#This Row],[Age]]&gt;=40,"40-49",IF(HR_Employee_Attrition[[#This Row],[Age]]&gt;=30,"30-39",IF(HR_Employee_Attrition[[#This Row],[Age]]&gt;=20,"20-29",IF(HR_Employee_Attrition[[#This Row],[Age]]&gt;=18,"18-20"))))))</f>
        <v>40-49</v>
      </c>
      <c r="AK886" t="str" cm="1">
        <f t="array" ref="AK886">_xlfn.IFS(HR_Employee_Attrition[[#This Row],[YearsAtCompany]]&lt;=2,"0-2",HR_Employee_Attrition[[#This Row],[YearsAtCompany]]&lt;=5,"3-5",HR_Employee_Attrition[[#This Row],[YearsAtCompany]]&lt;=10,"6-10",HR_Employee_Attrition[[#This Row],[YearsAtCompany]]&gt;10,"10+")</f>
        <v>3-5</v>
      </c>
      <c r="AL886" t="str" cm="1">
        <f t="array" ref="AL8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86">
        <f>IF(HR_Employee_Attrition[[#This Row],[Attrition]]="Yes",1,0)</f>
        <v>0</v>
      </c>
    </row>
    <row r="887" spans="1:39" x14ac:dyDescent="0.3">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c r="AJ887" t="str">
        <f>IF(HR_Employee_Attrition[[#This Row],[Age]]&gt;60,"60+",IF(HR_Employee_Attrition[[#This Row],[Age]]&gt;=50,"50-59",IF(HR_Employee_Attrition[[#This Row],[Age]]&gt;=40,"40-49",IF(HR_Employee_Attrition[[#This Row],[Age]]&gt;=30,"30-39",IF(HR_Employee_Attrition[[#This Row],[Age]]&gt;=20,"20-29",IF(HR_Employee_Attrition[[#This Row],[Age]]&gt;=18,"18-20"))))))</f>
        <v>20-29</v>
      </c>
      <c r="AK887" t="str" cm="1">
        <f t="array" ref="AK887">_xlfn.IFS(HR_Employee_Attrition[[#This Row],[YearsAtCompany]]&lt;=2,"0-2",HR_Employee_Attrition[[#This Row],[YearsAtCompany]]&lt;=5,"3-5",HR_Employee_Attrition[[#This Row],[YearsAtCompany]]&lt;=10,"6-10",HR_Employee_Attrition[[#This Row],[YearsAtCompany]]&gt;10,"10+")</f>
        <v>3-5</v>
      </c>
      <c r="AL887" t="str" cm="1">
        <f t="array" ref="AL8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87">
        <f>IF(HR_Employee_Attrition[[#This Row],[Attrition]]="Yes",1,0)</f>
        <v>0</v>
      </c>
    </row>
    <row r="888" spans="1:39" x14ac:dyDescent="0.3">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c r="AJ888" t="str">
        <f>IF(HR_Employee_Attrition[[#This Row],[Age]]&gt;60,"60+",IF(HR_Employee_Attrition[[#This Row],[Age]]&gt;=50,"50-59",IF(HR_Employee_Attrition[[#This Row],[Age]]&gt;=40,"40-49",IF(HR_Employee_Attrition[[#This Row],[Age]]&gt;=30,"30-39",IF(HR_Employee_Attrition[[#This Row],[Age]]&gt;=20,"20-29",IF(HR_Employee_Attrition[[#This Row],[Age]]&gt;=18,"18-20"))))))</f>
        <v>30-39</v>
      </c>
      <c r="AK888" t="str" cm="1">
        <f t="array" ref="AK888">_xlfn.IFS(HR_Employee_Attrition[[#This Row],[YearsAtCompany]]&lt;=2,"0-2",HR_Employee_Attrition[[#This Row],[YearsAtCompany]]&lt;=5,"3-5",HR_Employee_Attrition[[#This Row],[YearsAtCompany]]&lt;=10,"6-10",HR_Employee_Attrition[[#This Row],[YearsAtCompany]]&gt;10,"10+")</f>
        <v>10+</v>
      </c>
      <c r="AL888" t="str" cm="1">
        <f t="array" ref="AL8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88">
        <f>IF(HR_Employee_Attrition[[#This Row],[Attrition]]="Yes",1,0)</f>
        <v>0</v>
      </c>
    </row>
    <row r="889" spans="1:39" x14ac:dyDescent="0.3">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c r="AJ889" t="str">
        <f>IF(HR_Employee_Attrition[[#This Row],[Age]]&gt;60,"60+",IF(HR_Employee_Attrition[[#This Row],[Age]]&gt;=50,"50-59",IF(HR_Employee_Attrition[[#This Row],[Age]]&gt;=40,"40-49",IF(HR_Employee_Attrition[[#This Row],[Age]]&gt;=30,"30-39",IF(HR_Employee_Attrition[[#This Row],[Age]]&gt;=20,"20-29",IF(HR_Employee_Attrition[[#This Row],[Age]]&gt;=18,"18-20"))))))</f>
        <v>40-49</v>
      </c>
      <c r="AK889" t="str" cm="1">
        <f t="array" ref="AK889">_xlfn.IFS(HR_Employee_Attrition[[#This Row],[YearsAtCompany]]&lt;=2,"0-2",HR_Employee_Attrition[[#This Row],[YearsAtCompany]]&lt;=5,"3-5",HR_Employee_Attrition[[#This Row],[YearsAtCompany]]&lt;=10,"6-10",HR_Employee_Attrition[[#This Row],[YearsAtCompany]]&gt;10,"10+")</f>
        <v>0-2</v>
      </c>
      <c r="AL889" t="str" cm="1">
        <f t="array" ref="AL8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89">
        <f>IF(HR_Employee_Attrition[[#This Row],[Attrition]]="Yes",1,0)</f>
        <v>0</v>
      </c>
    </row>
    <row r="890" spans="1:39" x14ac:dyDescent="0.3">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c r="AJ890" t="str">
        <f>IF(HR_Employee_Attrition[[#This Row],[Age]]&gt;60,"60+",IF(HR_Employee_Attrition[[#This Row],[Age]]&gt;=50,"50-59",IF(HR_Employee_Attrition[[#This Row],[Age]]&gt;=40,"40-49",IF(HR_Employee_Attrition[[#This Row],[Age]]&gt;=30,"30-39",IF(HR_Employee_Attrition[[#This Row],[Age]]&gt;=20,"20-29",IF(HR_Employee_Attrition[[#This Row],[Age]]&gt;=18,"18-20"))))))</f>
        <v>30-39</v>
      </c>
      <c r="AK890" t="str" cm="1">
        <f t="array" ref="AK890">_xlfn.IFS(HR_Employee_Attrition[[#This Row],[YearsAtCompany]]&lt;=2,"0-2",HR_Employee_Attrition[[#This Row],[YearsAtCompany]]&lt;=5,"3-5",HR_Employee_Attrition[[#This Row],[YearsAtCompany]]&lt;=10,"6-10",HR_Employee_Attrition[[#This Row],[YearsAtCompany]]&gt;10,"10+")</f>
        <v>10+</v>
      </c>
      <c r="AL890" t="str" cm="1">
        <f t="array" ref="AL8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90">
        <f>IF(HR_Employee_Attrition[[#This Row],[Attrition]]="Yes",1,0)</f>
        <v>0</v>
      </c>
    </row>
    <row r="891" spans="1:39" x14ac:dyDescent="0.3">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c r="AJ891" t="str">
        <f>IF(HR_Employee_Attrition[[#This Row],[Age]]&gt;60,"60+",IF(HR_Employee_Attrition[[#This Row],[Age]]&gt;=50,"50-59",IF(HR_Employee_Attrition[[#This Row],[Age]]&gt;=40,"40-49",IF(HR_Employee_Attrition[[#This Row],[Age]]&gt;=30,"30-39",IF(HR_Employee_Attrition[[#This Row],[Age]]&gt;=20,"20-29",IF(HR_Employee_Attrition[[#This Row],[Age]]&gt;=18,"18-20"))))))</f>
        <v>20-29</v>
      </c>
      <c r="AK891" t="str" cm="1">
        <f t="array" ref="AK891">_xlfn.IFS(HR_Employee_Attrition[[#This Row],[YearsAtCompany]]&lt;=2,"0-2",HR_Employee_Attrition[[#This Row],[YearsAtCompany]]&lt;=5,"3-5",HR_Employee_Attrition[[#This Row],[YearsAtCompany]]&lt;=10,"6-10",HR_Employee_Attrition[[#This Row],[YearsAtCompany]]&gt;10,"10+")</f>
        <v>6-10</v>
      </c>
      <c r="AL891" t="str" cm="1">
        <f t="array" ref="AL8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91">
        <f>IF(HR_Employee_Attrition[[#This Row],[Attrition]]="Yes",1,0)</f>
        <v>0</v>
      </c>
    </row>
    <row r="892" spans="1:39" x14ac:dyDescent="0.3">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c r="AJ892" t="str">
        <f>IF(HR_Employee_Attrition[[#This Row],[Age]]&gt;60,"60+",IF(HR_Employee_Attrition[[#This Row],[Age]]&gt;=50,"50-59",IF(HR_Employee_Attrition[[#This Row],[Age]]&gt;=40,"40-49",IF(HR_Employee_Attrition[[#This Row],[Age]]&gt;=30,"30-39",IF(HR_Employee_Attrition[[#This Row],[Age]]&gt;=20,"20-29",IF(HR_Employee_Attrition[[#This Row],[Age]]&gt;=18,"18-20"))))))</f>
        <v>50-59</v>
      </c>
      <c r="AK892" t="str" cm="1">
        <f t="array" ref="AK892">_xlfn.IFS(HR_Employee_Attrition[[#This Row],[YearsAtCompany]]&lt;=2,"0-2",HR_Employee_Attrition[[#This Row],[YearsAtCompany]]&lt;=5,"3-5",HR_Employee_Attrition[[#This Row],[YearsAtCompany]]&lt;=10,"6-10",HR_Employee_Attrition[[#This Row],[YearsAtCompany]]&gt;10,"10+")</f>
        <v>3-5</v>
      </c>
      <c r="AL892" t="str" cm="1">
        <f t="array" ref="AL8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92">
        <f>IF(HR_Employee_Attrition[[#This Row],[Attrition]]="Yes",1,0)</f>
        <v>0</v>
      </c>
    </row>
    <row r="893" spans="1:39" x14ac:dyDescent="0.3">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c r="AJ893" t="str">
        <f>IF(HR_Employee_Attrition[[#This Row],[Age]]&gt;60,"60+",IF(HR_Employee_Attrition[[#This Row],[Age]]&gt;=50,"50-59",IF(HR_Employee_Attrition[[#This Row],[Age]]&gt;=40,"40-49",IF(HR_Employee_Attrition[[#This Row],[Age]]&gt;=30,"30-39",IF(HR_Employee_Attrition[[#This Row],[Age]]&gt;=20,"20-29",IF(HR_Employee_Attrition[[#This Row],[Age]]&gt;=18,"18-20"))))))</f>
        <v>40-49</v>
      </c>
      <c r="AK893" t="str" cm="1">
        <f t="array" ref="AK893">_xlfn.IFS(HR_Employee_Attrition[[#This Row],[YearsAtCompany]]&lt;=2,"0-2",HR_Employee_Attrition[[#This Row],[YearsAtCompany]]&lt;=5,"3-5",HR_Employee_Attrition[[#This Row],[YearsAtCompany]]&lt;=10,"6-10",HR_Employee_Attrition[[#This Row],[YearsAtCompany]]&gt;10,"10+")</f>
        <v>6-10</v>
      </c>
      <c r="AL893" t="str" cm="1">
        <f t="array" ref="AL8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93">
        <f>IF(HR_Employee_Attrition[[#This Row],[Attrition]]="Yes",1,0)</f>
        <v>0</v>
      </c>
    </row>
    <row r="894" spans="1:39" x14ac:dyDescent="0.3">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c r="AJ894" t="str">
        <f>IF(HR_Employee_Attrition[[#This Row],[Age]]&gt;60,"60+",IF(HR_Employee_Attrition[[#This Row],[Age]]&gt;=50,"50-59",IF(HR_Employee_Attrition[[#This Row],[Age]]&gt;=40,"40-49",IF(HR_Employee_Attrition[[#This Row],[Age]]&gt;=30,"30-39",IF(HR_Employee_Attrition[[#This Row],[Age]]&gt;=20,"20-29",IF(HR_Employee_Attrition[[#This Row],[Age]]&gt;=18,"18-20"))))))</f>
        <v>18-20</v>
      </c>
      <c r="AK894" t="str" cm="1">
        <f t="array" ref="AK894">_xlfn.IFS(HR_Employee_Attrition[[#This Row],[YearsAtCompany]]&lt;=2,"0-2",HR_Employee_Attrition[[#This Row],[YearsAtCompany]]&lt;=5,"3-5",HR_Employee_Attrition[[#This Row],[YearsAtCompany]]&lt;=10,"6-10",HR_Employee_Attrition[[#This Row],[YearsAtCompany]]&gt;10,"10+")</f>
        <v>0-2</v>
      </c>
      <c r="AL894" t="str" cm="1">
        <f t="array" ref="AL8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94">
        <f>IF(HR_Employee_Attrition[[#This Row],[Attrition]]="Yes",1,0)</f>
        <v>1</v>
      </c>
    </row>
    <row r="895" spans="1:39" x14ac:dyDescent="0.3">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c r="AJ895" t="str">
        <f>IF(HR_Employee_Attrition[[#This Row],[Age]]&gt;60,"60+",IF(HR_Employee_Attrition[[#This Row],[Age]]&gt;=50,"50-59",IF(HR_Employee_Attrition[[#This Row],[Age]]&gt;=40,"40-49",IF(HR_Employee_Attrition[[#This Row],[Age]]&gt;=30,"30-39",IF(HR_Employee_Attrition[[#This Row],[Age]]&gt;=20,"20-29",IF(HR_Employee_Attrition[[#This Row],[Age]]&gt;=18,"18-20"))))))</f>
        <v>20-29</v>
      </c>
      <c r="AK895" t="str" cm="1">
        <f t="array" ref="AK895">_xlfn.IFS(HR_Employee_Attrition[[#This Row],[YearsAtCompany]]&lt;=2,"0-2",HR_Employee_Attrition[[#This Row],[YearsAtCompany]]&lt;=5,"3-5",HR_Employee_Attrition[[#This Row],[YearsAtCompany]]&lt;=10,"6-10",HR_Employee_Attrition[[#This Row],[YearsAtCompany]]&gt;10,"10+")</f>
        <v>3-5</v>
      </c>
      <c r="AL895" t="str" cm="1">
        <f t="array" ref="AL8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95">
        <f>IF(HR_Employee_Attrition[[#This Row],[Attrition]]="Yes",1,0)</f>
        <v>0</v>
      </c>
    </row>
    <row r="896" spans="1:39" x14ac:dyDescent="0.3">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c r="AJ896" t="str">
        <f>IF(HR_Employee_Attrition[[#This Row],[Age]]&gt;60,"60+",IF(HR_Employee_Attrition[[#This Row],[Age]]&gt;=50,"50-59",IF(HR_Employee_Attrition[[#This Row],[Age]]&gt;=40,"40-49",IF(HR_Employee_Attrition[[#This Row],[Age]]&gt;=30,"30-39",IF(HR_Employee_Attrition[[#This Row],[Age]]&gt;=20,"20-29",IF(HR_Employee_Attrition[[#This Row],[Age]]&gt;=18,"18-20"))))))</f>
        <v>50-59</v>
      </c>
      <c r="AK896" t="str" cm="1">
        <f t="array" ref="AK896">_xlfn.IFS(HR_Employee_Attrition[[#This Row],[YearsAtCompany]]&lt;=2,"0-2",HR_Employee_Attrition[[#This Row],[YearsAtCompany]]&lt;=5,"3-5",HR_Employee_Attrition[[#This Row],[YearsAtCompany]]&lt;=10,"6-10",HR_Employee_Attrition[[#This Row],[YearsAtCompany]]&gt;10,"10+")</f>
        <v>6-10</v>
      </c>
      <c r="AL896" t="str" cm="1">
        <f t="array" ref="AL8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96">
        <f>IF(HR_Employee_Attrition[[#This Row],[Attrition]]="Yes",1,0)</f>
        <v>0</v>
      </c>
    </row>
    <row r="897" spans="1:39" x14ac:dyDescent="0.3">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c r="AJ897" t="str">
        <f>IF(HR_Employee_Attrition[[#This Row],[Age]]&gt;60,"60+",IF(HR_Employee_Attrition[[#This Row],[Age]]&gt;=50,"50-59",IF(HR_Employee_Attrition[[#This Row],[Age]]&gt;=40,"40-49",IF(HR_Employee_Attrition[[#This Row],[Age]]&gt;=30,"30-39",IF(HR_Employee_Attrition[[#This Row],[Age]]&gt;=20,"20-29",IF(HR_Employee_Attrition[[#This Row],[Age]]&gt;=18,"18-20"))))))</f>
        <v>30-39</v>
      </c>
      <c r="AK897" t="str" cm="1">
        <f t="array" ref="AK897">_xlfn.IFS(HR_Employee_Attrition[[#This Row],[YearsAtCompany]]&lt;=2,"0-2",HR_Employee_Attrition[[#This Row],[YearsAtCompany]]&lt;=5,"3-5",HR_Employee_Attrition[[#This Row],[YearsAtCompany]]&lt;=10,"6-10",HR_Employee_Attrition[[#This Row],[YearsAtCompany]]&gt;10,"10+")</f>
        <v>6-10</v>
      </c>
      <c r="AL897" t="str" cm="1">
        <f t="array" ref="AL8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97">
        <f>IF(HR_Employee_Attrition[[#This Row],[Attrition]]="Yes",1,0)</f>
        <v>0</v>
      </c>
    </row>
    <row r="898" spans="1:39" x14ac:dyDescent="0.3">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c r="AJ898" t="str">
        <f>IF(HR_Employee_Attrition[[#This Row],[Age]]&gt;60,"60+",IF(HR_Employee_Attrition[[#This Row],[Age]]&gt;=50,"50-59",IF(HR_Employee_Attrition[[#This Row],[Age]]&gt;=40,"40-49",IF(HR_Employee_Attrition[[#This Row],[Age]]&gt;=30,"30-39",IF(HR_Employee_Attrition[[#This Row],[Age]]&gt;=20,"20-29",IF(HR_Employee_Attrition[[#This Row],[Age]]&gt;=18,"18-20"))))))</f>
        <v>30-39</v>
      </c>
      <c r="AK898" t="str" cm="1">
        <f t="array" ref="AK898">_xlfn.IFS(HR_Employee_Attrition[[#This Row],[YearsAtCompany]]&lt;=2,"0-2",HR_Employee_Attrition[[#This Row],[YearsAtCompany]]&lt;=5,"3-5",HR_Employee_Attrition[[#This Row],[YearsAtCompany]]&lt;=10,"6-10",HR_Employee_Attrition[[#This Row],[YearsAtCompany]]&gt;10,"10+")</f>
        <v>6-10</v>
      </c>
      <c r="AL898" t="str" cm="1">
        <f t="array" ref="AL8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98">
        <f>IF(HR_Employee_Attrition[[#This Row],[Attrition]]="Yes",1,0)</f>
        <v>0</v>
      </c>
    </row>
    <row r="899" spans="1:39" x14ac:dyDescent="0.3">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c r="AJ899" t="str">
        <f>IF(HR_Employee_Attrition[[#This Row],[Age]]&gt;60,"60+",IF(HR_Employee_Attrition[[#This Row],[Age]]&gt;=50,"50-59",IF(HR_Employee_Attrition[[#This Row],[Age]]&gt;=40,"40-49",IF(HR_Employee_Attrition[[#This Row],[Age]]&gt;=30,"30-39",IF(HR_Employee_Attrition[[#This Row],[Age]]&gt;=20,"20-29",IF(HR_Employee_Attrition[[#This Row],[Age]]&gt;=18,"18-20"))))))</f>
        <v>50-59</v>
      </c>
      <c r="AK899" t="str" cm="1">
        <f t="array" ref="AK899">_xlfn.IFS(HR_Employee_Attrition[[#This Row],[YearsAtCompany]]&lt;=2,"0-2",HR_Employee_Attrition[[#This Row],[YearsAtCompany]]&lt;=5,"3-5",HR_Employee_Attrition[[#This Row],[YearsAtCompany]]&lt;=10,"6-10",HR_Employee_Attrition[[#This Row],[YearsAtCompany]]&gt;10,"10+")</f>
        <v>6-10</v>
      </c>
      <c r="AL899" t="str" cm="1">
        <f t="array" ref="AL8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99">
        <f>IF(HR_Employee_Attrition[[#This Row],[Attrition]]="Yes",1,0)</f>
        <v>0</v>
      </c>
    </row>
    <row r="900" spans="1:39" x14ac:dyDescent="0.3">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c r="AJ900" t="str">
        <f>IF(HR_Employee_Attrition[[#This Row],[Age]]&gt;60,"60+",IF(HR_Employee_Attrition[[#This Row],[Age]]&gt;=50,"50-59",IF(HR_Employee_Attrition[[#This Row],[Age]]&gt;=40,"40-49",IF(HR_Employee_Attrition[[#This Row],[Age]]&gt;=30,"30-39",IF(HR_Employee_Attrition[[#This Row],[Age]]&gt;=20,"20-29",IF(HR_Employee_Attrition[[#This Row],[Age]]&gt;=18,"18-20"))))))</f>
        <v>40-49</v>
      </c>
      <c r="AK900" t="str" cm="1">
        <f t="array" ref="AK900">_xlfn.IFS(HR_Employee_Attrition[[#This Row],[YearsAtCompany]]&lt;=2,"0-2",HR_Employee_Attrition[[#This Row],[YearsAtCompany]]&lt;=5,"3-5",HR_Employee_Attrition[[#This Row],[YearsAtCompany]]&lt;=10,"6-10",HR_Employee_Attrition[[#This Row],[YearsAtCompany]]&gt;10,"10+")</f>
        <v>6-10</v>
      </c>
      <c r="AL900" t="str" cm="1">
        <f t="array" ref="AL9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00">
        <f>IF(HR_Employee_Attrition[[#This Row],[Attrition]]="Yes",1,0)</f>
        <v>0</v>
      </c>
    </row>
    <row r="901" spans="1:39" x14ac:dyDescent="0.3">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c r="AJ901" t="str">
        <f>IF(HR_Employee_Attrition[[#This Row],[Age]]&gt;60,"60+",IF(HR_Employee_Attrition[[#This Row],[Age]]&gt;=50,"50-59",IF(HR_Employee_Attrition[[#This Row],[Age]]&gt;=40,"40-49",IF(HR_Employee_Attrition[[#This Row],[Age]]&gt;=30,"30-39",IF(HR_Employee_Attrition[[#This Row],[Age]]&gt;=20,"20-29",IF(HR_Employee_Attrition[[#This Row],[Age]]&gt;=18,"18-20"))))))</f>
        <v>40-49</v>
      </c>
      <c r="AK901" t="str" cm="1">
        <f t="array" ref="AK901">_xlfn.IFS(HR_Employee_Attrition[[#This Row],[YearsAtCompany]]&lt;=2,"0-2",HR_Employee_Attrition[[#This Row],[YearsAtCompany]]&lt;=5,"3-5",HR_Employee_Attrition[[#This Row],[YearsAtCompany]]&lt;=10,"6-10",HR_Employee_Attrition[[#This Row],[YearsAtCompany]]&gt;10,"10+")</f>
        <v>0-2</v>
      </c>
      <c r="AL901" t="str" cm="1">
        <f t="array" ref="AL9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01">
        <f>IF(HR_Employee_Attrition[[#This Row],[Attrition]]="Yes",1,0)</f>
        <v>0</v>
      </c>
    </row>
    <row r="902" spans="1:39" x14ac:dyDescent="0.3">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c r="AJ902" t="str">
        <f>IF(HR_Employee_Attrition[[#This Row],[Age]]&gt;60,"60+",IF(HR_Employee_Attrition[[#This Row],[Age]]&gt;=50,"50-59",IF(HR_Employee_Attrition[[#This Row],[Age]]&gt;=40,"40-49",IF(HR_Employee_Attrition[[#This Row],[Age]]&gt;=30,"30-39",IF(HR_Employee_Attrition[[#This Row],[Age]]&gt;=20,"20-29",IF(HR_Employee_Attrition[[#This Row],[Age]]&gt;=18,"18-20"))))))</f>
        <v>30-39</v>
      </c>
      <c r="AK902" t="str" cm="1">
        <f t="array" ref="AK902">_xlfn.IFS(HR_Employee_Attrition[[#This Row],[YearsAtCompany]]&lt;=2,"0-2",HR_Employee_Attrition[[#This Row],[YearsAtCompany]]&lt;=5,"3-5",HR_Employee_Attrition[[#This Row],[YearsAtCompany]]&lt;=10,"6-10",HR_Employee_Attrition[[#This Row],[YearsAtCompany]]&gt;10,"10+")</f>
        <v>10+</v>
      </c>
      <c r="AL902" t="str" cm="1">
        <f t="array" ref="AL9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02">
        <f>IF(HR_Employee_Attrition[[#This Row],[Attrition]]="Yes",1,0)</f>
        <v>0</v>
      </c>
    </row>
    <row r="903" spans="1:39" x14ac:dyDescent="0.3">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c r="AJ903" t="str">
        <f>IF(HR_Employee_Attrition[[#This Row],[Age]]&gt;60,"60+",IF(HR_Employee_Attrition[[#This Row],[Age]]&gt;=50,"50-59",IF(HR_Employee_Attrition[[#This Row],[Age]]&gt;=40,"40-49",IF(HR_Employee_Attrition[[#This Row],[Age]]&gt;=30,"30-39",IF(HR_Employee_Attrition[[#This Row],[Age]]&gt;=20,"20-29",IF(HR_Employee_Attrition[[#This Row],[Age]]&gt;=18,"18-20"))))))</f>
        <v>40-49</v>
      </c>
      <c r="AK903" t="str" cm="1">
        <f t="array" ref="AK903">_xlfn.IFS(HR_Employee_Attrition[[#This Row],[YearsAtCompany]]&lt;=2,"0-2",HR_Employee_Attrition[[#This Row],[YearsAtCompany]]&lt;=5,"3-5",HR_Employee_Attrition[[#This Row],[YearsAtCompany]]&lt;=10,"6-10",HR_Employee_Attrition[[#This Row],[YearsAtCompany]]&gt;10,"10+")</f>
        <v>0-2</v>
      </c>
      <c r="AL903" t="str" cm="1">
        <f t="array" ref="AL9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03">
        <f>IF(HR_Employee_Attrition[[#This Row],[Attrition]]="Yes",1,0)</f>
        <v>0</v>
      </c>
    </row>
    <row r="904" spans="1:39" x14ac:dyDescent="0.3">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c r="AJ904" t="str">
        <f>IF(HR_Employee_Attrition[[#This Row],[Age]]&gt;60,"60+",IF(HR_Employee_Attrition[[#This Row],[Age]]&gt;=50,"50-59",IF(HR_Employee_Attrition[[#This Row],[Age]]&gt;=40,"40-49",IF(HR_Employee_Attrition[[#This Row],[Age]]&gt;=30,"30-39",IF(HR_Employee_Attrition[[#This Row],[Age]]&gt;=20,"20-29",IF(HR_Employee_Attrition[[#This Row],[Age]]&gt;=18,"18-20"))))))</f>
        <v>20-29</v>
      </c>
      <c r="AK904" t="str" cm="1">
        <f t="array" ref="AK904">_xlfn.IFS(HR_Employee_Attrition[[#This Row],[YearsAtCompany]]&lt;=2,"0-2",HR_Employee_Attrition[[#This Row],[YearsAtCompany]]&lt;=5,"3-5",HR_Employee_Attrition[[#This Row],[YearsAtCompany]]&lt;=10,"6-10",HR_Employee_Attrition[[#This Row],[YearsAtCompany]]&gt;10,"10+")</f>
        <v>3-5</v>
      </c>
      <c r="AL904" t="str" cm="1">
        <f t="array" ref="AL9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04">
        <f>IF(HR_Employee_Attrition[[#This Row],[Attrition]]="Yes",1,0)</f>
        <v>0</v>
      </c>
    </row>
    <row r="905" spans="1:39" x14ac:dyDescent="0.3">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c r="AJ905" t="str">
        <f>IF(HR_Employee_Attrition[[#This Row],[Age]]&gt;60,"60+",IF(HR_Employee_Attrition[[#This Row],[Age]]&gt;=50,"50-59",IF(HR_Employee_Attrition[[#This Row],[Age]]&gt;=40,"40-49",IF(HR_Employee_Attrition[[#This Row],[Age]]&gt;=30,"30-39",IF(HR_Employee_Attrition[[#This Row],[Age]]&gt;=20,"20-29",IF(HR_Employee_Attrition[[#This Row],[Age]]&gt;=18,"18-20"))))))</f>
        <v>20-29</v>
      </c>
      <c r="AK905" t="str" cm="1">
        <f t="array" ref="AK905">_xlfn.IFS(HR_Employee_Attrition[[#This Row],[YearsAtCompany]]&lt;=2,"0-2",HR_Employee_Attrition[[#This Row],[YearsAtCompany]]&lt;=5,"3-5",HR_Employee_Attrition[[#This Row],[YearsAtCompany]]&lt;=10,"6-10",HR_Employee_Attrition[[#This Row],[YearsAtCompany]]&gt;10,"10+")</f>
        <v>6-10</v>
      </c>
      <c r="AL905" t="str" cm="1">
        <f t="array" ref="AL9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05">
        <f>IF(HR_Employee_Attrition[[#This Row],[Attrition]]="Yes",1,0)</f>
        <v>0</v>
      </c>
    </row>
    <row r="906" spans="1:39" x14ac:dyDescent="0.3">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c r="AJ906" t="str">
        <f>IF(HR_Employee_Attrition[[#This Row],[Age]]&gt;60,"60+",IF(HR_Employee_Attrition[[#This Row],[Age]]&gt;=50,"50-59",IF(HR_Employee_Attrition[[#This Row],[Age]]&gt;=40,"40-49",IF(HR_Employee_Attrition[[#This Row],[Age]]&gt;=30,"30-39",IF(HR_Employee_Attrition[[#This Row],[Age]]&gt;=20,"20-29",IF(HR_Employee_Attrition[[#This Row],[Age]]&gt;=18,"18-20"))))))</f>
        <v>40-49</v>
      </c>
      <c r="AK906" t="str" cm="1">
        <f t="array" ref="AK906">_xlfn.IFS(HR_Employee_Attrition[[#This Row],[YearsAtCompany]]&lt;=2,"0-2",HR_Employee_Attrition[[#This Row],[YearsAtCompany]]&lt;=5,"3-5",HR_Employee_Attrition[[#This Row],[YearsAtCompany]]&lt;=10,"6-10",HR_Employee_Attrition[[#This Row],[YearsAtCompany]]&gt;10,"10+")</f>
        <v>0-2</v>
      </c>
      <c r="AL906" t="str" cm="1">
        <f t="array" ref="AL9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06">
        <f>IF(HR_Employee_Attrition[[#This Row],[Attrition]]="Yes",1,0)</f>
        <v>0</v>
      </c>
    </row>
    <row r="907" spans="1:39" x14ac:dyDescent="0.3">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c r="AJ907" t="str">
        <f>IF(HR_Employee_Attrition[[#This Row],[Age]]&gt;60,"60+",IF(HR_Employee_Attrition[[#This Row],[Age]]&gt;=50,"50-59",IF(HR_Employee_Attrition[[#This Row],[Age]]&gt;=40,"40-49",IF(HR_Employee_Attrition[[#This Row],[Age]]&gt;=30,"30-39",IF(HR_Employee_Attrition[[#This Row],[Age]]&gt;=20,"20-29",IF(HR_Employee_Attrition[[#This Row],[Age]]&gt;=18,"18-20"))))))</f>
        <v>20-29</v>
      </c>
      <c r="AK907" t="str" cm="1">
        <f t="array" ref="AK907">_xlfn.IFS(HR_Employee_Attrition[[#This Row],[YearsAtCompany]]&lt;=2,"0-2",HR_Employee_Attrition[[#This Row],[YearsAtCompany]]&lt;=5,"3-5",HR_Employee_Attrition[[#This Row],[YearsAtCompany]]&lt;=10,"6-10",HR_Employee_Attrition[[#This Row],[YearsAtCompany]]&gt;10,"10+")</f>
        <v>6-10</v>
      </c>
      <c r="AL907" t="str" cm="1">
        <f t="array" ref="AL9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07">
        <f>IF(HR_Employee_Attrition[[#This Row],[Attrition]]="Yes",1,0)</f>
        <v>0</v>
      </c>
    </row>
    <row r="908" spans="1:39" x14ac:dyDescent="0.3">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c r="AJ908" t="str">
        <f>IF(HR_Employee_Attrition[[#This Row],[Age]]&gt;60,"60+",IF(HR_Employee_Attrition[[#This Row],[Age]]&gt;=50,"50-59",IF(HR_Employee_Attrition[[#This Row],[Age]]&gt;=40,"40-49",IF(HR_Employee_Attrition[[#This Row],[Age]]&gt;=30,"30-39",IF(HR_Employee_Attrition[[#This Row],[Age]]&gt;=20,"20-29",IF(HR_Employee_Attrition[[#This Row],[Age]]&gt;=18,"18-20"))))))</f>
        <v>30-39</v>
      </c>
      <c r="AK908" t="str" cm="1">
        <f t="array" ref="AK908">_xlfn.IFS(HR_Employee_Attrition[[#This Row],[YearsAtCompany]]&lt;=2,"0-2",HR_Employee_Attrition[[#This Row],[YearsAtCompany]]&lt;=5,"3-5",HR_Employee_Attrition[[#This Row],[YearsAtCompany]]&lt;=10,"6-10",HR_Employee_Attrition[[#This Row],[YearsAtCompany]]&gt;10,"10+")</f>
        <v>0-2</v>
      </c>
      <c r="AL908" t="str" cm="1">
        <f t="array" ref="AL9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08">
        <f>IF(HR_Employee_Attrition[[#This Row],[Attrition]]="Yes",1,0)</f>
        <v>0</v>
      </c>
    </row>
    <row r="909" spans="1:39" x14ac:dyDescent="0.3">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c r="AJ909" t="str">
        <f>IF(HR_Employee_Attrition[[#This Row],[Age]]&gt;60,"60+",IF(HR_Employee_Attrition[[#This Row],[Age]]&gt;=50,"50-59",IF(HR_Employee_Attrition[[#This Row],[Age]]&gt;=40,"40-49",IF(HR_Employee_Attrition[[#This Row],[Age]]&gt;=30,"30-39",IF(HR_Employee_Attrition[[#This Row],[Age]]&gt;=20,"20-29",IF(HR_Employee_Attrition[[#This Row],[Age]]&gt;=18,"18-20"))))))</f>
        <v>40-49</v>
      </c>
      <c r="AK909" t="str" cm="1">
        <f t="array" ref="AK909">_xlfn.IFS(HR_Employee_Attrition[[#This Row],[YearsAtCompany]]&lt;=2,"0-2",HR_Employee_Attrition[[#This Row],[YearsAtCompany]]&lt;=5,"3-5",HR_Employee_Attrition[[#This Row],[YearsAtCompany]]&lt;=10,"6-10",HR_Employee_Attrition[[#This Row],[YearsAtCompany]]&gt;10,"10+")</f>
        <v>10+</v>
      </c>
      <c r="AL909" t="str" cm="1">
        <f t="array" ref="AL9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09">
        <f>IF(HR_Employee_Attrition[[#This Row],[Attrition]]="Yes",1,0)</f>
        <v>0</v>
      </c>
    </row>
    <row r="910" spans="1:39" x14ac:dyDescent="0.3">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c r="AJ910" t="str">
        <f>IF(HR_Employee_Attrition[[#This Row],[Age]]&gt;60,"60+",IF(HR_Employee_Attrition[[#This Row],[Age]]&gt;=50,"50-59",IF(HR_Employee_Attrition[[#This Row],[Age]]&gt;=40,"40-49",IF(HR_Employee_Attrition[[#This Row],[Age]]&gt;=30,"30-39",IF(HR_Employee_Attrition[[#This Row],[Age]]&gt;=20,"20-29",IF(HR_Employee_Attrition[[#This Row],[Age]]&gt;=18,"18-20"))))))</f>
        <v>30-39</v>
      </c>
      <c r="AK910" t="str" cm="1">
        <f t="array" ref="AK910">_xlfn.IFS(HR_Employee_Attrition[[#This Row],[YearsAtCompany]]&lt;=2,"0-2",HR_Employee_Attrition[[#This Row],[YearsAtCompany]]&lt;=5,"3-5",HR_Employee_Attrition[[#This Row],[YearsAtCompany]]&lt;=10,"6-10",HR_Employee_Attrition[[#This Row],[YearsAtCompany]]&gt;10,"10+")</f>
        <v>6-10</v>
      </c>
      <c r="AL910" t="str" cm="1">
        <f t="array" ref="AL9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10">
        <f>IF(HR_Employee_Attrition[[#This Row],[Attrition]]="Yes",1,0)</f>
        <v>0</v>
      </c>
    </row>
    <row r="911" spans="1:39" x14ac:dyDescent="0.3">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c r="AJ911" t="str">
        <f>IF(HR_Employee_Attrition[[#This Row],[Age]]&gt;60,"60+",IF(HR_Employee_Attrition[[#This Row],[Age]]&gt;=50,"50-59",IF(HR_Employee_Attrition[[#This Row],[Age]]&gt;=40,"40-49",IF(HR_Employee_Attrition[[#This Row],[Age]]&gt;=30,"30-39",IF(HR_Employee_Attrition[[#This Row],[Age]]&gt;=20,"20-29",IF(HR_Employee_Attrition[[#This Row],[Age]]&gt;=18,"18-20"))))))</f>
        <v>18-20</v>
      </c>
      <c r="AK911" t="str" cm="1">
        <f t="array" ref="AK911">_xlfn.IFS(HR_Employee_Attrition[[#This Row],[YearsAtCompany]]&lt;=2,"0-2",HR_Employee_Attrition[[#This Row],[YearsAtCompany]]&lt;=5,"3-5",HR_Employee_Attrition[[#This Row],[YearsAtCompany]]&lt;=10,"6-10",HR_Employee_Attrition[[#This Row],[YearsAtCompany]]&gt;10,"10+")</f>
        <v>0-2</v>
      </c>
      <c r="AL911" t="str" cm="1">
        <f t="array" ref="AL9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11">
        <f>IF(HR_Employee_Attrition[[#This Row],[Attrition]]="Yes",1,0)</f>
        <v>0</v>
      </c>
    </row>
    <row r="912" spans="1:39" x14ac:dyDescent="0.3">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c r="AJ912" t="str">
        <f>IF(HR_Employee_Attrition[[#This Row],[Age]]&gt;60,"60+",IF(HR_Employee_Attrition[[#This Row],[Age]]&gt;=50,"50-59",IF(HR_Employee_Attrition[[#This Row],[Age]]&gt;=40,"40-49",IF(HR_Employee_Attrition[[#This Row],[Age]]&gt;=30,"30-39",IF(HR_Employee_Attrition[[#This Row],[Age]]&gt;=20,"20-29",IF(HR_Employee_Attrition[[#This Row],[Age]]&gt;=18,"18-20"))))))</f>
        <v>20-29</v>
      </c>
      <c r="AK912" t="str" cm="1">
        <f t="array" ref="AK912">_xlfn.IFS(HR_Employee_Attrition[[#This Row],[YearsAtCompany]]&lt;=2,"0-2",HR_Employee_Attrition[[#This Row],[YearsAtCompany]]&lt;=5,"3-5",HR_Employee_Attrition[[#This Row],[YearsAtCompany]]&lt;=10,"6-10",HR_Employee_Attrition[[#This Row],[YearsAtCompany]]&gt;10,"10+")</f>
        <v>0-2</v>
      </c>
      <c r="AL912" t="str" cm="1">
        <f t="array" ref="AL9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12">
        <f>IF(HR_Employee_Attrition[[#This Row],[Attrition]]="Yes",1,0)</f>
        <v>0</v>
      </c>
    </row>
    <row r="913" spans="1:39" x14ac:dyDescent="0.3">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c r="AJ913" t="str">
        <f>IF(HR_Employee_Attrition[[#This Row],[Age]]&gt;60,"60+",IF(HR_Employee_Attrition[[#This Row],[Age]]&gt;=50,"50-59",IF(HR_Employee_Attrition[[#This Row],[Age]]&gt;=40,"40-49",IF(HR_Employee_Attrition[[#This Row],[Age]]&gt;=30,"30-39",IF(HR_Employee_Attrition[[#This Row],[Age]]&gt;=20,"20-29",IF(HR_Employee_Attrition[[#This Row],[Age]]&gt;=18,"18-20"))))))</f>
        <v>20-29</v>
      </c>
      <c r="AK913" t="str" cm="1">
        <f t="array" ref="AK913">_xlfn.IFS(HR_Employee_Attrition[[#This Row],[YearsAtCompany]]&lt;=2,"0-2",HR_Employee_Attrition[[#This Row],[YearsAtCompany]]&lt;=5,"3-5",HR_Employee_Attrition[[#This Row],[YearsAtCompany]]&lt;=10,"6-10",HR_Employee_Attrition[[#This Row],[YearsAtCompany]]&gt;10,"10+")</f>
        <v>0-2</v>
      </c>
      <c r="AL913" t="str" cm="1">
        <f t="array" ref="AL9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13">
        <f>IF(HR_Employee_Attrition[[#This Row],[Attrition]]="Yes",1,0)</f>
        <v>1</v>
      </c>
    </row>
    <row r="914" spans="1:39" x14ac:dyDescent="0.3">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c r="AJ914" t="str">
        <f>IF(HR_Employee_Attrition[[#This Row],[Age]]&gt;60,"60+",IF(HR_Employee_Attrition[[#This Row],[Age]]&gt;=50,"50-59",IF(HR_Employee_Attrition[[#This Row],[Age]]&gt;=40,"40-49",IF(HR_Employee_Attrition[[#This Row],[Age]]&gt;=30,"30-39",IF(HR_Employee_Attrition[[#This Row],[Age]]&gt;=20,"20-29",IF(HR_Employee_Attrition[[#This Row],[Age]]&gt;=18,"18-20"))))))</f>
        <v>20-29</v>
      </c>
      <c r="AK914" t="str" cm="1">
        <f t="array" ref="AK914">_xlfn.IFS(HR_Employee_Attrition[[#This Row],[YearsAtCompany]]&lt;=2,"0-2",HR_Employee_Attrition[[#This Row],[YearsAtCompany]]&lt;=5,"3-5",HR_Employee_Attrition[[#This Row],[YearsAtCompany]]&lt;=10,"6-10",HR_Employee_Attrition[[#This Row],[YearsAtCompany]]&gt;10,"10+")</f>
        <v>6-10</v>
      </c>
      <c r="AL914" t="str" cm="1">
        <f t="array" ref="AL9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14">
        <f>IF(HR_Employee_Attrition[[#This Row],[Attrition]]="Yes",1,0)</f>
        <v>0</v>
      </c>
    </row>
    <row r="915" spans="1:39" x14ac:dyDescent="0.3">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c r="AJ915" t="str">
        <f>IF(HR_Employee_Attrition[[#This Row],[Age]]&gt;60,"60+",IF(HR_Employee_Attrition[[#This Row],[Age]]&gt;=50,"50-59",IF(HR_Employee_Attrition[[#This Row],[Age]]&gt;=40,"40-49",IF(HR_Employee_Attrition[[#This Row],[Age]]&gt;=30,"30-39",IF(HR_Employee_Attrition[[#This Row],[Age]]&gt;=20,"20-29",IF(HR_Employee_Attrition[[#This Row],[Age]]&gt;=18,"18-20"))))))</f>
        <v>40-49</v>
      </c>
      <c r="AK915" t="str" cm="1">
        <f t="array" ref="AK915">_xlfn.IFS(HR_Employee_Attrition[[#This Row],[YearsAtCompany]]&lt;=2,"0-2",HR_Employee_Attrition[[#This Row],[YearsAtCompany]]&lt;=5,"3-5",HR_Employee_Attrition[[#This Row],[YearsAtCompany]]&lt;=10,"6-10",HR_Employee_Attrition[[#This Row],[YearsAtCompany]]&gt;10,"10+")</f>
        <v>10+</v>
      </c>
      <c r="AL915" t="str" cm="1">
        <f t="array" ref="AL9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15">
        <f>IF(HR_Employee_Attrition[[#This Row],[Attrition]]="Yes",1,0)</f>
        <v>1</v>
      </c>
    </row>
    <row r="916" spans="1:39" x14ac:dyDescent="0.3">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c r="AJ916" t="str">
        <f>IF(HR_Employee_Attrition[[#This Row],[Age]]&gt;60,"60+",IF(HR_Employee_Attrition[[#This Row],[Age]]&gt;=50,"50-59",IF(HR_Employee_Attrition[[#This Row],[Age]]&gt;=40,"40-49",IF(HR_Employee_Attrition[[#This Row],[Age]]&gt;=30,"30-39",IF(HR_Employee_Attrition[[#This Row],[Age]]&gt;=20,"20-29",IF(HR_Employee_Attrition[[#This Row],[Age]]&gt;=18,"18-20"))))))</f>
        <v>50-59</v>
      </c>
      <c r="AK916" t="str" cm="1">
        <f t="array" ref="AK916">_xlfn.IFS(HR_Employee_Attrition[[#This Row],[YearsAtCompany]]&lt;=2,"0-2",HR_Employee_Attrition[[#This Row],[YearsAtCompany]]&lt;=5,"3-5",HR_Employee_Attrition[[#This Row],[YearsAtCompany]]&lt;=10,"6-10",HR_Employee_Attrition[[#This Row],[YearsAtCompany]]&gt;10,"10+")</f>
        <v>10+</v>
      </c>
      <c r="AL916" t="str" cm="1">
        <f t="array" ref="AL9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16">
        <f>IF(HR_Employee_Attrition[[#This Row],[Attrition]]="Yes",1,0)</f>
        <v>0</v>
      </c>
    </row>
    <row r="917" spans="1:39" x14ac:dyDescent="0.3">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c r="AJ917" t="str">
        <f>IF(HR_Employee_Attrition[[#This Row],[Age]]&gt;60,"60+",IF(HR_Employee_Attrition[[#This Row],[Age]]&gt;=50,"50-59",IF(HR_Employee_Attrition[[#This Row],[Age]]&gt;=40,"40-49",IF(HR_Employee_Attrition[[#This Row],[Age]]&gt;=30,"30-39",IF(HR_Employee_Attrition[[#This Row],[Age]]&gt;=20,"20-29",IF(HR_Employee_Attrition[[#This Row],[Age]]&gt;=18,"18-20"))))))</f>
        <v>20-29</v>
      </c>
      <c r="AK917" t="str" cm="1">
        <f t="array" ref="AK917">_xlfn.IFS(HR_Employee_Attrition[[#This Row],[YearsAtCompany]]&lt;=2,"0-2",HR_Employee_Attrition[[#This Row],[YearsAtCompany]]&lt;=5,"3-5",HR_Employee_Attrition[[#This Row],[YearsAtCompany]]&lt;=10,"6-10",HR_Employee_Attrition[[#This Row],[YearsAtCompany]]&gt;10,"10+")</f>
        <v>0-2</v>
      </c>
      <c r="AL917" t="str" cm="1">
        <f t="array" ref="AL9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17">
        <f>IF(HR_Employee_Attrition[[#This Row],[Attrition]]="Yes",1,0)</f>
        <v>1</v>
      </c>
    </row>
    <row r="918" spans="1:39" x14ac:dyDescent="0.3">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c r="AJ918" t="str">
        <f>IF(HR_Employee_Attrition[[#This Row],[Age]]&gt;60,"60+",IF(HR_Employee_Attrition[[#This Row],[Age]]&gt;=50,"50-59",IF(HR_Employee_Attrition[[#This Row],[Age]]&gt;=40,"40-49",IF(HR_Employee_Attrition[[#This Row],[Age]]&gt;=30,"30-39",IF(HR_Employee_Attrition[[#This Row],[Age]]&gt;=20,"20-29",IF(HR_Employee_Attrition[[#This Row],[Age]]&gt;=18,"18-20"))))))</f>
        <v>40-49</v>
      </c>
      <c r="AK918" t="str" cm="1">
        <f t="array" ref="AK918">_xlfn.IFS(HR_Employee_Attrition[[#This Row],[YearsAtCompany]]&lt;=2,"0-2",HR_Employee_Attrition[[#This Row],[YearsAtCompany]]&lt;=5,"3-5",HR_Employee_Attrition[[#This Row],[YearsAtCompany]]&lt;=10,"6-10",HR_Employee_Attrition[[#This Row],[YearsAtCompany]]&gt;10,"10+")</f>
        <v>10+</v>
      </c>
      <c r="AL918" t="str" cm="1">
        <f t="array" ref="AL9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18">
        <f>IF(HR_Employee_Attrition[[#This Row],[Attrition]]="Yes",1,0)</f>
        <v>0</v>
      </c>
    </row>
    <row r="919" spans="1:39" x14ac:dyDescent="0.3">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c r="AJ919" t="str">
        <f>IF(HR_Employee_Attrition[[#This Row],[Age]]&gt;60,"60+",IF(HR_Employee_Attrition[[#This Row],[Age]]&gt;=50,"50-59",IF(HR_Employee_Attrition[[#This Row],[Age]]&gt;=40,"40-49",IF(HR_Employee_Attrition[[#This Row],[Age]]&gt;=30,"30-39",IF(HR_Employee_Attrition[[#This Row],[Age]]&gt;=20,"20-29",IF(HR_Employee_Attrition[[#This Row],[Age]]&gt;=18,"18-20"))))))</f>
        <v>30-39</v>
      </c>
      <c r="AK919" t="str" cm="1">
        <f t="array" ref="AK919">_xlfn.IFS(HR_Employee_Attrition[[#This Row],[YearsAtCompany]]&lt;=2,"0-2",HR_Employee_Attrition[[#This Row],[YearsAtCompany]]&lt;=5,"3-5",HR_Employee_Attrition[[#This Row],[YearsAtCompany]]&lt;=10,"6-10",HR_Employee_Attrition[[#This Row],[YearsAtCompany]]&gt;10,"10+")</f>
        <v>3-5</v>
      </c>
      <c r="AL919" t="str" cm="1">
        <f t="array" ref="AL9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19">
        <f>IF(HR_Employee_Attrition[[#This Row],[Attrition]]="Yes",1,0)</f>
        <v>0</v>
      </c>
    </row>
    <row r="920" spans="1:39" x14ac:dyDescent="0.3">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c r="AJ920" t="str">
        <f>IF(HR_Employee_Attrition[[#This Row],[Age]]&gt;60,"60+",IF(HR_Employee_Attrition[[#This Row],[Age]]&gt;=50,"50-59",IF(HR_Employee_Attrition[[#This Row],[Age]]&gt;=40,"40-49",IF(HR_Employee_Attrition[[#This Row],[Age]]&gt;=30,"30-39",IF(HR_Employee_Attrition[[#This Row],[Age]]&gt;=20,"20-29",IF(HR_Employee_Attrition[[#This Row],[Age]]&gt;=18,"18-20"))))))</f>
        <v>50-59</v>
      </c>
      <c r="AK920" t="str" cm="1">
        <f t="array" ref="AK920">_xlfn.IFS(HR_Employee_Attrition[[#This Row],[YearsAtCompany]]&lt;=2,"0-2",HR_Employee_Attrition[[#This Row],[YearsAtCompany]]&lt;=5,"3-5",HR_Employee_Attrition[[#This Row],[YearsAtCompany]]&lt;=10,"6-10",HR_Employee_Attrition[[#This Row],[YearsAtCompany]]&gt;10,"10+")</f>
        <v>10+</v>
      </c>
      <c r="AL920" t="str" cm="1">
        <f t="array" ref="AL9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20">
        <f>IF(HR_Employee_Attrition[[#This Row],[Attrition]]="Yes",1,0)</f>
        <v>0</v>
      </c>
    </row>
    <row r="921" spans="1:39" x14ac:dyDescent="0.3">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c r="AJ921" t="str">
        <f>IF(HR_Employee_Attrition[[#This Row],[Age]]&gt;60,"60+",IF(HR_Employee_Attrition[[#This Row],[Age]]&gt;=50,"50-59",IF(HR_Employee_Attrition[[#This Row],[Age]]&gt;=40,"40-49",IF(HR_Employee_Attrition[[#This Row],[Age]]&gt;=30,"30-39",IF(HR_Employee_Attrition[[#This Row],[Age]]&gt;=20,"20-29",IF(HR_Employee_Attrition[[#This Row],[Age]]&gt;=18,"18-20"))))))</f>
        <v>50-59</v>
      </c>
      <c r="AK921" t="str" cm="1">
        <f t="array" ref="AK921">_xlfn.IFS(HR_Employee_Attrition[[#This Row],[YearsAtCompany]]&lt;=2,"0-2",HR_Employee_Attrition[[#This Row],[YearsAtCompany]]&lt;=5,"3-5",HR_Employee_Attrition[[#This Row],[YearsAtCompany]]&lt;=10,"6-10",HR_Employee_Attrition[[#This Row],[YearsAtCompany]]&gt;10,"10+")</f>
        <v>6-10</v>
      </c>
      <c r="AL921" t="str" cm="1">
        <f t="array" ref="AL9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21">
        <f>IF(HR_Employee_Attrition[[#This Row],[Attrition]]="Yes",1,0)</f>
        <v>0</v>
      </c>
    </row>
    <row r="922" spans="1:39" x14ac:dyDescent="0.3">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c r="AJ922" t="str">
        <f>IF(HR_Employee_Attrition[[#This Row],[Age]]&gt;60,"60+",IF(HR_Employee_Attrition[[#This Row],[Age]]&gt;=50,"50-59",IF(HR_Employee_Attrition[[#This Row],[Age]]&gt;=40,"40-49",IF(HR_Employee_Attrition[[#This Row],[Age]]&gt;=30,"30-39",IF(HR_Employee_Attrition[[#This Row],[Age]]&gt;=20,"20-29",IF(HR_Employee_Attrition[[#This Row],[Age]]&gt;=18,"18-20"))))))</f>
        <v>30-39</v>
      </c>
      <c r="AK922" t="str" cm="1">
        <f t="array" ref="AK922">_xlfn.IFS(HR_Employee_Attrition[[#This Row],[YearsAtCompany]]&lt;=2,"0-2",HR_Employee_Attrition[[#This Row],[YearsAtCompany]]&lt;=5,"3-5",HR_Employee_Attrition[[#This Row],[YearsAtCompany]]&lt;=10,"6-10",HR_Employee_Attrition[[#This Row],[YearsAtCompany]]&gt;10,"10+")</f>
        <v>10+</v>
      </c>
      <c r="AL922" t="str" cm="1">
        <f t="array" ref="AL9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22">
        <f>IF(HR_Employee_Attrition[[#This Row],[Attrition]]="Yes",1,0)</f>
        <v>0</v>
      </c>
    </row>
    <row r="923" spans="1:39" x14ac:dyDescent="0.3">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c r="AJ923" t="str">
        <f>IF(HR_Employee_Attrition[[#This Row],[Age]]&gt;60,"60+",IF(HR_Employee_Attrition[[#This Row],[Age]]&gt;=50,"50-59",IF(HR_Employee_Attrition[[#This Row],[Age]]&gt;=40,"40-49",IF(HR_Employee_Attrition[[#This Row],[Age]]&gt;=30,"30-39",IF(HR_Employee_Attrition[[#This Row],[Age]]&gt;=20,"20-29",IF(HR_Employee_Attrition[[#This Row],[Age]]&gt;=18,"18-20"))))))</f>
        <v>20-29</v>
      </c>
      <c r="AK923" t="str" cm="1">
        <f t="array" ref="AK923">_xlfn.IFS(HR_Employee_Attrition[[#This Row],[YearsAtCompany]]&lt;=2,"0-2",HR_Employee_Attrition[[#This Row],[YearsAtCompany]]&lt;=5,"3-5",HR_Employee_Attrition[[#This Row],[YearsAtCompany]]&lt;=10,"6-10",HR_Employee_Attrition[[#This Row],[YearsAtCompany]]&gt;10,"10+")</f>
        <v>3-5</v>
      </c>
      <c r="AL923" t="str" cm="1">
        <f t="array" ref="AL9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23">
        <f>IF(HR_Employee_Attrition[[#This Row],[Attrition]]="Yes",1,0)</f>
        <v>0</v>
      </c>
    </row>
    <row r="924" spans="1:39" x14ac:dyDescent="0.3">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c r="AJ924" t="str">
        <f>IF(HR_Employee_Attrition[[#This Row],[Age]]&gt;60,"60+",IF(HR_Employee_Attrition[[#This Row],[Age]]&gt;=50,"50-59",IF(HR_Employee_Attrition[[#This Row],[Age]]&gt;=40,"40-49",IF(HR_Employee_Attrition[[#This Row],[Age]]&gt;=30,"30-39",IF(HR_Employee_Attrition[[#This Row],[Age]]&gt;=20,"20-29",IF(HR_Employee_Attrition[[#This Row],[Age]]&gt;=18,"18-20"))))))</f>
        <v>40-49</v>
      </c>
      <c r="AK924" t="str" cm="1">
        <f t="array" ref="AK924">_xlfn.IFS(HR_Employee_Attrition[[#This Row],[YearsAtCompany]]&lt;=2,"0-2",HR_Employee_Attrition[[#This Row],[YearsAtCompany]]&lt;=5,"3-5",HR_Employee_Attrition[[#This Row],[YearsAtCompany]]&lt;=10,"6-10",HR_Employee_Attrition[[#This Row],[YearsAtCompany]]&gt;10,"10+")</f>
        <v>10+</v>
      </c>
      <c r="AL924" t="str" cm="1">
        <f t="array" ref="AL9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24">
        <f>IF(HR_Employee_Attrition[[#This Row],[Attrition]]="Yes",1,0)</f>
        <v>0</v>
      </c>
    </row>
    <row r="925" spans="1:39" x14ac:dyDescent="0.3">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c r="AJ925" t="str">
        <f>IF(HR_Employee_Attrition[[#This Row],[Age]]&gt;60,"60+",IF(HR_Employee_Attrition[[#This Row],[Age]]&gt;=50,"50-59",IF(HR_Employee_Attrition[[#This Row],[Age]]&gt;=40,"40-49",IF(HR_Employee_Attrition[[#This Row],[Age]]&gt;=30,"30-39",IF(HR_Employee_Attrition[[#This Row],[Age]]&gt;=20,"20-29",IF(HR_Employee_Attrition[[#This Row],[Age]]&gt;=18,"18-20"))))))</f>
        <v>30-39</v>
      </c>
      <c r="AK925" t="str" cm="1">
        <f t="array" ref="AK925">_xlfn.IFS(HR_Employee_Attrition[[#This Row],[YearsAtCompany]]&lt;=2,"0-2",HR_Employee_Attrition[[#This Row],[YearsAtCompany]]&lt;=5,"3-5",HR_Employee_Attrition[[#This Row],[YearsAtCompany]]&lt;=10,"6-10",HR_Employee_Attrition[[#This Row],[YearsAtCompany]]&gt;10,"10+")</f>
        <v>6-10</v>
      </c>
      <c r="AL925" t="str" cm="1">
        <f t="array" ref="AL9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25">
        <f>IF(HR_Employee_Attrition[[#This Row],[Attrition]]="Yes",1,0)</f>
        <v>0</v>
      </c>
    </row>
    <row r="926" spans="1:39" x14ac:dyDescent="0.3">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c r="AJ926" t="str">
        <f>IF(HR_Employee_Attrition[[#This Row],[Age]]&gt;60,"60+",IF(HR_Employee_Attrition[[#This Row],[Age]]&gt;=50,"50-59",IF(HR_Employee_Attrition[[#This Row],[Age]]&gt;=40,"40-49",IF(HR_Employee_Attrition[[#This Row],[Age]]&gt;=30,"30-39",IF(HR_Employee_Attrition[[#This Row],[Age]]&gt;=20,"20-29",IF(HR_Employee_Attrition[[#This Row],[Age]]&gt;=18,"18-20"))))))</f>
        <v>30-39</v>
      </c>
      <c r="AK926" t="str" cm="1">
        <f t="array" ref="AK926">_xlfn.IFS(HR_Employee_Attrition[[#This Row],[YearsAtCompany]]&lt;=2,"0-2",HR_Employee_Attrition[[#This Row],[YearsAtCompany]]&lt;=5,"3-5",HR_Employee_Attrition[[#This Row],[YearsAtCompany]]&lt;=10,"6-10",HR_Employee_Attrition[[#This Row],[YearsAtCompany]]&gt;10,"10+")</f>
        <v>3-5</v>
      </c>
      <c r="AL926" t="str" cm="1">
        <f t="array" ref="AL9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26">
        <f>IF(HR_Employee_Attrition[[#This Row],[Attrition]]="Yes",1,0)</f>
        <v>0</v>
      </c>
    </row>
    <row r="927" spans="1:39" x14ac:dyDescent="0.3">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c r="AJ927" t="str">
        <f>IF(HR_Employee_Attrition[[#This Row],[Age]]&gt;60,"60+",IF(HR_Employee_Attrition[[#This Row],[Age]]&gt;=50,"50-59",IF(HR_Employee_Attrition[[#This Row],[Age]]&gt;=40,"40-49",IF(HR_Employee_Attrition[[#This Row],[Age]]&gt;=30,"30-39",IF(HR_Employee_Attrition[[#This Row],[Age]]&gt;=20,"20-29",IF(HR_Employee_Attrition[[#This Row],[Age]]&gt;=18,"18-20"))))))</f>
        <v>40-49</v>
      </c>
      <c r="AK927" t="str" cm="1">
        <f t="array" ref="AK927">_xlfn.IFS(HR_Employee_Attrition[[#This Row],[YearsAtCompany]]&lt;=2,"0-2",HR_Employee_Attrition[[#This Row],[YearsAtCompany]]&lt;=5,"3-5",HR_Employee_Attrition[[#This Row],[YearsAtCompany]]&lt;=10,"6-10",HR_Employee_Attrition[[#This Row],[YearsAtCompany]]&gt;10,"10+")</f>
        <v>0-2</v>
      </c>
      <c r="AL927" t="str" cm="1">
        <f t="array" ref="AL9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27">
        <f>IF(HR_Employee_Attrition[[#This Row],[Attrition]]="Yes",1,0)</f>
        <v>0</v>
      </c>
    </row>
    <row r="928" spans="1:39" x14ac:dyDescent="0.3">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c r="AJ928" t="str">
        <f>IF(HR_Employee_Attrition[[#This Row],[Age]]&gt;60,"60+",IF(HR_Employee_Attrition[[#This Row],[Age]]&gt;=50,"50-59",IF(HR_Employee_Attrition[[#This Row],[Age]]&gt;=40,"40-49",IF(HR_Employee_Attrition[[#This Row],[Age]]&gt;=30,"30-39",IF(HR_Employee_Attrition[[#This Row],[Age]]&gt;=20,"20-29",IF(HR_Employee_Attrition[[#This Row],[Age]]&gt;=18,"18-20"))))))</f>
        <v>40-49</v>
      </c>
      <c r="AK928" t="str" cm="1">
        <f t="array" ref="AK928">_xlfn.IFS(HR_Employee_Attrition[[#This Row],[YearsAtCompany]]&lt;=2,"0-2",HR_Employee_Attrition[[#This Row],[YearsAtCompany]]&lt;=5,"3-5",HR_Employee_Attrition[[#This Row],[YearsAtCompany]]&lt;=10,"6-10",HR_Employee_Attrition[[#This Row],[YearsAtCompany]]&gt;10,"10+")</f>
        <v>10+</v>
      </c>
      <c r="AL928" t="str" cm="1">
        <f t="array" ref="AL9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28">
        <f>IF(HR_Employee_Attrition[[#This Row],[Attrition]]="Yes",1,0)</f>
        <v>0</v>
      </c>
    </row>
    <row r="929" spans="1:39" x14ac:dyDescent="0.3">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c r="AJ929" t="str">
        <f>IF(HR_Employee_Attrition[[#This Row],[Age]]&gt;60,"60+",IF(HR_Employee_Attrition[[#This Row],[Age]]&gt;=50,"50-59",IF(HR_Employee_Attrition[[#This Row],[Age]]&gt;=40,"40-49",IF(HR_Employee_Attrition[[#This Row],[Age]]&gt;=30,"30-39",IF(HR_Employee_Attrition[[#This Row],[Age]]&gt;=20,"20-29",IF(HR_Employee_Attrition[[#This Row],[Age]]&gt;=18,"18-20"))))))</f>
        <v>30-39</v>
      </c>
      <c r="AK929" t="str" cm="1">
        <f t="array" ref="AK929">_xlfn.IFS(HR_Employee_Attrition[[#This Row],[YearsAtCompany]]&lt;=2,"0-2",HR_Employee_Attrition[[#This Row],[YearsAtCompany]]&lt;=5,"3-5",HR_Employee_Attrition[[#This Row],[YearsAtCompany]]&lt;=10,"6-10",HR_Employee_Attrition[[#This Row],[YearsAtCompany]]&gt;10,"10+")</f>
        <v>10+</v>
      </c>
      <c r="AL929" t="str" cm="1">
        <f t="array" ref="AL9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29">
        <f>IF(HR_Employee_Attrition[[#This Row],[Attrition]]="Yes",1,0)</f>
        <v>0</v>
      </c>
    </row>
    <row r="930" spans="1:39" x14ac:dyDescent="0.3">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c r="AJ930" t="str">
        <f>IF(HR_Employee_Attrition[[#This Row],[Age]]&gt;60,"60+",IF(HR_Employee_Attrition[[#This Row],[Age]]&gt;=50,"50-59",IF(HR_Employee_Attrition[[#This Row],[Age]]&gt;=40,"40-49",IF(HR_Employee_Attrition[[#This Row],[Age]]&gt;=30,"30-39",IF(HR_Employee_Attrition[[#This Row],[Age]]&gt;=20,"20-29",IF(HR_Employee_Attrition[[#This Row],[Age]]&gt;=18,"18-20"))))))</f>
        <v>40-49</v>
      </c>
      <c r="AK930" t="str" cm="1">
        <f t="array" ref="AK930">_xlfn.IFS(HR_Employee_Attrition[[#This Row],[YearsAtCompany]]&lt;=2,"0-2",HR_Employee_Attrition[[#This Row],[YearsAtCompany]]&lt;=5,"3-5",HR_Employee_Attrition[[#This Row],[YearsAtCompany]]&lt;=10,"6-10",HR_Employee_Attrition[[#This Row],[YearsAtCompany]]&gt;10,"10+")</f>
        <v>6-10</v>
      </c>
      <c r="AL930" t="str" cm="1">
        <f t="array" ref="AL9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30">
        <f>IF(HR_Employee_Attrition[[#This Row],[Attrition]]="Yes",1,0)</f>
        <v>1</v>
      </c>
    </row>
    <row r="931" spans="1:39" x14ac:dyDescent="0.3">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c r="AJ931" t="str">
        <f>IF(HR_Employee_Attrition[[#This Row],[Age]]&gt;60,"60+",IF(HR_Employee_Attrition[[#This Row],[Age]]&gt;=50,"50-59",IF(HR_Employee_Attrition[[#This Row],[Age]]&gt;=40,"40-49",IF(HR_Employee_Attrition[[#This Row],[Age]]&gt;=30,"30-39",IF(HR_Employee_Attrition[[#This Row],[Age]]&gt;=20,"20-29",IF(HR_Employee_Attrition[[#This Row],[Age]]&gt;=18,"18-20"))))))</f>
        <v>20-29</v>
      </c>
      <c r="AK931" t="str" cm="1">
        <f t="array" ref="AK931">_xlfn.IFS(HR_Employee_Attrition[[#This Row],[YearsAtCompany]]&lt;=2,"0-2",HR_Employee_Attrition[[#This Row],[YearsAtCompany]]&lt;=5,"3-5",HR_Employee_Attrition[[#This Row],[YearsAtCompany]]&lt;=10,"6-10",HR_Employee_Attrition[[#This Row],[YearsAtCompany]]&gt;10,"10+")</f>
        <v>0-2</v>
      </c>
      <c r="AL931" t="str" cm="1">
        <f t="array" ref="AL9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31">
        <f>IF(HR_Employee_Attrition[[#This Row],[Attrition]]="Yes",1,0)</f>
        <v>0</v>
      </c>
    </row>
    <row r="932" spans="1:39" x14ac:dyDescent="0.3">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c r="AJ932" t="str">
        <f>IF(HR_Employee_Attrition[[#This Row],[Age]]&gt;60,"60+",IF(HR_Employee_Attrition[[#This Row],[Age]]&gt;=50,"50-59",IF(HR_Employee_Attrition[[#This Row],[Age]]&gt;=40,"40-49",IF(HR_Employee_Attrition[[#This Row],[Age]]&gt;=30,"30-39",IF(HR_Employee_Attrition[[#This Row],[Age]]&gt;=20,"20-29",IF(HR_Employee_Attrition[[#This Row],[Age]]&gt;=18,"18-20"))))))</f>
        <v>50-59</v>
      </c>
      <c r="AK932" t="str" cm="1">
        <f t="array" ref="AK932">_xlfn.IFS(HR_Employee_Attrition[[#This Row],[YearsAtCompany]]&lt;=2,"0-2",HR_Employee_Attrition[[#This Row],[YearsAtCompany]]&lt;=5,"3-5",HR_Employee_Attrition[[#This Row],[YearsAtCompany]]&lt;=10,"6-10",HR_Employee_Attrition[[#This Row],[YearsAtCompany]]&gt;10,"10+")</f>
        <v>6-10</v>
      </c>
      <c r="AL932" t="str" cm="1">
        <f t="array" ref="AL9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32">
        <f>IF(HR_Employee_Attrition[[#This Row],[Attrition]]="Yes",1,0)</f>
        <v>0</v>
      </c>
    </row>
    <row r="933" spans="1:39" x14ac:dyDescent="0.3">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c r="AJ933" t="str">
        <f>IF(HR_Employee_Attrition[[#This Row],[Age]]&gt;60,"60+",IF(HR_Employee_Attrition[[#This Row],[Age]]&gt;=50,"50-59",IF(HR_Employee_Attrition[[#This Row],[Age]]&gt;=40,"40-49",IF(HR_Employee_Attrition[[#This Row],[Age]]&gt;=30,"30-39",IF(HR_Employee_Attrition[[#This Row],[Age]]&gt;=20,"20-29",IF(HR_Employee_Attrition[[#This Row],[Age]]&gt;=18,"18-20"))))))</f>
        <v>30-39</v>
      </c>
      <c r="AK933" t="str" cm="1">
        <f t="array" ref="AK933">_xlfn.IFS(HR_Employee_Attrition[[#This Row],[YearsAtCompany]]&lt;=2,"0-2",HR_Employee_Attrition[[#This Row],[YearsAtCompany]]&lt;=5,"3-5",HR_Employee_Attrition[[#This Row],[YearsAtCompany]]&lt;=10,"6-10",HR_Employee_Attrition[[#This Row],[YearsAtCompany]]&gt;10,"10+")</f>
        <v>6-10</v>
      </c>
      <c r="AL933" t="str" cm="1">
        <f t="array" ref="AL9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33">
        <f>IF(HR_Employee_Attrition[[#This Row],[Attrition]]="Yes",1,0)</f>
        <v>0</v>
      </c>
    </row>
    <row r="934" spans="1:39" x14ac:dyDescent="0.3">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c r="AJ934" t="str">
        <f>IF(HR_Employee_Attrition[[#This Row],[Age]]&gt;60,"60+",IF(HR_Employee_Attrition[[#This Row],[Age]]&gt;=50,"50-59",IF(HR_Employee_Attrition[[#This Row],[Age]]&gt;=40,"40-49",IF(HR_Employee_Attrition[[#This Row],[Age]]&gt;=30,"30-39",IF(HR_Employee_Attrition[[#This Row],[Age]]&gt;=20,"20-29",IF(HR_Employee_Attrition[[#This Row],[Age]]&gt;=18,"18-20"))))))</f>
        <v>20-29</v>
      </c>
      <c r="AK934" t="str" cm="1">
        <f t="array" ref="AK934">_xlfn.IFS(HR_Employee_Attrition[[#This Row],[YearsAtCompany]]&lt;=2,"0-2",HR_Employee_Attrition[[#This Row],[YearsAtCompany]]&lt;=5,"3-5",HR_Employee_Attrition[[#This Row],[YearsAtCompany]]&lt;=10,"6-10",HR_Employee_Attrition[[#This Row],[YearsAtCompany]]&gt;10,"10+")</f>
        <v>6-10</v>
      </c>
      <c r="AL934" t="str" cm="1">
        <f t="array" ref="AL9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34">
        <f>IF(HR_Employee_Attrition[[#This Row],[Attrition]]="Yes",1,0)</f>
        <v>1</v>
      </c>
    </row>
    <row r="935" spans="1:39" x14ac:dyDescent="0.3">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c r="AJ935" t="str">
        <f>IF(HR_Employee_Attrition[[#This Row],[Age]]&gt;60,"60+",IF(HR_Employee_Attrition[[#This Row],[Age]]&gt;=50,"50-59",IF(HR_Employee_Attrition[[#This Row],[Age]]&gt;=40,"40-49",IF(HR_Employee_Attrition[[#This Row],[Age]]&gt;=30,"30-39",IF(HR_Employee_Attrition[[#This Row],[Age]]&gt;=20,"20-29",IF(HR_Employee_Attrition[[#This Row],[Age]]&gt;=18,"18-20"))))))</f>
        <v>20-29</v>
      </c>
      <c r="AK935" t="str" cm="1">
        <f t="array" ref="AK935">_xlfn.IFS(HR_Employee_Attrition[[#This Row],[YearsAtCompany]]&lt;=2,"0-2",HR_Employee_Attrition[[#This Row],[YearsAtCompany]]&lt;=5,"3-5",HR_Employee_Attrition[[#This Row],[YearsAtCompany]]&lt;=10,"6-10",HR_Employee_Attrition[[#This Row],[YearsAtCompany]]&gt;10,"10+")</f>
        <v>3-5</v>
      </c>
      <c r="AL935" t="str" cm="1">
        <f t="array" ref="AL9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35">
        <f>IF(HR_Employee_Attrition[[#This Row],[Attrition]]="Yes",1,0)</f>
        <v>0</v>
      </c>
    </row>
    <row r="936" spans="1:39" x14ac:dyDescent="0.3">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c r="AJ936" t="str">
        <f>IF(HR_Employee_Attrition[[#This Row],[Age]]&gt;60,"60+",IF(HR_Employee_Attrition[[#This Row],[Age]]&gt;=50,"50-59",IF(HR_Employee_Attrition[[#This Row],[Age]]&gt;=40,"40-49",IF(HR_Employee_Attrition[[#This Row],[Age]]&gt;=30,"30-39",IF(HR_Employee_Attrition[[#This Row],[Age]]&gt;=20,"20-29",IF(HR_Employee_Attrition[[#This Row],[Age]]&gt;=18,"18-20"))))))</f>
        <v>20-29</v>
      </c>
      <c r="AK936" t="str" cm="1">
        <f t="array" ref="AK936">_xlfn.IFS(HR_Employee_Attrition[[#This Row],[YearsAtCompany]]&lt;=2,"0-2",HR_Employee_Attrition[[#This Row],[YearsAtCompany]]&lt;=5,"3-5",HR_Employee_Attrition[[#This Row],[YearsAtCompany]]&lt;=10,"6-10",HR_Employee_Attrition[[#This Row],[YearsAtCompany]]&gt;10,"10+")</f>
        <v>0-2</v>
      </c>
      <c r="AL936" t="str" cm="1">
        <f t="array" ref="AL9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36">
        <f>IF(HR_Employee_Attrition[[#This Row],[Attrition]]="Yes",1,0)</f>
        <v>0</v>
      </c>
    </row>
    <row r="937" spans="1:39" x14ac:dyDescent="0.3">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c r="AJ937" t="str">
        <f>IF(HR_Employee_Attrition[[#This Row],[Age]]&gt;60,"60+",IF(HR_Employee_Attrition[[#This Row],[Age]]&gt;=50,"50-59",IF(HR_Employee_Attrition[[#This Row],[Age]]&gt;=40,"40-49",IF(HR_Employee_Attrition[[#This Row],[Age]]&gt;=30,"30-39",IF(HR_Employee_Attrition[[#This Row],[Age]]&gt;=20,"20-29",IF(HR_Employee_Attrition[[#This Row],[Age]]&gt;=18,"18-20"))))))</f>
        <v>30-39</v>
      </c>
      <c r="AK937" t="str" cm="1">
        <f t="array" ref="AK937">_xlfn.IFS(HR_Employee_Attrition[[#This Row],[YearsAtCompany]]&lt;=2,"0-2",HR_Employee_Attrition[[#This Row],[YearsAtCompany]]&lt;=5,"3-5",HR_Employee_Attrition[[#This Row],[YearsAtCompany]]&lt;=10,"6-10",HR_Employee_Attrition[[#This Row],[YearsAtCompany]]&gt;10,"10+")</f>
        <v>6-10</v>
      </c>
      <c r="AL937" t="str" cm="1">
        <f t="array" ref="AL9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37">
        <f>IF(HR_Employee_Attrition[[#This Row],[Attrition]]="Yes",1,0)</f>
        <v>0</v>
      </c>
    </row>
    <row r="938" spans="1:39" x14ac:dyDescent="0.3">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c r="AJ938" t="str">
        <f>IF(HR_Employee_Attrition[[#This Row],[Age]]&gt;60,"60+",IF(HR_Employee_Attrition[[#This Row],[Age]]&gt;=50,"50-59",IF(HR_Employee_Attrition[[#This Row],[Age]]&gt;=40,"40-49",IF(HR_Employee_Attrition[[#This Row],[Age]]&gt;=30,"30-39",IF(HR_Employee_Attrition[[#This Row],[Age]]&gt;=20,"20-29",IF(HR_Employee_Attrition[[#This Row],[Age]]&gt;=18,"18-20"))))))</f>
        <v>40-49</v>
      </c>
      <c r="AK938" t="str" cm="1">
        <f t="array" ref="AK938">_xlfn.IFS(HR_Employee_Attrition[[#This Row],[YearsAtCompany]]&lt;=2,"0-2",HR_Employee_Attrition[[#This Row],[YearsAtCompany]]&lt;=5,"3-5",HR_Employee_Attrition[[#This Row],[YearsAtCompany]]&lt;=10,"6-10",HR_Employee_Attrition[[#This Row],[YearsAtCompany]]&gt;10,"10+")</f>
        <v>0-2</v>
      </c>
      <c r="AL938" t="str" cm="1">
        <f t="array" ref="AL9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38">
        <f>IF(HR_Employee_Attrition[[#This Row],[Attrition]]="Yes",1,0)</f>
        <v>0</v>
      </c>
    </row>
    <row r="939" spans="1:39" x14ac:dyDescent="0.3">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c r="AJ939" t="str">
        <f>IF(HR_Employee_Attrition[[#This Row],[Age]]&gt;60,"60+",IF(HR_Employee_Attrition[[#This Row],[Age]]&gt;=50,"50-59",IF(HR_Employee_Attrition[[#This Row],[Age]]&gt;=40,"40-49",IF(HR_Employee_Attrition[[#This Row],[Age]]&gt;=30,"30-39",IF(HR_Employee_Attrition[[#This Row],[Age]]&gt;=20,"20-29",IF(HR_Employee_Attrition[[#This Row],[Age]]&gt;=18,"18-20"))))))</f>
        <v>30-39</v>
      </c>
      <c r="AK939" t="str" cm="1">
        <f t="array" ref="AK939">_xlfn.IFS(HR_Employee_Attrition[[#This Row],[YearsAtCompany]]&lt;=2,"0-2",HR_Employee_Attrition[[#This Row],[YearsAtCompany]]&lt;=5,"3-5",HR_Employee_Attrition[[#This Row],[YearsAtCompany]]&lt;=10,"6-10",HR_Employee_Attrition[[#This Row],[YearsAtCompany]]&gt;10,"10+")</f>
        <v>10+</v>
      </c>
      <c r="AL939" t="str" cm="1">
        <f t="array" ref="AL9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39">
        <f>IF(HR_Employee_Attrition[[#This Row],[Attrition]]="Yes",1,0)</f>
        <v>0</v>
      </c>
    </row>
    <row r="940" spans="1:39" x14ac:dyDescent="0.3">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c r="AJ940" t="str">
        <f>IF(HR_Employee_Attrition[[#This Row],[Age]]&gt;60,"60+",IF(HR_Employee_Attrition[[#This Row],[Age]]&gt;=50,"50-59",IF(HR_Employee_Attrition[[#This Row],[Age]]&gt;=40,"40-49",IF(HR_Employee_Attrition[[#This Row],[Age]]&gt;=30,"30-39",IF(HR_Employee_Attrition[[#This Row],[Age]]&gt;=20,"20-29",IF(HR_Employee_Attrition[[#This Row],[Age]]&gt;=18,"18-20"))))))</f>
        <v>50-59</v>
      </c>
      <c r="AK940" t="str" cm="1">
        <f t="array" ref="AK940">_xlfn.IFS(HR_Employee_Attrition[[#This Row],[YearsAtCompany]]&lt;=2,"0-2",HR_Employee_Attrition[[#This Row],[YearsAtCompany]]&lt;=5,"3-5",HR_Employee_Attrition[[#This Row],[YearsAtCompany]]&lt;=10,"6-10",HR_Employee_Attrition[[#This Row],[YearsAtCompany]]&gt;10,"10+")</f>
        <v>0-2</v>
      </c>
      <c r="AL940" t="str" cm="1">
        <f t="array" ref="AL9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40">
        <f>IF(HR_Employee_Attrition[[#This Row],[Attrition]]="Yes",1,0)</f>
        <v>0</v>
      </c>
    </row>
    <row r="941" spans="1:39" x14ac:dyDescent="0.3">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c r="AJ941" t="str">
        <f>IF(HR_Employee_Attrition[[#This Row],[Age]]&gt;60,"60+",IF(HR_Employee_Attrition[[#This Row],[Age]]&gt;=50,"50-59",IF(HR_Employee_Attrition[[#This Row],[Age]]&gt;=40,"40-49",IF(HR_Employee_Attrition[[#This Row],[Age]]&gt;=30,"30-39",IF(HR_Employee_Attrition[[#This Row],[Age]]&gt;=20,"20-29",IF(HR_Employee_Attrition[[#This Row],[Age]]&gt;=18,"18-20"))))))</f>
        <v>30-39</v>
      </c>
      <c r="AK941" t="str" cm="1">
        <f t="array" ref="AK941">_xlfn.IFS(HR_Employee_Attrition[[#This Row],[YearsAtCompany]]&lt;=2,"0-2",HR_Employee_Attrition[[#This Row],[YearsAtCompany]]&lt;=5,"3-5",HR_Employee_Attrition[[#This Row],[YearsAtCompany]]&lt;=10,"6-10",HR_Employee_Attrition[[#This Row],[YearsAtCompany]]&gt;10,"10+")</f>
        <v>6-10</v>
      </c>
      <c r="AL941" t="str" cm="1">
        <f t="array" ref="AL9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41">
        <f>IF(HR_Employee_Attrition[[#This Row],[Attrition]]="Yes",1,0)</f>
        <v>1</v>
      </c>
    </row>
    <row r="942" spans="1:39" x14ac:dyDescent="0.3">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c r="AJ942" t="str">
        <f>IF(HR_Employee_Attrition[[#This Row],[Age]]&gt;60,"60+",IF(HR_Employee_Attrition[[#This Row],[Age]]&gt;=50,"50-59",IF(HR_Employee_Attrition[[#This Row],[Age]]&gt;=40,"40-49",IF(HR_Employee_Attrition[[#This Row],[Age]]&gt;=30,"30-39",IF(HR_Employee_Attrition[[#This Row],[Age]]&gt;=20,"20-29",IF(HR_Employee_Attrition[[#This Row],[Age]]&gt;=18,"18-20"))))))</f>
        <v>30-39</v>
      </c>
      <c r="AK942" t="str" cm="1">
        <f t="array" ref="AK942">_xlfn.IFS(HR_Employee_Attrition[[#This Row],[YearsAtCompany]]&lt;=2,"0-2",HR_Employee_Attrition[[#This Row],[YearsAtCompany]]&lt;=5,"3-5",HR_Employee_Attrition[[#This Row],[YearsAtCompany]]&lt;=10,"6-10",HR_Employee_Attrition[[#This Row],[YearsAtCompany]]&gt;10,"10+")</f>
        <v>3-5</v>
      </c>
      <c r="AL942" t="str" cm="1">
        <f t="array" ref="AL9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42">
        <f>IF(HR_Employee_Attrition[[#This Row],[Attrition]]="Yes",1,0)</f>
        <v>1</v>
      </c>
    </row>
    <row r="943" spans="1:39" x14ac:dyDescent="0.3">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c r="AJ943" t="str">
        <f>IF(HR_Employee_Attrition[[#This Row],[Age]]&gt;60,"60+",IF(HR_Employee_Attrition[[#This Row],[Age]]&gt;=50,"50-59",IF(HR_Employee_Attrition[[#This Row],[Age]]&gt;=40,"40-49",IF(HR_Employee_Attrition[[#This Row],[Age]]&gt;=30,"30-39",IF(HR_Employee_Attrition[[#This Row],[Age]]&gt;=20,"20-29",IF(HR_Employee_Attrition[[#This Row],[Age]]&gt;=18,"18-20"))))))</f>
        <v>30-39</v>
      </c>
      <c r="AK943" t="str" cm="1">
        <f t="array" ref="AK943">_xlfn.IFS(HR_Employee_Attrition[[#This Row],[YearsAtCompany]]&lt;=2,"0-2",HR_Employee_Attrition[[#This Row],[YearsAtCompany]]&lt;=5,"3-5",HR_Employee_Attrition[[#This Row],[YearsAtCompany]]&lt;=10,"6-10",HR_Employee_Attrition[[#This Row],[YearsAtCompany]]&gt;10,"10+")</f>
        <v>6-10</v>
      </c>
      <c r="AL943" t="str" cm="1">
        <f t="array" ref="AL9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43">
        <f>IF(HR_Employee_Attrition[[#This Row],[Attrition]]="Yes",1,0)</f>
        <v>0</v>
      </c>
    </row>
    <row r="944" spans="1:39" x14ac:dyDescent="0.3">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c r="AJ944" t="str">
        <f>IF(HR_Employee_Attrition[[#This Row],[Age]]&gt;60,"60+",IF(HR_Employee_Attrition[[#This Row],[Age]]&gt;=50,"50-59",IF(HR_Employee_Attrition[[#This Row],[Age]]&gt;=40,"40-49",IF(HR_Employee_Attrition[[#This Row],[Age]]&gt;=30,"30-39",IF(HR_Employee_Attrition[[#This Row],[Age]]&gt;=20,"20-29",IF(HR_Employee_Attrition[[#This Row],[Age]]&gt;=18,"18-20"))))))</f>
        <v>30-39</v>
      </c>
      <c r="AK944" t="str" cm="1">
        <f t="array" ref="AK944">_xlfn.IFS(HR_Employee_Attrition[[#This Row],[YearsAtCompany]]&lt;=2,"0-2",HR_Employee_Attrition[[#This Row],[YearsAtCompany]]&lt;=5,"3-5",HR_Employee_Attrition[[#This Row],[YearsAtCompany]]&lt;=10,"6-10",HR_Employee_Attrition[[#This Row],[YearsAtCompany]]&gt;10,"10+")</f>
        <v>6-10</v>
      </c>
      <c r="AL944" t="str" cm="1">
        <f t="array" ref="AL9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44">
        <f>IF(HR_Employee_Attrition[[#This Row],[Attrition]]="Yes",1,0)</f>
        <v>0</v>
      </c>
    </row>
    <row r="945" spans="1:39" x14ac:dyDescent="0.3">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c r="AJ945" t="str">
        <f>IF(HR_Employee_Attrition[[#This Row],[Age]]&gt;60,"60+",IF(HR_Employee_Attrition[[#This Row],[Age]]&gt;=50,"50-59",IF(HR_Employee_Attrition[[#This Row],[Age]]&gt;=40,"40-49",IF(HR_Employee_Attrition[[#This Row],[Age]]&gt;=30,"30-39",IF(HR_Employee_Attrition[[#This Row],[Age]]&gt;=20,"20-29",IF(HR_Employee_Attrition[[#This Row],[Age]]&gt;=18,"18-20"))))))</f>
        <v>40-49</v>
      </c>
      <c r="AK945" t="str" cm="1">
        <f t="array" ref="AK945">_xlfn.IFS(HR_Employee_Attrition[[#This Row],[YearsAtCompany]]&lt;=2,"0-2",HR_Employee_Attrition[[#This Row],[YearsAtCompany]]&lt;=5,"3-5",HR_Employee_Attrition[[#This Row],[YearsAtCompany]]&lt;=10,"6-10",HR_Employee_Attrition[[#This Row],[YearsAtCompany]]&gt;10,"10+")</f>
        <v>6-10</v>
      </c>
      <c r="AL945" t="str" cm="1">
        <f t="array" ref="AL9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45">
        <f>IF(HR_Employee_Attrition[[#This Row],[Attrition]]="Yes",1,0)</f>
        <v>0</v>
      </c>
    </row>
    <row r="946" spans="1:39" x14ac:dyDescent="0.3">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c r="AJ946" t="str">
        <f>IF(HR_Employee_Attrition[[#This Row],[Age]]&gt;60,"60+",IF(HR_Employee_Attrition[[#This Row],[Age]]&gt;=50,"50-59",IF(HR_Employee_Attrition[[#This Row],[Age]]&gt;=40,"40-49",IF(HR_Employee_Attrition[[#This Row],[Age]]&gt;=30,"30-39",IF(HR_Employee_Attrition[[#This Row],[Age]]&gt;=20,"20-29",IF(HR_Employee_Attrition[[#This Row],[Age]]&gt;=18,"18-20"))))))</f>
        <v>20-29</v>
      </c>
      <c r="AK946" t="str" cm="1">
        <f t="array" ref="AK946">_xlfn.IFS(HR_Employee_Attrition[[#This Row],[YearsAtCompany]]&lt;=2,"0-2",HR_Employee_Attrition[[#This Row],[YearsAtCompany]]&lt;=5,"3-5",HR_Employee_Attrition[[#This Row],[YearsAtCompany]]&lt;=10,"6-10",HR_Employee_Attrition[[#This Row],[YearsAtCompany]]&gt;10,"10+")</f>
        <v>6-10</v>
      </c>
      <c r="AL946" t="str" cm="1">
        <f t="array" ref="AL9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46">
        <f>IF(HR_Employee_Attrition[[#This Row],[Attrition]]="Yes",1,0)</f>
        <v>0</v>
      </c>
    </row>
    <row r="947" spans="1:39" x14ac:dyDescent="0.3">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c r="AJ947" t="str">
        <f>IF(HR_Employee_Attrition[[#This Row],[Age]]&gt;60,"60+",IF(HR_Employee_Attrition[[#This Row],[Age]]&gt;=50,"50-59",IF(HR_Employee_Attrition[[#This Row],[Age]]&gt;=40,"40-49",IF(HR_Employee_Attrition[[#This Row],[Age]]&gt;=30,"30-39",IF(HR_Employee_Attrition[[#This Row],[Age]]&gt;=20,"20-29",IF(HR_Employee_Attrition[[#This Row],[Age]]&gt;=18,"18-20"))))))</f>
        <v>50-59</v>
      </c>
      <c r="AK947" t="str" cm="1">
        <f t="array" ref="AK947">_xlfn.IFS(HR_Employee_Attrition[[#This Row],[YearsAtCompany]]&lt;=2,"0-2",HR_Employee_Attrition[[#This Row],[YearsAtCompany]]&lt;=5,"3-5",HR_Employee_Attrition[[#This Row],[YearsAtCompany]]&lt;=10,"6-10",HR_Employee_Attrition[[#This Row],[YearsAtCompany]]&gt;10,"10+")</f>
        <v>3-5</v>
      </c>
      <c r="AL947" t="str" cm="1">
        <f t="array" ref="AL9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47">
        <f>IF(HR_Employee_Attrition[[#This Row],[Attrition]]="Yes",1,0)</f>
        <v>0</v>
      </c>
    </row>
    <row r="948" spans="1:39" x14ac:dyDescent="0.3">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c r="AJ948" t="str">
        <f>IF(HR_Employee_Attrition[[#This Row],[Age]]&gt;60,"60+",IF(HR_Employee_Attrition[[#This Row],[Age]]&gt;=50,"50-59",IF(HR_Employee_Attrition[[#This Row],[Age]]&gt;=40,"40-49",IF(HR_Employee_Attrition[[#This Row],[Age]]&gt;=30,"30-39",IF(HR_Employee_Attrition[[#This Row],[Age]]&gt;=20,"20-29",IF(HR_Employee_Attrition[[#This Row],[Age]]&gt;=18,"18-20"))))))</f>
        <v>40-49</v>
      </c>
      <c r="AK948" t="str" cm="1">
        <f t="array" ref="AK948">_xlfn.IFS(HR_Employee_Attrition[[#This Row],[YearsAtCompany]]&lt;=2,"0-2",HR_Employee_Attrition[[#This Row],[YearsAtCompany]]&lt;=5,"3-5",HR_Employee_Attrition[[#This Row],[YearsAtCompany]]&lt;=10,"6-10",HR_Employee_Attrition[[#This Row],[YearsAtCompany]]&gt;10,"10+")</f>
        <v>3-5</v>
      </c>
      <c r="AL948" t="str" cm="1">
        <f t="array" ref="AL9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48">
        <f>IF(HR_Employee_Attrition[[#This Row],[Attrition]]="Yes",1,0)</f>
        <v>1</v>
      </c>
    </row>
    <row r="949" spans="1:39" x14ac:dyDescent="0.3">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c r="AJ949" t="str">
        <f>IF(HR_Employee_Attrition[[#This Row],[Age]]&gt;60,"60+",IF(HR_Employee_Attrition[[#This Row],[Age]]&gt;=50,"50-59",IF(HR_Employee_Attrition[[#This Row],[Age]]&gt;=40,"40-49",IF(HR_Employee_Attrition[[#This Row],[Age]]&gt;=30,"30-39",IF(HR_Employee_Attrition[[#This Row],[Age]]&gt;=20,"20-29",IF(HR_Employee_Attrition[[#This Row],[Age]]&gt;=18,"18-20"))))))</f>
        <v>50-59</v>
      </c>
      <c r="AK949" t="str" cm="1">
        <f t="array" ref="AK949">_xlfn.IFS(HR_Employee_Attrition[[#This Row],[YearsAtCompany]]&lt;=2,"0-2",HR_Employee_Attrition[[#This Row],[YearsAtCompany]]&lt;=5,"3-5",HR_Employee_Attrition[[#This Row],[YearsAtCompany]]&lt;=10,"6-10",HR_Employee_Attrition[[#This Row],[YearsAtCompany]]&gt;10,"10+")</f>
        <v>6-10</v>
      </c>
      <c r="AL949" t="str" cm="1">
        <f t="array" ref="AL9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49">
        <f>IF(HR_Employee_Attrition[[#This Row],[Attrition]]="Yes",1,0)</f>
        <v>1</v>
      </c>
    </row>
    <row r="950" spans="1:39" x14ac:dyDescent="0.3">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c r="AJ950" t="str">
        <f>IF(HR_Employee_Attrition[[#This Row],[Age]]&gt;60,"60+",IF(HR_Employee_Attrition[[#This Row],[Age]]&gt;=50,"50-59",IF(HR_Employee_Attrition[[#This Row],[Age]]&gt;=40,"40-49",IF(HR_Employee_Attrition[[#This Row],[Age]]&gt;=30,"30-39",IF(HR_Employee_Attrition[[#This Row],[Age]]&gt;=20,"20-29",IF(HR_Employee_Attrition[[#This Row],[Age]]&gt;=18,"18-20"))))))</f>
        <v>30-39</v>
      </c>
      <c r="AK950" t="str" cm="1">
        <f t="array" ref="AK950">_xlfn.IFS(HR_Employee_Attrition[[#This Row],[YearsAtCompany]]&lt;=2,"0-2",HR_Employee_Attrition[[#This Row],[YearsAtCompany]]&lt;=5,"3-5",HR_Employee_Attrition[[#This Row],[YearsAtCompany]]&lt;=10,"6-10",HR_Employee_Attrition[[#This Row],[YearsAtCompany]]&gt;10,"10+")</f>
        <v>6-10</v>
      </c>
      <c r="AL950" t="str" cm="1">
        <f t="array" ref="AL9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50">
        <f>IF(HR_Employee_Attrition[[#This Row],[Attrition]]="Yes",1,0)</f>
        <v>0</v>
      </c>
    </row>
    <row r="951" spans="1:39" x14ac:dyDescent="0.3">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c r="AJ951" t="str">
        <f>IF(HR_Employee_Attrition[[#This Row],[Age]]&gt;60,"60+",IF(HR_Employee_Attrition[[#This Row],[Age]]&gt;=50,"50-59",IF(HR_Employee_Attrition[[#This Row],[Age]]&gt;=40,"40-49",IF(HR_Employee_Attrition[[#This Row],[Age]]&gt;=30,"30-39",IF(HR_Employee_Attrition[[#This Row],[Age]]&gt;=20,"20-29",IF(HR_Employee_Attrition[[#This Row],[Age]]&gt;=18,"18-20"))))))</f>
        <v>30-39</v>
      </c>
      <c r="AK951" t="str" cm="1">
        <f t="array" ref="AK951">_xlfn.IFS(HR_Employee_Attrition[[#This Row],[YearsAtCompany]]&lt;=2,"0-2",HR_Employee_Attrition[[#This Row],[YearsAtCompany]]&lt;=5,"3-5",HR_Employee_Attrition[[#This Row],[YearsAtCompany]]&lt;=10,"6-10",HR_Employee_Attrition[[#This Row],[YearsAtCompany]]&gt;10,"10+")</f>
        <v>6-10</v>
      </c>
      <c r="AL951" t="str" cm="1">
        <f t="array" ref="AL9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51">
        <f>IF(HR_Employee_Attrition[[#This Row],[Attrition]]="Yes",1,0)</f>
        <v>0</v>
      </c>
    </row>
    <row r="952" spans="1:39" x14ac:dyDescent="0.3">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c r="AJ952" t="str">
        <f>IF(HR_Employee_Attrition[[#This Row],[Age]]&gt;60,"60+",IF(HR_Employee_Attrition[[#This Row],[Age]]&gt;=50,"50-59",IF(HR_Employee_Attrition[[#This Row],[Age]]&gt;=40,"40-49",IF(HR_Employee_Attrition[[#This Row],[Age]]&gt;=30,"30-39",IF(HR_Employee_Attrition[[#This Row],[Age]]&gt;=20,"20-29",IF(HR_Employee_Attrition[[#This Row],[Age]]&gt;=18,"18-20"))))))</f>
        <v>30-39</v>
      </c>
      <c r="AK952" t="str" cm="1">
        <f t="array" ref="AK952">_xlfn.IFS(HR_Employee_Attrition[[#This Row],[YearsAtCompany]]&lt;=2,"0-2",HR_Employee_Attrition[[#This Row],[YearsAtCompany]]&lt;=5,"3-5",HR_Employee_Attrition[[#This Row],[YearsAtCompany]]&lt;=10,"6-10",HR_Employee_Attrition[[#This Row],[YearsAtCompany]]&gt;10,"10+")</f>
        <v>6-10</v>
      </c>
      <c r="AL952" t="str" cm="1">
        <f t="array" ref="AL9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52">
        <f>IF(HR_Employee_Attrition[[#This Row],[Attrition]]="Yes",1,0)</f>
        <v>0</v>
      </c>
    </row>
    <row r="953" spans="1:39" x14ac:dyDescent="0.3">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c r="AJ953" t="str">
        <f>IF(HR_Employee_Attrition[[#This Row],[Age]]&gt;60,"60+",IF(HR_Employee_Attrition[[#This Row],[Age]]&gt;=50,"50-59",IF(HR_Employee_Attrition[[#This Row],[Age]]&gt;=40,"40-49",IF(HR_Employee_Attrition[[#This Row],[Age]]&gt;=30,"30-39",IF(HR_Employee_Attrition[[#This Row],[Age]]&gt;=20,"20-29",IF(HR_Employee_Attrition[[#This Row],[Age]]&gt;=18,"18-20"))))))</f>
        <v>40-49</v>
      </c>
      <c r="AK953" t="str" cm="1">
        <f t="array" ref="AK953">_xlfn.IFS(HR_Employee_Attrition[[#This Row],[YearsAtCompany]]&lt;=2,"0-2",HR_Employee_Attrition[[#This Row],[YearsAtCompany]]&lt;=5,"3-5",HR_Employee_Attrition[[#This Row],[YearsAtCompany]]&lt;=10,"6-10",HR_Employee_Attrition[[#This Row],[YearsAtCompany]]&gt;10,"10+")</f>
        <v>10+</v>
      </c>
      <c r="AL953" t="str" cm="1">
        <f t="array" ref="AL9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53">
        <f>IF(HR_Employee_Attrition[[#This Row],[Attrition]]="Yes",1,0)</f>
        <v>0</v>
      </c>
    </row>
    <row r="954" spans="1:39" x14ac:dyDescent="0.3">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c r="AJ954" t="str">
        <f>IF(HR_Employee_Attrition[[#This Row],[Age]]&gt;60,"60+",IF(HR_Employee_Attrition[[#This Row],[Age]]&gt;=50,"50-59",IF(HR_Employee_Attrition[[#This Row],[Age]]&gt;=40,"40-49",IF(HR_Employee_Attrition[[#This Row],[Age]]&gt;=30,"30-39",IF(HR_Employee_Attrition[[#This Row],[Age]]&gt;=20,"20-29",IF(HR_Employee_Attrition[[#This Row],[Age]]&gt;=18,"18-20"))))))</f>
        <v>30-39</v>
      </c>
      <c r="AK954" t="str" cm="1">
        <f t="array" ref="AK954">_xlfn.IFS(HR_Employee_Attrition[[#This Row],[YearsAtCompany]]&lt;=2,"0-2",HR_Employee_Attrition[[#This Row],[YearsAtCompany]]&lt;=5,"3-5",HR_Employee_Attrition[[#This Row],[YearsAtCompany]]&lt;=10,"6-10",HR_Employee_Attrition[[#This Row],[YearsAtCompany]]&gt;10,"10+")</f>
        <v>3-5</v>
      </c>
      <c r="AL954" t="str" cm="1">
        <f t="array" ref="AL9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54">
        <f>IF(HR_Employee_Attrition[[#This Row],[Attrition]]="Yes",1,0)</f>
        <v>1</v>
      </c>
    </row>
    <row r="955" spans="1:39" x14ac:dyDescent="0.3">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c r="AJ955" t="str">
        <f>IF(HR_Employee_Attrition[[#This Row],[Age]]&gt;60,"60+",IF(HR_Employee_Attrition[[#This Row],[Age]]&gt;=50,"50-59",IF(HR_Employee_Attrition[[#This Row],[Age]]&gt;=40,"40-49",IF(HR_Employee_Attrition[[#This Row],[Age]]&gt;=30,"30-39",IF(HR_Employee_Attrition[[#This Row],[Age]]&gt;=20,"20-29",IF(HR_Employee_Attrition[[#This Row],[Age]]&gt;=18,"18-20"))))))</f>
        <v>40-49</v>
      </c>
      <c r="AK955" t="str" cm="1">
        <f t="array" ref="AK955">_xlfn.IFS(HR_Employee_Attrition[[#This Row],[YearsAtCompany]]&lt;=2,"0-2",HR_Employee_Attrition[[#This Row],[YearsAtCompany]]&lt;=5,"3-5",HR_Employee_Attrition[[#This Row],[YearsAtCompany]]&lt;=10,"6-10",HR_Employee_Attrition[[#This Row],[YearsAtCompany]]&gt;10,"10+")</f>
        <v>3-5</v>
      </c>
      <c r="AL955" t="str" cm="1">
        <f t="array" ref="AL9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55">
        <f>IF(HR_Employee_Attrition[[#This Row],[Attrition]]="Yes",1,0)</f>
        <v>1</v>
      </c>
    </row>
    <row r="956" spans="1:39" x14ac:dyDescent="0.3">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c r="AJ956" t="str">
        <f>IF(HR_Employee_Attrition[[#This Row],[Age]]&gt;60,"60+",IF(HR_Employee_Attrition[[#This Row],[Age]]&gt;=50,"50-59",IF(HR_Employee_Attrition[[#This Row],[Age]]&gt;=40,"40-49",IF(HR_Employee_Attrition[[#This Row],[Age]]&gt;=30,"30-39",IF(HR_Employee_Attrition[[#This Row],[Age]]&gt;=20,"20-29",IF(HR_Employee_Attrition[[#This Row],[Age]]&gt;=18,"18-20"))))))</f>
        <v>40-49</v>
      </c>
      <c r="AK956" t="str" cm="1">
        <f t="array" ref="AK956">_xlfn.IFS(HR_Employee_Attrition[[#This Row],[YearsAtCompany]]&lt;=2,"0-2",HR_Employee_Attrition[[#This Row],[YearsAtCompany]]&lt;=5,"3-5",HR_Employee_Attrition[[#This Row],[YearsAtCompany]]&lt;=10,"6-10",HR_Employee_Attrition[[#This Row],[YearsAtCompany]]&gt;10,"10+")</f>
        <v>10+</v>
      </c>
      <c r="AL956" t="str" cm="1">
        <f t="array" ref="AL9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56">
        <f>IF(HR_Employee_Attrition[[#This Row],[Attrition]]="Yes",1,0)</f>
        <v>0</v>
      </c>
    </row>
    <row r="957" spans="1:39" x14ac:dyDescent="0.3">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c r="AJ957" t="str">
        <f>IF(HR_Employee_Attrition[[#This Row],[Age]]&gt;60,"60+",IF(HR_Employee_Attrition[[#This Row],[Age]]&gt;=50,"50-59",IF(HR_Employee_Attrition[[#This Row],[Age]]&gt;=40,"40-49",IF(HR_Employee_Attrition[[#This Row],[Age]]&gt;=30,"30-39",IF(HR_Employee_Attrition[[#This Row],[Age]]&gt;=20,"20-29",IF(HR_Employee_Attrition[[#This Row],[Age]]&gt;=18,"18-20"))))))</f>
        <v>50-59</v>
      </c>
      <c r="AK957" t="str" cm="1">
        <f t="array" ref="AK957">_xlfn.IFS(HR_Employee_Attrition[[#This Row],[YearsAtCompany]]&lt;=2,"0-2",HR_Employee_Attrition[[#This Row],[YearsAtCompany]]&lt;=5,"3-5",HR_Employee_Attrition[[#This Row],[YearsAtCompany]]&lt;=10,"6-10",HR_Employee_Attrition[[#This Row],[YearsAtCompany]]&gt;10,"10+")</f>
        <v>10+</v>
      </c>
      <c r="AL957" t="str" cm="1">
        <f t="array" ref="AL9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57">
        <f>IF(HR_Employee_Attrition[[#This Row],[Attrition]]="Yes",1,0)</f>
        <v>0</v>
      </c>
    </row>
    <row r="958" spans="1:39" x14ac:dyDescent="0.3">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c r="AJ958" t="str">
        <f>IF(HR_Employee_Attrition[[#This Row],[Age]]&gt;60,"60+",IF(HR_Employee_Attrition[[#This Row],[Age]]&gt;=50,"50-59",IF(HR_Employee_Attrition[[#This Row],[Age]]&gt;=40,"40-49",IF(HR_Employee_Attrition[[#This Row],[Age]]&gt;=30,"30-39",IF(HR_Employee_Attrition[[#This Row],[Age]]&gt;=20,"20-29",IF(HR_Employee_Attrition[[#This Row],[Age]]&gt;=18,"18-20"))))))</f>
        <v>50-59</v>
      </c>
      <c r="AK958" t="str" cm="1">
        <f t="array" ref="AK958">_xlfn.IFS(HR_Employee_Attrition[[#This Row],[YearsAtCompany]]&lt;=2,"0-2",HR_Employee_Attrition[[#This Row],[YearsAtCompany]]&lt;=5,"3-5",HR_Employee_Attrition[[#This Row],[YearsAtCompany]]&lt;=10,"6-10",HR_Employee_Attrition[[#This Row],[YearsAtCompany]]&gt;10,"10+")</f>
        <v>6-10</v>
      </c>
      <c r="AL958" t="str" cm="1">
        <f t="array" ref="AL9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58">
        <f>IF(HR_Employee_Attrition[[#This Row],[Attrition]]="Yes",1,0)</f>
        <v>0</v>
      </c>
    </row>
    <row r="959" spans="1:39" x14ac:dyDescent="0.3">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c r="AJ959" t="str">
        <f>IF(HR_Employee_Attrition[[#This Row],[Age]]&gt;60,"60+",IF(HR_Employee_Attrition[[#This Row],[Age]]&gt;=50,"50-59",IF(HR_Employee_Attrition[[#This Row],[Age]]&gt;=40,"40-49",IF(HR_Employee_Attrition[[#This Row],[Age]]&gt;=30,"30-39",IF(HR_Employee_Attrition[[#This Row],[Age]]&gt;=20,"20-29",IF(HR_Employee_Attrition[[#This Row],[Age]]&gt;=18,"18-20"))))))</f>
        <v>40-49</v>
      </c>
      <c r="AK959" t="str" cm="1">
        <f t="array" ref="AK959">_xlfn.IFS(HR_Employee_Attrition[[#This Row],[YearsAtCompany]]&lt;=2,"0-2",HR_Employee_Attrition[[#This Row],[YearsAtCompany]]&lt;=5,"3-5",HR_Employee_Attrition[[#This Row],[YearsAtCompany]]&lt;=10,"6-10",HR_Employee_Attrition[[#This Row],[YearsAtCompany]]&gt;10,"10+")</f>
        <v>3-5</v>
      </c>
      <c r="AL959" t="str" cm="1">
        <f t="array" ref="AL9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59">
        <f>IF(HR_Employee_Attrition[[#This Row],[Attrition]]="Yes",1,0)</f>
        <v>0</v>
      </c>
    </row>
    <row r="960" spans="1:39" x14ac:dyDescent="0.3">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c r="AJ960" t="str">
        <f>IF(HR_Employee_Attrition[[#This Row],[Age]]&gt;60,"60+",IF(HR_Employee_Attrition[[#This Row],[Age]]&gt;=50,"50-59",IF(HR_Employee_Attrition[[#This Row],[Age]]&gt;=40,"40-49",IF(HR_Employee_Attrition[[#This Row],[Age]]&gt;=30,"30-39",IF(HR_Employee_Attrition[[#This Row],[Age]]&gt;=20,"20-29",IF(HR_Employee_Attrition[[#This Row],[Age]]&gt;=18,"18-20"))))))</f>
        <v>30-39</v>
      </c>
      <c r="AK960" t="str" cm="1">
        <f t="array" ref="AK960">_xlfn.IFS(HR_Employee_Attrition[[#This Row],[YearsAtCompany]]&lt;=2,"0-2",HR_Employee_Attrition[[#This Row],[YearsAtCompany]]&lt;=5,"3-5",HR_Employee_Attrition[[#This Row],[YearsAtCompany]]&lt;=10,"6-10",HR_Employee_Attrition[[#This Row],[YearsAtCompany]]&gt;10,"10+")</f>
        <v>6-10</v>
      </c>
      <c r="AL960" t="str" cm="1">
        <f t="array" ref="AL9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60">
        <f>IF(HR_Employee_Attrition[[#This Row],[Attrition]]="Yes",1,0)</f>
        <v>0</v>
      </c>
    </row>
    <row r="961" spans="1:39" x14ac:dyDescent="0.3">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c r="AJ961" t="str">
        <f>IF(HR_Employee_Attrition[[#This Row],[Age]]&gt;60,"60+",IF(HR_Employee_Attrition[[#This Row],[Age]]&gt;=50,"50-59",IF(HR_Employee_Attrition[[#This Row],[Age]]&gt;=40,"40-49",IF(HR_Employee_Attrition[[#This Row],[Age]]&gt;=30,"30-39",IF(HR_Employee_Attrition[[#This Row],[Age]]&gt;=20,"20-29",IF(HR_Employee_Attrition[[#This Row],[Age]]&gt;=18,"18-20"))))))</f>
        <v>40-49</v>
      </c>
      <c r="AK961" t="str" cm="1">
        <f t="array" ref="AK961">_xlfn.IFS(HR_Employee_Attrition[[#This Row],[YearsAtCompany]]&lt;=2,"0-2",HR_Employee_Attrition[[#This Row],[YearsAtCompany]]&lt;=5,"3-5",HR_Employee_Attrition[[#This Row],[YearsAtCompany]]&lt;=10,"6-10",HR_Employee_Attrition[[#This Row],[YearsAtCompany]]&gt;10,"10+")</f>
        <v>6-10</v>
      </c>
      <c r="AL961" t="str" cm="1">
        <f t="array" ref="AL9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61">
        <f>IF(HR_Employee_Attrition[[#This Row],[Attrition]]="Yes",1,0)</f>
        <v>0</v>
      </c>
    </row>
    <row r="962" spans="1:39" x14ac:dyDescent="0.3">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c r="AJ962" t="str">
        <f>IF(HR_Employee_Attrition[[#This Row],[Age]]&gt;60,"60+",IF(HR_Employee_Attrition[[#This Row],[Age]]&gt;=50,"50-59",IF(HR_Employee_Attrition[[#This Row],[Age]]&gt;=40,"40-49",IF(HR_Employee_Attrition[[#This Row],[Age]]&gt;=30,"30-39",IF(HR_Employee_Attrition[[#This Row],[Age]]&gt;=20,"20-29",IF(HR_Employee_Attrition[[#This Row],[Age]]&gt;=18,"18-20"))))))</f>
        <v>40-49</v>
      </c>
      <c r="AK962" t="str" cm="1">
        <f t="array" ref="AK962">_xlfn.IFS(HR_Employee_Attrition[[#This Row],[YearsAtCompany]]&lt;=2,"0-2",HR_Employee_Attrition[[#This Row],[YearsAtCompany]]&lt;=5,"3-5",HR_Employee_Attrition[[#This Row],[YearsAtCompany]]&lt;=10,"6-10",HR_Employee_Attrition[[#This Row],[YearsAtCompany]]&gt;10,"10+")</f>
        <v>6-10</v>
      </c>
      <c r="AL962" t="str" cm="1">
        <f t="array" ref="AL9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62">
        <f>IF(HR_Employee_Attrition[[#This Row],[Attrition]]="Yes",1,0)</f>
        <v>0</v>
      </c>
    </row>
    <row r="963" spans="1:39" x14ac:dyDescent="0.3">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c r="AJ963" t="str">
        <f>IF(HR_Employee_Attrition[[#This Row],[Age]]&gt;60,"60+",IF(HR_Employee_Attrition[[#This Row],[Age]]&gt;=50,"50-59",IF(HR_Employee_Attrition[[#This Row],[Age]]&gt;=40,"40-49",IF(HR_Employee_Attrition[[#This Row],[Age]]&gt;=30,"30-39",IF(HR_Employee_Attrition[[#This Row],[Age]]&gt;=20,"20-29",IF(HR_Employee_Attrition[[#This Row],[Age]]&gt;=18,"18-20"))))))</f>
        <v>30-39</v>
      </c>
      <c r="AK963" t="str" cm="1">
        <f t="array" ref="AK963">_xlfn.IFS(HR_Employee_Attrition[[#This Row],[YearsAtCompany]]&lt;=2,"0-2",HR_Employee_Attrition[[#This Row],[YearsAtCompany]]&lt;=5,"3-5",HR_Employee_Attrition[[#This Row],[YearsAtCompany]]&lt;=10,"6-10",HR_Employee_Attrition[[#This Row],[YearsAtCompany]]&gt;10,"10+")</f>
        <v>6-10</v>
      </c>
      <c r="AL963" t="str" cm="1">
        <f t="array" ref="AL9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63">
        <f>IF(HR_Employee_Attrition[[#This Row],[Attrition]]="Yes",1,0)</f>
        <v>0</v>
      </c>
    </row>
    <row r="964" spans="1:39" x14ac:dyDescent="0.3">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c r="AJ964" t="str">
        <f>IF(HR_Employee_Attrition[[#This Row],[Age]]&gt;60,"60+",IF(HR_Employee_Attrition[[#This Row],[Age]]&gt;=50,"50-59",IF(HR_Employee_Attrition[[#This Row],[Age]]&gt;=40,"40-49",IF(HR_Employee_Attrition[[#This Row],[Age]]&gt;=30,"30-39",IF(HR_Employee_Attrition[[#This Row],[Age]]&gt;=20,"20-29",IF(HR_Employee_Attrition[[#This Row],[Age]]&gt;=18,"18-20"))))))</f>
        <v>50-59</v>
      </c>
      <c r="AK964" t="str" cm="1">
        <f t="array" ref="AK964">_xlfn.IFS(HR_Employee_Attrition[[#This Row],[YearsAtCompany]]&lt;=2,"0-2",HR_Employee_Attrition[[#This Row],[YearsAtCompany]]&lt;=5,"3-5",HR_Employee_Attrition[[#This Row],[YearsAtCompany]]&lt;=10,"6-10",HR_Employee_Attrition[[#This Row],[YearsAtCompany]]&gt;10,"10+")</f>
        <v>10+</v>
      </c>
      <c r="AL964" t="str" cm="1">
        <f t="array" ref="AL9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64">
        <f>IF(HR_Employee_Attrition[[#This Row],[Attrition]]="Yes",1,0)</f>
        <v>0</v>
      </c>
    </row>
    <row r="965" spans="1:39" x14ac:dyDescent="0.3">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c r="AJ965" t="str">
        <f>IF(HR_Employee_Attrition[[#This Row],[Age]]&gt;60,"60+",IF(HR_Employee_Attrition[[#This Row],[Age]]&gt;=50,"50-59",IF(HR_Employee_Attrition[[#This Row],[Age]]&gt;=40,"40-49",IF(HR_Employee_Attrition[[#This Row],[Age]]&gt;=30,"30-39",IF(HR_Employee_Attrition[[#This Row],[Age]]&gt;=20,"20-29",IF(HR_Employee_Attrition[[#This Row],[Age]]&gt;=18,"18-20"))))))</f>
        <v>30-39</v>
      </c>
      <c r="AK965" t="str" cm="1">
        <f t="array" ref="AK965">_xlfn.IFS(HR_Employee_Attrition[[#This Row],[YearsAtCompany]]&lt;=2,"0-2",HR_Employee_Attrition[[#This Row],[YearsAtCompany]]&lt;=5,"3-5",HR_Employee_Attrition[[#This Row],[YearsAtCompany]]&lt;=10,"6-10",HR_Employee_Attrition[[#This Row],[YearsAtCompany]]&gt;10,"10+")</f>
        <v>6-10</v>
      </c>
      <c r="AL965" t="str" cm="1">
        <f t="array" ref="AL9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65">
        <f>IF(HR_Employee_Attrition[[#This Row],[Attrition]]="Yes",1,0)</f>
        <v>0</v>
      </c>
    </row>
    <row r="966" spans="1:39" x14ac:dyDescent="0.3">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c r="AJ966" t="str">
        <f>IF(HR_Employee_Attrition[[#This Row],[Age]]&gt;60,"60+",IF(HR_Employee_Attrition[[#This Row],[Age]]&gt;=50,"50-59",IF(HR_Employee_Attrition[[#This Row],[Age]]&gt;=40,"40-49",IF(HR_Employee_Attrition[[#This Row],[Age]]&gt;=30,"30-39",IF(HR_Employee_Attrition[[#This Row],[Age]]&gt;=20,"20-29",IF(HR_Employee_Attrition[[#This Row],[Age]]&gt;=18,"18-20"))))))</f>
        <v>30-39</v>
      </c>
      <c r="AK966" t="str" cm="1">
        <f t="array" ref="AK966">_xlfn.IFS(HR_Employee_Attrition[[#This Row],[YearsAtCompany]]&lt;=2,"0-2",HR_Employee_Attrition[[#This Row],[YearsAtCompany]]&lt;=5,"3-5",HR_Employee_Attrition[[#This Row],[YearsAtCompany]]&lt;=10,"6-10",HR_Employee_Attrition[[#This Row],[YearsAtCompany]]&gt;10,"10+")</f>
        <v>6-10</v>
      </c>
      <c r="AL966" t="str" cm="1">
        <f t="array" ref="AL9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66">
        <f>IF(HR_Employee_Attrition[[#This Row],[Attrition]]="Yes",1,0)</f>
        <v>0</v>
      </c>
    </row>
    <row r="967" spans="1:39" x14ac:dyDescent="0.3">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c r="AJ967" t="str">
        <f>IF(HR_Employee_Attrition[[#This Row],[Age]]&gt;60,"60+",IF(HR_Employee_Attrition[[#This Row],[Age]]&gt;=50,"50-59",IF(HR_Employee_Attrition[[#This Row],[Age]]&gt;=40,"40-49",IF(HR_Employee_Attrition[[#This Row],[Age]]&gt;=30,"30-39",IF(HR_Employee_Attrition[[#This Row],[Age]]&gt;=20,"20-29",IF(HR_Employee_Attrition[[#This Row],[Age]]&gt;=18,"18-20"))))))</f>
        <v>20-29</v>
      </c>
      <c r="AK967" t="str" cm="1">
        <f t="array" ref="AK967">_xlfn.IFS(HR_Employee_Attrition[[#This Row],[YearsAtCompany]]&lt;=2,"0-2",HR_Employee_Attrition[[#This Row],[YearsAtCompany]]&lt;=5,"3-5",HR_Employee_Attrition[[#This Row],[YearsAtCompany]]&lt;=10,"6-10",HR_Employee_Attrition[[#This Row],[YearsAtCompany]]&gt;10,"10+")</f>
        <v>3-5</v>
      </c>
      <c r="AL967" t="str" cm="1">
        <f t="array" ref="AL9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67">
        <f>IF(HR_Employee_Attrition[[#This Row],[Attrition]]="Yes",1,0)</f>
        <v>0</v>
      </c>
    </row>
    <row r="968" spans="1:39" x14ac:dyDescent="0.3">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c r="AJ968" t="str">
        <f>IF(HR_Employee_Attrition[[#This Row],[Age]]&gt;60,"60+",IF(HR_Employee_Attrition[[#This Row],[Age]]&gt;=50,"50-59",IF(HR_Employee_Attrition[[#This Row],[Age]]&gt;=40,"40-49",IF(HR_Employee_Attrition[[#This Row],[Age]]&gt;=30,"30-39",IF(HR_Employee_Attrition[[#This Row],[Age]]&gt;=20,"20-29",IF(HR_Employee_Attrition[[#This Row],[Age]]&gt;=18,"18-20"))))))</f>
        <v>50-59</v>
      </c>
      <c r="AK968" t="str" cm="1">
        <f t="array" ref="AK968">_xlfn.IFS(HR_Employee_Attrition[[#This Row],[YearsAtCompany]]&lt;=2,"0-2",HR_Employee_Attrition[[#This Row],[YearsAtCompany]]&lt;=5,"3-5",HR_Employee_Attrition[[#This Row],[YearsAtCompany]]&lt;=10,"6-10",HR_Employee_Attrition[[#This Row],[YearsAtCompany]]&gt;10,"10+")</f>
        <v>6-10</v>
      </c>
      <c r="AL968" t="str" cm="1">
        <f t="array" ref="AL9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68">
        <f>IF(HR_Employee_Attrition[[#This Row],[Attrition]]="Yes",1,0)</f>
        <v>1</v>
      </c>
    </row>
    <row r="969" spans="1:39" x14ac:dyDescent="0.3">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c r="AJ969" t="str">
        <f>IF(HR_Employee_Attrition[[#This Row],[Age]]&gt;60,"60+",IF(HR_Employee_Attrition[[#This Row],[Age]]&gt;=50,"50-59",IF(HR_Employee_Attrition[[#This Row],[Age]]&gt;=40,"40-49",IF(HR_Employee_Attrition[[#This Row],[Age]]&gt;=30,"30-39",IF(HR_Employee_Attrition[[#This Row],[Age]]&gt;=20,"20-29",IF(HR_Employee_Attrition[[#This Row],[Age]]&gt;=18,"18-20"))))))</f>
        <v>40-49</v>
      </c>
      <c r="AK969" t="str" cm="1">
        <f t="array" ref="AK969">_xlfn.IFS(HR_Employee_Attrition[[#This Row],[YearsAtCompany]]&lt;=2,"0-2",HR_Employee_Attrition[[#This Row],[YearsAtCompany]]&lt;=5,"3-5",HR_Employee_Attrition[[#This Row],[YearsAtCompany]]&lt;=10,"6-10",HR_Employee_Attrition[[#This Row],[YearsAtCompany]]&gt;10,"10+")</f>
        <v>3-5</v>
      </c>
      <c r="AL969" t="str" cm="1">
        <f t="array" ref="AL9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69">
        <f>IF(HR_Employee_Attrition[[#This Row],[Attrition]]="Yes",1,0)</f>
        <v>0</v>
      </c>
    </row>
    <row r="970" spans="1:39" x14ac:dyDescent="0.3">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c r="AJ970" t="str">
        <f>IF(HR_Employee_Attrition[[#This Row],[Age]]&gt;60,"60+",IF(HR_Employee_Attrition[[#This Row],[Age]]&gt;=50,"50-59",IF(HR_Employee_Attrition[[#This Row],[Age]]&gt;=40,"40-49",IF(HR_Employee_Attrition[[#This Row],[Age]]&gt;=30,"30-39",IF(HR_Employee_Attrition[[#This Row],[Age]]&gt;=20,"20-29",IF(HR_Employee_Attrition[[#This Row],[Age]]&gt;=18,"18-20"))))))</f>
        <v>30-39</v>
      </c>
      <c r="AK970" t="str" cm="1">
        <f t="array" ref="AK970">_xlfn.IFS(HR_Employee_Attrition[[#This Row],[YearsAtCompany]]&lt;=2,"0-2",HR_Employee_Attrition[[#This Row],[YearsAtCompany]]&lt;=5,"3-5",HR_Employee_Attrition[[#This Row],[YearsAtCompany]]&lt;=10,"6-10",HR_Employee_Attrition[[#This Row],[YearsAtCompany]]&gt;10,"10+")</f>
        <v>10+</v>
      </c>
      <c r="AL970" t="str" cm="1">
        <f t="array" ref="AL9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70">
        <f>IF(HR_Employee_Attrition[[#This Row],[Attrition]]="Yes",1,0)</f>
        <v>0</v>
      </c>
    </row>
    <row r="971" spans="1:39" x14ac:dyDescent="0.3">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c r="AJ971" t="str">
        <f>IF(HR_Employee_Attrition[[#This Row],[Age]]&gt;60,"60+",IF(HR_Employee_Attrition[[#This Row],[Age]]&gt;=50,"50-59",IF(HR_Employee_Attrition[[#This Row],[Age]]&gt;=40,"40-49",IF(HR_Employee_Attrition[[#This Row],[Age]]&gt;=30,"30-39",IF(HR_Employee_Attrition[[#This Row],[Age]]&gt;=20,"20-29",IF(HR_Employee_Attrition[[#This Row],[Age]]&gt;=18,"18-20"))))))</f>
        <v>40-49</v>
      </c>
      <c r="AK971" t="str" cm="1">
        <f t="array" ref="AK971">_xlfn.IFS(HR_Employee_Attrition[[#This Row],[YearsAtCompany]]&lt;=2,"0-2",HR_Employee_Attrition[[#This Row],[YearsAtCompany]]&lt;=5,"3-5",HR_Employee_Attrition[[#This Row],[YearsAtCompany]]&lt;=10,"6-10",HR_Employee_Attrition[[#This Row],[YearsAtCompany]]&gt;10,"10+")</f>
        <v>6-10</v>
      </c>
      <c r="AL971" t="str" cm="1">
        <f t="array" ref="AL9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71">
        <f>IF(HR_Employee_Attrition[[#This Row],[Attrition]]="Yes",1,0)</f>
        <v>0</v>
      </c>
    </row>
    <row r="972" spans="1:39" x14ac:dyDescent="0.3">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c r="AJ972" t="str">
        <f>IF(HR_Employee_Attrition[[#This Row],[Age]]&gt;60,"60+",IF(HR_Employee_Attrition[[#This Row],[Age]]&gt;=50,"50-59",IF(HR_Employee_Attrition[[#This Row],[Age]]&gt;=40,"40-49",IF(HR_Employee_Attrition[[#This Row],[Age]]&gt;=30,"30-39",IF(HR_Employee_Attrition[[#This Row],[Age]]&gt;=20,"20-29",IF(HR_Employee_Attrition[[#This Row],[Age]]&gt;=18,"18-20"))))))</f>
        <v>20-29</v>
      </c>
      <c r="AK972" t="str" cm="1">
        <f t="array" ref="AK972">_xlfn.IFS(HR_Employee_Attrition[[#This Row],[YearsAtCompany]]&lt;=2,"0-2",HR_Employee_Attrition[[#This Row],[YearsAtCompany]]&lt;=5,"3-5",HR_Employee_Attrition[[#This Row],[YearsAtCompany]]&lt;=10,"6-10",HR_Employee_Attrition[[#This Row],[YearsAtCompany]]&gt;10,"10+")</f>
        <v>0-2</v>
      </c>
      <c r="AL972" t="str" cm="1">
        <f t="array" ref="AL9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72">
        <f>IF(HR_Employee_Attrition[[#This Row],[Attrition]]="Yes",1,0)</f>
        <v>0</v>
      </c>
    </row>
    <row r="973" spans="1:39" x14ac:dyDescent="0.3">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c r="AJ973" t="str">
        <f>IF(HR_Employee_Attrition[[#This Row],[Age]]&gt;60,"60+",IF(HR_Employee_Attrition[[#This Row],[Age]]&gt;=50,"50-59",IF(HR_Employee_Attrition[[#This Row],[Age]]&gt;=40,"40-49",IF(HR_Employee_Attrition[[#This Row],[Age]]&gt;=30,"30-39",IF(HR_Employee_Attrition[[#This Row],[Age]]&gt;=20,"20-29",IF(HR_Employee_Attrition[[#This Row],[Age]]&gt;=18,"18-20"))))))</f>
        <v>50-59</v>
      </c>
      <c r="AK973" t="str" cm="1">
        <f t="array" ref="AK973">_xlfn.IFS(HR_Employee_Attrition[[#This Row],[YearsAtCompany]]&lt;=2,"0-2",HR_Employee_Attrition[[#This Row],[YearsAtCompany]]&lt;=5,"3-5",HR_Employee_Attrition[[#This Row],[YearsAtCompany]]&lt;=10,"6-10",HR_Employee_Attrition[[#This Row],[YearsAtCompany]]&gt;10,"10+")</f>
        <v>3-5</v>
      </c>
      <c r="AL973" t="str" cm="1">
        <f t="array" ref="AL9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73">
        <f>IF(HR_Employee_Attrition[[#This Row],[Attrition]]="Yes",1,0)</f>
        <v>0</v>
      </c>
    </row>
    <row r="974" spans="1:39" x14ac:dyDescent="0.3">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c r="AJ974" t="str">
        <f>IF(HR_Employee_Attrition[[#This Row],[Age]]&gt;60,"60+",IF(HR_Employee_Attrition[[#This Row],[Age]]&gt;=50,"50-59",IF(HR_Employee_Attrition[[#This Row],[Age]]&gt;=40,"40-49",IF(HR_Employee_Attrition[[#This Row],[Age]]&gt;=30,"30-39",IF(HR_Employee_Attrition[[#This Row],[Age]]&gt;=20,"20-29",IF(HR_Employee_Attrition[[#This Row],[Age]]&gt;=18,"18-20"))))))</f>
        <v>18-20</v>
      </c>
      <c r="AK974" t="str" cm="1">
        <f t="array" ref="AK974">_xlfn.IFS(HR_Employee_Attrition[[#This Row],[YearsAtCompany]]&lt;=2,"0-2",HR_Employee_Attrition[[#This Row],[YearsAtCompany]]&lt;=5,"3-5",HR_Employee_Attrition[[#This Row],[YearsAtCompany]]&lt;=10,"6-10",HR_Employee_Attrition[[#This Row],[YearsAtCompany]]&gt;10,"10+")</f>
        <v>0-2</v>
      </c>
      <c r="AL974" t="str" cm="1">
        <f t="array" ref="AL9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74">
        <f>IF(HR_Employee_Attrition[[#This Row],[Attrition]]="Yes",1,0)</f>
        <v>0</v>
      </c>
    </row>
    <row r="975" spans="1:39" x14ac:dyDescent="0.3">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c r="AJ975" t="str">
        <f>IF(HR_Employee_Attrition[[#This Row],[Age]]&gt;60,"60+",IF(HR_Employee_Attrition[[#This Row],[Age]]&gt;=50,"50-59",IF(HR_Employee_Attrition[[#This Row],[Age]]&gt;=40,"40-49",IF(HR_Employee_Attrition[[#This Row],[Age]]&gt;=30,"30-39",IF(HR_Employee_Attrition[[#This Row],[Age]]&gt;=20,"20-29",IF(HR_Employee_Attrition[[#This Row],[Age]]&gt;=18,"18-20"))))))</f>
        <v>30-39</v>
      </c>
      <c r="AK975" t="str" cm="1">
        <f t="array" ref="AK975">_xlfn.IFS(HR_Employee_Attrition[[#This Row],[YearsAtCompany]]&lt;=2,"0-2",HR_Employee_Attrition[[#This Row],[YearsAtCompany]]&lt;=5,"3-5",HR_Employee_Attrition[[#This Row],[YearsAtCompany]]&lt;=10,"6-10",HR_Employee_Attrition[[#This Row],[YearsAtCompany]]&gt;10,"10+")</f>
        <v>6-10</v>
      </c>
      <c r="AL975" t="str" cm="1">
        <f t="array" ref="AL9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75">
        <f>IF(HR_Employee_Attrition[[#This Row],[Attrition]]="Yes",1,0)</f>
        <v>0</v>
      </c>
    </row>
    <row r="976" spans="1:39" x14ac:dyDescent="0.3">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c r="AJ976" t="str">
        <f>IF(HR_Employee_Attrition[[#This Row],[Age]]&gt;60,"60+",IF(HR_Employee_Attrition[[#This Row],[Age]]&gt;=50,"50-59",IF(HR_Employee_Attrition[[#This Row],[Age]]&gt;=40,"40-49",IF(HR_Employee_Attrition[[#This Row],[Age]]&gt;=30,"30-39",IF(HR_Employee_Attrition[[#This Row],[Age]]&gt;=20,"20-29",IF(HR_Employee_Attrition[[#This Row],[Age]]&gt;=18,"18-20"))))))</f>
        <v>20-29</v>
      </c>
      <c r="AK976" t="str" cm="1">
        <f t="array" ref="AK976">_xlfn.IFS(HR_Employee_Attrition[[#This Row],[YearsAtCompany]]&lt;=2,"0-2",HR_Employee_Attrition[[#This Row],[YearsAtCompany]]&lt;=5,"3-5",HR_Employee_Attrition[[#This Row],[YearsAtCompany]]&lt;=10,"6-10",HR_Employee_Attrition[[#This Row],[YearsAtCompany]]&gt;10,"10+")</f>
        <v>6-10</v>
      </c>
      <c r="AL976" t="str" cm="1">
        <f t="array" ref="AL9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76">
        <f>IF(HR_Employee_Attrition[[#This Row],[Attrition]]="Yes",1,0)</f>
        <v>0</v>
      </c>
    </row>
    <row r="977" spans="1:39" x14ac:dyDescent="0.3">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c r="AJ977" t="str">
        <f>IF(HR_Employee_Attrition[[#This Row],[Age]]&gt;60,"60+",IF(HR_Employee_Attrition[[#This Row],[Age]]&gt;=50,"50-59",IF(HR_Employee_Attrition[[#This Row],[Age]]&gt;=40,"40-49",IF(HR_Employee_Attrition[[#This Row],[Age]]&gt;=30,"30-39",IF(HR_Employee_Attrition[[#This Row],[Age]]&gt;=20,"20-29",IF(HR_Employee_Attrition[[#This Row],[Age]]&gt;=18,"18-20"))))))</f>
        <v>50-59</v>
      </c>
      <c r="AK977" t="str" cm="1">
        <f t="array" ref="AK977">_xlfn.IFS(HR_Employee_Attrition[[#This Row],[YearsAtCompany]]&lt;=2,"0-2",HR_Employee_Attrition[[#This Row],[YearsAtCompany]]&lt;=5,"3-5",HR_Employee_Attrition[[#This Row],[YearsAtCompany]]&lt;=10,"6-10",HR_Employee_Attrition[[#This Row],[YearsAtCompany]]&gt;10,"10+")</f>
        <v>10+</v>
      </c>
      <c r="AL977" t="str" cm="1">
        <f t="array" ref="AL9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77">
        <f>IF(HR_Employee_Attrition[[#This Row],[Attrition]]="Yes",1,0)</f>
        <v>1</v>
      </c>
    </row>
    <row r="978" spans="1:39" x14ac:dyDescent="0.3">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c r="AJ978" t="str">
        <f>IF(HR_Employee_Attrition[[#This Row],[Age]]&gt;60,"60+",IF(HR_Employee_Attrition[[#This Row],[Age]]&gt;=50,"50-59",IF(HR_Employee_Attrition[[#This Row],[Age]]&gt;=40,"40-49",IF(HR_Employee_Attrition[[#This Row],[Age]]&gt;=30,"30-39",IF(HR_Employee_Attrition[[#This Row],[Age]]&gt;=20,"20-29",IF(HR_Employee_Attrition[[#This Row],[Age]]&gt;=18,"18-20"))))))</f>
        <v>50-59</v>
      </c>
      <c r="AK978" t="str" cm="1">
        <f t="array" ref="AK978">_xlfn.IFS(HR_Employee_Attrition[[#This Row],[YearsAtCompany]]&lt;=2,"0-2",HR_Employee_Attrition[[#This Row],[YearsAtCompany]]&lt;=5,"3-5",HR_Employee_Attrition[[#This Row],[YearsAtCompany]]&lt;=10,"6-10",HR_Employee_Attrition[[#This Row],[YearsAtCompany]]&gt;10,"10+")</f>
        <v>10+</v>
      </c>
      <c r="AL978" t="str" cm="1">
        <f t="array" ref="AL9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78">
        <f>IF(HR_Employee_Attrition[[#This Row],[Attrition]]="Yes",1,0)</f>
        <v>0</v>
      </c>
    </row>
    <row r="979" spans="1:39" x14ac:dyDescent="0.3">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c r="AJ979" t="str">
        <f>IF(HR_Employee_Attrition[[#This Row],[Age]]&gt;60,"60+",IF(HR_Employee_Attrition[[#This Row],[Age]]&gt;=50,"50-59",IF(HR_Employee_Attrition[[#This Row],[Age]]&gt;=40,"40-49",IF(HR_Employee_Attrition[[#This Row],[Age]]&gt;=30,"30-39",IF(HR_Employee_Attrition[[#This Row],[Age]]&gt;=20,"20-29",IF(HR_Employee_Attrition[[#This Row],[Age]]&gt;=18,"18-20"))))))</f>
        <v>30-39</v>
      </c>
      <c r="AK979" t="str" cm="1">
        <f t="array" ref="AK979">_xlfn.IFS(HR_Employee_Attrition[[#This Row],[YearsAtCompany]]&lt;=2,"0-2",HR_Employee_Attrition[[#This Row],[YearsAtCompany]]&lt;=5,"3-5",HR_Employee_Attrition[[#This Row],[YearsAtCompany]]&lt;=10,"6-10",HR_Employee_Attrition[[#This Row],[YearsAtCompany]]&gt;10,"10+")</f>
        <v>3-5</v>
      </c>
      <c r="AL979" t="str" cm="1">
        <f t="array" ref="AL9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79">
        <f>IF(HR_Employee_Attrition[[#This Row],[Attrition]]="Yes",1,0)</f>
        <v>0</v>
      </c>
    </row>
    <row r="980" spans="1:39" x14ac:dyDescent="0.3">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c r="AJ980" t="str">
        <f>IF(HR_Employee_Attrition[[#This Row],[Age]]&gt;60,"60+",IF(HR_Employee_Attrition[[#This Row],[Age]]&gt;=50,"50-59",IF(HR_Employee_Attrition[[#This Row],[Age]]&gt;=40,"40-49",IF(HR_Employee_Attrition[[#This Row],[Age]]&gt;=30,"30-39",IF(HR_Employee_Attrition[[#This Row],[Age]]&gt;=20,"20-29",IF(HR_Employee_Attrition[[#This Row],[Age]]&gt;=18,"18-20"))))))</f>
        <v>40-49</v>
      </c>
      <c r="AK980" t="str" cm="1">
        <f t="array" ref="AK980">_xlfn.IFS(HR_Employee_Attrition[[#This Row],[YearsAtCompany]]&lt;=2,"0-2",HR_Employee_Attrition[[#This Row],[YearsAtCompany]]&lt;=5,"3-5",HR_Employee_Attrition[[#This Row],[YearsAtCompany]]&lt;=10,"6-10",HR_Employee_Attrition[[#This Row],[YearsAtCompany]]&gt;10,"10+")</f>
        <v>10+</v>
      </c>
      <c r="AL980" t="str" cm="1">
        <f t="array" ref="AL9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80">
        <f>IF(HR_Employee_Attrition[[#This Row],[Attrition]]="Yes",1,0)</f>
        <v>0</v>
      </c>
    </row>
    <row r="981" spans="1:39" x14ac:dyDescent="0.3">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c r="AJ981" t="str">
        <f>IF(HR_Employee_Attrition[[#This Row],[Age]]&gt;60,"60+",IF(HR_Employee_Attrition[[#This Row],[Age]]&gt;=50,"50-59",IF(HR_Employee_Attrition[[#This Row],[Age]]&gt;=40,"40-49",IF(HR_Employee_Attrition[[#This Row],[Age]]&gt;=30,"30-39",IF(HR_Employee_Attrition[[#This Row],[Age]]&gt;=20,"20-29",IF(HR_Employee_Attrition[[#This Row],[Age]]&gt;=18,"18-20"))))))</f>
        <v>30-39</v>
      </c>
      <c r="AK981" t="str" cm="1">
        <f t="array" ref="AK981">_xlfn.IFS(HR_Employee_Attrition[[#This Row],[YearsAtCompany]]&lt;=2,"0-2",HR_Employee_Attrition[[#This Row],[YearsAtCompany]]&lt;=5,"3-5",HR_Employee_Attrition[[#This Row],[YearsAtCompany]]&lt;=10,"6-10",HR_Employee_Attrition[[#This Row],[YearsAtCompany]]&gt;10,"10+")</f>
        <v>6-10</v>
      </c>
      <c r="AL981" t="str" cm="1">
        <f t="array" ref="AL9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81">
        <f>IF(HR_Employee_Attrition[[#This Row],[Attrition]]="Yes",1,0)</f>
        <v>0</v>
      </c>
    </row>
    <row r="982" spans="1:39" x14ac:dyDescent="0.3">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c r="AJ982" t="str">
        <f>IF(HR_Employee_Attrition[[#This Row],[Age]]&gt;60,"60+",IF(HR_Employee_Attrition[[#This Row],[Age]]&gt;=50,"50-59",IF(HR_Employee_Attrition[[#This Row],[Age]]&gt;=40,"40-49",IF(HR_Employee_Attrition[[#This Row],[Age]]&gt;=30,"30-39",IF(HR_Employee_Attrition[[#This Row],[Age]]&gt;=20,"20-29",IF(HR_Employee_Attrition[[#This Row],[Age]]&gt;=18,"18-20"))))))</f>
        <v>30-39</v>
      </c>
      <c r="AK982" t="str" cm="1">
        <f t="array" ref="AK982">_xlfn.IFS(HR_Employee_Attrition[[#This Row],[YearsAtCompany]]&lt;=2,"0-2",HR_Employee_Attrition[[#This Row],[YearsAtCompany]]&lt;=5,"3-5",HR_Employee_Attrition[[#This Row],[YearsAtCompany]]&lt;=10,"6-10",HR_Employee_Attrition[[#This Row],[YearsAtCompany]]&gt;10,"10+")</f>
        <v>0-2</v>
      </c>
      <c r="AL982" t="str" cm="1">
        <f t="array" ref="AL9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82">
        <f>IF(HR_Employee_Attrition[[#This Row],[Attrition]]="Yes",1,0)</f>
        <v>1</v>
      </c>
    </row>
    <row r="983" spans="1:39" x14ac:dyDescent="0.3">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c r="AJ983" t="str">
        <f>IF(HR_Employee_Attrition[[#This Row],[Age]]&gt;60,"60+",IF(HR_Employee_Attrition[[#This Row],[Age]]&gt;=50,"50-59",IF(HR_Employee_Attrition[[#This Row],[Age]]&gt;=40,"40-49",IF(HR_Employee_Attrition[[#This Row],[Age]]&gt;=30,"30-39",IF(HR_Employee_Attrition[[#This Row],[Age]]&gt;=20,"20-29",IF(HR_Employee_Attrition[[#This Row],[Age]]&gt;=18,"18-20"))))))</f>
        <v>30-39</v>
      </c>
      <c r="AK983" t="str" cm="1">
        <f t="array" ref="AK983">_xlfn.IFS(HR_Employee_Attrition[[#This Row],[YearsAtCompany]]&lt;=2,"0-2",HR_Employee_Attrition[[#This Row],[YearsAtCompany]]&lt;=5,"3-5",HR_Employee_Attrition[[#This Row],[YearsAtCompany]]&lt;=10,"6-10",HR_Employee_Attrition[[#This Row],[YearsAtCompany]]&gt;10,"10+")</f>
        <v>3-5</v>
      </c>
      <c r="AL983" t="str" cm="1">
        <f t="array" ref="AL9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83">
        <f>IF(HR_Employee_Attrition[[#This Row],[Attrition]]="Yes",1,0)</f>
        <v>1</v>
      </c>
    </row>
    <row r="984" spans="1:39" x14ac:dyDescent="0.3">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c r="AJ984" t="str">
        <f>IF(HR_Employee_Attrition[[#This Row],[Age]]&gt;60,"60+",IF(HR_Employee_Attrition[[#This Row],[Age]]&gt;=50,"50-59",IF(HR_Employee_Attrition[[#This Row],[Age]]&gt;=40,"40-49",IF(HR_Employee_Attrition[[#This Row],[Age]]&gt;=30,"30-39",IF(HR_Employee_Attrition[[#This Row],[Age]]&gt;=20,"20-29",IF(HR_Employee_Attrition[[#This Row],[Age]]&gt;=18,"18-20"))))))</f>
        <v>30-39</v>
      </c>
      <c r="AK984" t="str" cm="1">
        <f t="array" ref="AK984">_xlfn.IFS(HR_Employee_Attrition[[#This Row],[YearsAtCompany]]&lt;=2,"0-2",HR_Employee_Attrition[[#This Row],[YearsAtCompany]]&lt;=5,"3-5",HR_Employee_Attrition[[#This Row],[YearsAtCompany]]&lt;=10,"6-10",HR_Employee_Attrition[[#This Row],[YearsAtCompany]]&gt;10,"10+")</f>
        <v>3-5</v>
      </c>
      <c r="AL984" t="str" cm="1">
        <f t="array" ref="AL9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84">
        <f>IF(HR_Employee_Attrition[[#This Row],[Attrition]]="Yes",1,0)</f>
        <v>0</v>
      </c>
    </row>
    <row r="985" spans="1:39" x14ac:dyDescent="0.3">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c r="AJ985" t="str">
        <f>IF(HR_Employee_Attrition[[#This Row],[Age]]&gt;60,"60+",IF(HR_Employee_Attrition[[#This Row],[Age]]&gt;=50,"50-59",IF(HR_Employee_Attrition[[#This Row],[Age]]&gt;=40,"40-49",IF(HR_Employee_Attrition[[#This Row],[Age]]&gt;=30,"30-39",IF(HR_Employee_Attrition[[#This Row],[Age]]&gt;=20,"20-29",IF(HR_Employee_Attrition[[#This Row],[Age]]&gt;=18,"18-20"))))))</f>
        <v>30-39</v>
      </c>
      <c r="AK985" t="str" cm="1">
        <f t="array" ref="AK985">_xlfn.IFS(HR_Employee_Attrition[[#This Row],[YearsAtCompany]]&lt;=2,"0-2",HR_Employee_Attrition[[#This Row],[YearsAtCompany]]&lt;=5,"3-5",HR_Employee_Attrition[[#This Row],[YearsAtCompany]]&lt;=10,"6-10",HR_Employee_Attrition[[#This Row],[YearsAtCompany]]&gt;10,"10+")</f>
        <v>10+</v>
      </c>
      <c r="AL985" t="str" cm="1">
        <f t="array" ref="AL9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85">
        <f>IF(HR_Employee_Attrition[[#This Row],[Attrition]]="Yes",1,0)</f>
        <v>0</v>
      </c>
    </row>
    <row r="986" spans="1:39" x14ac:dyDescent="0.3">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c r="AJ986" t="str">
        <f>IF(HR_Employee_Attrition[[#This Row],[Age]]&gt;60,"60+",IF(HR_Employee_Attrition[[#This Row],[Age]]&gt;=50,"50-59",IF(HR_Employee_Attrition[[#This Row],[Age]]&gt;=40,"40-49",IF(HR_Employee_Attrition[[#This Row],[Age]]&gt;=30,"30-39",IF(HR_Employee_Attrition[[#This Row],[Age]]&gt;=20,"20-29",IF(HR_Employee_Attrition[[#This Row],[Age]]&gt;=18,"18-20"))))))</f>
        <v>20-29</v>
      </c>
      <c r="AK986" t="str" cm="1">
        <f t="array" ref="AK986">_xlfn.IFS(HR_Employee_Attrition[[#This Row],[YearsAtCompany]]&lt;=2,"0-2",HR_Employee_Attrition[[#This Row],[YearsAtCompany]]&lt;=5,"3-5",HR_Employee_Attrition[[#This Row],[YearsAtCompany]]&lt;=10,"6-10",HR_Employee_Attrition[[#This Row],[YearsAtCompany]]&gt;10,"10+")</f>
        <v>3-5</v>
      </c>
      <c r="AL986" t="str" cm="1">
        <f t="array" ref="AL9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86">
        <f>IF(HR_Employee_Attrition[[#This Row],[Attrition]]="Yes",1,0)</f>
        <v>0</v>
      </c>
    </row>
    <row r="987" spans="1:39" x14ac:dyDescent="0.3">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c r="AJ987" t="str">
        <f>IF(HR_Employee_Attrition[[#This Row],[Age]]&gt;60,"60+",IF(HR_Employee_Attrition[[#This Row],[Age]]&gt;=50,"50-59",IF(HR_Employee_Attrition[[#This Row],[Age]]&gt;=40,"40-49",IF(HR_Employee_Attrition[[#This Row],[Age]]&gt;=30,"30-39",IF(HR_Employee_Attrition[[#This Row],[Age]]&gt;=20,"20-29",IF(HR_Employee_Attrition[[#This Row],[Age]]&gt;=18,"18-20"))))))</f>
        <v>30-39</v>
      </c>
      <c r="AK987" t="str" cm="1">
        <f t="array" ref="AK987">_xlfn.IFS(HR_Employee_Attrition[[#This Row],[YearsAtCompany]]&lt;=2,"0-2",HR_Employee_Attrition[[#This Row],[YearsAtCompany]]&lt;=5,"3-5",HR_Employee_Attrition[[#This Row],[YearsAtCompany]]&lt;=10,"6-10",HR_Employee_Attrition[[#This Row],[YearsAtCompany]]&gt;10,"10+")</f>
        <v>6-10</v>
      </c>
      <c r="AL987" t="str" cm="1">
        <f t="array" ref="AL9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87">
        <f>IF(HR_Employee_Attrition[[#This Row],[Attrition]]="Yes",1,0)</f>
        <v>1</v>
      </c>
    </row>
    <row r="988" spans="1:39" x14ac:dyDescent="0.3">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c r="AJ988" t="str">
        <f>IF(HR_Employee_Attrition[[#This Row],[Age]]&gt;60,"60+",IF(HR_Employee_Attrition[[#This Row],[Age]]&gt;=50,"50-59",IF(HR_Employee_Attrition[[#This Row],[Age]]&gt;=40,"40-49",IF(HR_Employee_Attrition[[#This Row],[Age]]&gt;=30,"30-39",IF(HR_Employee_Attrition[[#This Row],[Age]]&gt;=20,"20-29",IF(HR_Employee_Attrition[[#This Row],[Age]]&gt;=18,"18-20"))))))</f>
        <v>30-39</v>
      </c>
      <c r="AK988" t="str" cm="1">
        <f t="array" ref="AK988">_xlfn.IFS(HR_Employee_Attrition[[#This Row],[YearsAtCompany]]&lt;=2,"0-2",HR_Employee_Attrition[[#This Row],[YearsAtCompany]]&lt;=5,"3-5",HR_Employee_Attrition[[#This Row],[YearsAtCompany]]&lt;=10,"6-10",HR_Employee_Attrition[[#This Row],[YearsAtCompany]]&gt;10,"10+")</f>
        <v>3-5</v>
      </c>
      <c r="AL988" t="str" cm="1">
        <f t="array" ref="AL9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88">
        <f>IF(HR_Employee_Attrition[[#This Row],[Attrition]]="Yes",1,0)</f>
        <v>0</v>
      </c>
    </row>
    <row r="989" spans="1:39" x14ac:dyDescent="0.3">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c r="AJ989" t="str">
        <f>IF(HR_Employee_Attrition[[#This Row],[Age]]&gt;60,"60+",IF(HR_Employee_Attrition[[#This Row],[Age]]&gt;=50,"50-59",IF(HR_Employee_Attrition[[#This Row],[Age]]&gt;=40,"40-49",IF(HR_Employee_Attrition[[#This Row],[Age]]&gt;=30,"30-39",IF(HR_Employee_Attrition[[#This Row],[Age]]&gt;=20,"20-29",IF(HR_Employee_Attrition[[#This Row],[Age]]&gt;=18,"18-20"))))))</f>
        <v>50-59</v>
      </c>
      <c r="AK989" t="str" cm="1">
        <f t="array" ref="AK989">_xlfn.IFS(HR_Employee_Attrition[[#This Row],[YearsAtCompany]]&lt;=2,"0-2",HR_Employee_Attrition[[#This Row],[YearsAtCompany]]&lt;=5,"3-5",HR_Employee_Attrition[[#This Row],[YearsAtCompany]]&lt;=10,"6-10",HR_Employee_Attrition[[#This Row],[YearsAtCompany]]&gt;10,"10+")</f>
        <v>3-5</v>
      </c>
      <c r="AL989" t="str" cm="1">
        <f t="array" ref="AL9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89">
        <f>IF(HR_Employee_Attrition[[#This Row],[Attrition]]="Yes",1,0)</f>
        <v>0</v>
      </c>
    </row>
    <row r="990" spans="1:39" x14ac:dyDescent="0.3">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c r="AJ990" t="str">
        <f>IF(HR_Employee_Attrition[[#This Row],[Age]]&gt;60,"60+",IF(HR_Employee_Attrition[[#This Row],[Age]]&gt;=50,"50-59",IF(HR_Employee_Attrition[[#This Row],[Age]]&gt;=40,"40-49",IF(HR_Employee_Attrition[[#This Row],[Age]]&gt;=30,"30-39",IF(HR_Employee_Attrition[[#This Row],[Age]]&gt;=20,"20-29",IF(HR_Employee_Attrition[[#This Row],[Age]]&gt;=18,"18-20"))))))</f>
        <v>40-49</v>
      </c>
      <c r="AK990" t="str" cm="1">
        <f t="array" ref="AK990">_xlfn.IFS(HR_Employee_Attrition[[#This Row],[YearsAtCompany]]&lt;=2,"0-2",HR_Employee_Attrition[[#This Row],[YearsAtCompany]]&lt;=5,"3-5",HR_Employee_Attrition[[#This Row],[YearsAtCompany]]&lt;=10,"6-10",HR_Employee_Attrition[[#This Row],[YearsAtCompany]]&gt;10,"10+")</f>
        <v>6-10</v>
      </c>
      <c r="AL990" t="str" cm="1">
        <f t="array" ref="AL9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90">
        <f>IF(HR_Employee_Attrition[[#This Row],[Attrition]]="Yes",1,0)</f>
        <v>0</v>
      </c>
    </row>
    <row r="991" spans="1:39" x14ac:dyDescent="0.3">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c r="AJ991" t="str">
        <f>IF(HR_Employee_Attrition[[#This Row],[Age]]&gt;60,"60+",IF(HR_Employee_Attrition[[#This Row],[Age]]&gt;=50,"50-59",IF(HR_Employee_Attrition[[#This Row],[Age]]&gt;=40,"40-49",IF(HR_Employee_Attrition[[#This Row],[Age]]&gt;=30,"30-39",IF(HR_Employee_Attrition[[#This Row],[Age]]&gt;=20,"20-29",IF(HR_Employee_Attrition[[#This Row],[Age]]&gt;=18,"18-20"))))))</f>
        <v>30-39</v>
      </c>
      <c r="AK991" t="str" cm="1">
        <f t="array" ref="AK991">_xlfn.IFS(HR_Employee_Attrition[[#This Row],[YearsAtCompany]]&lt;=2,"0-2",HR_Employee_Attrition[[#This Row],[YearsAtCompany]]&lt;=5,"3-5",HR_Employee_Attrition[[#This Row],[YearsAtCompany]]&lt;=10,"6-10",HR_Employee_Attrition[[#This Row],[YearsAtCompany]]&gt;10,"10+")</f>
        <v>6-10</v>
      </c>
      <c r="AL991" t="str" cm="1">
        <f t="array" ref="AL9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91">
        <f>IF(HR_Employee_Attrition[[#This Row],[Attrition]]="Yes",1,0)</f>
        <v>0</v>
      </c>
    </row>
    <row r="992" spans="1:39" x14ac:dyDescent="0.3">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c r="AJ992" t="str">
        <f>IF(HR_Employee_Attrition[[#This Row],[Age]]&gt;60,"60+",IF(HR_Employee_Attrition[[#This Row],[Age]]&gt;=50,"50-59",IF(HR_Employee_Attrition[[#This Row],[Age]]&gt;=40,"40-49",IF(HR_Employee_Attrition[[#This Row],[Age]]&gt;=30,"30-39",IF(HR_Employee_Attrition[[#This Row],[Age]]&gt;=20,"20-29",IF(HR_Employee_Attrition[[#This Row],[Age]]&gt;=18,"18-20"))))))</f>
        <v>30-39</v>
      </c>
      <c r="AK992" t="str" cm="1">
        <f t="array" ref="AK992">_xlfn.IFS(HR_Employee_Attrition[[#This Row],[YearsAtCompany]]&lt;=2,"0-2",HR_Employee_Attrition[[#This Row],[YearsAtCompany]]&lt;=5,"3-5",HR_Employee_Attrition[[#This Row],[YearsAtCompany]]&lt;=10,"6-10",HR_Employee_Attrition[[#This Row],[YearsAtCompany]]&gt;10,"10+")</f>
        <v>3-5</v>
      </c>
      <c r="AL992" t="str" cm="1">
        <f t="array" ref="AL9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92">
        <f>IF(HR_Employee_Attrition[[#This Row],[Attrition]]="Yes",1,0)</f>
        <v>0</v>
      </c>
    </row>
    <row r="993" spans="1:39" x14ac:dyDescent="0.3">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c r="AJ993" t="str">
        <f>IF(HR_Employee_Attrition[[#This Row],[Age]]&gt;60,"60+",IF(HR_Employee_Attrition[[#This Row],[Age]]&gt;=50,"50-59",IF(HR_Employee_Attrition[[#This Row],[Age]]&gt;=40,"40-49",IF(HR_Employee_Attrition[[#This Row],[Age]]&gt;=30,"30-39",IF(HR_Employee_Attrition[[#This Row],[Age]]&gt;=20,"20-29",IF(HR_Employee_Attrition[[#This Row],[Age]]&gt;=18,"18-20"))))))</f>
        <v>30-39</v>
      </c>
      <c r="AK993" t="str" cm="1">
        <f t="array" ref="AK993">_xlfn.IFS(HR_Employee_Attrition[[#This Row],[YearsAtCompany]]&lt;=2,"0-2",HR_Employee_Attrition[[#This Row],[YearsAtCompany]]&lt;=5,"3-5",HR_Employee_Attrition[[#This Row],[YearsAtCompany]]&lt;=10,"6-10",HR_Employee_Attrition[[#This Row],[YearsAtCompany]]&gt;10,"10+")</f>
        <v>3-5</v>
      </c>
      <c r="AL993" t="str" cm="1">
        <f t="array" ref="AL9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93">
        <f>IF(HR_Employee_Attrition[[#This Row],[Attrition]]="Yes",1,0)</f>
        <v>0</v>
      </c>
    </row>
    <row r="994" spans="1:39" x14ac:dyDescent="0.3">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c r="AJ994" t="str">
        <f>IF(HR_Employee_Attrition[[#This Row],[Age]]&gt;60,"60+",IF(HR_Employee_Attrition[[#This Row],[Age]]&gt;=50,"50-59",IF(HR_Employee_Attrition[[#This Row],[Age]]&gt;=40,"40-49",IF(HR_Employee_Attrition[[#This Row],[Age]]&gt;=30,"30-39",IF(HR_Employee_Attrition[[#This Row],[Age]]&gt;=20,"20-29",IF(HR_Employee_Attrition[[#This Row],[Age]]&gt;=18,"18-20"))))))</f>
        <v>30-39</v>
      </c>
      <c r="AK994" t="str" cm="1">
        <f t="array" ref="AK994">_xlfn.IFS(HR_Employee_Attrition[[#This Row],[YearsAtCompany]]&lt;=2,"0-2",HR_Employee_Attrition[[#This Row],[YearsAtCompany]]&lt;=5,"3-5",HR_Employee_Attrition[[#This Row],[YearsAtCompany]]&lt;=10,"6-10",HR_Employee_Attrition[[#This Row],[YearsAtCompany]]&gt;10,"10+")</f>
        <v>6-10</v>
      </c>
      <c r="AL994" t="str" cm="1">
        <f t="array" ref="AL9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94">
        <f>IF(HR_Employee_Attrition[[#This Row],[Attrition]]="Yes",1,0)</f>
        <v>0</v>
      </c>
    </row>
    <row r="995" spans="1:39" x14ac:dyDescent="0.3">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c r="AJ995" t="str">
        <f>IF(HR_Employee_Attrition[[#This Row],[Age]]&gt;60,"60+",IF(HR_Employee_Attrition[[#This Row],[Age]]&gt;=50,"50-59",IF(HR_Employee_Attrition[[#This Row],[Age]]&gt;=40,"40-49",IF(HR_Employee_Attrition[[#This Row],[Age]]&gt;=30,"30-39",IF(HR_Employee_Attrition[[#This Row],[Age]]&gt;=20,"20-29",IF(HR_Employee_Attrition[[#This Row],[Age]]&gt;=18,"18-20"))))))</f>
        <v>20-29</v>
      </c>
      <c r="AK995" t="str" cm="1">
        <f t="array" ref="AK995">_xlfn.IFS(HR_Employee_Attrition[[#This Row],[YearsAtCompany]]&lt;=2,"0-2",HR_Employee_Attrition[[#This Row],[YearsAtCompany]]&lt;=5,"3-5",HR_Employee_Attrition[[#This Row],[YearsAtCompany]]&lt;=10,"6-10",HR_Employee_Attrition[[#This Row],[YearsAtCompany]]&gt;10,"10+")</f>
        <v>3-5</v>
      </c>
      <c r="AL995" t="str" cm="1">
        <f t="array" ref="AL9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95">
        <f>IF(HR_Employee_Attrition[[#This Row],[Attrition]]="Yes",1,0)</f>
        <v>0</v>
      </c>
    </row>
    <row r="996" spans="1:39" x14ac:dyDescent="0.3">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c r="AJ996" t="str">
        <f>IF(HR_Employee_Attrition[[#This Row],[Age]]&gt;60,"60+",IF(HR_Employee_Attrition[[#This Row],[Age]]&gt;=50,"50-59",IF(HR_Employee_Attrition[[#This Row],[Age]]&gt;=40,"40-49",IF(HR_Employee_Attrition[[#This Row],[Age]]&gt;=30,"30-39",IF(HR_Employee_Attrition[[#This Row],[Age]]&gt;=20,"20-29",IF(HR_Employee_Attrition[[#This Row],[Age]]&gt;=18,"18-20"))))))</f>
        <v>50-59</v>
      </c>
      <c r="AK996" t="str" cm="1">
        <f t="array" ref="AK996">_xlfn.IFS(HR_Employee_Attrition[[#This Row],[YearsAtCompany]]&lt;=2,"0-2",HR_Employee_Attrition[[#This Row],[YearsAtCompany]]&lt;=5,"3-5",HR_Employee_Attrition[[#This Row],[YearsAtCompany]]&lt;=10,"6-10",HR_Employee_Attrition[[#This Row],[YearsAtCompany]]&gt;10,"10+")</f>
        <v>3-5</v>
      </c>
      <c r="AL996" t="str" cm="1">
        <f t="array" ref="AL9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96">
        <f>IF(HR_Employee_Attrition[[#This Row],[Attrition]]="Yes",1,0)</f>
        <v>0</v>
      </c>
    </row>
    <row r="997" spans="1:39" x14ac:dyDescent="0.3">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c r="AJ997" t="str">
        <f>IF(HR_Employee_Attrition[[#This Row],[Age]]&gt;60,"60+",IF(HR_Employee_Attrition[[#This Row],[Age]]&gt;=50,"50-59",IF(HR_Employee_Attrition[[#This Row],[Age]]&gt;=40,"40-49",IF(HR_Employee_Attrition[[#This Row],[Age]]&gt;=30,"30-39",IF(HR_Employee_Attrition[[#This Row],[Age]]&gt;=20,"20-29",IF(HR_Employee_Attrition[[#This Row],[Age]]&gt;=18,"18-20"))))))</f>
        <v>40-49</v>
      </c>
      <c r="AK997" t="str" cm="1">
        <f t="array" ref="AK997">_xlfn.IFS(HR_Employee_Attrition[[#This Row],[YearsAtCompany]]&lt;=2,"0-2",HR_Employee_Attrition[[#This Row],[YearsAtCompany]]&lt;=5,"3-5",HR_Employee_Attrition[[#This Row],[YearsAtCompany]]&lt;=10,"6-10",HR_Employee_Attrition[[#This Row],[YearsAtCompany]]&gt;10,"10+")</f>
        <v>10+</v>
      </c>
      <c r="AL997" t="str" cm="1">
        <f t="array" ref="AL9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97">
        <f>IF(HR_Employee_Attrition[[#This Row],[Attrition]]="Yes",1,0)</f>
        <v>0</v>
      </c>
    </row>
    <row r="998" spans="1:39" x14ac:dyDescent="0.3">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c r="AJ998" t="str">
        <f>IF(HR_Employee_Attrition[[#This Row],[Age]]&gt;60,"60+",IF(HR_Employee_Attrition[[#This Row],[Age]]&gt;=50,"50-59",IF(HR_Employee_Attrition[[#This Row],[Age]]&gt;=40,"40-49",IF(HR_Employee_Attrition[[#This Row],[Age]]&gt;=30,"30-39",IF(HR_Employee_Attrition[[#This Row],[Age]]&gt;=20,"20-29",IF(HR_Employee_Attrition[[#This Row],[Age]]&gt;=18,"18-20"))))))</f>
        <v>20-29</v>
      </c>
      <c r="AK998" t="str" cm="1">
        <f t="array" ref="AK998">_xlfn.IFS(HR_Employee_Attrition[[#This Row],[YearsAtCompany]]&lt;=2,"0-2",HR_Employee_Attrition[[#This Row],[YearsAtCompany]]&lt;=5,"3-5",HR_Employee_Attrition[[#This Row],[YearsAtCompany]]&lt;=10,"6-10",HR_Employee_Attrition[[#This Row],[YearsAtCompany]]&gt;10,"10+")</f>
        <v>6-10</v>
      </c>
      <c r="AL998" t="str" cm="1">
        <f t="array" ref="AL9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98">
        <f>IF(HR_Employee_Attrition[[#This Row],[Attrition]]="Yes",1,0)</f>
        <v>0</v>
      </c>
    </row>
    <row r="999" spans="1:39" x14ac:dyDescent="0.3">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c r="AJ999" t="str">
        <f>IF(HR_Employee_Attrition[[#This Row],[Age]]&gt;60,"60+",IF(HR_Employee_Attrition[[#This Row],[Age]]&gt;=50,"50-59",IF(HR_Employee_Attrition[[#This Row],[Age]]&gt;=40,"40-49",IF(HR_Employee_Attrition[[#This Row],[Age]]&gt;=30,"30-39",IF(HR_Employee_Attrition[[#This Row],[Age]]&gt;=20,"20-29",IF(HR_Employee_Attrition[[#This Row],[Age]]&gt;=18,"18-20"))))))</f>
        <v>20-29</v>
      </c>
      <c r="AK999" t="str" cm="1">
        <f t="array" ref="AK999">_xlfn.IFS(HR_Employee_Attrition[[#This Row],[YearsAtCompany]]&lt;=2,"0-2",HR_Employee_Attrition[[#This Row],[YearsAtCompany]]&lt;=5,"3-5",HR_Employee_Attrition[[#This Row],[YearsAtCompany]]&lt;=10,"6-10",HR_Employee_Attrition[[#This Row],[YearsAtCompany]]&gt;10,"10+")</f>
        <v>6-10</v>
      </c>
      <c r="AL999" t="str" cm="1">
        <f t="array" ref="AL9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99">
        <f>IF(HR_Employee_Attrition[[#This Row],[Attrition]]="Yes",1,0)</f>
        <v>1</v>
      </c>
    </row>
    <row r="1000" spans="1:39" x14ac:dyDescent="0.3">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c r="AJ1000" t="str">
        <f>IF(HR_Employee_Attrition[[#This Row],[Age]]&gt;60,"60+",IF(HR_Employee_Attrition[[#This Row],[Age]]&gt;=50,"50-59",IF(HR_Employee_Attrition[[#This Row],[Age]]&gt;=40,"40-49",IF(HR_Employee_Attrition[[#This Row],[Age]]&gt;=30,"30-39",IF(HR_Employee_Attrition[[#This Row],[Age]]&gt;=20,"20-29",IF(HR_Employee_Attrition[[#This Row],[Age]]&gt;=18,"18-20"))))))</f>
        <v>20-29</v>
      </c>
      <c r="AK1000" t="str" cm="1">
        <f t="array" ref="AK1000">_xlfn.IFS(HR_Employee_Attrition[[#This Row],[YearsAtCompany]]&lt;=2,"0-2",HR_Employee_Attrition[[#This Row],[YearsAtCompany]]&lt;=5,"3-5",HR_Employee_Attrition[[#This Row],[YearsAtCompany]]&lt;=10,"6-10",HR_Employee_Attrition[[#This Row],[YearsAtCompany]]&gt;10,"10+")</f>
        <v>3-5</v>
      </c>
      <c r="AL1000" t="str" cm="1">
        <f t="array" ref="AL10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00">
        <f>IF(HR_Employee_Attrition[[#This Row],[Attrition]]="Yes",1,0)</f>
        <v>0</v>
      </c>
    </row>
    <row r="1001" spans="1:39" x14ac:dyDescent="0.3">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c r="AJ1001" t="str">
        <f>IF(HR_Employee_Attrition[[#This Row],[Age]]&gt;60,"60+",IF(HR_Employee_Attrition[[#This Row],[Age]]&gt;=50,"50-59",IF(HR_Employee_Attrition[[#This Row],[Age]]&gt;=40,"40-49",IF(HR_Employee_Attrition[[#This Row],[Age]]&gt;=30,"30-39",IF(HR_Employee_Attrition[[#This Row],[Age]]&gt;=20,"20-29",IF(HR_Employee_Attrition[[#This Row],[Age]]&gt;=18,"18-20"))))))</f>
        <v>40-49</v>
      </c>
      <c r="AK1001" t="str" cm="1">
        <f t="array" ref="AK1001">_xlfn.IFS(HR_Employee_Attrition[[#This Row],[YearsAtCompany]]&lt;=2,"0-2",HR_Employee_Attrition[[#This Row],[YearsAtCompany]]&lt;=5,"3-5",HR_Employee_Attrition[[#This Row],[YearsAtCompany]]&lt;=10,"6-10",HR_Employee_Attrition[[#This Row],[YearsAtCompany]]&gt;10,"10+")</f>
        <v>10+</v>
      </c>
      <c r="AL1001" t="str" cm="1">
        <f t="array" ref="AL10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01">
        <f>IF(HR_Employee_Attrition[[#This Row],[Attrition]]="Yes",1,0)</f>
        <v>0</v>
      </c>
    </row>
    <row r="1002" spans="1:39" x14ac:dyDescent="0.3">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c r="AJ1002" t="str">
        <f>IF(HR_Employee_Attrition[[#This Row],[Age]]&gt;60,"60+",IF(HR_Employee_Attrition[[#This Row],[Age]]&gt;=50,"50-59",IF(HR_Employee_Attrition[[#This Row],[Age]]&gt;=40,"40-49",IF(HR_Employee_Attrition[[#This Row],[Age]]&gt;=30,"30-39",IF(HR_Employee_Attrition[[#This Row],[Age]]&gt;=20,"20-29",IF(HR_Employee_Attrition[[#This Row],[Age]]&gt;=18,"18-20"))))))</f>
        <v>50-59</v>
      </c>
      <c r="AK1002" t="str" cm="1">
        <f t="array" ref="AK1002">_xlfn.IFS(HR_Employee_Attrition[[#This Row],[YearsAtCompany]]&lt;=2,"0-2",HR_Employee_Attrition[[#This Row],[YearsAtCompany]]&lt;=5,"3-5",HR_Employee_Attrition[[#This Row],[YearsAtCompany]]&lt;=10,"6-10",HR_Employee_Attrition[[#This Row],[YearsAtCompany]]&gt;10,"10+")</f>
        <v>3-5</v>
      </c>
      <c r="AL1002" t="str" cm="1">
        <f t="array" ref="AL10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02">
        <f>IF(HR_Employee_Attrition[[#This Row],[Attrition]]="Yes",1,0)</f>
        <v>0</v>
      </c>
    </row>
    <row r="1003" spans="1:39" x14ac:dyDescent="0.3">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c r="AJ1003" t="str">
        <f>IF(HR_Employee_Attrition[[#This Row],[Age]]&gt;60,"60+",IF(HR_Employee_Attrition[[#This Row],[Age]]&gt;=50,"50-59",IF(HR_Employee_Attrition[[#This Row],[Age]]&gt;=40,"40-49",IF(HR_Employee_Attrition[[#This Row],[Age]]&gt;=30,"30-39",IF(HR_Employee_Attrition[[#This Row],[Age]]&gt;=20,"20-29",IF(HR_Employee_Attrition[[#This Row],[Age]]&gt;=18,"18-20"))))))</f>
        <v>30-39</v>
      </c>
      <c r="AK1003" t="str" cm="1">
        <f t="array" ref="AK1003">_xlfn.IFS(HR_Employee_Attrition[[#This Row],[YearsAtCompany]]&lt;=2,"0-2",HR_Employee_Attrition[[#This Row],[YearsAtCompany]]&lt;=5,"3-5",HR_Employee_Attrition[[#This Row],[YearsAtCompany]]&lt;=10,"6-10",HR_Employee_Attrition[[#This Row],[YearsAtCompany]]&gt;10,"10+")</f>
        <v>3-5</v>
      </c>
      <c r="AL1003" t="str" cm="1">
        <f t="array" ref="AL10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03">
        <f>IF(HR_Employee_Attrition[[#This Row],[Attrition]]="Yes",1,0)</f>
        <v>0</v>
      </c>
    </row>
    <row r="1004" spans="1:39" x14ac:dyDescent="0.3">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c r="AJ1004" t="str">
        <f>IF(HR_Employee_Attrition[[#This Row],[Age]]&gt;60,"60+",IF(HR_Employee_Attrition[[#This Row],[Age]]&gt;=50,"50-59",IF(HR_Employee_Attrition[[#This Row],[Age]]&gt;=40,"40-49",IF(HR_Employee_Attrition[[#This Row],[Age]]&gt;=30,"30-39",IF(HR_Employee_Attrition[[#This Row],[Age]]&gt;=20,"20-29",IF(HR_Employee_Attrition[[#This Row],[Age]]&gt;=18,"18-20"))))))</f>
        <v>30-39</v>
      </c>
      <c r="AK1004" t="str" cm="1">
        <f t="array" ref="AK1004">_xlfn.IFS(HR_Employee_Attrition[[#This Row],[YearsAtCompany]]&lt;=2,"0-2",HR_Employee_Attrition[[#This Row],[YearsAtCompany]]&lt;=5,"3-5",HR_Employee_Attrition[[#This Row],[YearsAtCompany]]&lt;=10,"6-10",HR_Employee_Attrition[[#This Row],[YearsAtCompany]]&gt;10,"10+")</f>
        <v>0-2</v>
      </c>
      <c r="AL1004" t="str" cm="1">
        <f t="array" ref="AL10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04">
        <f>IF(HR_Employee_Attrition[[#This Row],[Attrition]]="Yes",1,0)</f>
        <v>0</v>
      </c>
    </row>
    <row r="1005" spans="1:39" x14ac:dyDescent="0.3">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c r="AJ1005" t="str">
        <f>IF(HR_Employee_Attrition[[#This Row],[Age]]&gt;60,"60+",IF(HR_Employee_Attrition[[#This Row],[Age]]&gt;=50,"50-59",IF(HR_Employee_Attrition[[#This Row],[Age]]&gt;=40,"40-49",IF(HR_Employee_Attrition[[#This Row],[Age]]&gt;=30,"30-39",IF(HR_Employee_Attrition[[#This Row],[Age]]&gt;=20,"20-29",IF(HR_Employee_Attrition[[#This Row],[Age]]&gt;=18,"18-20"))))))</f>
        <v>20-29</v>
      </c>
      <c r="AK1005" t="str" cm="1">
        <f t="array" ref="AK1005">_xlfn.IFS(HR_Employee_Attrition[[#This Row],[YearsAtCompany]]&lt;=2,"0-2",HR_Employee_Attrition[[#This Row],[YearsAtCompany]]&lt;=5,"3-5",HR_Employee_Attrition[[#This Row],[YearsAtCompany]]&lt;=10,"6-10",HR_Employee_Attrition[[#This Row],[YearsAtCompany]]&gt;10,"10+")</f>
        <v>3-5</v>
      </c>
      <c r="AL1005" t="str" cm="1">
        <f t="array" ref="AL10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05">
        <f>IF(HR_Employee_Attrition[[#This Row],[Attrition]]="Yes",1,0)</f>
        <v>0</v>
      </c>
    </row>
    <row r="1006" spans="1:39" x14ac:dyDescent="0.3">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c r="AJ1006" t="str">
        <f>IF(HR_Employee_Attrition[[#This Row],[Age]]&gt;60,"60+",IF(HR_Employee_Attrition[[#This Row],[Age]]&gt;=50,"50-59",IF(HR_Employee_Attrition[[#This Row],[Age]]&gt;=40,"40-49",IF(HR_Employee_Attrition[[#This Row],[Age]]&gt;=30,"30-39",IF(HR_Employee_Attrition[[#This Row],[Age]]&gt;=20,"20-29",IF(HR_Employee_Attrition[[#This Row],[Age]]&gt;=18,"18-20"))))))</f>
        <v>20-29</v>
      </c>
      <c r="AK1006" t="str" cm="1">
        <f t="array" ref="AK1006">_xlfn.IFS(HR_Employee_Attrition[[#This Row],[YearsAtCompany]]&lt;=2,"0-2",HR_Employee_Attrition[[#This Row],[YearsAtCompany]]&lt;=5,"3-5",HR_Employee_Attrition[[#This Row],[YearsAtCompany]]&lt;=10,"6-10",HR_Employee_Attrition[[#This Row],[YearsAtCompany]]&gt;10,"10+")</f>
        <v>6-10</v>
      </c>
      <c r="AL1006" t="str" cm="1">
        <f t="array" ref="AL10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06">
        <f>IF(HR_Employee_Attrition[[#This Row],[Attrition]]="Yes",1,0)</f>
        <v>0</v>
      </c>
    </row>
    <row r="1007" spans="1:39" x14ac:dyDescent="0.3">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c r="AJ1007" t="str">
        <f>IF(HR_Employee_Attrition[[#This Row],[Age]]&gt;60,"60+",IF(HR_Employee_Attrition[[#This Row],[Age]]&gt;=50,"50-59",IF(HR_Employee_Attrition[[#This Row],[Age]]&gt;=40,"40-49",IF(HR_Employee_Attrition[[#This Row],[Age]]&gt;=30,"30-39",IF(HR_Employee_Attrition[[#This Row],[Age]]&gt;=20,"20-29",IF(HR_Employee_Attrition[[#This Row],[Age]]&gt;=18,"18-20"))))))</f>
        <v>20-29</v>
      </c>
      <c r="AK1007" t="str" cm="1">
        <f t="array" ref="AK1007">_xlfn.IFS(HR_Employee_Attrition[[#This Row],[YearsAtCompany]]&lt;=2,"0-2",HR_Employee_Attrition[[#This Row],[YearsAtCompany]]&lt;=5,"3-5",HR_Employee_Attrition[[#This Row],[YearsAtCompany]]&lt;=10,"6-10",HR_Employee_Attrition[[#This Row],[YearsAtCompany]]&gt;10,"10+")</f>
        <v>6-10</v>
      </c>
      <c r="AL1007" t="str" cm="1">
        <f t="array" ref="AL10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07">
        <f>IF(HR_Employee_Attrition[[#This Row],[Attrition]]="Yes",1,0)</f>
        <v>0</v>
      </c>
    </row>
    <row r="1008" spans="1:39" x14ac:dyDescent="0.3">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c r="AJ1008" t="str">
        <f>IF(HR_Employee_Attrition[[#This Row],[Age]]&gt;60,"60+",IF(HR_Employee_Attrition[[#This Row],[Age]]&gt;=50,"50-59",IF(HR_Employee_Attrition[[#This Row],[Age]]&gt;=40,"40-49",IF(HR_Employee_Attrition[[#This Row],[Age]]&gt;=30,"30-39",IF(HR_Employee_Attrition[[#This Row],[Age]]&gt;=20,"20-29",IF(HR_Employee_Attrition[[#This Row],[Age]]&gt;=18,"18-20"))))))</f>
        <v>40-49</v>
      </c>
      <c r="AK1008" t="str" cm="1">
        <f t="array" ref="AK1008">_xlfn.IFS(HR_Employee_Attrition[[#This Row],[YearsAtCompany]]&lt;=2,"0-2",HR_Employee_Attrition[[#This Row],[YearsAtCompany]]&lt;=5,"3-5",HR_Employee_Attrition[[#This Row],[YearsAtCompany]]&lt;=10,"6-10",HR_Employee_Attrition[[#This Row],[YearsAtCompany]]&gt;10,"10+")</f>
        <v>3-5</v>
      </c>
      <c r="AL1008" t="str" cm="1">
        <f t="array" ref="AL10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08">
        <f>IF(HR_Employee_Attrition[[#This Row],[Attrition]]="Yes",1,0)</f>
        <v>1</v>
      </c>
    </row>
    <row r="1009" spans="1:39" x14ac:dyDescent="0.3">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c r="AJ1009" t="str">
        <f>IF(HR_Employee_Attrition[[#This Row],[Age]]&gt;60,"60+",IF(HR_Employee_Attrition[[#This Row],[Age]]&gt;=50,"50-59",IF(HR_Employee_Attrition[[#This Row],[Age]]&gt;=40,"40-49",IF(HR_Employee_Attrition[[#This Row],[Age]]&gt;=30,"30-39",IF(HR_Employee_Attrition[[#This Row],[Age]]&gt;=20,"20-29",IF(HR_Employee_Attrition[[#This Row],[Age]]&gt;=18,"18-20"))))))</f>
        <v>20-29</v>
      </c>
      <c r="AK1009" t="str" cm="1">
        <f t="array" ref="AK1009">_xlfn.IFS(HR_Employee_Attrition[[#This Row],[YearsAtCompany]]&lt;=2,"0-2",HR_Employee_Attrition[[#This Row],[YearsAtCompany]]&lt;=5,"3-5",HR_Employee_Attrition[[#This Row],[YearsAtCompany]]&lt;=10,"6-10",HR_Employee_Attrition[[#This Row],[YearsAtCompany]]&gt;10,"10+")</f>
        <v>6-10</v>
      </c>
      <c r="AL1009" t="str" cm="1">
        <f t="array" ref="AL10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09">
        <f>IF(HR_Employee_Attrition[[#This Row],[Attrition]]="Yes",1,0)</f>
        <v>1</v>
      </c>
    </row>
    <row r="1010" spans="1:39" x14ac:dyDescent="0.3">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c r="AJ1010" t="str">
        <f>IF(HR_Employee_Attrition[[#This Row],[Age]]&gt;60,"60+",IF(HR_Employee_Attrition[[#This Row],[Age]]&gt;=50,"50-59",IF(HR_Employee_Attrition[[#This Row],[Age]]&gt;=40,"40-49",IF(HR_Employee_Attrition[[#This Row],[Age]]&gt;=30,"30-39",IF(HR_Employee_Attrition[[#This Row],[Age]]&gt;=20,"20-29",IF(HR_Employee_Attrition[[#This Row],[Age]]&gt;=18,"18-20"))))))</f>
        <v>50-59</v>
      </c>
      <c r="AK1010" t="str" cm="1">
        <f t="array" ref="AK1010">_xlfn.IFS(HR_Employee_Attrition[[#This Row],[YearsAtCompany]]&lt;=2,"0-2",HR_Employee_Attrition[[#This Row],[YearsAtCompany]]&lt;=5,"3-5",HR_Employee_Attrition[[#This Row],[YearsAtCompany]]&lt;=10,"6-10",HR_Employee_Attrition[[#This Row],[YearsAtCompany]]&gt;10,"10+")</f>
        <v>10+</v>
      </c>
      <c r="AL1010" t="str" cm="1">
        <f t="array" ref="AL10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10">
        <f>IF(HR_Employee_Attrition[[#This Row],[Attrition]]="Yes",1,0)</f>
        <v>0</v>
      </c>
    </row>
    <row r="1011" spans="1:39" x14ac:dyDescent="0.3">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c r="AJ1011" t="str">
        <f>IF(HR_Employee_Attrition[[#This Row],[Age]]&gt;60,"60+",IF(HR_Employee_Attrition[[#This Row],[Age]]&gt;=50,"50-59",IF(HR_Employee_Attrition[[#This Row],[Age]]&gt;=40,"40-49",IF(HR_Employee_Attrition[[#This Row],[Age]]&gt;=30,"30-39",IF(HR_Employee_Attrition[[#This Row],[Age]]&gt;=20,"20-29",IF(HR_Employee_Attrition[[#This Row],[Age]]&gt;=18,"18-20"))))))</f>
        <v>50-59</v>
      </c>
      <c r="AK1011" t="str" cm="1">
        <f t="array" ref="AK1011">_xlfn.IFS(HR_Employee_Attrition[[#This Row],[YearsAtCompany]]&lt;=2,"0-2",HR_Employee_Attrition[[#This Row],[YearsAtCompany]]&lt;=5,"3-5",HR_Employee_Attrition[[#This Row],[YearsAtCompany]]&lt;=10,"6-10",HR_Employee_Attrition[[#This Row],[YearsAtCompany]]&gt;10,"10+")</f>
        <v>6-10</v>
      </c>
      <c r="AL1011" t="str" cm="1">
        <f t="array" ref="AL10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11">
        <f>IF(HR_Employee_Attrition[[#This Row],[Attrition]]="Yes",1,0)</f>
        <v>0</v>
      </c>
    </row>
    <row r="1012" spans="1:39" x14ac:dyDescent="0.3">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c r="AJ1012" t="str">
        <f>IF(HR_Employee_Attrition[[#This Row],[Age]]&gt;60,"60+",IF(HR_Employee_Attrition[[#This Row],[Age]]&gt;=50,"50-59",IF(HR_Employee_Attrition[[#This Row],[Age]]&gt;=40,"40-49",IF(HR_Employee_Attrition[[#This Row],[Age]]&gt;=30,"30-39",IF(HR_Employee_Attrition[[#This Row],[Age]]&gt;=20,"20-29",IF(HR_Employee_Attrition[[#This Row],[Age]]&gt;=18,"18-20"))))))</f>
        <v>50-59</v>
      </c>
      <c r="AK1012" t="str" cm="1">
        <f t="array" ref="AK1012">_xlfn.IFS(HR_Employee_Attrition[[#This Row],[YearsAtCompany]]&lt;=2,"0-2",HR_Employee_Attrition[[#This Row],[YearsAtCompany]]&lt;=5,"3-5",HR_Employee_Attrition[[#This Row],[YearsAtCompany]]&lt;=10,"6-10",HR_Employee_Attrition[[#This Row],[YearsAtCompany]]&gt;10,"10+")</f>
        <v>6-10</v>
      </c>
      <c r="AL1012" t="str" cm="1">
        <f t="array" ref="AL10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12">
        <f>IF(HR_Employee_Attrition[[#This Row],[Attrition]]="Yes",1,0)</f>
        <v>0</v>
      </c>
    </row>
    <row r="1013" spans="1:39" x14ac:dyDescent="0.3">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c r="AJ1013" t="str">
        <f>IF(HR_Employee_Attrition[[#This Row],[Age]]&gt;60,"60+",IF(HR_Employee_Attrition[[#This Row],[Age]]&gt;=50,"50-59",IF(HR_Employee_Attrition[[#This Row],[Age]]&gt;=40,"40-49",IF(HR_Employee_Attrition[[#This Row],[Age]]&gt;=30,"30-39",IF(HR_Employee_Attrition[[#This Row],[Age]]&gt;=20,"20-29",IF(HR_Employee_Attrition[[#This Row],[Age]]&gt;=18,"18-20"))))))</f>
        <v>30-39</v>
      </c>
      <c r="AK1013" t="str" cm="1">
        <f t="array" ref="AK1013">_xlfn.IFS(HR_Employee_Attrition[[#This Row],[YearsAtCompany]]&lt;=2,"0-2",HR_Employee_Attrition[[#This Row],[YearsAtCompany]]&lt;=5,"3-5",HR_Employee_Attrition[[#This Row],[YearsAtCompany]]&lt;=10,"6-10",HR_Employee_Attrition[[#This Row],[YearsAtCompany]]&gt;10,"10+")</f>
        <v>3-5</v>
      </c>
      <c r="AL1013" t="str" cm="1">
        <f t="array" ref="AL10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13">
        <f>IF(HR_Employee_Attrition[[#This Row],[Attrition]]="Yes",1,0)</f>
        <v>0</v>
      </c>
    </row>
    <row r="1014" spans="1:39" x14ac:dyDescent="0.3">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c r="AJ1014" t="str">
        <f>IF(HR_Employee_Attrition[[#This Row],[Age]]&gt;60,"60+",IF(HR_Employee_Attrition[[#This Row],[Age]]&gt;=50,"50-59",IF(HR_Employee_Attrition[[#This Row],[Age]]&gt;=40,"40-49",IF(HR_Employee_Attrition[[#This Row],[Age]]&gt;=30,"30-39",IF(HR_Employee_Attrition[[#This Row],[Age]]&gt;=20,"20-29",IF(HR_Employee_Attrition[[#This Row],[Age]]&gt;=18,"18-20"))))))</f>
        <v>30-39</v>
      </c>
      <c r="AK1014" t="str" cm="1">
        <f t="array" ref="AK1014">_xlfn.IFS(HR_Employee_Attrition[[#This Row],[YearsAtCompany]]&lt;=2,"0-2",HR_Employee_Attrition[[#This Row],[YearsAtCompany]]&lt;=5,"3-5",HR_Employee_Attrition[[#This Row],[YearsAtCompany]]&lt;=10,"6-10",HR_Employee_Attrition[[#This Row],[YearsAtCompany]]&gt;10,"10+")</f>
        <v>0-2</v>
      </c>
      <c r="AL1014" t="str" cm="1">
        <f t="array" ref="AL10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14">
        <f>IF(HR_Employee_Attrition[[#This Row],[Attrition]]="Yes",1,0)</f>
        <v>1</v>
      </c>
    </row>
    <row r="1015" spans="1:39" x14ac:dyDescent="0.3">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c r="AJ1015" t="str">
        <f>IF(HR_Employee_Attrition[[#This Row],[Age]]&gt;60,"60+",IF(HR_Employee_Attrition[[#This Row],[Age]]&gt;=50,"50-59",IF(HR_Employee_Attrition[[#This Row],[Age]]&gt;=40,"40-49",IF(HR_Employee_Attrition[[#This Row],[Age]]&gt;=30,"30-39",IF(HR_Employee_Attrition[[#This Row],[Age]]&gt;=20,"20-29",IF(HR_Employee_Attrition[[#This Row],[Age]]&gt;=18,"18-20"))))))</f>
        <v>30-39</v>
      </c>
      <c r="AK1015" t="str" cm="1">
        <f t="array" ref="AK1015">_xlfn.IFS(HR_Employee_Attrition[[#This Row],[YearsAtCompany]]&lt;=2,"0-2",HR_Employee_Attrition[[#This Row],[YearsAtCompany]]&lt;=5,"3-5",HR_Employee_Attrition[[#This Row],[YearsAtCompany]]&lt;=10,"6-10",HR_Employee_Attrition[[#This Row],[YearsAtCompany]]&gt;10,"10+")</f>
        <v>3-5</v>
      </c>
      <c r="AL1015" t="str" cm="1">
        <f t="array" ref="AL10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15">
        <f>IF(HR_Employee_Attrition[[#This Row],[Attrition]]="Yes",1,0)</f>
        <v>0</v>
      </c>
    </row>
    <row r="1016" spans="1:39" x14ac:dyDescent="0.3">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c r="AJ1016" t="str">
        <f>IF(HR_Employee_Attrition[[#This Row],[Age]]&gt;60,"60+",IF(HR_Employee_Attrition[[#This Row],[Age]]&gt;=50,"50-59",IF(HR_Employee_Attrition[[#This Row],[Age]]&gt;=40,"40-49",IF(HR_Employee_Attrition[[#This Row],[Age]]&gt;=30,"30-39",IF(HR_Employee_Attrition[[#This Row],[Age]]&gt;=20,"20-29",IF(HR_Employee_Attrition[[#This Row],[Age]]&gt;=18,"18-20"))))))</f>
        <v>30-39</v>
      </c>
      <c r="AK1016" t="str" cm="1">
        <f t="array" ref="AK1016">_xlfn.IFS(HR_Employee_Attrition[[#This Row],[YearsAtCompany]]&lt;=2,"0-2",HR_Employee_Attrition[[#This Row],[YearsAtCompany]]&lt;=5,"3-5",HR_Employee_Attrition[[#This Row],[YearsAtCompany]]&lt;=10,"6-10",HR_Employee_Attrition[[#This Row],[YearsAtCompany]]&gt;10,"10+")</f>
        <v>3-5</v>
      </c>
      <c r="AL1016" t="str" cm="1">
        <f t="array" ref="AL10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16">
        <f>IF(HR_Employee_Attrition[[#This Row],[Attrition]]="Yes",1,0)</f>
        <v>0</v>
      </c>
    </row>
    <row r="1017" spans="1:39" x14ac:dyDescent="0.3">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c r="AJ1017" t="str">
        <f>IF(HR_Employee_Attrition[[#This Row],[Age]]&gt;60,"60+",IF(HR_Employee_Attrition[[#This Row],[Age]]&gt;=50,"50-59",IF(HR_Employee_Attrition[[#This Row],[Age]]&gt;=40,"40-49",IF(HR_Employee_Attrition[[#This Row],[Age]]&gt;=30,"30-39",IF(HR_Employee_Attrition[[#This Row],[Age]]&gt;=20,"20-29",IF(HR_Employee_Attrition[[#This Row],[Age]]&gt;=18,"18-20"))))))</f>
        <v>30-39</v>
      </c>
      <c r="AK1017" t="str" cm="1">
        <f t="array" ref="AK1017">_xlfn.IFS(HR_Employee_Attrition[[#This Row],[YearsAtCompany]]&lt;=2,"0-2",HR_Employee_Attrition[[#This Row],[YearsAtCompany]]&lt;=5,"3-5",HR_Employee_Attrition[[#This Row],[YearsAtCompany]]&lt;=10,"6-10",HR_Employee_Attrition[[#This Row],[YearsAtCompany]]&gt;10,"10+")</f>
        <v>3-5</v>
      </c>
      <c r="AL1017" t="str" cm="1">
        <f t="array" ref="AL10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17">
        <f>IF(HR_Employee_Attrition[[#This Row],[Attrition]]="Yes",1,0)</f>
        <v>0</v>
      </c>
    </row>
    <row r="1018" spans="1:39" x14ac:dyDescent="0.3">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c r="AJ1018" t="str">
        <f>IF(HR_Employee_Attrition[[#This Row],[Age]]&gt;60,"60+",IF(HR_Employee_Attrition[[#This Row],[Age]]&gt;=50,"50-59",IF(HR_Employee_Attrition[[#This Row],[Age]]&gt;=40,"40-49",IF(HR_Employee_Attrition[[#This Row],[Age]]&gt;=30,"30-39",IF(HR_Employee_Attrition[[#This Row],[Age]]&gt;=20,"20-29",IF(HR_Employee_Attrition[[#This Row],[Age]]&gt;=18,"18-20"))))))</f>
        <v>30-39</v>
      </c>
      <c r="AK1018" t="str" cm="1">
        <f t="array" ref="AK1018">_xlfn.IFS(HR_Employee_Attrition[[#This Row],[YearsAtCompany]]&lt;=2,"0-2",HR_Employee_Attrition[[#This Row],[YearsAtCompany]]&lt;=5,"3-5",HR_Employee_Attrition[[#This Row],[YearsAtCompany]]&lt;=10,"6-10",HR_Employee_Attrition[[#This Row],[YearsAtCompany]]&gt;10,"10+")</f>
        <v>0-2</v>
      </c>
      <c r="AL1018" t="str" cm="1">
        <f t="array" ref="AL10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18">
        <f>IF(HR_Employee_Attrition[[#This Row],[Attrition]]="Yes",1,0)</f>
        <v>1</v>
      </c>
    </row>
    <row r="1019" spans="1:39" x14ac:dyDescent="0.3">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c r="AJ1019" t="str">
        <f>IF(HR_Employee_Attrition[[#This Row],[Age]]&gt;60,"60+",IF(HR_Employee_Attrition[[#This Row],[Age]]&gt;=50,"50-59",IF(HR_Employee_Attrition[[#This Row],[Age]]&gt;=40,"40-49",IF(HR_Employee_Attrition[[#This Row],[Age]]&gt;=30,"30-39",IF(HR_Employee_Attrition[[#This Row],[Age]]&gt;=20,"20-29",IF(HR_Employee_Attrition[[#This Row],[Age]]&gt;=18,"18-20"))))))</f>
        <v>20-29</v>
      </c>
      <c r="AK1019" t="str" cm="1">
        <f t="array" ref="AK1019">_xlfn.IFS(HR_Employee_Attrition[[#This Row],[YearsAtCompany]]&lt;=2,"0-2",HR_Employee_Attrition[[#This Row],[YearsAtCompany]]&lt;=5,"3-5",HR_Employee_Attrition[[#This Row],[YearsAtCompany]]&lt;=10,"6-10",HR_Employee_Attrition[[#This Row],[YearsAtCompany]]&gt;10,"10+")</f>
        <v>3-5</v>
      </c>
      <c r="AL1019" t="str" cm="1">
        <f t="array" ref="AL10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19">
        <f>IF(HR_Employee_Attrition[[#This Row],[Attrition]]="Yes",1,0)</f>
        <v>0</v>
      </c>
    </row>
    <row r="1020" spans="1:39" x14ac:dyDescent="0.3">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c r="AJ1020" t="str">
        <f>IF(HR_Employee_Attrition[[#This Row],[Age]]&gt;60,"60+",IF(HR_Employee_Attrition[[#This Row],[Age]]&gt;=50,"50-59",IF(HR_Employee_Attrition[[#This Row],[Age]]&gt;=40,"40-49",IF(HR_Employee_Attrition[[#This Row],[Age]]&gt;=30,"30-39",IF(HR_Employee_Attrition[[#This Row],[Age]]&gt;=20,"20-29",IF(HR_Employee_Attrition[[#This Row],[Age]]&gt;=18,"18-20"))))))</f>
        <v>30-39</v>
      </c>
      <c r="AK1020" t="str" cm="1">
        <f t="array" ref="AK1020">_xlfn.IFS(HR_Employee_Attrition[[#This Row],[YearsAtCompany]]&lt;=2,"0-2",HR_Employee_Attrition[[#This Row],[YearsAtCompany]]&lt;=5,"3-5",HR_Employee_Attrition[[#This Row],[YearsAtCompany]]&lt;=10,"6-10",HR_Employee_Attrition[[#This Row],[YearsAtCompany]]&gt;10,"10+")</f>
        <v>6-10</v>
      </c>
      <c r="AL1020" t="str" cm="1">
        <f t="array" ref="AL10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20">
        <f>IF(HR_Employee_Attrition[[#This Row],[Attrition]]="Yes",1,0)</f>
        <v>0</v>
      </c>
    </row>
    <row r="1021" spans="1:39" x14ac:dyDescent="0.3">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c r="AJ1021" t="str">
        <f>IF(HR_Employee_Attrition[[#This Row],[Age]]&gt;60,"60+",IF(HR_Employee_Attrition[[#This Row],[Age]]&gt;=50,"50-59",IF(HR_Employee_Attrition[[#This Row],[Age]]&gt;=40,"40-49",IF(HR_Employee_Attrition[[#This Row],[Age]]&gt;=30,"30-39",IF(HR_Employee_Attrition[[#This Row],[Age]]&gt;=20,"20-29",IF(HR_Employee_Attrition[[#This Row],[Age]]&gt;=18,"18-20"))))))</f>
        <v>30-39</v>
      </c>
      <c r="AK1021" t="str" cm="1">
        <f t="array" ref="AK1021">_xlfn.IFS(HR_Employee_Attrition[[#This Row],[YearsAtCompany]]&lt;=2,"0-2",HR_Employee_Attrition[[#This Row],[YearsAtCompany]]&lt;=5,"3-5",HR_Employee_Attrition[[#This Row],[YearsAtCompany]]&lt;=10,"6-10",HR_Employee_Attrition[[#This Row],[YearsAtCompany]]&gt;10,"10+")</f>
        <v>3-5</v>
      </c>
      <c r="AL1021" t="str" cm="1">
        <f t="array" ref="AL10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21">
        <f>IF(HR_Employee_Attrition[[#This Row],[Attrition]]="Yes",1,0)</f>
        <v>0</v>
      </c>
    </row>
    <row r="1022" spans="1:39" x14ac:dyDescent="0.3">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c r="AJ1022" t="str">
        <f>IF(HR_Employee_Attrition[[#This Row],[Age]]&gt;60,"60+",IF(HR_Employee_Attrition[[#This Row],[Age]]&gt;=50,"50-59",IF(HR_Employee_Attrition[[#This Row],[Age]]&gt;=40,"40-49",IF(HR_Employee_Attrition[[#This Row],[Age]]&gt;=30,"30-39",IF(HR_Employee_Attrition[[#This Row],[Age]]&gt;=20,"20-29",IF(HR_Employee_Attrition[[#This Row],[Age]]&gt;=18,"18-20"))))))</f>
        <v>40-49</v>
      </c>
      <c r="AK1022" t="str" cm="1">
        <f t="array" ref="AK1022">_xlfn.IFS(HR_Employee_Attrition[[#This Row],[YearsAtCompany]]&lt;=2,"0-2",HR_Employee_Attrition[[#This Row],[YearsAtCompany]]&lt;=5,"3-5",HR_Employee_Attrition[[#This Row],[YearsAtCompany]]&lt;=10,"6-10",HR_Employee_Attrition[[#This Row],[YearsAtCompany]]&gt;10,"10+")</f>
        <v>6-10</v>
      </c>
      <c r="AL1022" t="str" cm="1">
        <f t="array" ref="AL10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22">
        <f>IF(HR_Employee_Attrition[[#This Row],[Attrition]]="Yes",1,0)</f>
        <v>0</v>
      </c>
    </row>
    <row r="1023" spans="1:39" x14ac:dyDescent="0.3">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c r="AJ1023" t="str">
        <f>IF(HR_Employee_Attrition[[#This Row],[Age]]&gt;60,"60+",IF(HR_Employee_Attrition[[#This Row],[Age]]&gt;=50,"50-59",IF(HR_Employee_Attrition[[#This Row],[Age]]&gt;=40,"40-49",IF(HR_Employee_Attrition[[#This Row],[Age]]&gt;=30,"30-39",IF(HR_Employee_Attrition[[#This Row],[Age]]&gt;=20,"20-29",IF(HR_Employee_Attrition[[#This Row],[Age]]&gt;=18,"18-20"))))))</f>
        <v>20-29</v>
      </c>
      <c r="AK1023" t="str" cm="1">
        <f t="array" ref="AK1023">_xlfn.IFS(HR_Employee_Attrition[[#This Row],[YearsAtCompany]]&lt;=2,"0-2",HR_Employee_Attrition[[#This Row],[YearsAtCompany]]&lt;=5,"3-5",HR_Employee_Attrition[[#This Row],[YearsAtCompany]]&lt;=10,"6-10",HR_Employee_Attrition[[#This Row],[YearsAtCompany]]&gt;10,"10+")</f>
        <v>3-5</v>
      </c>
      <c r="AL1023" t="str" cm="1">
        <f t="array" ref="AL10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23">
        <f>IF(HR_Employee_Attrition[[#This Row],[Attrition]]="Yes",1,0)</f>
        <v>1</v>
      </c>
    </row>
    <row r="1024" spans="1:39" x14ac:dyDescent="0.3">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c r="AJ1024" t="str">
        <f>IF(HR_Employee_Attrition[[#This Row],[Age]]&gt;60,"60+",IF(HR_Employee_Attrition[[#This Row],[Age]]&gt;=50,"50-59",IF(HR_Employee_Attrition[[#This Row],[Age]]&gt;=40,"40-49",IF(HR_Employee_Attrition[[#This Row],[Age]]&gt;=30,"30-39",IF(HR_Employee_Attrition[[#This Row],[Age]]&gt;=20,"20-29",IF(HR_Employee_Attrition[[#This Row],[Age]]&gt;=18,"18-20"))))))</f>
        <v>30-39</v>
      </c>
      <c r="AK1024" t="str" cm="1">
        <f t="array" ref="AK1024">_xlfn.IFS(HR_Employee_Attrition[[#This Row],[YearsAtCompany]]&lt;=2,"0-2",HR_Employee_Attrition[[#This Row],[YearsAtCompany]]&lt;=5,"3-5",HR_Employee_Attrition[[#This Row],[YearsAtCompany]]&lt;=10,"6-10",HR_Employee_Attrition[[#This Row],[YearsAtCompany]]&gt;10,"10+")</f>
        <v>6-10</v>
      </c>
      <c r="AL1024" t="str" cm="1">
        <f t="array" ref="AL10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24">
        <f>IF(HR_Employee_Attrition[[#This Row],[Attrition]]="Yes",1,0)</f>
        <v>0</v>
      </c>
    </row>
    <row r="1025" spans="1:39" x14ac:dyDescent="0.3">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c r="AJ1025" t="str">
        <f>IF(HR_Employee_Attrition[[#This Row],[Age]]&gt;60,"60+",IF(HR_Employee_Attrition[[#This Row],[Age]]&gt;=50,"50-59",IF(HR_Employee_Attrition[[#This Row],[Age]]&gt;=40,"40-49",IF(HR_Employee_Attrition[[#This Row],[Age]]&gt;=30,"30-39",IF(HR_Employee_Attrition[[#This Row],[Age]]&gt;=20,"20-29",IF(HR_Employee_Attrition[[#This Row],[Age]]&gt;=18,"18-20"))))))</f>
        <v>50-59</v>
      </c>
      <c r="AK1025" t="str" cm="1">
        <f t="array" ref="AK1025">_xlfn.IFS(HR_Employee_Attrition[[#This Row],[YearsAtCompany]]&lt;=2,"0-2",HR_Employee_Attrition[[#This Row],[YearsAtCompany]]&lt;=5,"3-5",HR_Employee_Attrition[[#This Row],[YearsAtCompany]]&lt;=10,"6-10",HR_Employee_Attrition[[#This Row],[YearsAtCompany]]&gt;10,"10+")</f>
        <v>3-5</v>
      </c>
      <c r="AL1025" t="str" cm="1">
        <f t="array" ref="AL10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25">
        <f>IF(HR_Employee_Attrition[[#This Row],[Attrition]]="Yes",1,0)</f>
        <v>0</v>
      </c>
    </row>
    <row r="1026" spans="1:39" x14ac:dyDescent="0.3">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c r="AJ1026" t="str">
        <f>IF(HR_Employee_Attrition[[#This Row],[Age]]&gt;60,"60+",IF(HR_Employee_Attrition[[#This Row],[Age]]&gt;=50,"50-59",IF(HR_Employee_Attrition[[#This Row],[Age]]&gt;=40,"40-49",IF(HR_Employee_Attrition[[#This Row],[Age]]&gt;=30,"30-39",IF(HR_Employee_Attrition[[#This Row],[Age]]&gt;=20,"20-29",IF(HR_Employee_Attrition[[#This Row],[Age]]&gt;=18,"18-20"))))))</f>
        <v>40-49</v>
      </c>
      <c r="AK1026" t="str" cm="1">
        <f t="array" ref="AK1026">_xlfn.IFS(HR_Employee_Attrition[[#This Row],[YearsAtCompany]]&lt;=2,"0-2",HR_Employee_Attrition[[#This Row],[YearsAtCompany]]&lt;=5,"3-5",HR_Employee_Attrition[[#This Row],[YearsAtCompany]]&lt;=10,"6-10",HR_Employee_Attrition[[#This Row],[YearsAtCompany]]&gt;10,"10+")</f>
        <v>10+</v>
      </c>
      <c r="AL1026" t="str" cm="1">
        <f t="array" ref="AL10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26">
        <f>IF(HR_Employee_Attrition[[#This Row],[Attrition]]="Yes",1,0)</f>
        <v>0</v>
      </c>
    </row>
    <row r="1027" spans="1:39" x14ac:dyDescent="0.3">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c r="AJ1027" t="str">
        <f>IF(HR_Employee_Attrition[[#This Row],[Age]]&gt;60,"60+",IF(HR_Employee_Attrition[[#This Row],[Age]]&gt;=50,"50-59",IF(HR_Employee_Attrition[[#This Row],[Age]]&gt;=40,"40-49",IF(HR_Employee_Attrition[[#This Row],[Age]]&gt;=30,"30-39",IF(HR_Employee_Attrition[[#This Row],[Age]]&gt;=20,"20-29",IF(HR_Employee_Attrition[[#This Row],[Age]]&gt;=18,"18-20"))))))</f>
        <v>20-29</v>
      </c>
      <c r="AK1027" t="str" cm="1">
        <f t="array" ref="AK1027">_xlfn.IFS(HR_Employee_Attrition[[#This Row],[YearsAtCompany]]&lt;=2,"0-2",HR_Employee_Attrition[[#This Row],[YearsAtCompany]]&lt;=5,"3-5",HR_Employee_Attrition[[#This Row],[YearsAtCompany]]&lt;=10,"6-10",HR_Employee_Attrition[[#This Row],[YearsAtCompany]]&gt;10,"10+")</f>
        <v>3-5</v>
      </c>
      <c r="AL1027" t="str" cm="1">
        <f t="array" ref="AL10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27">
        <f>IF(HR_Employee_Attrition[[#This Row],[Attrition]]="Yes",1,0)</f>
        <v>0</v>
      </c>
    </row>
    <row r="1028" spans="1:39" x14ac:dyDescent="0.3">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c r="AJ1028" t="str">
        <f>IF(HR_Employee_Attrition[[#This Row],[Age]]&gt;60,"60+",IF(HR_Employee_Attrition[[#This Row],[Age]]&gt;=50,"50-59",IF(HR_Employee_Attrition[[#This Row],[Age]]&gt;=40,"40-49",IF(HR_Employee_Attrition[[#This Row],[Age]]&gt;=30,"30-39",IF(HR_Employee_Attrition[[#This Row],[Age]]&gt;=20,"20-29",IF(HR_Employee_Attrition[[#This Row],[Age]]&gt;=18,"18-20"))))))</f>
        <v>30-39</v>
      </c>
      <c r="AK1028" t="str" cm="1">
        <f t="array" ref="AK1028">_xlfn.IFS(HR_Employee_Attrition[[#This Row],[YearsAtCompany]]&lt;=2,"0-2",HR_Employee_Attrition[[#This Row],[YearsAtCompany]]&lt;=5,"3-5",HR_Employee_Attrition[[#This Row],[YearsAtCompany]]&lt;=10,"6-10",HR_Employee_Attrition[[#This Row],[YearsAtCompany]]&gt;10,"10+")</f>
        <v>3-5</v>
      </c>
      <c r="AL1028" t="str" cm="1">
        <f t="array" ref="AL10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28">
        <f>IF(HR_Employee_Attrition[[#This Row],[Attrition]]="Yes",1,0)</f>
        <v>0</v>
      </c>
    </row>
    <row r="1029" spans="1:39" x14ac:dyDescent="0.3">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c r="AJ1029" t="str">
        <f>IF(HR_Employee_Attrition[[#This Row],[Age]]&gt;60,"60+",IF(HR_Employee_Attrition[[#This Row],[Age]]&gt;=50,"50-59",IF(HR_Employee_Attrition[[#This Row],[Age]]&gt;=40,"40-49",IF(HR_Employee_Attrition[[#This Row],[Age]]&gt;=30,"30-39",IF(HR_Employee_Attrition[[#This Row],[Age]]&gt;=20,"20-29",IF(HR_Employee_Attrition[[#This Row],[Age]]&gt;=18,"18-20"))))))</f>
        <v>30-39</v>
      </c>
      <c r="AK1029" t="str" cm="1">
        <f t="array" ref="AK1029">_xlfn.IFS(HR_Employee_Attrition[[#This Row],[YearsAtCompany]]&lt;=2,"0-2",HR_Employee_Attrition[[#This Row],[YearsAtCompany]]&lt;=5,"3-5",HR_Employee_Attrition[[#This Row],[YearsAtCompany]]&lt;=10,"6-10",HR_Employee_Attrition[[#This Row],[YearsAtCompany]]&gt;10,"10+")</f>
        <v>3-5</v>
      </c>
      <c r="AL1029" t="str" cm="1">
        <f t="array" ref="AL10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29">
        <f>IF(HR_Employee_Attrition[[#This Row],[Attrition]]="Yes",1,0)</f>
        <v>0</v>
      </c>
    </row>
    <row r="1030" spans="1:39" x14ac:dyDescent="0.3">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c r="AJ1030" t="str">
        <f>IF(HR_Employee_Attrition[[#This Row],[Age]]&gt;60,"60+",IF(HR_Employee_Attrition[[#This Row],[Age]]&gt;=50,"50-59",IF(HR_Employee_Attrition[[#This Row],[Age]]&gt;=40,"40-49",IF(HR_Employee_Attrition[[#This Row],[Age]]&gt;=30,"30-39",IF(HR_Employee_Attrition[[#This Row],[Age]]&gt;=20,"20-29",IF(HR_Employee_Attrition[[#This Row],[Age]]&gt;=18,"18-20"))))))</f>
        <v>40-49</v>
      </c>
      <c r="AK1030" t="str" cm="1">
        <f t="array" ref="AK1030">_xlfn.IFS(HR_Employee_Attrition[[#This Row],[YearsAtCompany]]&lt;=2,"0-2",HR_Employee_Attrition[[#This Row],[YearsAtCompany]]&lt;=5,"3-5",HR_Employee_Attrition[[#This Row],[YearsAtCompany]]&lt;=10,"6-10",HR_Employee_Attrition[[#This Row],[YearsAtCompany]]&gt;10,"10+")</f>
        <v>3-5</v>
      </c>
      <c r="AL1030" t="str" cm="1">
        <f t="array" ref="AL10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30">
        <f>IF(HR_Employee_Attrition[[#This Row],[Attrition]]="Yes",1,0)</f>
        <v>0</v>
      </c>
    </row>
    <row r="1031" spans="1:39" x14ac:dyDescent="0.3">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c r="AJ1031" t="str">
        <f>IF(HR_Employee_Attrition[[#This Row],[Age]]&gt;60,"60+",IF(HR_Employee_Attrition[[#This Row],[Age]]&gt;=50,"50-59",IF(HR_Employee_Attrition[[#This Row],[Age]]&gt;=40,"40-49",IF(HR_Employee_Attrition[[#This Row],[Age]]&gt;=30,"30-39",IF(HR_Employee_Attrition[[#This Row],[Age]]&gt;=20,"20-29",IF(HR_Employee_Attrition[[#This Row],[Age]]&gt;=18,"18-20"))))))</f>
        <v>40-49</v>
      </c>
      <c r="AK1031" t="str" cm="1">
        <f t="array" ref="AK1031">_xlfn.IFS(HR_Employee_Attrition[[#This Row],[YearsAtCompany]]&lt;=2,"0-2",HR_Employee_Attrition[[#This Row],[YearsAtCompany]]&lt;=5,"3-5",HR_Employee_Attrition[[#This Row],[YearsAtCompany]]&lt;=10,"6-10",HR_Employee_Attrition[[#This Row],[YearsAtCompany]]&gt;10,"10+")</f>
        <v>6-10</v>
      </c>
      <c r="AL1031" t="str" cm="1">
        <f t="array" ref="AL10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31">
        <f>IF(HR_Employee_Attrition[[#This Row],[Attrition]]="Yes",1,0)</f>
        <v>0</v>
      </c>
    </row>
    <row r="1032" spans="1:39" x14ac:dyDescent="0.3">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c r="AJ1032" t="str">
        <f>IF(HR_Employee_Attrition[[#This Row],[Age]]&gt;60,"60+",IF(HR_Employee_Attrition[[#This Row],[Age]]&gt;=50,"50-59",IF(HR_Employee_Attrition[[#This Row],[Age]]&gt;=40,"40-49",IF(HR_Employee_Attrition[[#This Row],[Age]]&gt;=30,"30-39",IF(HR_Employee_Attrition[[#This Row],[Age]]&gt;=20,"20-29",IF(HR_Employee_Attrition[[#This Row],[Age]]&gt;=18,"18-20"))))))</f>
        <v>30-39</v>
      </c>
      <c r="AK1032" t="str" cm="1">
        <f t="array" ref="AK1032">_xlfn.IFS(HR_Employee_Attrition[[#This Row],[YearsAtCompany]]&lt;=2,"0-2",HR_Employee_Attrition[[#This Row],[YearsAtCompany]]&lt;=5,"3-5",HR_Employee_Attrition[[#This Row],[YearsAtCompany]]&lt;=10,"6-10",HR_Employee_Attrition[[#This Row],[YearsAtCompany]]&gt;10,"10+")</f>
        <v>10+</v>
      </c>
      <c r="AL1032" t="str" cm="1">
        <f t="array" ref="AL10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32">
        <f>IF(HR_Employee_Attrition[[#This Row],[Attrition]]="Yes",1,0)</f>
        <v>0</v>
      </c>
    </row>
    <row r="1033" spans="1:39" x14ac:dyDescent="0.3">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c r="AJ1033" t="str">
        <f>IF(HR_Employee_Attrition[[#This Row],[Age]]&gt;60,"60+",IF(HR_Employee_Attrition[[#This Row],[Age]]&gt;=50,"50-59",IF(HR_Employee_Attrition[[#This Row],[Age]]&gt;=40,"40-49",IF(HR_Employee_Attrition[[#This Row],[Age]]&gt;=30,"30-39",IF(HR_Employee_Attrition[[#This Row],[Age]]&gt;=20,"20-29",IF(HR_Employee_Attrition[[#This Row],[Age]]&gt;=18,"18-20"))))))</f>
        <v>40-49</v>
      </c>
      <c r="AK1033" t="str" cm="1">
        <f t="array" ref="AK1033">_xlfn.IFS(HR_Employee_Attrition[[#This Row],[YearsAtCompany]]&lt;=2,"0-2",HR_Employee_Attrition[[#This Row],[YearsAtCompany]]&lt;=5,"3-5",HR_Employee_Attrition[[#This Row],[YearsAtCompany]]&lt;=10,"6-10",HR_Employee_Attrition[[#This Row],[YearsAtCompany]]&gt;10,"10+")</f>
        <v>6-10</v>
      </c>
      <c r="AL1033" t="str" cm="1">
        <f t="array" ref="AL10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33">
        <f>IF(HR_Employee_Attrition[[#This Row],[Attrition]]="Yes",1,0)</f>
        <v>1</v>
      </c>
    </row>
    <row r="1034" spans="1:39" x14ac:dyDescent="0.3">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c r="AJ1034" t="str">
        <f>IF(HR_Employee_Attrition[[#This Row],[Age]]&gt;60,"60+",IF(HR_Employee_Attrition[[#This Row],[Age]]&gt;=50,"50-59",IF(HR_Employee_Attrition[[#This Row],[Age]]&gt;=40,"40-49",IF(HR_Employee_Attrition[[#This Row],[Age]]&gt;=30,"30-39",IF(HR_Employee_Attrition[[#This Row],[Age]]&gt;=20,"20-29",IF(HR_Employee_Attrition[[#This Row],[Age]]&gt;=18,"18-20"))))))</f>
        <v>30-39</v>
      </c>
      <c r="AK1034" t="str" cm="1">
        <f t="array" ref="AK1034">_xlfn.IFS(HR_Employee_Attrition[[#This Row],[YearsAtCompany]]&lt;=2,"0-2",HR_Employee_Attrition[[#This Row],[YearsAtCompany]]&lt;=5,"3-5",HR_Employee_Attrition[[#This Row],[YearsAtCompany]]&lt;=10,"6-10",HR_Employee_Attrition[[#This Row],[YearsAtCompany]]&gt;10,"10+")</f>
        <v>0-2</v>
      </c>
      <c r="AL1034" t="str" cm="1">
        <f t="array" ref="AL10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34">
        <f>IF(HR_Employee_Attrition[[#This Row],[Attrition]]="Yes",1,0)</f>
        <v>1</v>
      </c>
    </row>
    <row r="1035" spans="1:39" x14ac:dyDescent="0.3">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c r="AJ1035" t="str">
        <f>IF(HR_Employee_Attrition[[#This Row],[Age]]&gt;60,"60+",IF(HR_Employee_Attrition[[#This Row],[Age]]&gt;=50,"50-59",IF(HR_Employee_Attrition[[#This Row],[Age]]&gt;=40,"40-49",IF(HR_Employee_Attrition[[#This Row],[Age]]&gt;=30,"30-39",IF(HR_Employee_Attrition[[#This Row],[Age]]&gt;=20,"20-29",IF(HR_Employee_Attrition[[#This Row],[Age]]&gt;=18,"18-20"))))))</f>
        <v>30-39</v>
      </c>
      <c r="AK1035" t="str" cm="1">
        <f t="array" ref="AK1035">_xlfn.IFS(HR_Employee_Attrition[[#This Row],[YearsAtCompany]]&lt;=2,"0-2",HR_Employee_Attrition[[#This Row],[YearsAtCompany]]&lt;=5,"3-5",HR_Employee_Attrition[[#This Row],[YearsAtCompany]]&lt;=10,"6-10",HR_Employee_Attrition[[#This Row],[YearsAtCompany]]&gt;10,"10+")</f>
        <v>6-10</v>
      </c>
      <c r="AL1035" t="str" cm="1">
        <f t="array" ref="AL10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35">
        <f>IF(HR_Employee_Attrition[[#This Row],[Attrition]]="Yes",1,0)</f>
        <v>1</v>
      </c>
    </row>
    <row r="1036" spans="1:39" x14ac:dyDescent="0.3">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c r="AJ1036" t="str">
        <f>IF(HR_Employee_Attrition[[#This Row],[Age]]&gt;60,"60+",IF(HR_Employee_Attrition[[#This Row],[Age]]&gt;=50,"50-59",IF(HR_Employee_Attrition[[#This Row],[Age]]&gt;=40,"40-49",IF(HR_Employee_Attrition[[#This Row],[Age]]&gt;=30,"30-39",IF(HR_Employee_Attrition[[#This Row],[Age]]&gt;=20,"20-29",IF(HR_Employee_Attrition[[#This Row],[Age]]&gt;=18,"18-20"))))))</f>
        <v>40-49</v>
      </c>
      <c r="AK1036" t="str" cm="1">
        <f t="array" ref="AK1036">_xlfn.IFS(HR_Employee_Attrition[[#This Row],[YearsAtCompany]]&lt;=2,"0-2",HR_Employee_Attrition[[#This Row],[YearsAtCompany]]&lt;=5,"3-5",HR_Employee_Attrition[[#This Row],[YearsAtCompany]]&lt;=10,"6-10",HR_Employee_Attrition[[#This Row],[YearsAtCompany]]&gt;10,"10+")</f>
        <v>6-10</v>
      </c>
      <c r="AL1036" t="str" cm="1">
        <f t="array" ref="AL10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36">
        <f>IF(HR_Employee_Attrition[[#This Row],[Attrition]]="Yes",1,0)</f>
        <v>0</v>
      </c>
    </row>
    <row r="1037" spans="1:39" x14ac:dyDescent="0.3">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c r="AJ1037" t="str">
        <f>IF(HR_Employee_Attrition[[#This Row],[Age]]&gt;60,"60+",IF(HR_Employee_Attrition[[#This Row],[Age]]&gt;=50,"50-59",IF(HR_Employee_Attrition[[#This Row],[Age]]&gt;=40,"40-49",IF(HR_Employee_Attrition[[#This Row],[Age]]&gt;=30,"30-39",IF(HR_Employee_Attrition[[#This Row],[Age]]&gt;=20,"20-29",IF(HR_Employee_Attrition[[#This Row],[Age]]&gt;=18,"18-20"))))))</f>
        <v>30-39</v>
      </c>
      <c r="AK1037" t="str" cm="1">
        <f t="array" ref="AK1037">_xlfn.IFS(HR_Employee_Attrition[[#This Row],[YearsAtCompany]]&lt;=2,"0-2",HR_Employee_Attrition[[#This Row],[YearsAtCompany]]&lt;=5,"3-5",HR_Employee_Attrition[[#This Row],[YearsAtCompany]]&lt;=10,"6-10",HR_Employee_Attrition[[#This Row],[YearsAtCompany]]&gt;10,"10+")</f>
        <v>3-5</v>
      </c>
      <c r="AL1037" t="str" cm="1">
        <f t="array" ref="AL10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37">
        <f>IF(HR_Employee_Attrition[[#This Row],[Attrition]]="Yes",1,0)</f>
        <v>0</v>
      </c>
    </row>
    <row r="1038" spans="1:39" x14ac:dyDescent="0.3">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c r="AJ1038" t="str">
        <f>IF(HR_Employee_Attrition[[#This Row],[Age]]&gt;60,"60+",IF(HR_Employee_Attrition[[#This Row],[Age]]&gt;=50,"50-59",IF(HR_Employee_Attrition[[#This Row],[Age]]&gt;=40,"40-49",IF(HR_Employee_Attrition[[#This Row],[Age]]&gt;=30,"30-39",IF(HR_Employee_Attrition[[#This Row],[Age]]&gt;=20,"20-29",IF(HR_Employee_Attrition[[#This Row],[Age]]&gt;=18,"18-20"))))))</f>
        <v>30-39</v>
      </c>
      <c r="AK1038" t="str" cm="1">
        <f t="array" ref="AK1038">_xlfn.IFS(HR_Employee_Attrition[[#This Row],[YearsAtCompany]]&lt;=2,"0-2",HR_Employee_Attrition[[#This Row],[YearsAtCompany]]&lt;=5,"3-5",HR_Employee_Attrition[[#This Row],[YearsAtCompany]]&lt;=10,"6-10",HR_Employee_Attrition[[#This Row],[YearsAtCompany]]&gt;10,"10+")</f>
        <v>0-2</v>
      </c>
      <c r="AL1038" t="str" cm="1">
        <f t="array" ref="AL10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38">
        <f>IF(HR_Employee_Attrition[[#This Row],[Attrition]]="Yes",1,0)</f>
        <v>1</v>
      </c>
    </row>
    <row r="1039" spans="1:39" x14ac:dyDescent="0.3">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c r="AJ1039" t="str">
        <f>IF(HR_Employee_Attrition[[#This Row],[Age]]&gt;60,"60+",IF(HR_Employee_Attrition[[#This Row],[Age]]&gt;=50,"50-59",IF(HR_Employee_Attrition[[#This Row],[Age]]&gt;=40,"40-49",IF(HR_Employee_Attrition[[#This Row],[Age]]&gt;=30,"30-39",IF(HR_Employee_Attrition[[#This Row],[Age]]&gt;=20,"20-29",IF(HR_Employee_Attrition[[#This Row],[Age]]&gt;=18,"18-20"))))))</f>
        <v>40-49</v>
      </c>
      <c r="AK1039" t="str" cm="1">
        <f t="array" ref="AK1039">_xlfn.IFS(HR_Employee_Attrition[[#This Row],[YearsAtCompany]]&lt;=2,"0-2",HR_Employee_Attrition[[#This Row],[YearsAtCompany]]&lt;=5,"3-5",HR_Employee_Attrition[[#This Row],[YearsAtCompany]]&lt;=10,"6-10",HR_Employee_Attrition[[#This Row],[YearsAtCompany]]&gt;10,"10+")</f>
        <v>3-5</v>
      </c>
      <c r="AL1039" t="str" cm="1">
        <f t="array" ref="AL10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39">
        <f>IF(HR_Employee_Attrition[[#This Row],[Attrition]]="Yes",1,0)</f>
        <v>0</v>
      </c>
    </row>
    <row r="1040" spans="1:39" x14ac:dyDescent="0.3">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c r="AJ1040" t="str">
        <f>IF(HR_Employee_Attrition[[#This Row],[Age]]&gt;60,"60+",IF(HR_Employee_Attrition[[#This Row],[Age]]&gt;=50,"50-59",IF(HR_Employee_Attrition[[#This Row],[Age]]&gt;=40,"40-49",IF(HR_Employee_Attrition[[#This Row],[Age]]&gt;=30,"30-39",IF(HR_Employee_Attrition[[#This Row],[Age]]&gt;=20,"20-29",IF(HR_Employee_Attrition[[#This Row],[Age]]&gt;=18,"18-20"))))))</f>
        <v>40-49</v>
      </c>
      <c r="AK1040" t="str" cm="1">
        <f t="array" ref="AK1040">_xlfn.IFS(HR_Employee_Attrition[[#This Row],[YearsAtCompany]]&lt;=2,"0-2",HR_Employee_Attrition[[#This Row],[YearsAtCompany]]&lt;=5,"3-5",HR_Employee_Attrition[[#This Row],[YearsAtCompany]]&lt;=10,"6-10",HR_Employee_Attrition[[#This Row],[YearsAtCompany]]&gt;10,"10+")</f>
        <v>0-2</v>
      </c>
      <c r="AL1040" t="str" cm="1">
        <f t="array" ref="AL10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40">
        <f>IF(HR_Employee_Attrition[[#This Row],[Attrition]]="Yes",1,0)</f>
        <v>0</v>
      </c>
    </row>
    <row r="1041" spans="1:39" x14ac:dyDescent="0.3">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c r="AJ1041" t="str">
        <f>IF(HR_Employee_Attrition[[#This Row],[Age]]&gt;60,"60+",IF(HR_Employee_Attrition[[#This Row],[Age]]&gt;=50,"50-59",IF(HR_Employee_Attrition[[#This Row],[Age]]&gt;=40,"40-49",IF(HR_Employee_Attrition[[#This Row],[Age]]&gt;=30,"30-39",IF(HR_Employee_Attrition[[#This Row],[Age]]&gt;=20,"20-29",IF(HR_Employee_Attrition[[#This Row],[Age]]&gt;=18,"18-20"))))))</f>
        <v>30-39</v>
      </c>
      <c r="AK1041" t="str" cm="1">
        <f t="array" ref="AK1041">_xlfn.IFS(HR_Employee_Attrition[[#This Row],[YearsAtCompany]]&lt;=2,"0-2",HR_Employee_Attrition[[#This Row],[YearsAtCompany]]&lt;=5,"3-5",HR_Employee_Attrition[[#This Row],[YearsAtCompany]]&lt;=10,"6-10",HR_Employee_Attrition[[#This Row],[YearsAtCompany]]&gt;10,"10+")</f>
        <v>0-2</v>
      </c>
      <c r="AL1041" t="str" cm="1">
        <f t="array" ref="AL10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41">
        <f>IF(HR_Employee_Attrition[[#This Row],[Attrition]]="Yes",1,0)</f>
        <v>1</v>
      </c>
    </row>
    <row r="1042" spans="1:39" x14ac:dyDescent="0.3">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c r="AJ1042" t="str">
        <f>IF(HR_Employee_Attrition[[#This Row],[Age]]&gt;60,"60+",IF(HR_Employee_Attrition[[#This Row],[Age]]&gt;=50,"50-59",IF(HR_Employee_Attrition[[#This Row],[Age]]&gt;=40,"40-49",IF(HR_Employee_Attrition[[#This Row],[Age]]&gt;=30,"30-39",IF(HR_Employee_Attrition[[#This Row],[Age]]&gt;=20,"20-29",IF(HR_Employee_Attrition[[#This Row],[Age]]&gt;=18,"18-20"))))))</f>
        <v>40-49</v>
      </c>
      <c r="AK1042" t="str" cm="1">
        <f t="array" ref="AK1042">_xlfn.IFS(HR_Employee_Attrition[[#This Row],[YearsAtCompany]]&lt;=2,"0-2",HR_Employee_Attrition[[#This Row],[YearsAtCompany]]&lt;=5,"3-5",HR_Employee_Attrition[[#This Row],[YearsAtCompany]]&lt;=10,"6-10",HR_Employee_Attrition[[#This Row],[YearsAtCompany]]&gt;10,"10+")</f>
        <v>6-10</v>
      </c>
      <c r="AL1042" t="str" cm="1">
        <f t="array" ref="AL10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42">
        <f>IF(HR_Employee_Attrition[[#This Row],[Attrition]]="Yes",1,0)</f>
        <v>0</v>
      </c>
    </row>
    <row r="1043" spans="1:39" x14ac:dyDescent="0.3">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c r="AJ1043" t="str">
        <f>IF(HR_Employee_Attrition[[#This Row],[Age]]&gt;60,"60+",IF(HR_Employee_Attrition[[#This Row],[Age]]&gt;=50,"50-59",IF(HR_Employee_Attrition[[#This Row],[Age]]&gt;=40,"40-49",IF(HR_Employee_Attrition[[#This Row],[Age]]&gt;=30,"30-39",IF(HR_Employee_Attrition[[#This Row],[Age]]&gt;=20,"20-29",IF(HR_Employee_Attrition[[#This Row],[Age]]&gt;=18,"18-20"))))))</f>
        <v>20-29</v>
      </c>
      <c r="AK1043" t="str" cm="1">
        <f t="array" ref="AK1043">_xlfn.IFS(HR_Employee_Attrition[[#This Row],[YearsAtCompany]]&lt;=2,"0-2",HR_Employee_Attrition[[#This Row],[YearsAtCompany]]&lt;=5,"3-5",HR_Employee_Attrition[[#This Row],[YearsAtCompany]]&lt;=10,"6-10",HR_Employee_Attrition[[#This Row],[YearsAtCompany]]&gt;10,"10+")</f>
        <v>3-5</v>
      </c>
      <c r="AL1043" t="str" cm="1">
        <f t="array" ref="AL10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43">
        <f>IF(HR_Employee_Attrition[[#This Row],[Attrition]]="Yes",1,0)</f>
        <v>0</v>
      </c>
    </row>
    <row r="1044" spans="1:39" x14ac:dyDescent="0.3">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c r="AJ1044" t="str">
        <f>IF(HR_Employee_Attrition[[#This Row],[Age]]&gt;60,"60+",IF(HR_Employee_Attrition[[#This Row],[Age]]&gt;=50,"50-59",IF(HR_Employee_Attrition[[#This Row],[Age]]&gt;=40,"40-49",IF(HR_Employee_Attrition[[#This Row],[Age]]&gt;=30,"30-39",IF(HR_Employee_Attrition[[#This Row],[Age]]&gt;=20,"20-29",IF(HR_Employee_Attrition[[#This Row],[Age]]&gt;=18,"18-20"))))))</f>
        <v>40-49</v>
      </c>
      <c r="AK1044" t="str" cm="1">
        <f t="array" ref="AK1044">_xlfn.IFS(HR_Employee_Attrition[[#This Row],[YearsAtCompany]]&lt;=2,"0-2",HR_Employee_Attrition[[#This Row],[YearsAtCompany]]&lt;=5,"3-5",HR_Employee_Attrition[[#This Row],[YearsAtCompany]]&lt;=10,"6-10",HR_Employee_Attrition[[#This Row],[YearsAtCompany]]&gt;10,"10+")</f>
        <v>3-5</v>
      </c>
      <c r="AL1044" t="str" cm="1">
        <f t="array" ref="AL10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44">
        <f>IF(HR_Employee_Attrition[[#This Row],[Attrition]]="Yes",1,0)</f>
        <v>0</v>
      </c>
    </row>
    <row r="1045" spans="1:39" x14ac:dyDescent="0.3">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c r="AJ1045" t="str">
        <f>IF(HR_Employee_Attrition[[#This Row],[Age]]&gt;60,"60+",IF(HR_Employee_Attrition[[#This Row],[Age]]&gt;=50,"50-59",IF(HR_Employee_Attrition[[#This Row],[Age]]&gt;=40,"40-49",IF(HR_Employee_Attrition[[#This Row],[Age]]&gt;=30,"30-39",IF(HR_Employee_Attrition[[#This Row],[Age]]&gt;=20,"20-29",IF(HR_Employee_Attrition[[#This Row],[Age]]&gt;=18,"18-20"))))))</f>
        <v>50-59</v>
      </c>
      <c r="AK1045" t="str" cm="1">
        <f t="array" ref="AK1045">_xlfn.IFS(HR_Employee_Attrition[[#This Row],[YearsAtCompany]]&lt;=2,"0-2",HR_Employee_Attrition[[#This Row],[YearsAtCompany]]&lt;=5,"3-5",HR_Employee_Attrition[[#This Row],[YearsAtCompany]]&lt;=10,"6-10",HR_Employee_Attrition[[#This Row],[YearsAtCompany]]&gt;10,"10+")</f>
        <v>6-10</v>
      </c>
      <c r="AL1045" t="str" cm="1">
        <f t="array" ref="AL10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45">
        <f>IF(HR_Employee_Attrition[[#This Row],[Attrition]]="Yes",1,0)</f>
        <v>0</v>
      </c>
    </row>
    <row r="1046" spans="1:39" x14ac:dyDescent="0.3">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c r="AJ1046" t="str">
        <f>IF(HR_Employee_Attrition[[#This Row],[Age]]&gt;60,"60+",IF(HR_Employee_Attrition[[#This Row],[Age]]&gt;=50,"50-59",IF(HR_Employee_Attrition[[#This Row],[Age]]&gt;=40,"40-49",IF(HR_Employee_Attrition[[#This Row],[Age]]&gt;=30,"30-39",IF(HR_Employee_Attrition[[#This Row],[Age]]&gt;=20,"20-29",IF(HR_Employee_Attrition[[#This Row],[Age]]&gt;=18,"18-20"))))))</f>
        <v>40-49</v>
      </c>
      <c r="AK1046" t="str" cm="1">
        <f t="array" ref="AK1046">_xlfn.IFS(HR_Employee_Attrition[[#This Row],[YearsAtCompany]]&lt;=2,"0-2",HR_Employee_Attrition[[#This Row],[YearsAtCompany]]&lt;=5,"3-5",HR_Employee_Attrition[[#This Row],[YearsAtCompany]]&lt;=10,"6-10",HR_Employee_Attrition[[#This Row],[YearsAtCompany]]&gt;10,"10+")</f>
        <v>3-5</v>
      </c>
      <c r="AL1046" t="str" cm="1">
        <f t="array" ref="AL10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46">
        <f>IF(HR_Employee_Attrition[[#This Row],[Attrition]]="Yes",1,0)</f>
        <v>0</v>
      </c>
    </row>
    <row r="1047" spans="1:39" x14ac:dyDescent="0.3">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c r="AJ1047" t="str">
        <f>IF(HR_Employee_Attrition[[#This Row],[Age]]&gt;60,"60+",IF(HR_Employee_Attrition[[#This Row],[Age]]&gt;=50,"50-59",IF(HR_Employee_Attrition[[#This Row],[Age]]&gt;=40,"40-49",IF(HR_Employee_Attrition[[#This Row],[Age]]&gt;=30,"30-39",IF(HR_Employee_Attrition[[#This Row],[Age]]&gt;=20,"20-29",IF(HR_Employee_Attrition[[#This Row],[Age]]&gt;=18,"18-20"))))))</f>
        <v>40-49</v>
      </c>
      <c r="AK1047" t="str" cm="1">
        <f t="array" ref="AK1047">_xlfn.IFS(HR_Employee_Attrition[[#This Row],[YearsAtCompany]]&lt;=2,"0-2",HR_Employee_Attrition[[#This Row],[YearsAtCompany]]&lt;=5,"3-5",HR_Employee_Attrition[[#This Row],[YearsAtCompany]]&lt;=10,"6-10",HR_Employee_Attrition[[#This Row],[YearsAtCompany]]&gt;10,"10+")</f>
        <v>3-5</v>
      </c>
      <c r="AL1047" t="str" cm="1">
        <f t="array" ref="AL10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47">
        <f>IF(HR_Employee_Attrition[[#This Row],[Attrition]]="Yes",1,0)</f>
        <v>0</v>
      </c>
    </row>
    <row r="1048" spans="1:39" x14ac:dyDescent="0.3">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c r="AJ1048" t="str">
        <f>IF(HR_Employee_Attrition[[#This Row],[Age]]&gt;60,"60+",IF(HR_Employee_Attrition[[#This Row],[Age]]&gt;=50,"50-59",IF(HR_Employee_Attrition[[#This Row],[Age]]&gt;=40,"40-49",IF(HR_Employee_Attrition[[#This Row],[Age]]&gt;=30,"30-39",IF(HR_Employee_Attrition[[#This Row],[Age]]&gt;=20,"20-29",IF(HR_Employee_Attrition[[#This Row],[Age]]&gt;=18,"18-20"))))))</f>
        <v>40-49</v>
      </c>
      <c r="AK1048" t="str" cm="1">
        <f t="array" ref="AK1048">_xlfn.IFS(HR_Employee_Attrition[[#This Row],[YearsAtCompany]]&lt;=2,"0-2",HR_Employee_Attrition[[#This Row],[YearsAtCompany]]&lt;=5,"3-5",HR_Employee_Attrition[[#This Row],[YearsAtCompany]]&lt;=10,"6-10",HR_Employee_Attrition[[#This Row],[YearsAtCompany]]&gt;10,"10+")</f>
        <v>3-5</v>
      </c>
      <c r="AL1048" t="str" cm="1">
        <f t="array" ref="AL10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48">
        <f>IF(HR_Employee_Attrition[[#This Row],[Attrition]]="Yes",1,0)</f>
        <v>0</v>
      </c>
    </row>
    <row r="1049" spans="1:39" x14ac:dyDescent="0.3">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c r="AJ1049" t="str">
        <f>IF(HR_Employee_Attrition[[#This Row],[Age]]&gt;60,"60+",IF(HR_Employee_Attrition[[#This Row],[Age]]&gt;=50,"50-59",IF(HR_Employee_Attrition[[#This Row],[Age]]&gt;=40,"40-49",IF(HR_Employee_Attrition[[#This Row],[Age]]&gt;=30,"30-39",IF(HR_Employee_Attrition[[#This Row],[Age]]&gt;=20,"20-29",IF(HR_Employee_Attrition[[#This Row],[Age]]&gt;=18,"18-20"))))))</f>
        <v>30-39</v>
      </c>
      <c r="AK1049" t="str" cm="1">
        <f t="array" ref="AK1049">_xlfn.IFS(HR_Employee_Attrition[[#This Row],[YearsAtCompany]]&lt;=2,"0-2",HR_Employee_Attrition[[#This Row],[YearsAtCompany]]&lt;=5,"3-5",HR_Employee_Attrition[[#This Row],[YearsAtCompany]]&lt;=10,"6-10",HR_Employee_Attrition[[#This Row],[YearsAtCompany]]&gt;10,"10+")</f>
        <v>3-5</v>
      </c>
      <c r="AL1049" t="str" cm="1">
        <f t="array" ref="AL10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49">
        <f>IF(HR_Employee_Attrition[[#This Row],[Attrition]]="Yes",1,0)</f>
        <v>0</v>
      </c>
    </row>
    <row r="1050" spans="1:39" x14ac:dyDescent="0.3">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c r="AJ1050" t="str">
        <f>IF(HR_Employee_Attrition[[#This Row],[Age]]&gt;60,"60+",IF(HR_Employee_Attrition[[#This Row],[Age]]&gt;=50,"50-59",IF(HR_Employee_Attrition[[#This Row],[Age]]&gt;=40,"40-49",IF(HR_Employee_Attrition[[#This Row],[Age]]&gt;=30,"30-39",IF(HR_Employee_Attrition[[#This Row],[Age]]&gt;=20,"20-29",IF(HR_Employee_Attrition[[#This Row],[Age]]&gt;=18,"18-20"))))))</f>
        <v>30-39</v>
      </c>
      <c r="AK1050" t="str" cm="1">
        <f t="array" ref="AK1050">_xlfn.IFS(HR_Employee_Attrition[[#This Row],[YearsAtCompany]]&lt;=2,"0-2",HR_Employee_Attrition[[#This Row],[YearsAtCompany]]&lt;=5,"3-5",HR_Employee_Attrition[[#This Row],[YearsAtCompany]]&lt;=10,"6-10",HR_Employee_Attrition[[#This Row],[YearsAtCompany]]&gt;10,"10+")</f>
        <v>10+</v>
      </c>
      <c r="AL1050" t="str" cm="1">
        <f t="array" ref="AL10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50">
        <f>IF(HR_Employee_Attrition[[#This Row],[Attrition]]="Yes",1,0)</f>
        <v>0</v>
      </c>
    </row>
    <row r="1051" spans="1:39" x14ac:dyDescent="0.3">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c r="AJ1051" t="str">
        <f>IF(HR_Employee_Attrition[[#This Row],[Age]]&gt;60,"60+",IF(HR_Employee_Attrition[[#This Row],[Age]]&gt;=50,"50-59",IF(HR_Employee_Attrition[[#This Row],[Age]]&gt;=40,"40-49",IF(HR_Employee_Attrition[[#This Row],[Age]]&gt;=30,"30-39",IF(HR_Employee_Attrition[[#This Row],[Age]]&gt;=20,"20-29",IF(HR_Employee_Attrition[[#This Row],[Age]]&gt;=18,"18-20"))))))</f>
        <v>30-39</v>
      </c>
      <c r="AK1051" t="str" cm="1">
        <f t="array" ref="AK1051">_xlfn.IFS(HR_Employee_Attrition[[#This Row],[YearsAtCompany]]&lt;=2,"0-2",HR_Employee_Attrition[[#This Row],[YearsAtCompany]]&lt;=5,"3-5",HR_Employee_Attrition[[#This Row],[YearsAtCompany]]&lt;=10,"6-10",HR_Employee_Attrition[[#This Row],[YearsAtCompany]]&gt;10,"10+")</f>
        <v>0-2</v>
      </c>
      <c r="AL1051" t="str" cm="1">
        <f t="array" ref="AL10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51">
        <f>IF(HR_Employee_Attrition[[#This Row],[Attrition]]="Yes",1,0)</f>
        <v>0</v>
      </c>
    </row>
    <row r="1052" spans="1:39" x14ac:dyDescent="0.3">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c r="AJ1052" t="str">
        <f>IF(HR_Employee_Attrition[[#This Row],[Age]]&gt;60,"60+",IF(HR_Employee_Attrition[[#This Row],[Age]]&gt;=50,"50-59",IF(HR_Employee_Attrition[[#This Row],[Age]]&gt;=40,"40-49",IF(HR_Employee_Attrition[[#This Row],[Age]]&gt;=30,"30-39",IF(HR_Employee_Attrition[[#This Row],[Age]]&gt;=20,"20-29",IF(HR_Employee_Attrition[[#This Row],[Age]]&gt;=18,"18-20"))))))</f>
        <v>40-49</v>
      </c>
      <c r="AK1052" t="str" cm="1">
        <f t="array" ref="AK1052">_xlfn.IFS(HR_Employee_Attrition[[#This Row],[YearsAtCompany]]&lt;=2,"0-2",HR_Employee_Attrition[[#This Row],[YearsAtCompany]]&lt;=5,"3-5",HR_Employee_Attrition[[#This Row],[YearsAtCompany]]&lt;=10,"6-10",HR_Employee_Attrition[[#This Row],[YearsAtCompany]]&gt;10,"10+")</f>
        <v>10+</v>
      </c>
      <c r="AL1052" t="str" cm="1">
        <f t="array" ref="AL10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52">
        <f>IF(HR_Employee_Attrition[[#This Row],[Attrition]]="Yes",1,0)</f>
        <v>0</v>
      </c>
    </row>
    <row r="1053" spans="1:39" x14ac:dyDescent="0.3">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c r="AJ1053" t="str">
        <f>IF(HR_Employee_Attrition[[#This Row],[Age]]&gt;60,"60+",IF(HR_Employee_Attrition[[#This Row],[Age]]&gt;=50,"50-59",IF(HR_Employee_Attrition[[#This Row],[Age]]&gt;=40,"40-49",IF(HR_Employee_Attrition[[#This Row],[Age]]&gt;=30,"30-39",IF(HR_Employee_Attrition[[#This Row],[Age]]&gt;=20,"20-29",IF(HR_Employee_Attrition[[#This Row],[Age]]&gt;=18,"18-20"))))))</f>
        <v>40-49</v>
      </c>
      <c r="AK1053" t="str" cm="1">
        <f t="array" ref="AK1053">_xlfn.IFS(HR_Employee_Attrition[[#This Row],[YearsAtCompany]]&lt;=2,"0-2",HR_Employee_Attrition[[#This Row],[YearsAtCompany]]&lt;=5,"3-5",HR_Employee_Attrition[[#This Row],[YearsAtCompany]]&lt;=10,"6-10",HR_Employee_Attrition[[#This Row],[YearsAtCompany]]&gt;10,"10+")</f>
        <v>0-2</v>
      </c>
      <c r="AL1053" t="str" cm="1">
        <f t="array" ref="AL10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53">
        <f>IF(HR_Employee_Attrition[[#This Row],[Attrition]]="Yes",1,0)</f>
        <v>0</v>
      </c>
    </row>
    <row r="1054" spans="1:39" x14ac:dyDescent="0.3">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c r="AJ1054" t="str">
        <f>IF(HR_Employee_Attrition[[#This Row],[Age]]&gt;60,"60+",IF(HR_Employee_Attrition[[#This Row],[Age]]&gt;=50,"50-59",IF(HR_Employee_Attrition[[#This Row],[Age]]&gt;=40,"40-49",IF(HR_Employee_Attrition[[#This Row],[Age]]&gt;=30,"30-39",IF(HR_Employee_Attrition[[#This Row],[Age]]&gt;=20,"20-29",IF(HR_Employee_Attrition[[#This Row],[Age]]&gt;=18,"18-20"))))))</f>
        <v>30-39</v>
      </c>
      <c r="AK1054" t="str" cm="1">
        <f t="array" ref="AK1054">_xlfn.IFS(HR_Employee_Attrition[[#This Row],[YearsAtCompany]]&lt;=2,"0-2",HR_Employee_Attrition[[#This Row],[YearsAtCompany]]&lt;=5,"3-5",HR_Employee_Attrition[[#This Row],[YearsAtCompany]]&lt;=10,"6-10",HR_Employee_Attrition[[#This Row],[YearsAtCompany]]&gt;10,"10+")</f>
        <v>0-2</v>
      </c>
      <c r="AL1054" t="str" cm="1">
        <f t="array" ref="AL10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54">
        <f>IF(HR_Employee_Attrition[[#This Row],[Attrition]]="Yes",1,0)</f>
        <v>0</v>
      </c>
    </row>
    <row r="1055" spans="1:39" x14ac:dyDescent="0.3">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c r="AJ1055" t="str">
        <f>IF(HR_Employee_Attrition[[#This Row],[Age]]&gt;60,"60+",IF(HR_Employee_Attrition[[#This Row],[Age]]&gt;=50,"50-59",IF(HR_Employee_Attrition[[#This Row],[Age]]&gt;=40,"40-49",IF(HR_Employee_Attrition[[#This Row],[Age]]&gt;=30,"30-39",IF(HR_Employee_Attrition[[#This Row],[Age]]&gt;=20,"20-29",IF(HR_Employee_Attrition[[#This Row],[Age]]&gt;=18,"18-20"))))))</f>
        <v>50-59</v>
      </c>
      <c r="AK1055" t="str" cm="1">
        <f t="array" ref="AK1055">_xlfn.IFS(HR_Employee_Attrition[[#This Row],[YearsAtCompany]]&lt;=2,"0-2",HR_Employee_Attrition[[#This Row],[YearsAtCompany]]&lt;=5,"3-5",HR_Employee_Attrition[[#This Row],[YearsAtCompany]]&lt;=10,"6-10",HR_Employee_Attrition[[#This Row],[YearsAtCompany]]&gt;10,"10+")</f>
        <v>10+</v>
      </c>
      <c r="AL1055" t="str" cm="1">
        <f t="array" ref="AL10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55">
        <f>IF(HR_Employee_Attrition[[#This Row],[Attrition]]="Yes",1,0)</f>
        <v>0</v>
      </c>
    </row>
    <row r="1056" spans="1:39" x14ac:dyDescent="0.3">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c r="AJ1056" t="str">
        <f>IF(HR_Employee_Attrition[[#This Row],[Age]]&gt;60,"60+",IF(HR_Employee_Attrition[[#This Row],[Age]]&gt;=50,"50-59",IF(HR_Employee_Attrition[[#This Row],[Age]]&gt;=40,"40-49",IF(HR_Employee_Attrition[[#This Row],[Age]]&gt;=30,"30-39",IF(HR_Employee_Attrition[[#This Row],[Age]]&gt;=20,"20-29",IF(HR_Employee_Attrition[[#This Row],[Age]]&gt;=18,"18-20"))))))</f>
        <v>40-49</v>
      </c>
      <c r="AK1056" t="str" cm="1">
        <f t="array" ref="AK1056">_xlfn.IFS(HR_Employee_Attrition[[#This Row],[YearsAtCompany]]&lt;=2,"0-2",HR_Employee_Attrition[[#This Row],[YearsAtCompany]]&lt;=5,"3-5",HR_Employee_Attrition[[#This Row],[YearsAtCompany]]&lt;=10,"6-10",HR_Employee_Attrition[[#This Row],[YearsAtCompany]]&gt;10,"10+")</f>
        <v>6-10</v>
      </c>
      <c r="AL1056" t="str" cm="1">
        <f t="array" ref="AL10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56">
        <f>IF(HR_Employee_Attrition[[#This Row],[Attrition]]="Yes",1,0)</f>
        <v>0</v>
      </c>
    </row>
    <row r="1057" spans="1:39" x14ac:dyDescent="0.3">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c r="AJ1057" t="str">
        <f>IF(HR_Employee_Attrition[[#This Row],[Age]]&gt;60,"60+",IF(HR_Employee_Attrition[[#This Row],[Age]]&gt;=50,"50-59",IF(HR_Employee_Attrition[[#This Row],[Age]]&gt;=40,"40-49",IF(HR_Employee_Attrition[[#This Row],[Age]]&gt;=30,"30-39",IF(HR_Employee_Attrition[[#This Row],[Age]]&gt;=20,"20-29",IF(HR_Employee_Attrition[[#This Row],[Age]]&gt;=18,"18-20"))))))</f>
        <v>30-39</v>
      </c>
      <c r="AK1057" t="str" cm="1">
        <f t="array" ref="AK1057">_xlfn.IFS(HR_Employee_Attrition[[#This Row],[YearsAtCompany]]&lt;=2,"0-2",HR_Employee_Attrition[[#This Row],[YearsAtCompany]]&lt;=5,"3-5",HR_Employee_Attrition[[#This Row],[YearsAtCompany]]&lt;=10,"6-10",HR_Employee_Attrition[[#This Row],[YearsAtCompany]]&gt;10,"10+")</f>
        <v>10+</v>
      </c>
      <c r="AL1057" t="str" cm="1">
        <f t="array" ref="AL10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57">
        <f>IF(HR_Employee_Attrition[[#This Row],[Attrition]]="Yes",1,0)</f>
        <v>0</v>
      </c>
    </row>
    <row r="1058" spans="1:39" x14ac:dyDescent="0.3">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c r="AJ1058" t="str">
        <f>IF(HR_Employee_Attrition[[#This Row],[Age]]&gt;60,"60+",IF(HR_Employee_Attrition[[#This Row],[Age]]&gt;=50,"50-59",IF(HR_Employee_Attrition[[#This Row],[Age]]&gt;=40,"40-49",IF(HR_Employee_Attrition[[#This Row],[Age]]&gt;=30,"30-39",IF(HR_Employee_Attrition[[#This Row],[Age]]&gt;=20,"20-29",IF(HR_Employee_Attrition[[#This Row],[Age]]&gt;=18,"18-20"))))))</f>
        <v>20-29</v>
      </c>
      <c r="AK1058" t="str" cm="1">
        <f t="array" ref="AK1058">_xlfn.IFS(HR_Employee_Attrition[[#This Row],[YearsAtCompany]]&lt;=2,"0-2",HR_Employee_Attrition[[#This Row],[YearsAtCompany]]&lt;=5,"3-5",HR_Employee_Attrition[[#This Row],[YearsAtCompany]]&lt;=10,"6-10",HR_Employee_Attrition[[#This Row],[YearsAtCompany]]&gt;10,"10+")</f>
        <v>3-5</v>
      </c>
      <c r="AL1058" t="str" cm="1">
        <f t="array" ref="AL10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58">
        <f>IF(HR_Employee_Attrition[[#This Row],[Attrition]]="Yes",1,0)</f>
        <v>1</v>
      </c>
    </row>
    <row r="1059" spans="1:39" x14ac:dyDescent="0.3">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c r="AJ1059" t="str">
        <f>IF(HR_Employee_Attrition[[#This Row],[Age]]&gt;60,"60+",IF(HR_Employee_Attrition[[#This Row],[Age]]&gt;=50,"50-59",IF(HR_Employee_Attrition[[#This Row],[Age]]&gt;=40,"40-49",IF(HR_Employee_Attrition[[#This Row],[Age]]&gt;=30,"30-39",IF(HR_Employee_Attrition[[#This Row],[Age]]&gt;=20,"20-29",IF(HR_Employee_Attrition[[#This Row],[Age]]&gt;=18,"18-20"))))))</f>
        <v>20-29</v>
      </c>
      <c r="AK1059" t="str" cm="1">
        <f t="array" ref="AK1059">_xlfn.IFS(HR_Employee_Attrition[[#This Row],[YearsAtCompany]]&lt;=2,"0-2",HR_Employee_Attrition[[#This Row],[YearsAtCompany]]&lt;=5,"3-5",HR_Employee_Attrition[[#This Row],[YearsAtCompany]]&lt;=10,"6-10",HR_Employee_Attrition[[#This Row],[YearsAtCompany]]&gt;10,"10+")</f>
        <v>3-5</v>
      </c>
      <c r="AL1059" t="str" cm="1">
        <f t="array" ref="AL10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59">
        <f>IF(HR_Employee_Attrition[[#This Row],[Attrition]]="Yes",1,0)</f>
        <v>1</v>
      </c>
    </row>
    <row r="1060" spans="1:39" x14ac:dyDescent="0.3">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c r="AJ1060" t="str">
        <f>IF(HR_Employee_Attrition[[#This Row],[Age]]&gt;60,"60+",IF(HR_Employee_Attrition[[#This Row],[Age]]&gt;=50,"50-59",IF(HR_Employee_Attrition[[#This Row],[Age]]&gt;=40,"40-49",IF(HR_Employee_Attrition[[#This Row],[Age]]&gt;=30,"30-39",IF(HR_Employee_Attrition[[#This Row],[Age]]&gt;=20,"20-29",IF(HR_Employee_Attrition[[#This Row],[Age]]&gt;=18,"18-20"))))))</f>
        <v>30-39</v>
      </c>
      <c r="AK1060" t="str" cm="1">
        <f t="array" ref="AK1060">_xlfn.IFS(HR_Employee_Attrition[[#This Row],[YearsAtCompany]]&lt;=2,"0-2",HR_Employee_Attrition[[#This Row],[YearsAtCompany]]&lt;=5,"3-5",HR_Employee_Attrition[[#This Row],[YearsAtCompany]]&lt;=10,"6-10",HR_Employee_Attrition[[#This Row],[YearsAtCompany]]&gt;10,"10+")</f>
        <v>10+</v>
      </c>
      <c r="AL1060" t="str" cm="1">
        <f t="array" ref="AL10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0">
        <f>IF(HR_Employee_Attrition[[#This Row],[Attrition]]="Yes",1,0)</f>
        <v>1</v>
      </c>
    </row>
    <row r="1061" spans="1:39" x14ac:dyDescent="0.3">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c r="AJ1061" t="str">
        <f>IF(HR_Employee_Attrition[[#This Row],[Age]]&gt;60,"60+",IF(HR_Employee_Attrition[[#This Row],[Age]]&gt;=50,"50-59",IF(HR_Employee_Attrition[[#This Row],[Age]]&gt;=40,"40-49",IF(HR_Employee_Attrition[[#This Row],[Age]]&gt;=30,"30-39",IF(HR_Employee_Attrition[[#This Row],[Age]]&gt;=20,"20-29",IF(HR_Employee_Attrition[[#This Row],[Age]]&gt;=18,"18-20"))))))</f>
        <v>30-39</v>
      </c>
      <c r="AK1061" t="str" cm="1">
        <f t="array" ref="AK1061">_xlfn.IFS(HR_Employee_Attrition[[#This Row],[YearsAtCompany]]&lt;=2,"0-2",HR_Employee_Attrition[[#This Row],[YearsAtCompany]]&lt;=5,"3-5",HR_Employee_Attrition[[#This Row],[YearsAtCompany]]&lt;=10,"6-10",HR_Employee_Attrition[[#This Row],[YearsAtCompany]]&gt;10,"10+")</f>
        <v>0-2</v>
      </c>
      <c r="AL1061" t="str" cm="1">
        <f t="array" ref="AL10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1">
        <f>IF(HR_Employee_Attrition[[#This Row],[Attrition]]="Yes",1,0)</f>
        <v>0</v>
      </c>
    </row>
    <row r="1062" spans="1:39" x14ac:dyDescent="0.3">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c r="AJ1062" t="str">
        <f>IF(HR_Employee_Attrition[[#This Row],[Age]]&gt;60,"60+",IF(HR_Employee_Attrition[[#This Row],[Age]]&gt;=50,"50-59",IF(HR_Employee_Attrition[[#This Row],[Age]]&gt;=40,"40-49",IF(HR_Employee_Attrition[[#This Row],[Age]]&gt;=30,"30-39",IF(HR_Employee_Attrition[[#This Row],[Age]]&gt;=20,"20-29",IF(HR_Employee_Attrition[[#This Row],[Age]]&gt;=18,"18-20"))))))</f>
        <v>20-29</v>
      </c>
      <c r="AK1062" t="str" cm="1">
        <f t="array" ref="AK1062">_xlfn.IFS(HR_Employee_Attrition[[#This Row],[YearsAtCompany]]&lt;=2,"0-2",HR_Employee_Attrition[[#This Row],[YearsAtCompany]]&lt;=5,"3-5",HR_Employee_Attrition[[#This Row],[YearsAtCompany]]&lt;=10,"6-10",HR_Employee_Attrition[[#This Row],[YearsAtCompany]]&gt;10,"10+")</f>
        <v>0-2</v>
      </c>
      <c r="AL1062" t="str" cm="1">
        <f t="array" ref="AL10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2">
        <f>IF(HR_Employee_Attrition[[#This Row],[Attrition]]="Yes",1,0)</f>
        <v>1</v>
      </c>
    </row>
    <row r="1063" spans="1:39" x14ac:dyDescent="0.3">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c r="AJ1063" t="str">
        <f>IF(HR_Employee_Attrition[[#This Row],[Age]]&gt;60,"60+",IF(HR_Employee_Attrition[[#This Row],[Age]]&gt;=50,"50-59",IF(HR_Employee_Attrition[[#This Row],[Age]]&gt;=40,"40-49",IF(HR_Employee_Attrition[[#This Row],[Age]]&gt;=30,"30-39",IF(HR_Employee_Attrition[[#This Row],[Age]]&gt;=20,"20-29",IF(HR_Employee_Attrition[[#This Row],[Age]]&gt;=18,"18-20"))))))</f>
        <v>20-29</v>
      </c>
      <c r="AK1063" t="str" cm="1">
        <f t="array" ref="AK1063">_xlfn.IFS(HR_Employee_Attrition[[#This Row],[YearsAtCompany]]&lt;=2,"0-2",HR_Employee_Attrition[[#This Row],[YearsAtCompany]]&lt;=5,"3-5",HR_Employee_Attrition[[#This Row],[YearsAtCompany]]&lt;=10,"6-10",HR_Employee_Attrition[[#This Row],[YearsAtCompany]]&gt;10,"10+")</f>
        <v>0-2</v>
      </c>
      <c r="AL1063" t="str" cm="1">
        <f t="array" ref="AL10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3">
        <f>IF(HR_Employee_Attrition[[#This Row],[Attrition]]="Yes",1,0)</f>
        <v>0</v>
      </c>
    </row>
    <row r="1064" spans="1:39" x14ac:dyDescent="0.3">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c r="AJ1064" t="str">
        <f>IF(HR_Employee_Attrition[[#This Row],[Age]]&gt;60,"60+",IF(HR_Employee_Attrition[[#This Row],[Age]]&gt;=50,"50-59",IF(HR_Employee_Attrition[[#This Row],[Age]]&gt;=40,"40-49",IF(HR_Employee_Attrition[[#This Row],[Age]]&gt;=30,"30-39",IF(HR_Employee_Attrition[[#This Row],[Age]]&gt;=20,"20-29",IF(HR_Employee_Attrition[[#This Row],[Age]]&gt;=18,"18-20"))))))</f>
        <v>40-49</v>
      </c>
      <c r="AK1064" t="str" cm="1">
        <f t="array" ref="AK1064">_xlfn.IFS(HR_Employee_Attrition[[#This Row],[YearsAtCompany]]&lt;=2,"0-2",HR_Employee_Attrition[[#This Row],[YearsAtCompany]]&lt;=5,"3-5",HR_Employee_Attrition[[#This Row],[YearsAtCompany]]&lt;=10,"6-10",HR_Employee_Attrition[[#This Row],[YearsAtCompany]]&gt;10,"10+")</f>
        <v>0-2</v>
      </c>
      <c r="AL1064" t="str" cm="1">
        <f t="array" ref="AL10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64">
        <f>IF(HR_Employee_Attrition[[#This Row],[Attrition]]="Yes",1,0)</f>
        <v>0</v>
      </c>
    </row>
    <row r="1065" spans="1:39" x14ac:dyDescent="0.3">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c r="AJ1065" t="str">
        <f>IF(HR_Employee_Attrition[[#This Row],[Age]]&gt;60,"60+",IF(HR_Employee_Attrition[[#This Row],[Age]]&gt;=50,"50-59",IF(HR_Employee_Attrition[[#This Row],[Age]]&gt;=40,"40-49",IF(HR_Employee_Attrition[[#This Row],[Age]]&gt;=30,"30-39",IF(HR_Employee_Attrition[[#This Row],[Age]]&gt;=20,"20-29",IF(HR_Employee_Attrition[[#This Row],[Age]]&gt;=18,"18-20"))))))</f>
        <v>20-29</v>
      </c>
      <c r="AK1065" t="str" cm="1">
        <f t="array" ref="AK1065">_xlfn.IFS(HR_Employee_Attrition[[#This Row],[YearsAtCompany]]&lt;=2,"0-2",HR_Employee_Attrition[[#This Row],[YearsAtCompany]]&lt;=5,"3-5",HR_Employee_Attrition[[#This Row],[YearsAtCompany]]&lt;=10,"6-10",HR_Employee_Attrition[[#This Row],[YearsAtCompany]]&gt;10,"10+")</f>
        <v>6-10</v>
      </c>
      <c r="AL1065" t="str" cm="1">
        <f t="array" ref="AL10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65">
        <f>IF(HR_Employee_Attrition[[#This Row],[Attrition]]="Yes",1,0)</f>
        <v>0</v>
      </c>
    </row>
    <row r="1066" spans="1:39" x14ac:dyDescent="0.3">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c r="AJ1066" t="str">
        <f>IF(HR_Employee_Attrition[[#This Row],[Age]]&gt;60,"60+",IF(HR_Employee_Attrition[[#This Row],[Age]]&gt;=50,"50-59",IF(HR_Employee_Attrition[[#This Row],[Age]]&gt;=40,"40-49",IF(HR_Employee_Attrition[[#This Row],[Age]]&gt;=30,"30-39",IF(HR_Employee_Attrition[[#This Row],[Age]]&gt;=20,"20-29",IF(HR_Employee_Attrition[[#This Row],[Age]]&gt;=18,"18-20"))))))</f>
        <v>30-39</v>
      </c>
      <c r="AK1066" t="str" cm="1">
        <f t="array" ref="AK1066">_xlfn.IFS(HR_Employee_Attrition[[#This Row],[YearsAtCompany]]&lt;=2,"0-2",HR_Employee_Attrition[[#This Row],[YearsAtCompany]]&lt;=5,"3-5",HR_Employee_Attrition[[#This Row],[YearsAtCompany]]&lt;=10,"6-10",HR_Employee_Attrition[[#This Row],[YearsAtCompany]]&gt;10,"10+")</f>
        <v>3-5</v>
      </c>
      <c r="AL1066" t="str" cm="1">
        <f t="array" ref="AL10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6">
        <f>IF(HR_Employee_Attrition[[#This Row],[Attrition]]="Yes",1,0)</f>
        <v>0</v>
      </c>
    </row>
    <row r="1067" spans="1:39" x14ac:dyDescent="0.3">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c r="AJ1067" t="str">
        <f>IF(HR_Employee_Attrition[[#This Row],[Age]]&gt;60,"60+",IF(HR_Employee_Attrition[[#This Row],[Age]]&gt;=50,"50-59",IF(HR_Employee_Attrition[[#This Row],[Age]]&gt;=40,"40-49",IF(HR_Employee_Attrition[[#This Row],[Age]]&gt;=30,"30-39",IF(HR_Employee_Attrition[[#This Row],[Age]]&gt;=20,"20-29",IF(HR_Employee_Attrition[[#This Row],[Age]]&gt;=18,"18-20"))))))</f>
        <v>50-59</v>
      </c>
      <c r="AK1067" t="str" cm="1">
        <f t="array" ref="AK1067">_xlfn.IFS(HR_Employee_Attrition[[#This Row],[YearsAtCompany]]&lt;=2,"0-2",HR_Employee_Attrition[[#This Row],[YearsAtCompany]]&lt;=5,"3-5",HR_Employee_Attrition[[#This Row],[YearsAtCompany]]&lt;=10,"6-10",HR_Employee_Attrition[[#This Row],[YearsAtCompany]]&gt;10,"10+")</f>
        <v>3-5</v>
      </c>
      <c r="AL1067" t="str" cm="1">
        <f t="array" ref="AL10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7">
        <f>IF(HR_Employee_Attrition[[#This Row],[Attrition]]="Yes",1,0)</f>
        <v>0</v>
      </c>
    </row>
    <row r="1068" spans="1:39" x14ac:dyDescent="0.3">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c r="AJ1068" t="str">
        <f>IF(HR_Employee_Attrition[[#This Row],[Age]]&gt;60,"60+",IF(HR_Employee_Attrition[[#This Row],[Age]]&gt;=50,"50-59",IF(HR_Employee_Attrition[[#This Row],[Age]]&gt;=40,"40-49",IF(HR_Employee_Attrition[[#This Row],[Age]]&gt;=30,"30-39",IF(HR_Employee_Attrition[[#This Row],[Age]]&gt;=20,"20-29",IF(HR_Employee_Attrition[[#This Row],[Age]]&gt;=18,"18-20"))))))</f>
        <v>30-39</v>
      </c>
      <c r="AK1068" t="str" cm="1">
        <f t="array" ref="AK1068">_xlfn.IFS(HR_Employee_Attrition[[#This Row],[YearsAtCompany]]&lt;=2,"0-2",HR_Employee_Attrition[[#This Row],[YearsAtCompany]]&lt;=5,"3-5",HR_Employee_Attrition[[#This Row],[YearsAtCompany]]&lt;=10,"6-10",HR_Employee_Attrition[[#This Row],[YearsAtCompany]]&gt;10,"10+")</f>
        <v>3-5</v>
      </c>
      <c r="AL1068" t="str" cm="1">
        <f t="array" ref="AL10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8">
        <f>IF(HR_Employee_Attrition[[#This Row],[Attrition]]="Yes",1,0)</f>
        <v>0</v>
      </c>
    </row>
    <row r="1069" spans="1:39" x14ac:dyDescent="0.3">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c r="AJ1069" t="str">
        <f>IF(HR_Employee_Attrition[[#This Row],[Age]]&gt;60,"60+",IF(HR_Employee_Attrition[[#This Row],[Age]]&gt;=50,"50-59",IF(HR_Employee_Attrition[[#This Row],[Age]]&gt;=40,"40-49",IF(HR_Employee_Attrition[[#This Row],[Age]]&gt;=30,"30-39",IF(HR_Employee_Attrition[[#This Row],[Age]]&gt;=20,"20-29",IF(HR_Employee_Attrition[[#This Row],[Age]]&gt;=18,"18-20"))))))</f>
        <v>40-49</v>
      </c>
      <c r="AK1069" t="str" cm="1">
        <f t="array" ref="AK1069">_xlfn.IFS(HR_Employee_Attrition[[#This Row],[YearsAtCompany]]&lt;=2,"0-2",HR_Employee_Attrition[[#This Row],[YearsAtCompany]]&lt;=5,"3-5",HR_Employee_Attrition[[#This Row],[YearsAtCompany]]&lt;=10,"6-10",HR_Employee_Attrition[[#This Row],[YearsAtCompany]]&gt;10,"10+")</f>
        <v>3-5</v>
      </c>
      <c r="AL1069" t="str" cm="1">
        <f t="array" ref="AL10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9">
        <f>IF(HR_Employee_Attrition[[#This Row],[Attrition]]="Yes",1,0)</f>
        <v>0</v>
      </c>
    </row>
    <row r="1070" spans="1:39" x14ac:dyDescent="0.3">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c r="AJ1070" t="str">
        <f>IF(HR_Employee_Attrition[[#This Row],[Age]]&gt;60,"60+",IF(HR_Employee_Attrition[[#This Row],[Age]]&gt;=50,"50-59",IF(HR_Employee_Attrition[[#This Row],[Age]]&gt;=40,"40-49",IF(HR_Employee_Attrition[[#This Row],[Age]]&gt;=30,"30-39",IF(HR_Employee_Attrition[[#This Row],[Age]]&gt;=20,"20-29",IF(HR_Employee_Attrition[[#This Row],[Age]]&gt;=18,"18-20"))))))</f>
        <v>20-29</v>
      </c>
      <c r="AK1070" t="str" cm="1">
        <f t="array" ref="AK1070">_xlfn.IFS(HR_Employee_Attrition[[#This Row],[YearsAtCompany]]&lt;=2,"0-2",HR_Employee_Attrition[[#This Row],[YearsAtCompany]]&lt;=5,"3-5",HR_Employee_Attrition[[#This Row],[YearsAtCompany]]&lt;=10,"6-10",HR_Employee_Attrition[[#This Row],[YearsAtCompany]]&gt;10,"10+")</f>
        <v>0-2</v>
      </c>
      <c r="AL1070" t="str" cm="1">
        <f t="array" ref="AL10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70">
        <f>IF(HR_Employee_Attrition[[#This Row],[Attrition]]="Yes",1,0)</f>
        <v>1</v>
      </c>
    </row>
    <row r="1071" spans="1:39" x14ac:dyDescent="0.3">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c r="AJ1071" t="str">
        <f>IF(HR_Employee_Attrition[[#This Row],[Age]]&gt;60,"60+",IF(HR_Employee_Attrition[[#This Row],[Age]]&gt;=50,"50-59",IF(HR_Employee_Attrition[[#This Row],[Age]]&gt;=40,"40-49",IF(HR_Employee_Attrition[[#This Row],[Age]]&gt;=30,"30-39",IF(HR_Employee_Attrition[[#This Row],[Age]]&gt;=20,"20-29",IF(HR_Employee_Attrition[[#This Row],[Age]]&gt;=18,"18-20"))))))</f>
        <v>20-29</v>
      </c>
      <c r="AK1071" t="str" cm="1">
        <f t="array" ref="AK1071">_xlfn.IFS(HR_Employee_Attrition[[#This Row],[YearsAtCompany]]&lt;=2,"0-2",HR_Employee_Attrition[[#This Row],[YearsAtCompany]]&lt;=5,"3-5",HR_Employee_Attrition[[#This Row],[YearsAtCompany]]&lt;=10,"6-10",HR_Employee_Attrition[[#This Row],[YearsAtCompany]]&gt;10,"10+")</f>
        <v>0-2</v>
      </c>
      <c r="AL1071" t="str" cm="1">
        <f t="array" ref="AL10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71">
        <f>IF(HR_Employee_Attrition[[#This Row],[Attrition]]="Yes",1,0)</f>
        <v>0</v>
      </c>
    </row>
    <row r="1072" spans="1:39" x14ac:dyDescent="0.3">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c r="AJ1072" t="str">
        <f>IF(HR_Employee_Attrition[[#This Row],[Age]]&gt;60,"60+",IF(HR_Employee_Attrition[[#This Row],[Age]]&gt;=50,"50-59",IF(HR_Employee_Attrition[[#This Row],[Age]]&gt;=40,"40-49",IF(HR_Employee_Attrition[[#This Row],[Age]]&gt;=30,"30-39",IF(HR_Employee_Attrition[[#This Row],[Age]]&gt;=20,"20-29",IF(HR_Employee_Attrition[[#This Row],[Age]]&gt;=18,"18-20"))))))</f>
        <v>20-29</v>
      </c>
      <c r="AK1072" t="str" cm="1">
        <f t="array" ref="AK1072">_xlfn.IFS(HR_Employee_Attrition[[#This Row],[YearsAtCompany]]&lt;=2,"0-2",HR_Employee_Attrition[[#This Row],[YearsAtCompany]]&lt;=5,"3-5",HR_Employee_Attrition[[#This Row],[YearsAtCompany]]&lt;=10,"6-10",HR_Employee_Attrition[[#This Row],[YearsAtCompany]]&gt;10,"10+")</f>
        <v>3-5</v>
      </c>
      <c r="AL1072" t="str" cm="1">
        <f t="array" ref="AL10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72">
        <f>IF(HR_Employee_Attrition[[#This Row],[Attrition]]="Yes",1,0)</f>
        <v>0</v>
      </c>
    </row>
    <row r="1073" spans="1:39" x14ac:dyDescent="0.3">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c r="AJ1073" t="str">
        <f>IF(HR_Employee_Attrition[[#This Row],[Age]]&gt;60,"60+",IF(HR_Employee_Attrition[[#This Row],[Age]]&gt;=50,"50-59",IF(HR_Employee_Attrition[[#This Row],[Age]]&gt;=40,"40-49",IF(HR_Employee_Attrition[[#This Row],[Age]]&gt;=30,"30-39",IF(HR_Employee_Attrition[[#This Row],[Age]]&gt;=20,"20-29",IF(HR_Employee_Attrition[[#This Row],[Age]]&gt;=18,"18-20"))))))</f>
        <v>40-49</v>
      </c>
      <c r="AK1073" t="str" cm="1">
        <f t="array" ref="AK1073">_xlfn.IFS(HR_Employee_Attrition[[#This Row],[YearsAtCompany]]&lt;=2,"0-2",HR_Employee_Attrition[[#This Row],[YearsAtCompany]]&lt;=5,"3-5",HR_Employee_Attrition[[#This Row],[YearsAtCompany]]&lt;=10,"6-10",HR_Employee_Attrition[[#This Row],[YearsAtCompany]]&gt;10,"10+")</f>
        <v>3-5</v>
      </c>
      <c r="AL1073" t="str" cm="1">
        <f t="array" ref="AL10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73">
        <f>IF(HR_Employee_Attrition[[#This Row],[Attrition]]="Yes",1,0)</f>
        <v>0</v>
      </c>
    </row>
    <row r="1074" spans="1:39" x14ac:dyDescent="0.3">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c r="AJ1074" t="str">
        <f>IF(HR_Employee_Attrition[[#This Row],[Age]]&gt;60,"60+",IF(HR_Employee_Attrition[[#This Row],[Age]]&gt;=50,"50-59",IF(HR_Employee_Attrition[[#This Row],[Age]]&gt;=40,"40-49",IF(HR_Employee_Attrition[[#This Row],[Age]]&gt;=30,"30-39",IF(HR_Employee_Attrition[[#This Row],[Age]]&gt;=20,"20-29",IF(HR_Employee_Attrition[[#This Row],[Age]]&gt;=18,"18-20"))))))</f>
        <v>20-29</v>
      </c>
      <c r="AK1074" t="str" cm="1">
        <f t="array" ref="AK1074">_xlfn.IFS(HR_Employee_Attrition[[#This Row],[YearsAtCompany]]&lt;=2,"0-2",HR_Employee_Attrition[[#This Row],[YearsAtCompany]]&lt;=5,"3-5",HR_Employee_Attrition[[#This Row],[YearsAtCompany]]&lt;=10,"6-10",HR_Employee_Attrition[[#This Row],[YearsAtCompany]]&gt;10,"10+")</f>
        <v>3-5</v>
      </c>
      <c r="AL1074" t="str" cm="1">
        <f t="array" ref="AL10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74">
        <f>IF(HR_Employee_Attrition[[#This Row],[Attrition]]="Yes",1,0)</f>
        <v>0</v>
      </c>
    </row>
    <row r="1075" spans="1:39" x14ac:dyDescent="0.3">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c r="AJ1075" t="str">
        <f>IF(HR_Employee_Attrition[[#This Row],[Age]]&gt;60,"60+",IF(HR_Employee_Attrition[[#This Row],[Age]]&gt;=50,"50-59",IF(HR_Employee_Attrition[[#This Row],[Age]]&gt;=40,"40-49",IF(HR_Employee_Attrition[[#This Row],[Age]]&gt;=30,"30-39",IF(HR_Employee_Attrition[[#This Row],[Age]]&gt;=20,"20-29",IF(HR_Employee_Attrition[[#This Row],[Age]]&gt;=18,"18-20"))))))</f>
        <v>20-29</v>
      </c>
      <c r="AK1075" t="str" cm="1">
        <f t="array" ref="AK1075">_xlfn.IFS(HR_Employee_Attrition[[#This Row],[YearsAtCompany]]&lt;=2,"0-2",HR_Employee_Attrition[[#This Row],[YearsAtCompany]]&lt;=5,"3-5",HR_Employee_Attrition[[#This Row],[YearsAtCompany]]&lt;=10,"6-10",HR_Employee_Attrition[[#This Row],[YearsAtCompany]]&gt;10,"10+")</f>
        <v>6-10</v>
      </c>
      <c r="AL1075" t="str" cm="1">
        <f t="array" ref="AL10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75">
        <f>IF(HR_Employee_Attrition[[#This Row],[Attrition]]="Yes",1,0)</f>
        <v>0</v>
      </c>
    </row>
    <row r="1076" spans="1:39" x14ac:dyDescent="0.3">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c r="AJ1076" t="str">
        <f>IF(HR_Employee_Attrition[[#This Row],[Age]]&gt;60,"60+",IF(HR_Employee_Attrition[[#This Row],[Age]]&gt;=50,"50-59",IF(HR_Employee_Attrition[[#This Row],[Age]]&gt;=40,"40-49",IF(HR_Employee_Attrition[[#This Row],[Age]]&gt;=30,"30-39",IF(HR_Employee_Attrition[[#This Row],[Age]]&gt;=20,"20-29",IF(HR_Employee_Attrition[[#This Row],[Age]]&gt;=18,"18-20"))))))</f>
        <v>30-39</v>
      </c>
      <c r="AK1076" t="str" cm="1">
        <f t="array" ref="AK1076">_xlfn.IFS(HR_Employee_Attrition[[#This Row],[YearsAtCompany]]&lt;=2,"0-2",HR_Employee_Attrition[[#This Row],[YearsAtCompany]]&lt;=5,"3-5",HR_Employee_Attrition[[#This Row],[YearsAtCompany]]&lt;=10,"6-10",HR_Employee_Attrition[[#This Row],[YearsAtCompany]]&gt;10,"10+")</f>
        <v>0-2</v>
      </c>
      <c r="AL1076" t="str" cm="1">
        <f t="array" ref="AL10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76">
        <f>IF(HR_Employee_Attrition[[#This Row],[Attrition]]="Yes",1,0)</f>
        <v>0</v>
      </c>
    </row>
    <row r="1077" spans="1:39" x14ac:dyDescent="0.3">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c r="AJ1077" t="str">
        <f>IF(HR_Employee_Attrition[[#This Row],[Age]]&gt;60,"60+",IF(HR_Employee_Attrition[[#This Row],[Age]]&gt;=50,"50-59",IF(HR_Employee_Attrition[[#This Row],[Age]]&gt;=40,"40-49",IF(HR_Employee_Attrition[[#This Row],[Age]]&gt;=30,"30-39",IF(HR_Employee_Attrition[[#This Row],[Age]]&gt;=20,"20-29",IF(HR_Employee_Attrition[[#This Row],[Age]]&gt;=18,"18-20"))))))</f>
        <v>30-39</v>
      </c>
      <c r="AK1077" t="str" cm="1">
        <f t="array" ref="AK1077">_xlfn.IFS(HR_Employee_Attrition[[#This Row],[YearsAtCompany]]&lt;=2,"0-2",HR_Employee_Attrition[[#This Row],[YearsAtCompany]]&lt;=5,"3-5",HR_Employee_Attrition[[#This Row],[YearsAtCompany]]&lt;=10,"6-10",HR_Employee_Attrition[[#This Row],[YearsAtCompany]]&gt;10,"10+")</f>
        <v>3-5</v>
      </c>
      <c r="AL1077" t="str" cm="1">
        <f t="array" ref="AL10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77">
        <f>IF(HR_Employee_Attrition[[#This Row],[Attrition]]="Yes",1,0)</f>
        <v>0</v>
      </c>
    </row>
    <row r="1078" spans="1:39" x14ac:dyDescent="0.3">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c r="AJ1078" t="str">
        <f>IF(HR_Employee_Attrition[[#This Row],[Age]]&gt;60,"60+",IF(HR_Employee_Attrition[[#This Row],[Age]]&gt;=50,"50-59",IF(HR_Employee_Attrition[[#This Row],[Age]]&gt;=40,"40-49",IF(HR_Employee_Attrition[[#This Row],[Age]]&gt;=30,"30-39",IF(HR_Employee_Attrition[[#This Row],[Age]]&gt;=20,"20-29",IF(HR_Employee_Attrition[[#This Row],[Age]]&gt;=18,"18-20"))))))</f>
        <v>50-59</v>
      </c>
      <c r="AK1078" t="str" cm="1">
        <f t="array" ref="AK1078">_xlfn.IFS(HR_Employee_Attrition[[#This Row],[YearsAtCompany]]&lt;=2,"0-2",HR_Employee_Attrition[[#This Row],[YearsAtCompany]]&lt;=5,"3-5",HR_Employee_Attrition[[#This Row],[YearsAtCompany]]&lt;=10,"6-10",HR_Employee_Attrition[[#This Row],[YearsAtCompany]]&gt;10,"10+")</f>
        <v>10+</v>
      </c>
      <c r="AL1078" t="str" cm="1">
        <f t="array" ref="AL10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78">
        <f>IF(HR_Employee_Attrition[[#This Row],[Attrition]]="Yes",1,0)</f>
        <v>0</v>
      </c>
    </row>
    <row r="1079" spans="1:39" x14ac:dyDescent="0.3">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c r="AJ1079" t="str">
        <f>IF(HR_Employee_Attrition[[#This Row],[Age]]&gt;60,"60+",IF(HR_Employee_Attrition[[#This Row],[Age]]&gt;=50,"50-59",IF(HR_Employee_Attrition[[#This Row],[Age]]&gt;=40,"40-49",IF(HR_Employee_Attrition[[#This Row],[Age]]&gt;=30,"30-39",IF(HR_Employee_Attrition[[#This Row],[Age]]&gt;=20,"20-29",IF(HR_Employee_Attrition[[#This Row],[Age]]&gt;=18,"18-20"))))))</f>
        <v>20-29</v>
      </c>
      <c r="AK1079" t="str" cm="1">
        <f t="array" ref="AK1079">_xlfn.IFS(HR_Employee_Attrition[[#This Row],[YearsAtCompany]]&lt;=2,"0-2",HR_Employee_Attrition[[#This Row],[YearsAtCompany]]&lt;=5,"3-5",HR_Employee_Attrition[[#This Row],[YearsAtCompany]]&lt;=10,"6-10",HR_Employee_Attrition[[#This Row],[YearsAtCompany]]&gt;10,"10+")</f>
        <v>6-10</v>
      </c>
      <c r="AL1079" t="str" cm="1">
        <f t="array" ref="AL10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79">
        <f>IF(HR_Employee_Attrition[[#This Row],[Attrition]]="Yes",1,0)</f>
        <v>1</v>
      </c>
    </row>
    <row r="1080" spans="1:39" x14ac:dyDescent="0.3">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c r="AJ1080" t="str">
        <f>IF(HR_Employee_Attrition[[#This Row],[Age]]&gt;60,"60+",IF(HR_Employee_Attrition[[#This Row],[Age]]&gt;=50,"50-59",IF(HR_Employee_Attrition[[#This Row],[Age]]&gt;=40,"40-49",IF(HR_Employee_Attrition[[#This Row],[Age]]&gt;=30,"30-39",IF(HR_Employee_Attrition[[#This Row],[Age]]&gt;=20,"20-29",IF(HR_Employee_Attrition[[#This Row],[Age]]&gt;=18,"18-20"))))))</f>
        <v>40-49</v>
      </c>
      <c r="AK1080" t="str" cm="1">
        <f t="array" ref="AK1080">_xlfn.IFS(HR_Employee_Attrition[[#This Row],[YearsAtCompany]]&lt;=2,"0-2",HR_Employee_Attrition[[#This Row],[YearsAtCompany]]&lt;=5,"3-5",HR_Employee_Attrition[[#This Row],[YearsAtCompany]]&lt;=10,"6-10",HR_Employee_Attrition[[#This Row],[YearsAtCompany]]&gt;10,"10+")</f>
        <v>10+</v>
      </c>
      <c r="AL1080" t="str" cm="1">
        <f t="array" ref="AL10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80">
        <f>IF(HR_Employee_Attrition[[#This Row],[Attrition]]="Yes",1,0)</f>
        <v>0</v>
      </c>
    </row>
    <row r="1081" spans="1:39" x14ac:dyDescent="0.3">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c r="AJ1081" t="str">
        <f>IF(HR_Employee_Attrition[[#This Row],[Age]]&gt;60,"60+",IF(HR_Employee_Attrition[[#This Row],[Age]]&gt;=50,"50-59",IF(HR_Employee_Attrition[[#This Row],[Age]]&gt;=40,"40-49",IF(HR_Employee_Attrition[[#This Row],[Age]]&gt;=30,"30-39",IF(HR_Employee_Attrition[[#This Row],[Age]]&gt;=20,"20-29",IF(HR_Employee_Attrition[[#This Row],[Age]]&gt;=18,"18-20"))))))</f>
        <v>30-39</v>
      </c>
      <c r="AK1081" t="str" cm="1">
        <f t="array" ref="AK1081">_xlfn.IFS(HR_Employee_Attrition[[#This Row],[YearsAtCompany]]&lt;=2,"0-2",HR_Employee_Attrition[[#This Row],[YearsAtCompany]]&lt;=5,"3-5",HR_Employee_Attrition[[#This Row],[YearsAtCompany]]&lt;=10,"6-10",HR_Employee_Attrition[[#This Row],[YearsAtCompany]]&gt;10,"10+")</f>
        <v>0-2</v>
      </c>
      <c r="AL1081" t="str" cm="1">
        <f t="array" ref="AL10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81">
        <f>IF(HR_Employee_Attrition[[#This Row],[Attrition]]="Yes",1,0)</f>
        <v>0</v>
      </c>
    </row>
    <row r="1082" spans="1:39" x14ac:dyDescent="0.3">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c r="AJ1082" t="str">
        <f>IF(HR_Employee_Attrition[[#This Row],[Age]]&gt;60,"60+",IF(HR_Employee_Attrition[[#This Row],[Age]]&gt;=50,"50-59",IF(HR_Employee_Attrition[[#This Row],[Age]]&gt;=40,"40-49",IF(HR_Employee_Attrition[[#This Row],[Age]]&gt;=30,"30-39",IF(HR_Employee_Attrition[[#This Row],[Age]]&gt;=20,"20-29",IF(HR_Employee_Attrition[[#This Row],[Age]]&gt;=18,"18-20"))))))</f>
        <v>40-49</v>
      </c>
      <c r="AK1082" t="str" cm="1">
        <f t="array" ref="AK1082">_xlfn.IFS(HR_Employee_Attrition[[#This Row],[YearsAtCompany]]&lt;=2,"0-2",HR_Employee_Attrition[[#This Row],[YearsAtCompany]]&lt;=5,"3-5",HR_Employee_Attrition[[#This Row],[YearsAtCompany]]&lt;=10,"6-10",HR_Employee_Attrition[[#This Row],[YearsAtCompany]]&gt;10,"10+")</f>
        <v>10+</v>
      </c>
      <c r="AL1082" t="str" cm="1">
        <f t="array" ref="AL10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82">
        <f>IF(HR_Employee_Attrition[[#This Row],[Attrition]]="Yes",1,0)</f>
        <v>0</v>
      </c>
    </row>
    <row r="1083" spans="1:39" x14ac:dyDescent="0.3">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c r="AJ1083" t="str">
        <f>IF(HR_Employee_Attrition[[#This Row],[Age]]&gt;60,"60+",IF(HR_Employee_Attrition[[#This Row],[Age]]&gt;=50,"50-59",IF(HR_Employee_Attrition[[#This Row],[Age]]&gt;=40,"40-49",IF(HR_Employee_Attrition[[#This Row],[Age]]&gt;=30,"30-39",IF(HR_Employee_Attrition[[#This Row],[Age]]&gt;=20,"20-29",IF(HR_Employee_Attrition[[#This Row],[Age]]&gt;=18,"18-20"))))))</f>
        <v>30-39</v>
      </c>
      <c r="AK1083" t="str" cm="1">
        <f t="array" ref="AK1083">_xlfn.IFS(HR_Employee_Attrition[[#This Row],[YearsAtCompany]]&lt;=2,"0-2",HR_Employee_Attrition[[#This Row],[YearsAtCompany]]&lt;=5,"3-5",HR_Employee_Attrition[[#This Row],[YearsAtCompany]]&lt;=10,"6-10",HR_Employee_Attrition[[#This Row],[YearsAtCompany]]&gt;10,"10+")</f>
        <v>10+</v>
      </c>
      <c r="AL1083" t="str" cm="1">
        <f t="array" ref="AL10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83">
        <f>IF(HR_Employee_Attrition[[#This Row],[Attrition]]="Yes",1,0)</f>
        <v>0</v>
      </c>
    </row>
    <row r="1084" spans="1:39" x14ac:dyDescent="0.3">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c r="AJ1084" t="str">
        <f>IF(HR_Employee_Attrition[[#This Row],[Age]]&gt;60,"60+",IF(HR_Employee_Attrition[[#This Row],[Age]]&gt;=50,"50-59",IF(HR_Employee_Attrition[[#This Row],[Age]]&gt;=40,"40-49",IF(HR_Employee_Attrition[[#This Row],[Age]]&gt;=30,"30-39",IF(HR_Employee_Attrition[[#This Row],[Age]]&gt;=20,"20-29",IF(HR_Employee_Attrition[[#This Row],[Age]]&gt;=18,"18-20"))))))</f>
        <v>20-29</v>
      </c>
      <c r="AK1084" t="str" cm="1">
        <f t="array" ref="AK1084">_xlfn.IFS(HR_Employee_Attrition[[#This Row],[YearsAtCompany]]&lt;=2,"0-2",HR_Employee_Attrition[[#This Row],[YearsAtCompany]]&lt;=5,"3-5",HR_Employee_Attrition[[#This Row],[YearsAtCompany]]&lt;=10,"6-10",HR_Employee_Attrition[[#This Row],[YearsAtCompany]]&gt;10,"10+")</f>
        <v>3-5</v>
      </c>
      <c r="AL1084" t="str" cm="1">
        <f t="array" ref="AL10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84">
        <f>IF(HR_Employee_Attrition[[#This Row],[Attrition]]="Yes",1,0)</f>
        <v>0</v>
      </c>
    </row>
    <row r="1085" spans="1:39" x14ac:dyDescent="0.3">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c r="AJ1085" t="str">
        <f>IF(HR_Employee_Attrition[[#This Row],[Age]]&gt;60,"60+",IF(HR_Employee_Attrition[[#This Row],[Age]]&gt;=50,"50-59",IF(HR_Employee_Attrition[[#This Row],[Age]]&gt;=40,"40-49",IF(HR_Employee_Attrition[[#This Row],[Age]]&gt;=30,"30-39",IF(HR_Employee_Attrition[[#This Row],[Age]]&gt;=20,"20-29",IF(HR_Employee_Attrition[[#This Row],[Age]]&gt;=18,"18-20"))))))</f>
        <v>40-49</v>
      </c>
      <c r="AK1085" t="str" cm="1">
        <f t="array" ref="AK1085">_xlfn.IFS(HR_Employee_Attrition[[#This Row],[YearsAtCompany]]&lt;=2,"0-2",HR_Employee_Attrition[[#This Row],[YearsAtCompany]]&lt;=5,"3-5",HR_Employee_Attrition[[#This Row],[YearsAtCompany]]&lt;=10,"6-10",HR_Employee_Attrition[[#This Row],[YearsAtCompany]]&gt;10,"10+")</f>
        <v>3-5</v>
      </c>
      <c r="AL1085" t="str" cm="1">
        <f t="array" ref="AL10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85">
        <f>IF(HR_Employee_Attrition[[#This Row],[Attrition]]="Yes",1,0)</f>
        <v>1</v>
      </c>
    </row>
    <row r="1086" spans="1:39" x14ac:dyDescent="0.3">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c r="AJ1086" t="str">
        <f>IF(HR_Employee_Attrition[[#This Row],[Age]]&gt;60,"60+",IF(HR_Employee_Attrition[[#This Row],[Age]]&gt;=50,"50-59",IF(HR_Employee_Attrition[[#This Row],[Age]]&gt;=40,"40-49",IF(HR_Employee_Attrition[[#This Row],[Age]]&gt;=30,"30-39",IF(HR_Employee_Attrition[[#This Row],[Age]]&gt;=20,"20-29",IF(HR_Employee_Attrition[[#This Row],[Age]]&gt;=18,"18-20"))))))</f>
        <v>30-39</v>
      </c>
      <c r="AK1086" t="str" cm="1">
        <f t="array" ref="AK1086">_xlfn.IFS(HR_Employee_Attrition[[#This Row],[YearsAtCompany]]&lt;=2,"0-2",HR_Employee_Attrition[[#This Row],[YearsAtCompany]]&lt;=5,"3-5",HR_Employee_Attrition[[#This Row],[YearsAtCompany]]&lt;=10,"6-10",HR_Employee_Attrition[[#This Row],[YearsAtCompany]]&gt;10,"10+")</f>
        <v>6-10</v>
      </c>
      <c r="AL1086" t="str" cm="1">
        <f t="array" ref="AL10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86">
        <f>IF(HR_Employee_Attrition[[#This Row],[Attrition]]="Yes",1,0)</f>
        <v>0</v>
      </c>
    </row>
    <row r="1087" spans="1:39" x14ac:dyDescent="0.3">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c r="AJ1087" t="str">
        <f>IF(HR_Employee_Attrition[[#This Row],[Age]]&gt;60,"60+",IF(HR_Employee_Attrition[[#This Row],[Age]]&gt;=50,"50-59",IF(HR_Employee_Attrition[[#This Row],[Age]]&gt;=40,"40-49",IF(HR_Employee_Attrition[[#This Row],[Age]]&gt;=30,"30-39",IF(HR_Employee_Attrition[[#This Row],[Age]]&gt;=20,"20-29",IF(HR_Employee_Attrition[[#This Row],[Age]]&gt;=18,"18-20"))))))</f>
        <v>30-39</v>
      </c>
      <c r="AK1087" t="str" cm="1">
        <f t="array" ref="AK1087">_xlfn.IFS(HR_Employee_Attrition[[#This Row],[YearsAtCompany]]&lt;=2,"0-2",HR_Employee_Attrition[[#This Row],[YearsAtCompany]]&lt;=5,"3-5",HR_Employee_Attrition[[#This Row],[YearsAtCompany]]&lt;=10,"6-10",HR_Employee_Attrition[[#This Row],[YearsAtCompany]]&gt;10,"10+")</f>
        <v>6-10</v>
      </c>
      <c r="AL1087" t="str" cm="1">
        <f t="array" ref="AL10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87">
        <f>IF(HR_Employee_Attrition[[#This Row],[Attrition]]="Yes",1,0)</f>
        <v>1</v>
      </c>
    </row>
    <row r="1088" spans="1:39" x14ac:dyDescent="0.3">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c r="AJ1088" t="str">
        <f>IF(HR_Employee_Attrition[[#This Row],[Age]]&gt;60,"60+",IF(HR_Employee_Attrition[[#This Row],[Age]]&gt;=50,"50-59",IF(HR_Employee_Attrition[[#This Row],[Age]]&gt;=40,"40-49",IF(HR_Employee_Attrition[[#This Row],[Age]]&gt;=30,"30-39",IF(HR_Employee_Attrition[[#This Row],[Age]]&gt;=20,"20-29",IF(HR_Employee_Attrition[[#This Row],[Age]]&gt;=18,"18-20"))))))</f>
        <v>50-59</v>
      </c>
      <c r="AK1088" t="str" cm="1">
        <f t="array" ref="AK1088">_xlfn.IFS(HR_Employee_Attrition[[#This Row],[YearsAtCompany]]&lt;=2,"0-2",HR_Employee_Attrition[[#This Row],[YearsAtCompany]]&lt;=5,"3-5",HR_Employee_Attrition[[#This Row],[YearsAtCompany]]&lt;=10,"6-10",HR_Employee_Attrition[[#This Row],[YearsAtCompany]]&gt;10,"10+")</f>
        <v>10+</v>
      </c>
      <c r="AL1088" t="str" cm="1">
        <f t="array" ref="AL10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88">
        <f>IF(HR_Employee_Attrition[[#This Row],[Attrition]]="Yes",1,0)</f>
        <v>0</v>
      </c>
    </row>
    <row r="1089" spans="1:39" x14ac:dyDescent="0.3">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c r="AJ1089" t="str">
        <f>IF(HR_Employee_Attrition[[#This Row],[Age]]&gt;60,"60+",IF(HR_Employee_Attrition[[#This Row],[Age]]&gt;=50,"50-59",IF(HR_Employee_Attrition[[#This Row],[Age]]&gt;=40,"40-49",IF(HR_Employee_Attrition[[#This Row],[Age]]&gt;=30,"30-39",IF(HR_Employee_Attrition[[#This Row],[Age]]&gt;=20,"20-29",IF(HR_Employee_Attrition[[#This Row],[Age]]&gt;=18,"18-20"))))))</f>
        <v>30-39</v>
      </c>
      <c r="AK1089" t="str" cm="1">
        <f t="array" ref="AK1089">_xlfn.IFS(HR_Employee_Attrition[[#This Row],[YearsAtCompany]]&lt;=2,"0-2",HR_Employee_Attrition[[#This Row],[YearsAtCompany]]&lt;=5,"3-5",HR_Employee_Attrition[[#This Row],[YearsAtCompany]]&lt;=10,"6-10",HR_Employee_Attrition[[#This Row],[YearsAtCompany]]&gt;10,"10+")</f>
        <v>10+</v>
      </c>
      <c r="AL1089" t="str" cm="1">
        <f t="array" ref="AL10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89">
        <f>IF(HR_Employee_Attrition[[#This Row],[Attrition]]="Yes",1,0)</f>
        <v>0</v>
      </c>
    </row>
    <row r="1090" spans="1:39" x14ac:dyDescent="0.3">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c r="AJ1090" t="str">
        <f>IF(HR_Employee_Attrition[[#This Row],[Age]]&gt;60,"60+",IF(HR_Employee_Attrition[[#This Row],[Age]]&gt;=50,"50-59",IF(HR_Employee_Attrition[[#This Row],[Age]]&gt;=40,"40-49",IF(HR_Employee_Attrition[[#This Row],[Age]]&gt;=30,"30-39",IF(HR_Employee_Attrition[[#This Row],[Age]]&gt;=20,"20-29",IF(HR_Employee_Attrition[[#This Row],[Age]]&gt;=18,"18-20"))))))</f>
        <v>40-49</v>
      </c>
      <c r="AK1090" t="str" cm="1">
        <f t="array" ref="AK1090">_xlfn.IFS(HR_Employee_Attrition[[#This Row],[YearsAtCompany]]&lt;=2,"0-2",HR_Employee_Attrition[[#This Row],[YearsAtCompany]]&lt;=5,"3-5",HR_Employee_Attrition[[#This Row],[YearsAtCompany]]&lt;=10,"6-10",HR_Employee_Attrition[[#This Row],[YearsAtCompany]]&gt;10,"10+")</f>
        <v>0-2</v>
      </c>
      <c r="AL1090" t="str" cm="1">
        <f t="array" ref="AL10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90">
        <f>IF(HR_Employee_Attrition[[#This Row],[Attrition]]="Yes",1,0)</f>
        <v>0</v>
      </c>
    </row>
    <row r="1091" spans="1:39" x14ac:dyDescent="0.3">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c r="AJ1091" t="str">
        <f>IF(HR_Employee_Attrition[[#This Row],[Age]]&gt;60,"60+",IF(HR_Employee_Attrition[[#This Row],[Age]]&gt;=50,"50-59",IF(HR_Employee_Attrition[[#This Row],[Age]]&gt;=40,"40-49",IF(HR_Employee_Attrition[[#This Row],[Age]]&gt;=30,"30-39",IF(HR_Employee_Attrition[[#This Row],[Age]]&gt;=20,"20-29",IF(HR_Employee_Attrition[[#This Row],[Age]]&gt;=18,"18-20"))))))</f>
        <v>30-39</v>
      </c>
      <c r="AK1091" t="str" cm="1">
        <f t="array" ref="AK1091">_xlfn.IFS(HR_Employee_Attrition[[#This Row],[YearsAtCompany]]&lt;=2,"0-2",HR_Employee_Attrition[[#This Row],[YearsAtCompany]]&lt;=5,"3-5",HR_Employee_Attrition[[#This Row],[YearsAtCompany]]&lt;=10,"6-10",HR_Employee_Attrition[[#This Row],[YearsAtCompany]]&gt;10,"10+")</f>
        <v>6-10</v>
      </c>
      <c r="AL1091" t="str" cm="1">
        <f t="array" ref="AL10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91">
        <f>IF(HR_Employee_Attrition[[#This Row],[Attrition]]="Yes",1,0)</f>
        <v>0</v>
      </c>
    </row>
    <row r="1092" spans="1:39" x14ac:dyDescent="0.3">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c r="AJ1092" t="str">
        <f>IF(HR_Employee_Attrition[[#This Row],[Age]]&gt;60,"60+",IF(HR_Employee_Attrition[[#This Row],[Age]]&gt;=50,"50-59",IF(HR_Employee_Attrition[[#This Row],[Age]]&gt;=40,"40-49",IF(HR_Employee_Attrition[[#This Row],[Age]]&gt;=30,"30-39",IF(HR_Employee_Attrition[[#This Row],[Age]]&gt;=20,"20-29",IF(HR_Employee_Attrition[[#This Row],[Age]]&gt;=18,"18-20"))))))</f>
        <v>20-29</v>
      </c>
      <c r="AK1092" t="str" cm="1">
        <f t="array" ref="AK1092">_xlfn.IFS(HR_Employee_Attrition[[#This Row],[YearsAtCompany]]&lt;=2,"0-2",HR_Employee_Attrition[[#This Row],[YearsAtCompany]]&lt;=5,"3-5",HR_Employee_Attrition[[#This Row],[YearsAtCompany]]&lt;=10,"6-10",HR_Employee_Attrition[[#This Row],[YearsAtCompany]]&gt;10,"10+")</f>
        <v>6-10</v>
      </c>
      <c r="AL1092" t="str" cm="1">
        <f t="array" ref="AL10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92">
        <f>IF(HR_Employee_Attrition[[#This Row],[Attrition]]="Yes",1,0)</f>
        <v>0</v>
      </c>
    </row>
    <row r="1093" spans="1:39" x14ac:dyDescent="0.3">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c r="AJ1093" t="str">
        <f>IF(HR_Employee_Attrition[[#This Row],[Age]]&gt;60,"60+",IF(HR_Employee_Attrition[[#This Row],[Age]]&gt;=50,"50-59",IF(HR_Employee_Attrition[[#This Row],[Age]]&gt;=40,"40-49",IF(HR_Employee_Attrition[[#This Row],[Age]]&gt;=30,"30-39",IF(HR_Employee_Attrition[[#This Row],[Age]]&gt;=20,"20-29",IF(HR_Employee_Attrition[[#This Row],[Age]]&gt;=18,"18-20"))))))</f>
        <v>30-39</v>
      </c>
      <c r="AK1093" t="str" cm="1">
        <f t="array" ref="AK1093">_xlfn.IFS(HR_Employee_Attrition[[#This Row],[YearsAtCompany]]&lt;=2,"0-2",HR_Employee_Attrition[[#This Row],[YearsAtCompany]]&lt;=5,"3-5",HR_Employee_Attrition[[#This Row],[YearsAtCompany]]&lt;=10,"6-10",HR_Employee_Attrition[[#This Row],[YearsAtCompany]]&gt;10,"10+")</f>
        <v>3-5</v>
      </c>
      <c r="AL1093" t="str" cm="1">
        <f t="array" ref="AL10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93">
        <f>IF(HR_Employee_Attrition[[#This Row],[Attrition]]="Yes",1,0)</f>
        <v>0</v>
      </c>
    </row>
    <row r="1094" spans="1:39" x14ac:dyDescent="0.3">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c r="AJ1094" t="str">
        <f>IF(HR_Employee_Attrition[[#This Row],[Age]]&gt;60,"60+",IF(HR_Employee_Attrition[[#This Row],[Age]]&gt;=50,"50-59",IF(HR_Employee_Attrition[[#This Row],[Age]]&gt;=40,"40-49",IF(HR_Employee_Attrition[[#This Row],[Age]]&gt;=30,"30-39",IF(HR_Employee_Attrition[[#This Row],[Age]]&gt;=20,"20-29",IF(HR_Employee_Attrition[[#This Row],[Age]]&gt;=18,"18-20"))))))</f>
        <v>40-49</v>
      </c>
      <c r="AK1094" t="str" cm="1">
        <f t="array" ref="AK1094">_xlfn.IFS(HR_Employee_Attrition[[#This Row],[YearsAtCompany]]&lt;=2,"0-2",HR_Employee_Attrition[[#This Row],[YearsAtCompany]]&lt;=5,"3-5",HR_Employee_Attrition[[#This Row],[YearsAtCompany]]&lt;=10,"6-10",HR_Employee_Attrition[[#This Row],[YearsAtCompany]]&gt;10,"10+")</f>
        <v>3-5</v>
      </c>
      <c r="AL1094" t="str" cm="1">
        <f t="array" ref="AL10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94">
        <f>IF(HR_Employee_Attrition[[#This Row],[Attrition]]="Yes",1,0)</f>
        <v>0</v>
      </c>
    </row>
    <row r="1095" spans="1:39" x14ac:dyDescent="0.3">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c r="AJ1095" t="str">
        <f>IF(HR_Employee_Attrition[[#This Row],[Age]]&gt;60,"60+",IF(HR_Employee_Attrition[[#This Row],[Age]]&gt;=50,"50-59",IF(HR_Employee_Attrition[[#This Row],[Age]]&gt;=40,"40-49",IF(HR_Employee_Attrition[[#This Row],[Age]]&gt;=30,"30-39",IF(HR_Employee_Attrition[[#This Row],[Age]]&gt;=20,"20-29",IF(HR_Employee_Attrition[[#This Row],[Age]]&gt;=18,"18-20"))))))</f>
        <v>40-49</v>
      </c>
      <c r="AK1095" t="str" cm="1">
        <f t="array" ref="AK1095">_xlfn.IFS(HR_Employee_Attrition[[#This Row],[YearsAtCompany]]&lt;=2,"0-2",HR_Employee_Attrition[[#This Row],[YearsAtCompany]]&lt;=5,"3-5",HR_Employee_Attrition[[#This Row],[YearsAtCompany]]&lt;=10,"6-10",HR_Employee_Attrition[[#This Row],[YearsAtCompany]]&gt;10,"10+")</f>
        <v>10+</v>
      </c>
      <c r="AL1095" t="str" cm="1">
        <f t="array" ref="AL10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95">
        <f>IF(HR_Employee_Attrition[[#This Row],[Attrition]]="Yes",1,0)</f>
        <v>0</v>
      </c>
    </row>
    <row r="1096" spans="1:39" x14ac:dyDescent="0.3">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c r="AJ1096" t="str">
        <f>IF(HR_Employee_Attrition[[#This Row],[Age]]&gt;60,"60+",IF(HR_Employee_Attrition[[#This Row],[Age]]&gt;=50,"50-59",IF(HR_Employee_Attrition[[#This Row],[Age]]&gt;=40,"40-49",IF(HR_Employee_Attrition[[#This Row],[Age]]&gt;=30,"30-39",IF(HR_Employee_Attrition[[#This Row],[Age]]&gt;=20,"20-29",IF(HR_Employee_Attrition[[#This Row],[Age]]&gt;=18,"18-20"))))))</f>
        <v>40-49</v>
      </c>
      <c r="AK1096" t="str" cm="1">
        <f t="array" ref="AK1096">_xlfn.IFS(HR_Employee_Attrition[[#This Row],[YearsAtCompany]]&lt;=2,"0-2",HR_Employee_Attrition[[#This Row],[YearsAtCompany]]&lt;=5,"3-5",HR_Employee_Attrition[[#This Row],[YearsAtCompany]]&lt;=10,"6-10",HR_Employee_Attrition[[#This Row],[YearsAtCompany]]&gt;10,"10+")</f>
        <v>6-10</v>
      </c>
      <c r="AL1096" t="str" cm="1">
        <f t="array" ref="AL10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96">
        <f>IF(HR_Employee_Attrition[[#This Row],[Attrition]]="Yes",1,0)</f>
        <v>0</v>
      </c>
    </row>
    <row r="1097" spans="1:39" x14ac:dyDescent="0.3">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c r="AJ1097" t="str">
        <f>IF(HR_Employee_Attrition[[#This Row],[Age]]&gt;60,"60+",IF(HR_Employee_Attrition[[#This Row],[Age]]&gt;=50,"50-59",IF(HR_Employee_Attrition[[#This Row],[Age]]&gt;=40,"40-49",IF(HR_Employee_Attrition[[#This Row],[Age]]&gt;=30,"30-39",IF(HR_Employee_Attrition[[#This Row],[Age]]&gt;=20,"20-29",IF(HR_Employee_Attrition[[#This Row],[Age]]&gt;=18,"18-20"))))))</f>
        <v>30-39</v>
      </c>
      <c r="AK1097" t="str" cm="1">
        <f t="array" ref="AK1097">_xlfn.IFS(HR_Employee_Attrition[[#This Row],[YearsAtCompany]]&lt;=2,"0-2",HR_Employee_Attrition[[#This Row],[YearsAtCompany]]&lt;=5,"3-5",HR_Employee_Attrition[[#This Row],[YearsAtCompany]]&lt;=10,"6-10",HR_Employee_Attrition[[#This Row],[YearsAtCompany]]&gt;10,"10+")</f>
        <v>10+</v>
      </c>
      <c r="AL1097" t="str" cm="1">
        <f t="array" ref="AL10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97">
        <f>IF(HR_Employee_Attrition[[#This Row],[Attrition]]="Yes",1,0)</f>
        <v>0</v>
      </c>
    </row>
    <row r="1098" spans="1:39" x14ac:dyDescent="0.3">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c r="AJ1098" t="str">
        <f>IF(HR_Employee_Attrition[[#This Row],[Age]]&gt;60,"60+",IF(HR_Employee_Attrition[[#This Row],[Age]]&gt;=50,"50-59",IF(HR_Employee_Attrition[[#This Row],[Age]]&gt;=40,"40-49",IF(HR_Employee_Attrition[[#This Row],[Age]]&gt;=30,"30-39",IF(HR_Employee_Attrition[[#This Row],[Age]]&gt;=20,"20-29",IF(HR_Employee_Attrition[[#This Row],[Age]]&gt;=18,"18-20"))))))</f>
        <v>40-49</v>
      </c>
      <c r="AK1098" t="str" cm="1">
        <f t="array" ref="AK1098">_xlfn.IFS(HR_Employee_Attrition[[#This Row],[YearsAtCompany]]&lt;=2,"0-2",HR_Employee_Attrition[[#This Row],[YearsAtCompany]]&lt;=5,"3-5",HR_Employee_Attrition[[#This Row],[YearsAtCompany]]&lt;=10,"6-10",HR_Employee_Attrition[[#This Row],[YearsAtCompany]]&gt;10,"10+")</f>
        <v>10+</v>
      </c>
      <c r="AL1098" t="str" cm="1">
        <f t="array" ref="AL10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98">
        <f>IF(HR_Employee_Attrition[[#This Row],[Attrition]]="Yes",1,0)</f>
        <v>0</v>
      </c>
    </row>
    <row r="1099" spans="1:39" x14ac:dyDescent="0.3">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c r="AJ1099" t="str">
        <f>IF(HR_Employee_Attrition[[#This Row],[Age]]&gt;60,"60+",IF(HR_Employee_Attrition[[#This Row],[Age]]&gt;=50,"50-59",IF(HR_Employee_Attrition[[#This Row],[Age]]&gt;=40,"40-49",IF(HR_Employee_Attrition[[#This Row],[Age]]&gt;=30,"30-39",IF(HR_Employee_Attrition[[#This Row],[Age]]&gt;=20,"20-29",IF(HR_Employee_Attrition[[#This Row],[Age]]&gt;=18,"18-20"))))))</f>
        <v>20-29</v>
      </c>
      <c r="AK1099" t="str" cm="1">
        <f t="array" ref="AK1099">_xlfn.IFS(HR_Employee_Attrition[[#This Row],[YearsAtCompany]]&lt;=2,"0-2",HR_Employee_Attrition[[#This Row],[YearsAtCompany]]&lt;=5,"3-5",HR_Employee_Attrition[[#This Row],[YearsAtCompany]]&lt;=10,"6-10",HR_Employee_Attrition[[#This Row],[YearsAtCompany]]&gt;10,"10+")</f>
        <v>0-2</v>
      </c>
      <c r="AL1099" t="str" cm="1">
        <f t="array" ref="AL10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99">
        <f>IF(HR_Employee_Attrition[[#This Row],[Attrition]]="Yes",1,0)</f>
        <v>0</v>
      </c>
    </row>
    <row r="1100" spans="1:39" x14ac:dyDescent="0.3">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c r="AJ1100" t="str">
        <f>IF(HR_Employee_Attrition[[#This Row],[Age]]&gt;60,"60+",IF(HR_Employee_Attrition[[#This Row],[Age]]&gt;=50,"50-59",IF(HR_Employee_Attrition[[#This Row],[Age]]&gt;=40,"40-49",IF(HR_Employee_Attrition[[#This Row],[Age]]&gt;=30,"30-39",IF(HR_Employee_Attrition[[#This Row],[Age]]&gt;=20,"20-29",IF(HR_Employee_Attrition[[#This Row],[Age]]&gt;=18,"18-20"))))))</f>
        <v>40-49</v>
      </c>
      <c r="AK1100" t="str" cm="1">
        <f t="array" ref="AK1100">_xlfn.IFS(HR_Employee_Attrition[[#This Row],[YearsAtCompany]]&lt;=2,"0-2",HR_Employee_Attrition[[#This Row],[YearsAtCompany]]&lt;=5,"3-5",HR_Employee_Attrition[[#This Row],[YearsAtCompany]]&lt;=10,"6-10",HR_Employee_Attrition[[#This Row],[YearsAtCompany]]&gt;10,"10+")</f>
        <v>0-2</v>
      </c>
      <c r="AL1100" t="str" cm="1">
        <f t="array" ref="AL11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00">
        <f>IF(HR_Employee_Attrition[[#This Row],[Attrition]]="Yes",1,0)</f>
        <v>0</v>
      </c>
    </row>
    <row r="1101" spans="1:39" x14ac:dyDescent="0.3">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c r="AJ1101" t="str">
        <f>IF(HR_Employee_Attrition[[#This Row],[Age]]&gt;60,"60+",IF(HR_Employee_Attrition[[#This Row],[Age]]&gt;=50,"50-59",IF(HR_Employee_Attrition[[#This Row],[Age]]&gt;=40,"40-49",IF(HR_Employee_Attrition[[#This Row],[Age]]&gt;=30,"30-39",IF(HR_Employee_Attrition[[#This Row],[Age]]&gt;=20,"20-29",IF(HR_Employee_Attrition[[#This Row],[Age]]&gt;=18,"18-20"))))))</f>
        <v>40-49</v>
      </c>
      <c r="AK1101" t="str" cm="1">
        <f t="array" ref="AK1101">_xlfn.IFS(HR_Employee_Attrition[[#This Row],[YearsAtCompany]]&lt;=2,"0-2",HR_Employee_Attrition[[#This Row],[YearsAtCompany]]&lt;=5,"3-5",HR_Employee_Attrition[[#This Row],[YearsAtCompany]]&lt;=10,"6-10",HR_Employee_Attrition[[#This Row],[YearsAtCompany]]&gt;10,"10+")</f>
        <v>6-10</v>
      </c>
      <c r="AL1101" t="str" cm="1">
        <f t="array" ref="AL11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01">
        <f>IF(HR_Employee_Attrition[[#This Row],[Attrition]]="Yes",1,0)</f>
        <v>0</v>
      </c>
    </row>
    <row r="1102" spans="1:39" x14ac:dyDescent="0.3">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c r="AJ1102" t="str">
        <f>IF(HR_Employee_Attrition[[#This Row],[Age]]&gt;60,"60+",IF(HR_Employee_Attrition[[#This Row],[Age]]&gt;=50,"50-59",IF(HR_Employee_Attrition[[#This Row],[Age]]&gt;=40,"40-49",IF(HR_Employee_Attrition[[#This Row],[Age]]&gt;=30,"30-39",IF(HR_Employee_Attrition[[#This Row],[Age]]&gt;=20,"20-29",IF(HR_Employee_Attrition[[#This Row],[Age]]&gt;=18,"18-20"))))))</f>
        <v>30-39</v>
      </c>
      <c r="AK1102" t="str" cm="1">
        <f t="array" ref="AK1102">_xlfn.IFS(HR_Employee_Attrition[[#This Row],[YearsAtCompany]]&lt;=2,"0-2",HR_Employee_Attrition[[#This Row],[YearsAtCompany]]&lt;=5,"3-5",HR_Employee_Attrition[[#This Row],[YearsAtCompany]]&lt;=10,"6-10",HR_Employee_Attrition[[#This Row],[YearsAtCompany]]&gt;10,"10+")</f>
        <v>3-5</v>
      </c>
      <c r="AL1102" t="str" cm="1">
        <f t="array" ref="AL11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02">
        <f>IF(HR_Employee_Attrition[[#This Row],[Attrition]]="Yes",1,0)</f>
        <v>0</v>
      </c>
    </row>
    <row r="1103" spans="1:39" x14ac:dyDescent="0.3">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c r="AJ1103" t="str">
        <f>IF(HR_Employee_Attrition[[#This Row],[Age]]&gt;60,"60+",IF(HR_Employee_Attrition[[#This Row],[Age]]&gt;=50,"50-59",IF(HR_Employee_Attrition[[#This Row],[Age]]&gt;=40,"40-49",IF(HR_Employee_Attrition[[#This Row],[Age]]&gt;=30,"30-39",IF(HR_Employee_Attrition[[#This Row],[Age]]&gt;=20,"20-29",IF(HR_Employee_Attrition[[#This Row],[Age]]&gt;=18,"18-20"))))))</f>
        <v>30-39</v>
      </c>
      <c r="AK1103" t="str" cm="1">
        <f t="array" ref="AK1103">_xlfn.IFS(HR_Employee_Attrition[[#This Row],[YearsAtCompany]]&lt;=2,"0-2",HR_Employee_Attrition[[#This Row],[YearsAtCompany]]&lt;=5,"3-5",HR_Employee_Attrition[[#This Row],[YearsAtCompany]]&lt;=10,"6-10",HR_Employee_Attrition[[#This Row],[YearsAtCompany]]&gt;10,"10+")</f>
        <v>6-10</v>
      </c>
      <c r="AL1103" t="str" cm="1">
        <f t="array" ref="AL11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03">
        <f>IF(HR_Employee_Attrition[[#This Row],[Attrition]]="Yes",1,0)</f>
        <v>0</v>
      </c>
    </row>
    <row r="1104" spans="1:39" x14ac:dyDescent="0.3">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c r="AJ1104" t="str">
        <f>IF(HR_Employee_Attrition[[#This Row],[Age]]&gt;60,"60+",IF(HR_Employee_Attrition[[#This Row],[Age]]&gt;=50,"50-59",IF(HR_Employee_Attrition[[#This Row],[Age]]&gt;=40,"40-49",IF(HR_Employee_Attrition[[#This Row],[Age]]&gt;=30,"30-39",IF(HR_Employee_Attrition[[#This Row],[Age]]&gt;=20,"20-29",IF(HR_Employee_Attrition[[#This Row],[Age]]&gt;=18,"18-20"))))))</f>
        <v>30-39</v>
      </c>
      <c r="AK1104" t="str" cm="1">
        <f t="array" ref="AK1104">_xlfn.IFS(HR_Employee_Attrition[[#This Row],[YearsAtCompany]]&lt;=2,"0-2",HR_Employee_Attrition[[#This Row],[YearsAtCompany]]&lt;=5,"3-5",HR_Employee_Attrition[[#This Row],[YearsAtCompany]]&lt;=10,"6-10",HR_Employee_Attrition[[#This Row],[YearsAtCompany]]&gt;10,"10+")</f>
        <v>3-5</v>
      </c>
      <c r="AL1104" t="str" cm="1">
        <f t="array" ref="AL11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04">
        <f>IF(HR_Employee_Attrition[[#This Row],[Attrition]]="Yes",1,0)</f>
        <v>0</v>
      </c>
    </row>
    <row r="1105" spans="1:39" x14ac:dyDescent="0.3">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c r="AJ1105" t="str">
        <f>IF(HR_Employee_Attrition[[#This Row],[Age]]&gt;60,"60+",IF(HR_Employee_Attrition[[#This Row],[Age]]&gt;=50,"50-59",IF(HR_Employee_Attrition[[#This Row],[Age]]&gt;=40,"40-49",IF(HR_Employee_Attrition[[#This Row],[Age]]&gt;=30,"30-39",IF(HR_Employee_Attrition[[#This Row],[Age]]&gt;=20,"20-29",IF(HR_Employee_Attrition[[#This Row],[Age]]&gt;=18,"18-20"))))))</f>
        <v>40-49</v>
      </c>
      <c r="AK1105" t="str" cm="1">
        <f t="array" ref="AK1105">_xlfn.IFS(HR_Employee_Attrition[[#This Row],[YearsAtCompany]]&lt;=2,"0-2",HR_Employee_Attrition[[#This Row],[YearsAtCompany]]&lt;=5,"3-5",HR_Employee_Attrition[[#This Row],[YearsAtCompany]]&lt;=10,"6-10",HR_Employee_Attrition[[#This Row],[YearsAtCompany]]&gt;10,"10+")</f>
        <v>6-10</v>
      </c>
      <c r="AL1105" t="str" cm="1">
        <f t="array" ref="AL11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05">
        <f>IF(HR_Employee_Attrition[[#This Row],[Attrition]]="Yes",1,0)</f>
        <v>0</v>
      </c>
    </row>
    <row r="1106" spans="1:39" x14ac:dyDescent="0.3">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c r="AJ1106" t="str">
        <f>IF(HR_Employee_Attrition[[#This Row],[Age]]&gt;60,"60+",IF(HR_Employee_Attrition[[#This Row],[Age]]&gt;=50,"50-59",IF(HR_Employee_Attrition[[#This Row],[Age]]&gt;=40,"40-49",IF(HR_Employee_Attrition[[#This Row],[Age]]&gt;=30,"30-39",IF(HR_Employee_Attrition[[#This Row],[Age]]&gt;=20,"20-29",IF(HR_Employee_Attrition[[#This Row],[Age]]&gt;=18,"18-20"))))))</f>
        <v>20-29</v>
      </c>
      <c r="AK1106" t="str" cm="1">
        <f t="array" ref="AK1106">_xlfn.IFS(HR_Employee_Attrition[[#This Row],[YearsAtCompany]]&lt;=2,"0-2",HR_Employee_Attrition[[#This Row],[YearsAtCompany]]&lt;=5,"3-5",HR_Employee_Attrition[[#This Row],[YearsAtCompany]]&lt;=10,"6-10",HR_Employee_Attrition[[#This Row],[YearsAtCompany]]&gt;10,"10+")</f>
        <v>0-2</v>
      </c>
      <c r="AL1106" t="str" cm="1">
        <f t="array" ref="AL11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06">
        <f>IF(HR_Employee_Attrition[[#This Row],[Attrition]]="Yes",1,0)</f>
        <v>0</v>
      </c>
    </row>
    <row r="1107" spans="1:39" x14ac:dyDescent="0.3">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c r="AJ1107" t="str">
        <f>IF(HR_Employee_Attrition[[#This Row],[Age]]&gt;60,"60+",IF(HR_Employee_Attrition[[#This Row],[Age]]&gt;=50,"50-59",IF(HR_Employee_Attrition[[#This Row],[Age]]&gt;=40,"40-49",IF(HR_Employee_Attrition[[#This Row],[Age]]&gt;=30,"30-39",IF(HR_Employee_Attrition[[#This Row],[Age]]&gt;=20,"20-29",IF(HR_Employee_Attrition[[#This Row],[Age]]&gt;=18,"18-20"))))))</f>
        <v>30-39</v>
      </c>
      <c r="AK1107" t="str" cm="1">
        <f t="array" ref="AK1107">_xlfn.IFS(HR_Employee_Attrition[[#This Row],[YearsAtCompany]]&lt;=2,"0-2",HR_Employee_Attrition[[#This Row],[YearsAtCompany]]&lt;=5,"3-5",HR_Employee_Attrition[[#This Row],[YearsAtCompany]]&lt;=10,"6-10",HR_Employee_Attrition[[#This Row],[YearsAtCompany]]&gt;10,"10+")</f>
        <v>0-2</v>
      </c>
      <c r="AL1107" t="str" cm="1">
        <f t="array" ref="AL11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07">
        <f>IF(HR_Employee_Attrition[[#This Row],[Attrition]]="Yes",1,0)</f>
        <v>0</v>
      </c>
    </row>
    <row r="1108" spans="1:39" x14ac:dyDescent="0.3">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c r="AJ1108" t="str">
        <f>IF(HR_Employee_Attrition[[#This Row],[Age]]&gt;60,"60+",IF(HR_Employee_Attrition[[#This Row],[Age]]&gt;=50,"50-59",IF(HR_Employee_Attrition[[#This Row],[Age]]&gt;=40,"40-49",IF(HR_Employee_Attrition[[#This Row],[Age]]&gt;=30,"30-39",IF(HR_Employee_Attrition[[#This Row],[Age]]&gt;=20,"20-29",IF(HR_Employee_Attrition[[#This Row],[Age]]&gt;=18,"18-20"))))))</f>
        <v>30-39</v>
      </c>
      <c r="AK1108" t="str" cm="1">
        <f t="array" ref="AK1108">_xlfn.IFS(HR_Employee_Attrition[[#This Row],[YearsAtCompany]]&lt;=2,"0-2",HR_Employee_Attrition[[#This Row],[YearsAtCompany]]&lt;=5,"3-5",HR_Employee_Attrition[[#This Row],[YearsAtCompany]]&lt;=10,"6-10",HR_Employee_Attrition[[#This Row],[YearsAtCompany]]&gt;10,"10+")</f>
        <v>6-10</v>
      </c>
      <c r="AL1108" t="str" cm="1">
        <f t="array" ref="AL11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08">
        <f>IF(HR_Employee_Attrition[[#This Row],[Attrition]]="Yes",1,0)</f>
        <v>1</v>
      </c>
    </row>
    <row r="1109" spans="1:39" x14ac:dyDescent="0.3">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c r="AJ1109" t="str">
        <f>IF(HR_Employee_Attrition[[#This Row],[Age]]&gt;60,"60+",IF(HR_Employee_Attrition[[#This Row],[Age]]&gt;=50,"50-59",IF(HR_Employee_Attrition[[#This Row],[Age]]&gt;=40,"40-49",IF(HR_Employee_Attrition[[#This Row],[Age]]&gt;=30,"30-39",IF(HR_Employee_Attrition[[#This Row],[Age]]&gt;=20,"20-29",IF(HR_Employee_Attrition[[#This Row],[Age]]&gt;=18,"18-20"))))))</f>
        <v>30-39</v>
      </c>
      <c r="AK1109" t="str" cm="1">
        <f t="array" ref="AK1109">_xlfn.IFS(HR_Employee_Attrition[[#This Row],[YearsAtCompany]]&lt;=2,"0-2",HR_Employee_Attrition[[#This Row],[YearsAtCompany]]&lt;=5,"3-5",HR_Employee_Attrition[[#This Row],[YearsAtCompany]]&lt;=10,"6-10",HR_Employee_Attrition[[#This Row],[YearsAtCompany]]&gt;10,"10+")</f>
        <v>6-10</v>
      </c>
      <c r="AL1109" t="str" cm="1">
        <f t="array" ref="AL11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09">
        <f>IF(HR_Employee_Attrition[[#This Row],[Attrition]]="Yes",1,0)</f>
        <v>0</v>
      </c>
    </row>
    <row r="1110" spans="1:39" x14ac:dyDescent="0.3">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c r="AJ1110" t="str">
        <f>IF(HR_Employee_Attrition[[#This Row],[Age]]&gt;60,"60+",IF(HR_Employee_Attrition[[#This Row],[Age]]&gt;=50,"50-59",IF(HR_Employee_Attrition[[#This Row],[Age]]&gt;=40,"40-49",IF(HR_Employee_Attrition[[#This Row],[Age]]&gt;=30,"30-39",IF(HR_Employee_Attrition[[#This Row],[Age]]&gt;=20,"20-29",IF(HR_Employee_Attrition[[#This Row],[Age]]&gt;=18,"18-20"))))))</f>
        <v>30-39</v>
      </c>
      <c r="AK1110" t="str" cm="1">
        <f t="array" ref="AK1110">_xlfn.IFS(HR_Employee_Attrition[[#This Row],[YearsAtCompany]]&lt;=2,"0-2",HR_Employee_Attrition[[#This Row],[YearsAtCompany]]&lt;=5,"3-5",HR_Employee_Attrition[[#This Row],[YearsAtCompany]]&lt;=10,"6-10",HR_Employee_Attrition[[#This Row],[YearsAtCompany]]&gt;10,"10+")</f>
        <v>3-5</v>
      </c>
      <c r="AL1110" t="str" cm="1">
        <f t="array" ref="AL11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10">
        <f>IF(HR_Employee_Attrition[[#This Row],[Attrition]]="Yes",1,0)</f>
        <v>0</v>
      </c>
    </row>
    <row r="1111" spans="1:39" x14ac:dyDescent="0.3">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c r="AJ1111" t="str">
        <f>IF(HR_Employee_Attrition[[#This Row],[Age]]&gt;60,"60+",IF(HR_Employee_Attrition[[#This Row],[Age]]&gt;=50,"50-59",IF(HR_Employee_Attrition[[#This Row],[Age]]&gt;=40,"40-49",IF(HR_Employee_Attrition[[#This Row],[Age]]&gt;=30,"30-39",IF(HR_Employee_Attrition[[#This Row],[Age]]&gt;=20,"20-29",IF(HR_Employee_Attrition[[#This Row],[Age]]&gt;=18,"18-20"))))))</f>
        <v>30-39</v>
      </c>
      <c r="AK1111" t="str" cm="1">
        <f t="array" ref="AK1111">_xlfn.IFS(HR_Employee_Attrition[[#This Row],[YearsAtCompany]]&lt;=2,"0-2",HR_Employee_Attrition[[#This Row],[YearsAtCompany]]&lt;=5,"3-5",HR_Employee_Attrition[[#This Row],[YearsAtCompany]]&lt;=10,"6-10",HR_Employee_Attrition[[#This Row],[YearsAtCompany]]&gt;10,"10+")</f>
        <v>3-5</v>
      </c>
      <c r="AL1111" t="str" cm="1">
        <f t="array" ref="AL11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11">
        <f>IF(HR_Employee_Attrition[[#This Row],[Attrition]]="Yes",1,0)</f>
        <v>0</v>
      </c>
    </row>
    <row r="1112" spans="1:39" x14ac:dyDescent="0.3">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c r="AJ1112" t="str">
        <f>IF(HR_Employee_Attrition[[#This Row],[Age]]&gt;60,"60+",IF(HR_Employee_Attrition[[#This Row],[Age]]&gt;=50,"50-59",IF(HR_Employee_Attrition[[#This Row],[Age]]&gt;=40,"40-49",IF(HR_Employee_Attrition[[#This Row],[Age]]&gt;=30,"30-39",IF(HR_Employee_Attrition[[#This Row],[Age]]&gt;=20,"20-29",IF(HR_Employee_Attrition[[#This Row],[Age]]&gt;=18,"18-20"))))))</f>
        <v>30-39</v>
      </c>
      <c r="AK1112" t="str" cm="1">
        <f t="array" ref="AK1112">_xlfn.IFS(HR_Employee_Attrition[[#This Row],[YearsAtCompany]]&lt;=2,"0-2",HR_Employee_Attrition[[#This Row],[YearsAtCompany]]&lt;=5,"3-5",HR_Employee_Attrition[[#This Row],[YearsAtCompany]]&lt;=10,"6-10",HR_Employee_Attrition[[#This Row],[YearsAtCompany]]&gt;10,"10+")</f>
        <v>0-2</v>
      </c>
      <c r="AL1112" t="str" cm="1">
        <f t="array" ref="AL11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12">
        <f>IF(HR_Employee_Attrition[[#This Row],[Attrition]]="Yes",1,0)</f>
        <v>1</v>
      </c>
    </row>
    <row r="1113" spans="1:39" x14ac:dyDescent="0.3">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c r="AJ1113" t="str">
        <f>IF(HR_Employee_Attrition[[#This Row],[Age]]&gt;60,"60+",IF(HR_Employee_Attrition[[#This Row],[Age]]&gt;=50,"50-59",IF(HR_Employee_Attrition[[#This Row],[Age]]&gt;=40,"40-49",IF(HR_Employee_Attrition[[#This Row],[Age]]&gt;=30,"30-39",IF(HR_Employee_Attrition[[#This Row],[Age]]&gt;=20,"20-29",IF(HR_Employee_Attrition[[#This Row],[Age]]&gt;=18,"18-20"))))))</f>
        <v>50-59</v>
      </c>
      <c r="AK1113" t="str" cm="1">
        <f t="array" ref="AK1113">_xlfn.IFS(HR_Employee_Attrition[[#This Row],[YearsAtCompany]]&lt;=2,"0-2",HR_Employee_Attrition[[#This Row],[YearsAtCompany]]&lt;=5,"3-5",HR_Employee_Attrition[[#This Row],[YearsAtCompany]]&lt;=10,"6-10",HR_Employee_Attrition[[#This Row],[YearsAtCompany]]&gt;10,"10+")</f>
        <v>10+</v>
      </c>
      <c r="AL1113" t="str" cm="1">
        <f t="array" ref="AL11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113">
        <f>IF(HR_Employee_Attrition[[#This Row],[Attrition]]="Yes",1,0)</f>
        <v>1</v>
      </c>
    </row>
    <row r="1114" spans="1:39" x14ac:dyDescent="0.3">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c r="AJ1114" t="str">
        <f>IF(HR_Employee_Attrition[[#This Row],[Age]]&gt;60,"60+",IF(HR_Employee_Attrition[[#This Row],[Age]]&gt;=50,"50-59",IF(HR_Employee_Attrition[[#This Row],[Age]]&gt;=40,"40-49",IF(HR_Employee_Attrition[[#This Row],[Age]]&gt;=30,"30-39",IF(HR_Employee_Attrition[[#This Row],[Age]]&gt;=20,"20-29",IF(HR_Employee_Attrition[[#This Row],[Age]]&gt;=18,"18-20"))))))</f>
        <v>30-39</v>
      </c>
      <c r="AK1114" t="str" cm="1">
        <f t="array" ref="AK1114">_xlfn.IFS(HR_Employee_Attrition[[#This Row],[YearsAtCompany]]&lt;=2,"0-2",HR_Employee_Attrition[[#This Row],[YearsAtCompany]]&lt;=5,"3-5",HR_Employee_Attrition[[#This Row],[YearsAtCompany]]&lt;=10,"6-10",HR_Employee_Attrition[[#This Row],[YearsAtCompany]]&gt;10,"10+")</f>
        <v>3-5</v>
      </c>
      <c r="AL1114" t="str" cm="1">
        <f t="array" ref="AL11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14">
        <f>IF(HR_Employee_Attrition[[#This Row],[Attrition]]="Yes",1,0)</f>
        <v>1</v>
      </c>
    </row>
    <row r="1115" spans="1:39" x14ac:dyDescent="0.3">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c r="AJ1115" t="str">
        <f>IF(HR_Employee_Attrition[[#This Row],[Age]]&gt;60,"60+",IF(HR_Employee_Attrition[[#This Row],[Age]]&gt;=50,"50-59",IF(HR_Employee_Attrition[[#This Row],[Age]]&gt;=40,"40-49",IF(HR_Employee_Attrition[[#This Row],[Age]]&gt;=30,"30-39",IF(HR_Employee_Attrition[[#This Row],[Age]]&gt;=20,"20-29",IF(HR_Employee_Attrition[[#This Row],[Age]]&gt;=18,"18-20"))))))</f>
        <v>30-39</v>
      </c>
      <c r="AK1115" t="str" cm="1">
        <f t="array" ref="AK1115">_xlfn.IFS(HR_Employee_Attrition[[#This Row],[YearsAtCompany]]&lt;=2,"0-2",HR_Employee_Attrition[[#This Row],[YearsAtCompany]]&lt;=5,"3-5",HR_Employee_Attrition[[#This Row],[YearsAtCompany]]&lt;=10,"6-10",HR_Employee_Attrition[[#This Row],[YearsAtCompany]]&gt;10,"10+")</f>
        <v>6-10</v>
      </c>
      <c r="AL1115" t="str" cm="1">
        <f t="array" ref="AL11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15">
        <f>IF(HR_Employee_Attrition[[#This Row],[Attrition]]="Yes",1,0)</f>
        <v>0</v>
      </c>
    </row>
    <row r="1116" spans="1:39" x14ac:dyDescent="0.3">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c r="AJ1116" t="str">
        <f>IF(HR_Employee_Attrition[[#This Row],[Age]]&gt;60,"60+",IF(HR_Employee_Attrition[[#This Row],[Age]]&gt;=50,"50-59",IF(HR_Employee_Attrition[[#This Row],[Age]]&gt;=40,"40-49",IF(HR_Employee_Attrition[[#This Row],[Age]]&gt;=30,"30-39",IF(HR_Employee_Attrition[[#This Row],[Age]]&gt;=20,"20-29",IF(HR_Employee_Attrition[[#This Row],[Age]]&gt;=18,"18-20"))))))</f>
        <v>40-49</v>
      </c>
      <c r="AK1116" t="str" cm="1">
        <f t="array" ref="AK1116">_xlfn.IFS(HR_Employee_Attrition[[#This Row],[YearsAtCompany]]&lt;=2,"0-2",HR_Employee_Attrition[[#This Row],[YearsAtCompany]]&lt;=5,"3-5",HR_Employee_Attrition[[#This Row],[YearsAtCompany]]&lt;=10,"6-10",HR_Employee_Attrition[[#This Row],[YearsAtCompany]]&gt;10,"10+")</f>
        <v>6-10</v>
      </c>
      <c r="AL1116" t="str" cm="1">
        <f t="array" ref="AL11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16">
        <f>IF(HR_Employee_Attrition[[#This Row],[Attrition]]="Yes",1,0)</f>
        <v>0</v>
      </c>
    </row>
    <row r="1117" spans="1:39" x14ac:dyDescent="0.3">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c r="AJ1117" t="str">
        <f>IF(HR_Employee_Attrition[[#This Row],[Age]]&gt;60,"60+",IF(HR_Employee_Attrition[[#This Row],[Age]]&gt;=50,"50-59",IF(HR_Employee_Attrition[[#This Row],[Age]]&gt;=40,"40-49",IF(HR_Employee_Attrition[[#This Row],[Age]]&gt;=30,"30-39",IF(HR_Employee_Attrition[[#This Row],[Age]]&gt;=20,"20-29",IF(HR_Employee_Attrition[[#This Row],[Age]]&gt;=18,"18-20"))))))</f>
        <v>30-39</v>
      </c>
      <c r="AK1117" t="str" cm="1">
        <f t="array" ref="AK1117">_xlfn.IFS(HR_Employee_Attrition[[#This Row],[YearsAtCompany]]&lt;=2,"0-2",HR_Employee_Attrition[[#This Row],[YearsAtCompany]]&lt;=5,"3-5",HR_Employee_Attrition[[#This Row],[YearsAtCompany]]&lt;=10,"6-10",HR_Employee_Attrition[[#This Row],[YearsAtCompany]]&gt;10,"10+")</f>
        <v>0-2</v>
      </c>
      <c r="AL1117" t="str" cm="1">
        <f t="array" ref="AL11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17">
        <f>IF(HR_Employee_Attrition[[#This Row],[Attrition]]="Yes",1,0)</f>
        <v>0</v>
      </c>
    </row>
    <row r="1118" spans="1:39" x14ac:dyDescent="0.3">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c r="AJ1118" t="str">
        <f>IF(HR_Employee_Attrition[[#This Row],[Age]]&gt;60,"60+",IF(HR_Employee_Attrition[[#This Row],[Age]]&gt;=50,"50-59",IF(HR_Employee_Attrition[[#This Row],[Age]]&gt;=40,"40-49",IF(HR_Employee_Attrition[[#This Row],[Age]]&gt;=30,"30-39",IF(HR_Employee_Attrition[[#This Row],[Age]]&gt;=20,"20-29",IF(HR_Employee_Attrition[[#This Row],[Age]]&gt;=18,"18-20"))))))</f>
        <v>50-59</v>
      </c>
      <c r="AK1118" t="str" cm="1">
        <f t="array" ref="AK1118">_xlfn.IFS(HR_Employee_Attrition[[#This Row],[YearsAtCompany]]&lt;=2,"0-2",HR_Employee_Attrition[[#This Row],[YearsAtCompany]]&lt;=5,"3-5",HR_Employee_Attrition[[#This Row],[YearsAtCompany]]&lt;=10,"6-10",HR_Employee_Attrition[[#This Row],[YearsAtCompany]]&gt;10,"10+")</f>
        <v>10+</v>
      </c>
      <c r="AL1118" t="str" cm="1">
        <f t="array" ref="AL11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18">
        <f>IF(HR_Employee_Attrition[[#This Row],[Attrition]]="Yes",1,0)</f>
        <v>0</v>
      </c>
    </row>
    <row r="1119" spans="1:39" x14ac:dyDescent="0.3">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c r="AJ1119" t="str">
        <f>IF(HR_Employee_Attrition[[#This Row],[Age]]&gt;60,"60+",IF(HR_Employee_Attrition[[#This Row],[Age]]&gt;=50,"50-59",IF(HR_Employee_Attrition[[#This Row],[Age]]&gt;=40,"40-49",IF(HR_Employee_Attrition[[#This Row],[Age]]&gt;=30,"30-39",IF(HR_Employee_Attrition[[#This Row],[Age]]&gt;=20,"20-29",IF(HR_Employee_Attrition[[#This Row],[Age]]&gt;=18,"18-20"))))))</f>
        <v>30-39</v>
      </c>
      <c r="AK1119" t="str" cm="1">
        <f t="array" ref="AK1119">_xlfn.IFS(HR_Employee_Attrition[[#This Row],[YearsAtCompany]]&lt;=2,"0-2",HR_Employee_Attrition[[#This Row],[YearsAtCompany]]&lt;=5,"3-5",HR_Employee_Attrition[[#This Row],[YearsAtCompany]]&lt;=10,"6-10",HR_Employee_Attrition[[#This Row],[YearsAtCompany]]&gt;10,"10+")</f>
        <v>0-2</v>
      </c>
      <c r="AL1119" t="str" cm="1">
        <f t="array" ref="AL11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19">
        <f>IF(HR_Employee_Attrition[[#This Row],[Attrition]]="Yes",1,0)</f>
        <v>0</v>
      </c>
    </row>
    <row r="1120" spans="1:39" x14ac:dyDescent="0.3">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c r="AJ1120" t="str">
        <f>IF(HR_Employee_Attrition[[#This Row],[Age]]&gt;60,"60+",IF(HR_Employee_Attrition[[#This Row],[Age]]&gt;=50,"50-59",IF(HR_Employee_Attrition[[#This Row],[Age]]&gt;=40,"40-49",IF(HR_Employee_Attrition[[#This Row],[Age]]&gt;=30,"30-39",IF(HR_Employee_Attrition[[#This Row],[Age]]&gt;=20,"20-29",IF(HR_Employee_Attrition[[#This Row],[Age]]&gt;=18,"18-20"))))))</f>
        <v>20-29</v>
      </c>
      <c r="AK1120" t="str" cm="1">
        <f t="array" ref="AK1120">_xlfn.IFS(HR_Employee_Attrition[[#This Row],[YearsAtCompany]]&lt;=2,"0-2",HR_Employee_Attrition[[#This Row],[YearsAtCompany]]&lt;=5,"3-5",HR_Employee_Attrition[[#This Row],[YearsAtCompany]]&lt;=10,"6-10",HR_Employee_Attrition[[#This Row],[YearsAtCompany]]&gt;10,"10+")</f>
        <v>0-2</v>
      </c>
      <c r="AL1120" t="str" cm="1">
        <f t="array" ref="AL11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20">
        <f>IF(HR_Employee_Attrition[[#This Row],[Attrition]]="Yes",1,0)</f>
        <v>0</v>
      </c>
    </row>
    <row r="1121" spans="1:39" x14ac:dyDescent="0.3">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c r="AJ1121" t="str">
        <f>IF(HR_Employee_Attrition[[#This Row],[Age]]&gt;60,"60+",IF(HR_Employee_Attrition[[#This Row],[Age]]&gt;=50,"50-59",IF(HR_Employee_Attrition[[#This Row],[Age]]&gt;=40,"40-49",IF(HR_Employee_Attrition[[#This Row],[Age]]&gt;=30,"30-39",IF(HR_Employee_Attrition[[#This Row],[Age]]&gt;=20,"20-29",IF(HR_Employee_Attrition[[#This Row],[Age]]&gt;=18,"18-20"))))))</f>
        <v>30-39</v>
      </c>
      <c r="AK1121" t="str" cm="1">
        <f t="array" ref="AK1121">_xlfn.IFS(HR_Employee_Attrition[[#This Row],[YearsAtCompany]]&lt;=2,"0-2",HR_Employee_Attrition[[#This Row],[YearsAtCompany]]&lt;=5,"3-5",HR_Employee_Attrition[[#This Row],[YearsAtCompany]]&lt;=10,"6-10",HR_Employee_Attrition[[#This Row],[YearsAtCompany]]&gt;10,"10+")</f>
        <v>6-10</v>
      </c>
      <c r="AL1121" t="str" cm="1">
        <f t="array" ref="AL11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21">
        <f>IF(HR_Employee_Attrition[[#This Row],[Attrition]]="Yes",1,0)</f>
        <v>0</v>
      </c>
    </row>
    <row r="1122" spans="1:39" x14ac:dyDescent="0.3">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c r="AJ1122" t="str">
        <f>IF(HR_Employee_Attrition[[#This Row],[Age]]&gt;60,"60+",IF(HR_Employee_Attrition[[#This Row],[Age]]&gt;=50,"50-59",IF(HR_Employee_Attrition[[#This Row],[Age]]&gt;=40,"40-49",IF(HR_Employee_Attrition[[#This Row],[Age]]&gt;=30,"30-39",IF(HR_Employee_Attrition[[#This Row],[Age]]&gt;=20,"20-29",IF(HR_Employee_Attrition[[#This Row],[Age]]&gt;=18,"18-20"))))))</f>
        <v>30-39</v>
      </c>
      <c r="AK1122" t="str" cm="1">
        <f t="array" ref="AK1122">_xlfn.IFS(HR_Employee_Attrition[[#This Row],[YearsAtCompany]]&lt;=2,"0-2",HR_Employee_Attrition[[#This Row],[YearsAtCompany]]&lt;=5,"3-5",HR_Employee_Attrition[[#This Row],[YearsAtCompany]]&lt;=10,"6-10",HR_Employee_Attrition[[#This Row],[YearsAtCompany]]&gt;10,"10+")</f>
        <v>3-5</v>
      </c>
      <c r="AL1122" t="str" cm="1">
        <f t="array" ref="AL11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22">
        <f>IF(HR_Employee_Attrition[[#This Row],[Attrition]]="Yes",1,0)</f>
        <v>0</v>
      </c>
    </row>
    <row r="1123" spans="1:39" x14ac:dyDescent="0.3">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c r="AJ1123" t="str">
        <f>IF(HR_Employee_Attrition[[#This Row],[Age]]&gt;60,"60+",IF(HR_Employee_Attrition[[#This Row],[Age]]&gt;=50,"50-59",IF(HR_Employee_Attrition[[#This Row],[Age]]&gt;=40,"40-49",IF(HR_Employee_Attrition[[#This Row],[Age]]&gt;=30,"30-39",IF(HR_Employee_Attrition[[#This Row],[Age]]&gt;=20,"20-29",IF(HR_Employee_Attrition[[#This Row],[Age]]&gt;=18,"18-20"))))))</f>
        <v>30-39</v>
      </c>
      <c r="AK1123" t="str" cm="1">
        <f t="array" ref="AK1123">_xlfn.IFS(HR_Employee_Attrition[[#This Row],[YearsAtCompany]]&lt;=2,"0-2",HR_Employee_Attrition[[#This Row],[YearsAtCompany]]&lt;=5,"3-5",HR_Employee_Attrition[[#This Row],[YearsAtCompany]]&lt;=10,"6-10",HR_Employee_Attrition[[#This Row],[YearsAtCompany]]&gt;10,"10+")</f>
        <v>0-2</v>
      </c>
      <c r="AL1123" t="str" cm="1">
        <f t="array" ref="AL11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23">
        <f>IF(HR_Employee_Attrition[[#This Row],[Attrition]]="Yes",1,0)</f>
        <v>0</v>
      </c>
    </row>
    <row r="1124" spans="1:39" x14ac:dyDescent="0.3">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c r="AJ1124" t="str">
        <f>IF(HR_Employee_Attrition[[#This Row],[Age]]&gt;60,"60+",IF(HR_Employee_Attrition[[#This Row],[Age]]&gt;=50,"50-59",IF(HR_Employee_Attrition[[#This Row],[Age]]&gt;=40,"40-49",IF(HR_Employee_Attrition[[#This Row],[Age]]&gt;=30,"30-39",IF(HR_Employee_Attrition[[#This Row],[Age]]&gt;=20,"20-29",IF(HR_Employee_Attrition[[#This Row],[Age]]&gt;=18,"18-20"))))))</f>
        <v>20-29</v>
      </c>
      <c r="AK1124" t="str" cm="1">
        <f t="array" ref="AK1124">_xlfn.IFS(HR_Employee_Attrition[[#This Row],[YearsAtCompany]]&lt;=2,"0-2",HR_Employee_Attrition[[#This Row],[YearsAtCompany]]&lt;=5,"3-5",HR_Employee_Attrition[[#This Row],[YearsAtCompany]]&lt;=10,"6-10",HR_Employee_Attrition[[#This Row],[YearsAtCompany]]&gt;10,"10+")</f>
        <v>6-10</v>
      </c>
      <c r="AL1124" t="str" cm="1">
        <f t="array" ref="AL11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24">
        <f>IF(HR_Employee_Attrition[[#This Row],[Attrition]]="Yes",1,0)</f>
        <v>0</v>
      </c>
    </row>
    <row r="1125" spans="1:39" x14ac:dyDescent="0.3">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c r="AJ1125" t="str">
        <f>IF(HR_Employee_Attrition[[#This Row],[Age]]&gt;60,"60+",IF(HR_Employee_Attrition[[#This Row],[Age]]&gt;=50,"50-59",IF(HR_Employee_Attrition[[#This Row],[Age]]&gt;=40,"40-49",IF(HR_Employee_Attrition[[#This Row],[Age]]&gt;=30,"30-39",IF(HR_Employee_Attrition[[#This Row],[Age]]&gt;=20,"20-29",IF(HR_Employee_Attrition[[#This Row],[Age]]&gt;=18,"18-20"))))))</f>
        <v>30-39</v>
      </c>
      <c r="AK1125" t="str" cm="1">
        <f t="array" ref="AK1125">_xlfn.IFS(HR_Employee_Attrition[[#This Row],[YearsAtCompany]]&lt;=2,"0-2",HR_Employee_Attrition[[#This Row],[YearsAtCompany]]&lt;=5,"3-5",HR_Employee_Attrition[[#This Row],[YearsAtCompany]]&lt;=10,"6-10",HR_Employee_Attrition[[#This Row],[YearsAtCompany]]&gt;10,"10+")</f>
        <v>3-5</v>
      </c>
      <c r="AL1125" t="str" cm="1">
        <f t="array" ref="AL11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25">
        <f>IF(HR_Employee_Attrition[[#This Row],[Attrition]]="Yes",1,0)</f>
        <v>0</v>
      </c>
    </row>
    <row r="1126" spans="1:39" x14ac:dyDescent="0.3">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c r="AJ1126" t="str">
        <f>IF(HR_Employee_Attrition[[#This Row],[Age]]&gt;60,"60+",IF(HR_Employee_Attrition[[#This Row],[Age]]&gt;=50,"50-59",IF(HR_Employee_Attrition[[#This Row],[Age]]&gt;=40,"40-49",IF(HR_Employee_Attrition[[#This Row],[Age]]&gt;=30,"30-39",IF(HR_Employee_Attrition[[#This Row],[Age]]&gt;=20,"20-29",IF(HR_Employee_Attrition[[#This Row],[Age]]&gt;=18,"18-20"))))))</f>
        <v>30-39</v>
      </c>
      <c r="AK1126" t="str" cm="1">
        <f t="array" ref="AK1126">_xlfn.IFS(HR_Employee_Attrition[[#This Row],[YearsAtCompany]]&lt;=2,"0-2",HR_Employee_Attrition[[#This Row],[YearsAtCompany]]&lt;=5,"3-5",HR_Employee_Attrition[[#This Row],[YearsAtCompany]]&lt;=10,"6-10",HR_Employee_Attrition[[#This Row],[YearsAtCompany]]&gt;10,"10+")</f>
        <v>6-10</v>
      </c>
      <c r="AL1126" t="str" cm="1">
        <f t="array" ref="AL11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26">
        <f>IF(HR_Employee_Attrition[[#This Row],[Attrition]]="Yes",1,0)</f>
        <v>0</v>
      </c>
    </row>
    <row r="1127" spans="1:39" x14ac:dyDescent="0.3">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c r="AJ1127" t="str">
        <f>IF(HR_Employee_Attrition[[#This Row],[Age]]&gt;60,"60+",IF(HR_Employee_Attrition[[#This Row],[Age]]&gt;=50,"50-59",IF(HR_Employee_Attrition[[#This Row],[Age]]&gt;=40,"40-49",IF(HR_Employee_Attrition[[#This Row],[Age]]&gt;=30,"30-39",IF(HR_Employee_Attrition[[#This Row],[Age]]&gt;=20,"20-29",IF(HR_Employee_Attrition[[#This Row],[Age]]&gt;=18,"18-20"))))))</f>
        <v>20-29</v>
      </c>
      <c r="AK1127" t="str" cm="1">
        <f t="array" ref="AK1127">_xlfn.IFS(HR_Employee_Attrition[[#This Row],[YearsAtCompany]]&lt;=2,"0-2",HR_Employee_Attrition[[#This Row],[YearsAtCompany]]&lt;=5,"3-5",HR_Employee_Attrition[[#This Row],[YearsAtCompany]]&lt;=10,"6-10",HR_Employee_Attrition[[#This Row],[YearsAtCompany]]&gt;10,"10+")</f>
        <v>6-10</v>
      </c>
      <c r="AL1127" t="str" cm="1">
        <f t="array" ref="AL11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27">
        <f>IF(HR_Employee_Attrition[[#This Row],[Attrition]]="Yes",1,0)</f>
        <v>0</v>
      </c>
    </row>
    <row r="1128" spans="1:39" x14ac:dyDescent="0.3">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c r="AJ1128" t="str">
        <f>IF(HR_Employee_Attrition[[#This Row],[Age]]&gt;60,"60+",IF(HR_Employee_Attrition[[#This Row],[Age]]&gt;=50,"50-59",IF(HR_Employee_Attrition[[#This Row],[Age]]&gt;=40,"40-49",IF(HR_Employee_Attrition[[#This Row],[Age]]&gt;=30,"30-39",IF(HR_Employee_Attrition[[#This Row],[Age]]&gt;=20,"20-29",IF(HR_Employee_Attrition[[#This Row],[Age]]&gt;=18,"18-20"))))))</f>
        <v>50-59</v>
      </c>
      <c r="AK1128" t="str" cm="1">
        <f t="array" ref="AK1128">_xlfn.IFS(HR_Employee_Attrition[[#This Row],[YearsAtCompany]]&lt;=2,"0-2",HR_Employee_Attrition[[#This Row],[YearsAtCompany]]&lt;=5,"3-5",HR_Employee_Attrition[[#This Row],[YearsAtCompany]]&lt;=10,"6-10",HR_Employee_Attrition[[#This Row],[YearsAtCompany]]&gt;10,"10+")</f>
        <v>0-2</v>
      </c>
      <c r="AL1128" t="str" cm="1">
        <f t="array" ref="AL11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28">
        <f>IF(HR_Employee_Attrition[[#This Row],[Attrition]]="Yes",1,0)</f>
        <v>0</v>
      </c>
    </row>
    <row r="1129" spans="1:39" x14ac:dyDescent="0.3">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c r="AJ1129" t="str">
        <f>IF(HR_Employee_Attrition[[#This Row],[Age]]&gt;60,"60+",IF(HR_Employee_Attrition[[#This Row],[Age]]&gt;=50,"50-59",IF(HR_Employee_Attrition[[#This Row],[Age]]&gt;=40,"40-49",IF(HR_Employee_Attrition[[#This Row],[Age]]&gt;=30,"30-39",IF(HR_Employee_Attrition[[#This Row],[Age]]&gt;=20,"20-29",IF(HR_Employee_Attrition[[#This Row],[Age]]&gt;=18,"18-20"))))))</f>
        <v>20-29</v>
      </c>
      <c r="AK1129" t="str" cm="1">
        <f t="array" ref="AK1129">_xlfn.IFS(HR_Employee_Attrition[[#This Row],[YearsAtCompany]]&lt;=2,"0-2",HR_Employee_Attrition[[#This Row],[YearsAtCompany]]&lt;=5,"3-5",HR_Employee_Attrition[[#This Row],[YearsAtCompany]]&lt;=10,"6-10",HR_Employee_Attrition[[#This Row],[YearsAtCompany]]&gt;10,"10+")</f>
        <v>0-2</v>
      </c>
      <c r="AL1129" t="str" cm="1">
        <f t="array" ref="AL11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29">
        <f>IF(HR_Employee_Attrition[[#This Row],[Attrition]]="Yes",1,0)</f>
        <v>0</v>
      </c>
    </row>
    <row r="1130" spans="1:39" x14ac:dyDescent="0.3">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c r="AJ1130" t="str">
        <f>IF(HR_Employee_Attrition[[#This Row],[Age]]&gt;60,"60+",IF(HR_Employee_Attrition[[#This Row],[Age]]&gt;=50,"50-59",IF(HR_Employee_Attrition[[#This Row],[Age]]&gt;=40,"40-49",IF(HR_Employee_Attrition[[#This Row],[Age]]&gt;=30,"30-39",IF(HR_Employee_Attrition[[#This Row],[Age]]&gt;=20,"20-29",IF(HR_Employee_Attrition[[#This Row],[Age]]&gt;=18,"18-20"))))))</f>
        <v>30-39</v>
      </c>
      <c r="AK1130" t="str" cm="1">
        <f t="array" ref="AK1130">_xlfn.IFS(HR_Employee_Attrition[[#This Row],[YearsAtCompany]]&lt;=2,"0-2",HR_Employee_Attrition[[#This Row],[YearsAtCompany]]&lt;=5,"3-5",HR_Employee_Attrition[[#This Row],[YearsAtCompany]]&lt;=10,"6-10",HR_Employee_Attrition[[#This Row],[YearsAtCompany]]&gt;10,"10+")</f>
        <v>3-5</v>
      </c>
      <c r="AL1130" t="str" cm="1">
        <f t="array" ref="AL11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30">
        <f>IF(HR_Employee_Attrition[[#This Row],[Attrition]]="Yes",1,0)</f>
        <v>0</v>
      </c>
    </row>
    <row r="1131" spans="1:39" x14ac:dyDescent="0.3">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c r="AJ1131" t="str">
        <f>IF(HR_Employee_Attrition[[#This Row],[Age]]&gt;60,"60+",IF(HR_Employee_Attrition[[#This Row],[Age]]&gt;=50,"50-59",IF(HR_Employee_Attrition[[#This Row],[Age]]&gt;=40,"40-49",IF(HR_Employee_Attrition[[#This Row],[Age]]&gt;=30,"30-39",IF(HR_Employee_Attrition[[#This Row],[Age]]&gt;=20,"20-29",IF(HR_Employee_Attrition[[#This Row],[Age]]&gt;=18,"18-20"))))))</f>
        <v>40-49</v>
      </c>
      <c r="AK1131" t="str" cm="1">
        <f t="array" ref="AK1131">_xlfn.IFS(HR_Employee_Attrition[[#This Row],[YearsAtCompany]]&lt;=2,"0-2",HR_Employee_Attrition[[#This Row],[YearsAtCompany]]&lt;=5,"3-5",HR_Employee_Attrition[[#This Row],[YearsAtCompany]]&lt;=10,"6-10",HR_Employee_Attrition[[#This Row],[YearsAtCompany]]&gt;10,"10+")</f>
        <v>0-2</v>
      </c>
      <c r="AL1131" t="str" cm="1">
        <f t="array" ref="AL11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31">
        <f>IF(HR_Employee_Attrition[[#This Row],[Attrition]]="Yes",1,0)</f>
        <v>0</v>
      </c>
    </row>
    <row r="1132" spans="1:39" x14ac:dyDescent="0.3">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c r="AJ1132" t="str">
        <f>IF(HR_Employee_Attrition[[#This Row],[Age]]&gt;60,"60+",IF(HR_Employee_Attrition[[#This Row],[Age]]&gt;=50,"50-59",IF(HR_Employee_Attrition[[#This Row],[Age]]&gt;=40,"40-49",IF(HR_Employee_Attrition[[#This Row],[Age]]&gt;=30,"30-39",IF(HR_Employee_Attrition[[#This Row],[Age]]&gt;=20,"20-29",IF(HR_Employee_Attrition[[#This Row],[Age]]&gt;=18,"18-20"))))))</f>
        <v>30-39</v>
      </c>
      <c r="AK1132" t="str" cm="1">
        <f t="array" ref="AK1132">_xlfn.IFS(HR_Employee_Attrition[[#This Row],[YearsAtCompany]]&lt;=2,"0-2",HR_Employee_Attrition[[#This Row],[YearsAtCompany]]&lt;=5,"3-5",HR_Employee_Attrition[[#This Row],[YearsAtCompany]]&lt;=10,"6-10",HR_Employee_Attrition[[#This Row],[YearsAtCompany]]&gt;10,"10+")</f>
        <v>6-10</v>
      </c>
      <c r="AL1132" t="str" cm="1">
        <f t="array" ref="AL11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32">
        <f>IF(HR_Employee_Attrition[[#This Row],[Attrition]]="Yes",1,0)</f>
        <v>0</v>
      </c>
    </row>
    <row r="1133" spans="1:39" x14ac:dyDescent="0.3">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c r="AJ1133" t="str">
        <f>IF(HR_Employee_Attrition[[#This Row],[Age]]&gt;60,"60+",IF(HR_Employee_Attrition[[#This Row],[Age]]&gt;=50,"50-59",IF(HR_Employee_Attrition[[#This Row],[Age]]&gt;=40,"40-49",IF(HR_Employee_Attrition[[#This Row],[Age]]&gt;=30,"30-39",IF(HR_Employee_Attrition[[#This Row],[Age]]&gt;=20,"20-29",IF(HR_Employee_Attrition[[#This Row],[Age]]&gt;=18,"18-20"))))))</f>
        <v>30-39</v>
      </c>
      <c r="AK1133" t="str" cm="1">
        <f t="array" ref="AK1133">_xlfn.IFS(HR_Employee_Attrition[[#This Row],[YearsAtCompany]]&lt;=2,"0-2",HR_Employee_Attrition[[#This Row],[YearsAtCompany]]&lt;=5,"3-5",HR_Employee_Attrition[[#This Row],[YearsAtCompany]]&lt;=10,"6-10",HR_Employee_Attrition[[#This Row],[YearsAtCompany]]&gt;10,"10+")</f>
        <v>6-10</v>
      </c>
      <c r="AL1133" t="str" cm="1">
        <f t="array" ref="AL11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33">
        <f>IF(HR_Employee_Attrition[[#This Row],[Attrition]]="Yes",1,0)</f>
        <v>0</v>
      </c>
    </row>
    <row r="1134" spans="1:39" x14ac:dyDescent="0.3">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c r="AJ1134" t="str">
        <f>IF(HR_Employee_Attrition[[#This Row],[Age]]&gt;60,"60+",IF(HR_Employee_Attrition[[#This Row],[Age]]&gt;=50,"50-59",IF(HR_Employee_Attrition[[#This Row],[Age]]&gt;=40,"40-49",IF(HR_Employee_Attrition[[#This Row],[Age]]&gt;=30,"30-39",IF(HR_Employee_Attrition[[#This Row],[Age]]&gt;=20,"20-29",IF(HR_Employee_Attrition[[#This Row],[Age]]&gt;=18,"18-20"))))))</f>
        <v>40-49</v>
      </c>
      <c r="AK1134" t="str" cm="1">
        <f t="array" ref="AK1134">_xlfn.IFS(HR_Employee_Attrition[[#This Row],[YearsAtCompany]]&lt;=2,"0-2",HR_Employee_Attrition[[#This Row],[YearsAtCompany]]&lt;=5,"3-5",HR_Employee_Attrition[[#This Row],[YearsAtCompany]]&lt;=10,"6-10",HR_Employee_Attrition[[#This Row],[YearsAtCompany]]&gt;10,"10+")</f>
        <v>3-5</v>
      </c>
      <c r="AL1134" t="str" cm="1">
        <f t="array" ref="AL11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34">
        <f>IF(HR_Employee_Attrition[[#This Row],[Attrition]]="Yes",1,0)</f>
        <v>0</v>
      </c>
    </row>
    <row r="1135" spans="1:39" x14ac:dyDescent="0.3">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c r="AJ1135" t="str">
        <f>IF(HR_Employee_Attrition[[#This Row],[Age]]&gt;60,"60+",IF(HR_Employee_Attrition[[#This Row],[Age]]&gt;=50,"50-59",IF(HR_Employee_Attrition[[#This Row],[Age]]&gt;=40,"40-49",IF(HR_Employee_Attrition[[#This Row],[Age]]&gt;=30,"30-39",IF(HR_Employee_Attrition[[#This Row],[Age]]&gt;=20,"20-29",IF(HR_Employee_Attrition[[#This Row],[Age]]&gt;=18,"18-20"))))))</f>
        <v>40-49</v>
      </c>
      <c r="AK1135" t="str" cm="1">
        <f t="array" ref="AK1135">_xlfn.IFS(HR_Employee_Attrition[[#This Row],[YearsAtCompany]]&lt;=2,"0-2",HR_Employee_Attrition[[#This Row],[YearsAtCompany]]&lt;=5,"3-5",HR_Employee_Attrition[[#This Row],[YearsAtCompany]]&lt;=10,"6-10",HR_Employee_Attrition[[#This Row],[YearsAtCompany]]&gt;10,"10+")</f>
        <v>6-10</v>
      </c>
      <c r="AL1135" t="str" cm="1">
        <f t="array" ref="AL11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35">
        <f>IF(HR_Employee_Attrition[[#This Row],[Attrition]]="Yes",1,0)</f>
        <v>0</v>
      </c>
    </row>
    <row r="1136" spans="1:39" x14ac:dyDescent="0.3">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c r="AJ1136" t="str">
        <f>IF(HR_Employee_Attrition[[#This Row],[Age]]&gt;60,"60+",IF(HR_Employee_Attrition[[#This Row],[Age]]&gt;=50,"50-59",IF(HR_Employee_Attrition[[#This Row],[Age]]&gt;=40,"40-49",IF(HR_Employee_Attrition[[#This Row],[Age]]&gt;=30,"30-39",IF(HR_Employee_Attrition[[#This Row],[Age]]&gt;=20,"20-29",IF(HR_Employee_Attrition[[#This Row],[Age]]&gt;=18,"18-20"))))))</f>
        <v>30-39</v>
      </c>
      <c r="AK1136" t="str" cm="1">
        <f t="array" ref="AK1136">_xlfn.IFS(HR_Employee_Attrition[[#This Row],[YearsAtCompany]]&lt;=2,"0-2",HR_Employee_Attrition[[#This Row],[YearsAtCompany]]&lt;=5,"3-5",HR_Employee_Attrition[[#This Row],[YearsAtCompany]]&lt;=10,"6-10",HR_Employee_Attrition[[#This Row],[YearsAtCompany]]&gt;10,"10+")</f>
        <v>0-2</v>
      </c>
      <c r="AL1136" t="str" cm="1">
        <f t="array" ref="AL11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36">
        <f>IF(HR_Employee_Attrition[[#This Row],[Attrition]]="Yes",1,0)</f>
        <v>0</v>
      </c>
    </row>
    <row r="1137" spans="1:39" x14ac:dyDescent="0.3">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c r="AJ1137" t="str">
        <f>IF(HR_Employee_Attrition[[#This Row],[Age]]&gt;60,"60+",IF(HR_Employee_Attrition[[#This Row],[Age]]&gt;=50,"50-59",IF(HR_Employee_Attrition[[#This Row],[Age]]&gt;=40,"40-49",IF(HR_Employee_Attrition[[#This Row],[Age]]&gt;=30,"30-39",IF(HR_Employee_Attrition[[#This Row],[Age]]&gt;=20,"20-29",IF(HR_Employee_Attrition[[#This Row],[Age]]&gt;=18,"18-20"))))))</f>
        <v>40-49</v>
      </c>
      <c r="AK1137" t="str" cm="1">
        <f t="array" ref="AK1137">_xlfn.IFS(HR_Employee_Attrition[[#This Row],[YearsAtCompany]]&lt;=2,"0-2",HR_Employee_Attrition[[#This Row],[YearsAtCompany]]&lt;=5,"3-5",HR_Employee_Attrition[[#This Row],[YearsAtCompany]]&lt;=10,"6-10",HR_Employee_Attrition[[#This Row],[YearsAtCompany]]&gt;10,"10+")</f>
        <v>10+</v>
      </c>
      <c r="AL1137" t="str" cm="1">
        <f t="array" ref="AL11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37">
        <f>IF(HR_Employee_Attrition[[#This Row],[Attrition]]="Yes",1,0)</f>
        <v>0</v>
      </c>
    </row>
    <row r="1138" spans="1:39" x14ac:dyDescent="0.3">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c r="AJ1138" t="str">
        <f>IF(HR_Employee_Attrition[[#This Row],[Age]]&gt;60,"60+",IF(HR_Employee_Attrition[[#This Row],[Age]]&gt;=50,"50-59",IF(HR_Employee_Attrition[[#This Row],[Age]]&gt;=40,"40-49",IF(HR_Employee_Attrition[[#This Row],[Age]]&gt;=30,"30-39",IF(HR_Employee_Attrition[[#This Row],[Age]]&gt;=20,"20-29",IF(HR_Employee_Attrition[[#This Row],[Age]]&gt;=18,"18-20"))))))</f>
        <v>20-29</v>
      </c>
      <c r="AK1138" t="str" cm="1">
        <f t="array" ref="AK1138">_xlfn.IFS(HR_Employee_Attrition[[#This Row],[YearsAtCompany]]&lt;=2,"0-2",HR_Employee_Attrition[[#This Row],[YearsAtCompany]]&lt;=5,"3-5",HR_Employee_Attrition[[#This Row],[YearsAtCompany]]&lt;=10,"6-10",HR_Employee_Attrition[[#This Row],[YearsAtCompany]]&gt;10,"10+")</f>
        <v>0-2</v>
      </c>
      <c r="AL1138" t="str" cm="1">
        <f t="array" ref="AL11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38">
        <f>IF(HR_Employee_Attrition[[#This Row],[Attrition]]="Yes",1,0)</f>
        <v>1</v>
      </c>
    </row>
    <row r="1139" spans="1:39" x14ac:dyDescent="0.3">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c r="AJ1139" t="str">
        <f>IF(HR_Employee_Attrition[[#This Row],[Age]]&gt;60,"60+",IF(HR_Employee_Attrition[[#This Row],[Age]]&gt;=50,"50-59",IF(HR_Employee_Attrition[[#This Row],[Age]]&gt;=40,"40-49",IF(HR_Employee_Attrition[[#This Row],[Age]]&gt;=30,"30-39",IF(HR_Employee_Attrition[[#This Row],[Age]]&gt;=20,"20-29",IF(HR_Employee_Attrition[[#This Row],[Age]]&gt;=18,"18-20"))))))</f>
        <v>20-29</v>
      </c>
      <c r="AK1139" t="str" cm="1">
        <f t="array" ref="AK1139">_xlfn.IFS(HR_Employee_Attrition[[#This Row],[YearsAtCompany]]&lt;=2,"0-2",HR_Employee_Attrition[[#This Row],[YearsAtCompany]]&lt;=5,"3-5",HR_Employee_Attrition[[#This Row],[YearsAtCompany]]&lt;=10,"6-10",HR_Employee_Attrition[[#This Row],[YearsAtCompany]]&gt;10,"10+")</f>
        <v>3-5</v>
      </c>
      <c r="AL1139" t="str" cm="1">
        <f t="array" ref="AL11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39">
        <f>IF(HR_Employee_Attrition[[#This Row],[Attrition]]="Yes",1,0)</f>
        <v>0</v>
      </c>
    </row>
    <row r="1140" spans="1:39" x14ac:dyDescent="0.3">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c r="AJ1140" t="str">
        <f>IF(HR_Employee_Attrition[[#This Row],[Age]]&gt;60,"60+",IF(HR_Employee_Attrition[[#This Row],[Age]]&gt;=50,"50-59",IF(HR_Employee_Attrition[[#This Row],[Age]]&gt;=40,"40-49",IF(HR_Employee_Attrition[[#This Row],[Age]]&gt;=30,"30-39",IF(HR_Employee_Attrition[[#This Row],[Age]]&gt;=20,"20-29",IF(HR_Employee_Attrition[[#This Row],[Age]]&gt;=18,"18-20"))))))</f>
        <v>50-59</v>
      </c>
      <c r="AK1140" t="str" cm="1">
        <f t="array" ref="AK1140">_xlfn.IFS(HR_Employee_Attrition[[#This Row],[YearsAtCompany]]&lt;=2,"0-2",HR_Employee_Attrition[[#This Row],[YearsAtCompany]]&lt;=5,"3-5",HR_Employee_Attrition[[#This Row],[YearsAtCompany]]&lt;=10,"6-10",HR_Employee_Attrition[[#This Row],[YearsAtCompany]]&gt;10,"10+")</f>
        <v>10+</v>
      </c>
      <c r="AL1140" t="str" cm="1">
        <f t="array" ref="AL11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140">
        <f>IF(HR_Employee_Attrition[[#This Row],[Attrition]]="Yes",1,0)</f>
        <v>0</v>
      </c>
    </row>
    <row r="1141" spans="1:39" x14ac:dyDescent="0.3">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c r="AJ1141" t="str">
        <f>IF(HR_Employee_Attrition[[#This Row],[Age]]&gt;60,"60+",IF(HR_Employee_Attrition[[#This Row],[Age]]&gt;=50,"50-59",IF(HR_Employee_Attrition[[#This Row],[Age]]&gt;=40,"40-49",IF(HR_Employee_Attrition[[#This Row],[Age]]&gt;=30,"30-39",IF(HR_Employee_Attrition[[#This Row],[Age]]&gt;=20,"20-29",IF(HR_Employee_Attrition[[#This Row],[Age]]&gt;=18,"18-20"))))))</f>
        <v>30-39</v>
      </c>
      <c r="AK1141" t="str" cm="1">
        <f t="array" ref="AK1141">_xlfn.IFS(HR_Employee_Attrition[[#This Row],[YearsAtCompany]]&lt;=2,"0-2",HR_Employee_Attrition[[#This Row],[YearsAtCompany]]&lt;=5,"3-5",HR_Employee_Attrition[[#This Row],[YearsAtCompany]]&lt;=10,"6-10",HR_Employee_Attrition[[#This Row],[YearsAtCompany]]&gt;10,"10+")</f>
        <v>3-5</v>
      </c>
      <c r="AL1141" t="str" cm="1">
        <f t="array" ref="AL11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41">
        <f>IF(HR_Employee_Attrition[[#This Row],[Attrition]]="Yes",1,0)</f>
        <v>0</v>
      </c>
    </row>
    <row r="1142" spans="1:39" x14ac:dyDescent="0.3">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c r="AJ1142" t="str">
        <f>IF(HR_Employee_Attrition[[#This Row],[Age]]&gt;60,"60+",IF(HR_Employee_Attrition[[#This Row],[Age]]&gt;=50,"50-59",IF(HR_Employee_Attrition[[#This Row],[Age]]&gt;=40,"40-49",IF(HR_Employee_Attrition[[#This Row],[Age]]&gt;=30,"30-39",IF(HR_Employee_Attrition[[#This Row],[Age]]&gt;=20,"20-29",IF(HR_Employee_Attrition[[#This Row],[Age]]&gt;=18,"18-20"))))))</f>
        <v>40-49</v>
      </c>
      <c r="AK1142" t="str" cm="1">
        <f t="array" ref="AK1142">_xlfn.IFS(HR_Employee_Attrition[[#This Row],[YearsAtCompany]]&lt;=2,"0-2",HR_Employee_Attrition[[#This Row],[YearsAtCompany]]&lt;=5,"3-5",HR_Employee_Attrition[[#This Row],[YearsAtCompany]]&lt;=10,"6-10",HR_Employee_Attrition[[#This Row],[YearsAtCompany]]&gt;10,"10+")</f>
        <v>10+</v>
      </c>
      <c r="AL1142" t="str" cm="1">
        <f t="array" ref="AL11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42">
        <f>IF(HR_Employee_Attrition[[#This Row],[Attrition]]="Yes",1,0)</f>
        <v>0</v>
      </c>
    </row>
    <row r="1143" spans="1:39" x14ac:dyDescent="0.3">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c r="AJ1143" t="str">
        <f>IF(HR_Employee_Attrition[[#This Row],[Age]]&gt;60,"60+",IF(HR_Employee_Attrition[[#This Row],[Age]]&gt;=50,"50-59",IF(HR_Employee_Attrition[[#This Row],[Age]]&gt;=40,"40-49",IF(HR_Employee_Attrition[[#This Row],[Age]]&gt;=30,"30-39",IF(HR_Employee_Attrition[[#This Row],[Age]]&gt;=20,"20-29",IF(HR_Employee_Attrition[[#This Row],[Age]]&gt;=18,"18-20"))))))</f>
        <v>30-39</v>
      </c>
      <c r="AK1143" t="str" cm="1">
        <f t="array" ref="AK1143">_xlfn.IFS(HR_Employee_Attrition[[#This Row],[YearsAtCompany]]&lt;=2,"0-2",HR_Employee_Attrition[[#This Row],[YearsAtCompany]]&lt;=5,"3-5",HR_Employee_Attrition[[#This Row],[YearsAtCompany]]&lt;=10,"6-10",HR_Employee_Attrition[[#This Row],[YearsAtCompany]]&gt;10,"10+")</f>
        <v>6-10</v>
      </c>
      <c r="AL1143" t="str" cm="1">
        <f t="array" ref="AL11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43">
        <f>IF(HR_Employee_Attrition[[#This Row],[Attrition]]="Yes",1,0)</f>
        <v>0</v>
      </c>
    </row>
    <row r="1144" spans="1:39" x14ac:dyDescent="0.3">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c r="AJ1144" t="str">
        <f>IF(HR_Employee_Attrition[[#This Row],[Age]]&gt;60,"60+",IF(HR_Employee_Attrition[[#This Row],[Age]]&gt;=50,"50-59",IF(HR_Employee_Attrition[[#This Row],[Age]]&gt;=40,"40-49",IF(HR_Employee_Attrition[[#This Row],[Age]]&gt;=30,"30-39",IF(HR_Employee_Attrition[[#This Row],[Age]]&gt;=20,"20-29",IF(HR_Employee_Attrition[[#This Row],[Age]]&gt;=18,"18-20"))))))</f>
        <v>40-49</v>
      </c>
      <c r="AK1144" t="str" cm="1">
        <f t="array" ref="AK1144">_xlfn.IFS(HR_Employee_Attrition[[#This Row],[YearsAtCompany]]&lt;=2,"0-2",HR_Employee_Attrition[[#This Row],[YearsAtCompany]]&lt;=5,"3-5",HR_Employee_Attrition[[#This Row],[YearsAtCompany]]&lt;=10,"6-10",HR_Employee_Attrition[[#This Row],[YearsAtCompany]]&gt;10,"10+")</f>
        <v>6-10</v>
      </c>
      <c r="AL1144" t="str" cm="1">
        <f t="array" ref="AL11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44">
        <f>IF(HR_Employee_Attrition[[#This Row],[Attrition]]="Yes",1,0)</f>
        <v>0</v>
      </c>
    </row>
    <row r="1145" spans="1:39" x14ac:dyDescent="0.3">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c r="AJ1145" t="str">
        <f>IF(HR_Employee_Attrition[[#This Row],[Age]]&gt;60,"60+",IF(HR_Employee_Attrition[[#This Row],[Age]]&gt;=50,"50-59",IF(HR_Employee_Attrition[[#This Row],[Age]]&gt;=40,"40-49",IF(HR_Employee_Attrition[[#This Row],[Age]]&gt;=30,"30-39",IF(HR_Employee_Attrition[[#This Row],[Age]]&gt;=20,"20-29",IF(HR_Employee_Attrition[[#This Row],[Age]]&gt;=18,"18-20"))))))</f>
        <v>40-49</v>
      </c>
      <c r="AK1145" t="str" cm="1">
        <f t="array" ref="AK1145">_xlfn.IFS(HR_Employee_Attrition[[#This Row],[YearsAtCompany]]&lt;=2,"0-2",HR_Employee_Attrition[[#This Row],[YearsAtCompany]]&lt;=5,"3-5",HR_Employee_Attrition[[#This Row],[YearsAtCompany]]&lt;=10,"6-10",HR_Employee_Attrition[[#This Row],[YearsAtCompany]]&gt;10,"10+")</f>
        <v>6-10</v>
      </c>
      <c r="AL1145" t="str" cm="1">
        <f t="array" ref="AL11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45">
        <f>IF(HR_Employee_Attrition[[#This Row],[Attrition]]="Yes",1,0)</f>
        <v>0</v>
      </c>
    </row>
    <row r="1146" spans="1:39" x14ac:dyDescent="0.3">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c r="AJ1146" t="str">
        <f>IF(HR_Employee_Attrition[[#This Row],[Age]]&gt;60,"60+",IF(HR_Employee_Attrition[[#This Row],[Age]]&gt;=50,"50-59",IF(HR_Employee_Attrition[[#This Row],[Age]]&gt;=40,"40-49",IF(HR_Employee_Attrition[[#This Row],[Age]]&gt;=30,"30-39",IF(HR_Employee_Attrition[[#This Row],[Age]]&gt;=20,"20-29",IF(HR_Employee_Attrition[[#This Row],[Age]]&gt;=18,"18-20"))))))</f>
        <v>30-39</v>
      </c>
      <c r="AK1146" t="str" cm="1">
        <f t="array" ref="AK1146">_xlfn.IFS(HR_Employee_Attrition[[#This Row],[YearsAtCompany]]&lt;=2,"0-2",HR_Employee_Attrition[[#This Row],[YearsAtCompany]]&lt;=5,"3-5",HR_Employee_Attrition[[#This Row],[YearsAtCompany]]&lt;=10,"6-10",HR_Employee_Attrition[[#This Row],[YearsAtCompany]]&gt;10,"10+")</f>
        <v>3-5</v>
      </c>
      <c r="AL1146" t="str" cm="1">
        <f t="array" ref="AL11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46">
        <f>IF(HR_Employee_Attrition[[#This Row],[Attrition]]="Yes",1,0)</f>
        <v>0</v>
      </c>
    </row>
    <row r="1147" spans="1:39" x14ac:dyDescent="0.3">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c r="AJ1147" t="str">
        <f>IF(HR_Employee_Attrition[[#This Row],[Age]]&gt;60,"60+",IF(HR_Employee_Attrition[[#This Row],[Age]]&gt;=50,"50-59",IF(HR_Employee_Attrition[[#This Row],[Age]]&gt;=40,"40-49",IF(HR_Employee_Attrition[[#This Row],[Age]]&gt;=30,"30-39",IF(HR_Employee_Attrition[[#This Row],[Age]]&gt;=20,"20-29",IF(HR_Employee_Attrition[[#This Row],[Age]]&gt;=18,"18-20"))))))</f>
        <v>30-39</v>
      </c>
      <c r="AK1147" t="str" cm="1">
        <f t="array" ref="AK1147">_xlfn.IFS(HR_Employee_Attrition[[#This Row],[YearsAtCompany]]&lt;=2,"0-2",HR_Employee_Attrition[[#This Row],[YearsAtCompany]]&lt;=5,"3-5",HR_Employee_Attrition[[#This Row],[YearsAtCompany]]&lt;=10,"6-10",HR_Employee_Attrition[[#This Row],[YearsAtCompany]]&gt;10,"10+")</f>
        <v>3-5</v>
      </c>
      <c r="AL1147" t="str" cm="1">
        <f t="array" ref="AL11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47">
        <f>IF(HR_Employee_Attrition[[#This Row],[Attrition]]="Yes",1,0)</f>
        <v>0</v>
      </c>
    </row>
    <row r="1148" spans="1:39" x14ac:dyDescent="0.3">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c r="AJ1148" t="str">
        <f>IF(HR_Employee_Attrition[[#This Row],[Age]]&gt;60,"60+",IF(HR_Employee_Attrition[[#This Row],[Age]]&gt;=50,"50-59",IF(HR_Employee_Attrition[[#This Row],[Age]]&gt;=40,"40-49",IF(HR_Employee_Attrition[[#This Row],[Age]]&gt;=30,"30-39",IF(HR_Employee_Attrition[[#This Row],[Age]]&gt;=20,"20-29",IF(HR_Employee_Attrition[[#This Row],[Age]]&gt;=18,"18-20"))))))</f>
        <v>30-39</v>
      </c>
      <c r="AK1148" t="str" cm="1">
        <f t="array" ref="AK1148">_xlfn.IFS(HR_Employee_Attrition[[#This Row],[YearsAtCompany]]&lt;=2,"0-2",HR_Employee_Attrition[[#This Row],[YearsAtCompany]]&lt;=5,"3-5",HR_Employee_Attrition[[#This Row],[YearsAtCompany]]&lt;=10,"6-10",HR_Employee_Attrition[[#This Row],[YearsAtCompany]]&gt;10,"10+")</f>
        <v>6-10</v>
      </c>
      <c r="AL1148" t="str" cm="1">
        <f t="array" ref="AL11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48">
        <f>IF(HR_Employee_Attrition[[#This Row],[Attrition]]="Yes",1,0)</f>
        <v>0</v>
      </c>
    </row>
    <row r="1149" spans="1:39" x14ac:dyDescent="0.3">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c r="AJ1149" t="str">
        <f>IF(HR_Employee_Attrition[[#This Row],[Age]]&gt;60,"60+",IF(HR_Employee_Attrition[[#This Row],[Age]]&gt;=50,"50-59",IF(HR_Employee_Attrition[[#This Row],[Age]]&gt;=40,"40-49",IF(HR_Employee_Attrition[[#This Row],[Age]]&gt;=30,"30-39",IF(HR_Employee_Attrition[[#This Row],[Age]]&gt;=20,"20-29",IF(HR_Employee_Attrition[[#This Row],[Age]]&gt;=18,"18-20"))))))</f>
        <v>40-49</v>
      </c>
      <c r="AK1149" t="str" cm="1">
        <f t="array" ref="AK1149">_xlfn.IFS(HR_Employee_Attrition[[#This Row],[YearsAtCompany]]&lt;=2,"0-2",HR_Employee_Attrition[[#This Row],[YearsAtCompany]]&lt;=5,"3-5",HR_Employee_Attrition[[#This Row],[YearsAtCompany]]&lt;=10,"6-10",HR_Employee_Attrition[[#This Row],[YearsAtCompany]]&gt;10,"10+")</f>
        <v>6-10</v>
      </c>
      <c r="AL1149" t="str" cm="1">
        <f t="array" ref="AL11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49">
        <f>IF(HR_Employee_Attrition[[#This Row],[Attrition]]="Yes",1,0)</f>
        <v>0</v>
      </c>
    </row>
    <row r="1150" spans="1:39" x14ac:dyDescent="0.3">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c r="AJ1150" t="str">
        <f>IF(HR_Employee_Attrition[[#This Row],[Age]]&gt;60,"60+",IF(HR_Employee_Attrition[[#This Row],[Age]]&gt;=50,"50-59",IF(HR_Employee_Attrition[[#This Row],[Age]]&gt;=40,"40-49",IF(HR_Employee_Attrition[[#This Row],[Age]]&gt;=30,"30-39",IF(HR_Employee_Attrition[[#This Row],[Age]]&gt;=20,"20-29",IF(HR_Employee_Attrition[[#This Row],[Age]]&gt;=18,"18-20"))))))</f>
        <v>30-39</v>
      </c>
      <c r="AK1150" t="str" cm="1">
        <f t="array" ref="AK1150">_xlfn.IFS(HR_Employee_Attrition[[#This Row],[YearsAtCompany]]&lt;=2,"0-2",HR_Employee_Attrition[[#This Row],[YearsAtCompany]]&lt;=5,"3-5",HR_Employee_Attrition[[#This Row],[YearsAtCompany]]&lt;=10,"6-10",HR_Employee_Attrition[[#This Row],[YearsAtCompany]]&gt;10,"10+")</f>
        <v>6-10</v>
      </c>
      <c r="AL1150" t="str" cm="1">
        <f t="array" ref="AL11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50">
        <f>IF(HR_Employee_Attrition[[#This Row],[Attrition]]="Yes",1,0)</f>
        <v>0</v>
      </c>
    </row>
    <row r="1151" spans="1:39" x14ac:dyDescent="0.3">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c r="AJ1151" t="str">
        <f>IF(HR_Employee_Attrition[[#This Row],[Age]]&gt;60,"60+",IF(HR_Employee_Attrition[[#This Row],[Age]]&gt;=50,"50-59",IF(HR_Employee_Attrition[[#This Row],[Age]]&gt;=40,"40-49",IF(HR_Employee_Attrition[[#This Row],[Age]]&gt;=30,"30-39",IF(HR_Employee_Attrition[[#This Row],[Age]]&gt;=20,"20-29",IF(HR_Employee_Attrition[[#This Row],[Age]]&gt;=18,"18-20"))))))</f>
        <v>20-29</v>
      </c>
      <c r="AK1151" t="str" cm="1">
        <f t="array" ref="AK1151">_xlfn.IFS(HR_Employee_Attrition[[#This Row],[YearsAtCompany]]&lt;=2,"0-2",HR_Employee_Attrition[[#This Row],[YearsAtCompany]]&lt;=5,"3-5",HR_Employee_Attrition[[#This Row],[YearsAtCompany]]&lt;=10,"6-10",HR_Employee_Attrition[[#This Row],[YearsAtCompany]]&gt;10,"10+")</f>
        <v>6-10</v>
      </c>
      <c r="AL1151" t="str" cm="1">
        <f t="array" ref="AL11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51">
        <f>IF(HR_Employee_Attrition[[#This Row],[Attrition]]="Yes",1,0)</f>
        <v>0</v>
      </c>
    </row>
    <row r="1152" spans="1:39" x14ac:dyDescent="0.3">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c r="AJ1152" t="str">
        <f>IF(HR_Employee_Attrition[[#This Row],[Age]]&gt;60,"60+",IF(HR_Employee_Attrition[[#This Row],[Age]]&gt;=50,"50-59",IF(HR_Employee_Attrition[[#This Row],[Age]]&gt;=40,"40-49",IF(HR_Employee_Attrition[[#This Row],[Age]]&gt;=30,"30-39",IF(HR_Employee_Attrition[[#This Row],[Age]]&gt;=20,"20-29",IF(HR_Employee_Attrition[[#This Row],[Age]]&gt;=18,"18-20"))))))</f>
        <v>30-39</v>
      </c>
      <c r="AK1152" t="str" cm="1">
        <f t="array" ref="AK1152">_xlfn.IFS(HR_Employee_Attrition[[#This Row],[YearsAtCompany]]&lt;=2,"0-2",HR_Employee_Attrition[[#This Row],[YearsAtCompany]]&lt;=5,"3-5",HR_Employee_Attrition[[#This Row],[YearsAtCompany]]&lt;=10,"6-10",HR_Employee_Attrition[[#This Row],[YearsAtCompany]]&gt;10,"10+")</f>
        <v>10+</v>
      </c>
      <c r="AL1152" t="str" cm="1">
        <f t="array" ref="AL11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52">
        <f>IF(HR_Employee_Attrition[[#This Row],[Attrition]]="Yes",1,0)</f>
        <v>0</v>
      </c>
    </row>
    <row r="1153" spans="1:39" x14ac:dyDescent="0.3">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c r="AJ1153" t="str">
        <f>IF(HR_Employee_Attrition[[#This Row],[Age]]&gt;60,"60+",IF(HR_Employee_Attrition[[#This Row],[Age]]&gt;=50,"50-59",IF(HR_Employee_Attrition[[#This Row],[Age]]&gt;=40,"40-49",IF(HR_Employee_Attrition[[#This Row],[Age]]&gt;=30,"30-39",IF(HR_Employee_Attrition[[#This Row],[Age]]&gt;=20,"20-29",IF(HR_Employee_Attrition[[#This Row],[Age]]&gt;=18,"18-20"))))))</f>
        <v>20-29</v>
      </c>
      <c r="AK1153" t="str" cm="1">
        <f t="array" ref="AK1153">_xlfn.IFS(HR_Employee_Attrition[[#This Row],[YearsAtCompany]]&lt;=2,"0-2",HR_Employee_Attrition[[#This Row],[YearsAtCompany]]&lt;=5,"3-5",HR_Employee_Attrition[[#This Row],[YearsAtCompany]]&lt;=10,"6-10",HR_Employee_Attrition[[#This Row],[YearsAtCompany]]&gt;10,"10+")</f>
        <v>3-5</v>
      </c>
      <c r="AL1153" t="str" cm="1">
        <f t="array" ref="AL11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53">
        <f>IF(HR_Employee_Attrition[[#This Row],[Attrition]]="Yes",1,0)</f>
        <v>0</v>
      </c>
    </row>
    <row r="1154" spans="1:39" x14ac:dyDescent="0.3">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c r="AJ1154" t="str">
        <f>IF(HR_Employee_Attrition[[#This Row],[Age]]&gt;60,"60+",IF(HR_Employee_Attrition[[#This Row],[Age]]&gt;=50,"50-59",IF(HR_Employee_Attrition[[#This Row],[Age]]&gt;=40,"40-49",IF(HR_Employee_Attrition[[#This Row],[Age]]&gt;=30,"30-39",IF(HR_Employee_Attrition[[#This Row],[Age]]&gt;=20,"20-29",IF(HR_Employee_Attrition[[#This Row],[Age]]&gt;=18,"18-20"))))))</f>
        <v>20-29</v>
      </c>
      <c r="AK1154" t="str" cm="1">
        <f t="array" ref="AK1154">_xlfn.IFS(HR_Employee_Attrition[[#This Row],[YearsAtCompany]]&lt;=2,"0-2",HR_Employee_Attrition[[#This Row],[YearsAtCompany]]&lt;=5,"3-5",HR_Employee_Attrition[[#This Row],[YearsAtCompany]]&lt;=10,"6-10",HR_Employee_Attrition[[#This Row],[YearsAtCompany]]&gt;10,"10+")</f>
        <v>0-2</v>
      </c>
      <c r="AL1154" t="str" cm="1">
        <f t="array" ref="AL11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54">
        <f>IF(HR_Employee_Attrition[[#This Row],[Attrition]]="Yes",1,0)</f>
        <v>0</v>
      </c>
    </row>
    <row r="1155" spans="1:39" x14ac:dyDescent="0.3">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c r="AJ1155" t="str">
        <f>IF(HR_Employee_Attrition[[#This Row],[Age]]&gt;60,"60+",IF(HR_Employee_Attrition[[#This Row],[Age]]&gt;=50,"50-59",IF(HR_Employee_Attrition[[#This Row],[Age]]&gt;=40,"40-49",IF(HR_Employee_Attrition[[#This Row],[Age]]&gt;=30,"30-39",IF(HR_Employee_Attrition[[#This Row],[Age]]&gt;=20,"20-29",IF(HR_Employee_Attrition[[#This Row],[Age]]&gt;=18,"18-20"))))))</f>
        <v>18-20</v>
      </c>
      <c r="AK1155" t="str" cm="1">
        <f t="array" ref="AK1155">_xlfn.IFS(HR_Employee_Attrition[[#This Row],[YearsAtCompany]]&lt;=2,"0-2",HR_Employee_Attrition[[#This Row],[YearsAtCompany]]&lt;=5,"3-5",HR_Employee_Attrition[[#This Row],[YearsAtCompany]]&lt;=10,"6-10",HR_Employee_Attrition[[#This Row],[YearsAtCompany]]&gt;10,"10+")</f>
        <v>0-2</v>
      </c>
      <c r="AL1155" t="str" cm="1">
        <f t="array" ref="AL11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55">
        <f>IF(HR_Employee_Attrition[[#This Row],[Attrition]]="Yes",1,0)</f>
        <v>1</v>
      </c>
    </row>
    <row r="1156" spans="1:39" x14ac:dyDescent="0.3">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c r="AJ1156" t="str">
        <f>IF(HR_Employee_Attrition[[#This Row],[Age]]&gt;60,"60+",IF(HR_Employee_Attrition[[#This Row],[Age]]&gt;=50,"50-59",IF(HR_Employee_Attrition[[#This Row],[Age]]&gt;=40,"40-49",IF(HR_Employee_Attrition[[#This Row],[Age]]&gt;=30,"30-39",IF(HR_Employee_Attrition[[#This Row],[Age]]&gt;=20,"20-29",IF(HR_Employee_Attrition[[#This Row],[Age]]&gt;=18,"18-20"))))))</f>
        <v>40-49</v>
      </c>
      <c r="AK1156" t="str" cm="1">
        <f t="array" ref="AK1156">_xlfn.IFS(HR_Employee_Attrition[[#This Row],[YearsAtCompany]]&lt;=2,"0-2",HR_Employee_Attrition[[#This Row],[YearsAtCompany]]&lt;=5,"3-5",HR_Employee_Attrition[[#This Row],[YearsAtCompany]]&lt;=10,"6-10",HR_Employee_Attrition[[#This Row],[YearsAtCompany]]&gt;10,"10+")</f>
        <v>3-5</v>
      </c>
      <c r="AL1156" t="str" cm="1">
        <f t="array" ref="AL11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56">
        <f>IF(HR_Employee_Attrition[[#This Row],[Attrition]]="Yes",1,0)</f>
        <v>0</v>
      </c>
    </row>
    <row r="1157" spans="1:39" x14ac:dyDescent="0.3">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c r="AJ1157" t="str">
        <f>IF(HR_Employee_Attrition[[#This Row],[Age]]&gt;60,"60+",IF(HR_Employee_Attrition[[#This Row],[Age]]&gt;=50,"50-59",IF(HR_Employee_Attrition[[#This Row],[Age]]&gt;=40,"40-49",IF(HR_Employee_Attrition[[#This Row],[Age]]&gt;=30,"30-39",IF(HR_Employee_Attrition[[#This Row],[Age]]&gt;=20,"20-29",IF(HR_Employee_Attrition[[#This Row],[Age]]&gt;=18,"18-20"))))))</f>
        <v>30-39</v>
      </c>
      <c r="AK1157" t="str" cm="1">
        <f t="array" ref="AK1157">_xlfn.IFS(HR_Employee_Attrition[[#This Row],[YearsAtCompany]]&lt;=2,"0-2",HR_Employee_Attrition[[#This Row],[YearsAtCompany]]&lt;=5,"3-5",HR_Employee_Attrition[[#This Row],[YearsAtCompany]]&lt;=10,"6-10",HR_Employee_Attrition[[#This Row],[YearsAtCompany]]&gt;10,"10+")</f>
        <v>6-10</v>
      </c>
      <c r="AL1157" t="str" cm="1">
        <f t="array" ref="AL11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57">
        <f>IF(HR_Employee_Attrition[[#This Row],[Attrition]]="Yes",1,0)</f>
        <v>0</v>
      </c>
    </row>
    <row r="1158" spans="1:39" x14ac:dyDescent="0.3">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c r="AJ1158" t="str">
        <f>IF(HR_Employee_Attrition[[#This Row],[Age]]&gt;60,"60+",IF(HR_Employee_Attrition[[#This Row],[Age]]&gt;=50,"50-59",IF(HR_Employee_Attrition[[#This Row],[Age]]&gt;=40,"40-49",IF(HR_Employee_Attrition[[#This Row],[Age]]&gt;=30,"30-39",IF(HR_Employee_Attrition[[#This Row],[Age]]&gt;=20,"20-29",IF(HR_Employee_Attrition[[#This Row],[Age]]&gt;=18,"18-20"))))))</f>
        <v>40-49</v>
      </c>
      <c r="AK1158" t="str" cm="1">
        <f t="array" ref="AK1158">_xlfn.IFS(HR_Employee_Attrition[[#This Row],[YearsAtCompany]]&lt;=2,"0-2",HR_Employee_Attrition[[#This Row],[YearsAtCompany]]&lt;=5,"3-5",HR_Employee_Attrition[[#This Row],[YearsAtCompany]]&lt;=10,"6-10",HR_Employee_Attrition[[#This Row],[YearsAtCompany]]&gt;10,"10+")</f>
        <v>10+</v>
      </c>
      <c r="AL1158" t="str" cm="1">
        <f t="array" ref="AL11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158">
        <f>IF(HR_Employee_Attrition[[#This Row],[Attrition]]="Yes",1,0)</f>
        <v>0</v>
      </c>
    </row>
    <row r="1159" spans="1:39" x14ac:dyDescent="0.3">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c r="AJ1159" t="str">
        <f>IF(HR_Employee_Attrition[[#This Row],[Age]]&gt;60,"60+",IF(HR_Employee_Attrition[[#This Row],[Age]]&gt;=50,"50-59",IF(HR_Employee_Attrition[[#This Row],[Age]]&gt;=40,"40-49",IF(HR_Employee_Attrition[[#This Row],[Age]]&gt;=30,"30-39",IF(HR_Employee_Attrition[[#This Row],[Age]]&gt;=20,"20-29",IF(HR_Employee_Attrition[[#This Row],[Age]]&gt;=18,"18-20"))))))</f>
        <v>30-39</v>
      </c>
      <c r="AK1159" t="str" cm="1">
        <f t="array" ref="AK1159">_xlfn.IFS(HR_Employee_Attrition[[#This Row],[YearsAtCompany]]&lt;=2,"0-2",HR_Employee_Attrition[[#This Row],[YearsAtCompany]]&lt;=5,"3-5",HR_Employee_Attrition[[#This Row],[YearsAtCompany]]&lt;=10,"6-10",HR_Employee_Attrition[[#This Row],[YearsAtCompany]]&gt;10,"10+")</f>
        <v>10+</v>
      </c>
      <c r="AL1159" t="str" cm="1">
        <f t="array" ref="AL11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59">
        <f>IF(HR_Employee_Attrition[[#This Row],[Attrition]]="Yes",1,0)</f>
        <v>0</v>
      </c>
    </row>
    <row r="1160" spans="1:39" x14ac:dyDescent="0.3">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c r="AJ1160" t="str">
        <f>IF(HR_Employee_Attrition[[#This Row],[Age]]&gt;60,"60+",IF(HR_Employee_Attrition[[#This Row],[Age]]&gt;=50,"50-59",IF(HR_Employee_Attrition[[#This Row],[Age]]&gt;=40,"40-49",IF(HR_Employee_Attrition[[#This Row],[Age]]&gt;=30,"30-39",IF(HR_Employee_Attrition[[#This Row],[Age]]&gt;=20,"20-29",IF(HR_Employee_Attrition[[#This Row],[Age]]&gt;=18,"18-20"))))))</f>
        <v>30-39</v>
      </c>
      <c r="AK1160" t="str" cm="1">
        <f t="array" ref="AK1160">_xlfn.IFS(HR_Employee_Attrition[[#This Row],[YearsAtCompany]]&lt;=2,"0-2",HR_Employee_Attrition[[#This Row],[YearsAtCompany]]&lt;=5,"3-5",HR_Employee_Attrition[[#This Row],[YearsAtCompany]]&lt;=10,"6-10",HR_Employee_Attrition[[#This Row],[YearsAtCompany]]&gt;10,"10+")</f>
        <v>3-5</v>
      </c>
      <c r="AL1160" t="str" cm="1">
        <f t="array" ref="AL11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60">
        <f>IF(HR_Employee_Attrition[[#This Row],[Attrition]]="Yes",1,0)</f>
        <v>0</v>
      </c>
    </row>
    <row r="1161" spans="1:39" x14ac:dyDescent="0.3">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c r="AJ1161" t="str">
        <f>IF(HR_Employee_Attrition[[#This Row],[Age]]&gt;60,"60+",IF(HR_Employee_Attrition[[#This Row],[Age]]&gt;=50,"50-59",IF(HR_Employee_Attrition[[#This Row],[Age]]&gt;=40,"40-49",IF(HR_Employee_Attrition[[#This Row],[Age]]&gt;=30,"30-39",IF(HR_Employee_Attrition[[#This Row],[Age]]&gt;=20,"20-29",IF(HR_Employee_Attrition[[#This Row],[Age]]&gt;=18,"18-20"))))))</f>
        <v>30-39</v>
      </c>
      <c r="AK1161" t="str" cm="1">
        <f t="array" ref="AK1161">_xlfn.IFS(HR_Employee_Attrition[[#This Row],[YearsAtCompany]]&lt;=2,"0-2",HR_Employee_Attrition[[#This Row],[YearsAtCompany]]&lt;=5,"3-5",HR_Employee_Attrition[[#This Row],[YearsAtCompany]]&lt;=10,"6-10",HR_Employee_Attrition[[#This Row],[YearsAtCompany]]&gt;10,"10+")</f>
        <v>6-10</v>
      </c>
      <c r="AL1161" t="str" cm="1">
        <f t="array" ref="AL11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61">
        <f>IF(HR_Employee_Attrition[[#This Row],[Attrition]]="Yes",1,0)</f>
        <v>0</v>
      </c>
    </row>
    <row r="1162" spans="1:39" x14ac:dyDescent="0.3">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c r="AJ1162" t="str">
        <f>IF(HR_Employee_Attrition[[#This Row],[Age]]&gt;60,"60+",IF(HR_Employee_Attrition[[#This Row],[Age]]&gt;=50,"50-59",IF(HR_Employee_Attrition[[#This Row],[Age]]&gt;=40,"40-49",IF(HR_Employee_Attrition[[#This Row],[Age]]&gt;=30,"30-39",IF(HR_Employee_Attrition[[#This Row],[Age]]&gt;=20,"20-29",IF(HR_Employee_Attrition[[#This Row],[Age]]&gt;=18,"18-20"))))))</f>
        <v>40-49</v>
      </c>
      <c r="AK1162" t="str" cm="1">
        <f t="array" ref="AK1162">_xlfn.IFS(HR_Employee_Attrition[[#This Row],[YearsAtCompany]]&lt;=2,"0-2",HR_Employee_Attrition[[#This Row],[YearsAtCompany]]&lt;=5,"3-5",HR_Employee_Attrition[[#This Row],[YearsAtCompany]]&lt;=10,"6-10",HR_Employee_Attrition[[#This Row],[YearsAtCompany]]&gt;10,"10+")</f>
        <v>6-10</v>
      </c>
      <c r="AL1162" t="str" cm="1">
        <f t="array" ref="AL11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62">
        <f>IF(HR_Employee_Attrition[[#This Row],[Attrition]]="Yes",1,0)</f>
        <v>0</v>
      </c>
    </row>
    <row r="1163" spans="1:39" x14ac:dyDescent="0.3">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c r="AJ1163" t="str">
        <f>IF(HR_Employee_Attrition[[#This Row],[Age]]&gt;60,"60+",IF(HR_Employee_Attrition[[#This Row],[Age]]&gt;=50,"50-59",IF(HR_Employee_Attrition[[#This Row],[Age]]&gt;=40,"40-49",IF(HR_Employee_Attrition[[#This Row],[Age]]&gt;=30,"30-39",IF(HR_Employee_Attrition[[#This Row],[Age]]&gt;=20,"20-29",IF(HR_Employee_Attrition[[#This Row],[Age]]&gt;=18,"18-20"))))))</f>
        <v>30-39</v>
      </c>
      <c r="AK1163" t="str" cm="1">
        <f t="array" ref="AK1163">_xlfn.IFS(HR_Employee_Attrition[[#This Row],[YearsAtCompany]]&lt;=2,"0-2",HR_Employee_Attrition[[#This Row],[YearsAtCompany]]&lt;=5,"3-5",HR_Employee_Attrition[[#This Row],[YearsAtCompany]]&lt;=10,"6-10",HR_Employee_Attrition[[#This Row],[YearsAtCompany]]&gt;10,"10+")</f>
        <v>3-5</v>
      </c>
      <c r="AL1163" t="str" cm="1">
        <f t="array" ref="AL11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63">
        <f>IF(HR_Employee_Attrition[[#This Row],[Attrition]]="Yes",1,0)</f>
        <v>0</v>
      </c>
    </row>
    <row r="1164" spans="1:39" x14ac:dyDescent="0.3">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c r="AJ1164" t="str">
        <f>IF(HR_Employee_Attrition[[#This Row],[Age]]&gt;60,"60+",IF(HR_Employee_Attrition[[#This Row],[Age]]&gt;=50,"50-59",IF(HR_Employee_Attrition[[#This Row],[Age]]&gt;=40,"40-49",IF(HR_Employee_Attrition[[#This Row],[Age]]&gt;=30,"30-39",IF(HR_Employee_Attrition[[#This Row],[Age]]&gt;=20,"20-29",IF(HR_Employee_Attrition[[#This Row],[Age]]&gt;=18,"18-20"))))))</f>
        <v>30-39</v>
      </c>
      <c r="AK1164" t="str" cm="1">
        <f t="array" ref="AK1164">_xlfn.IFS(HR_Employee_Attrition[[#This Row],[YearsAtCompany]]&lt;=2,"0-2",HR_Employee_Attrition[[#This Row],[YearsAtCompany]]&lt;=5,"3-5",HR_Employee_Attrition[[#This Row],[YearsAtCompany]]&lt;=10,"6-10",HR_Employee_Attrition[[#This Row],[YearsAtCompany]]&gt;10,"10+")</f>
        <v>10+</v>
      </c>
      <c r="AL1164" t="str" cm="1">
        <f t="array" ref="AL11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164">
        <f>IF(HR_Employee_Attrition[[#This Row],[Attrition]]="Yes",1,0)</f>
        <v>1</v>
      </c>
    </row>
    <row r="1165" spans="1:39" x14ac:dyDescent="0.3">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c r="AJ1165" t="str">
        <f>IF(HR_Employee_Attrition[[#This Row],[Age]]&gt;60,"60+",IF(HR_Employee_Attrition[[#This Row],[Age]]&gt;=50,"50-59",IF(HR_Employee_Attrition[[#This Row],[Age]]&gt;=40,"40-49",IF(HR_Employee_Attrition[[#This Row],[Age]]&gt;=30,"30-39",IF(HR_Employee_Attrition[[#This Row],[Age]]&gt;=20,"20-29",IF(HR_Employee_Attrition[[#This Row],[Age]]&gt;=18,"18-20"))))))</f>
        <v>30-39</v>
      </c>
      <c r="AK1165" t="str" cm="1">
        <f t="array" ref="AK1165">_xlfn.IFS(HR_Employee_Attrition[[#This Row],[YearsAtCompany]]&lt;=2,"0-2",HR_Employee_Attrition[[#This Row],[YearsAtCompany]]&lt;=5,"3-5",HR_Employee_Attrition[[#This Row],[YearsAtCompany]]&lt;=10,"6-10",HR_Employee_Attrition[[#This Row],[YearsAtCompany]]&gt;10,"10+")</f>
        <v>6-10</v>
      </c>
      <c r="AL1165" t="str" cm="1">
        <f t="array" ref="AL11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65">
        <f>IF(HR_Employee_Attrition[[#This Row],[Attrition]]="Yes",1,0)</f>
        <v>0</v>
      </c>
    </row>
    <row r="1166" spans="1:39" x14ac:dyDescent="0.3">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c r="AJ1166" t="str">
        <f>IF(HR_Employee_Attrition[[#This Row],[Age]]&gt;60,"60+",IF(HR_Employee_Attrition[[#This Row],[Age]]&gt;=50,"50-59",IF(HR_Employee_Attrition[[#This Row],[Age]]&gt;=40,"40-49",IF(HR_Employee_Attrition[[#This Row],[Age]]&gt;=30,"30-39",IF(HR_Employee_Attrition[[#This Row],[Age]]&gt;=20,"20-29",IF(HR_Employee_Attrition[[#This Row],[Age]]&gt;=18,"18-20"))))))</f>
        <v>40-49</v>
      </c>
      <c r="AK1166" t="str" cm="1">
        <f t="array" ref="AK1166">_xlfn.IFS(HR_Employee_Attrition[[#This Row],[YearsAtCompany]]&lt;=2,"0-2",HR_Employee_Attrition[[#This Row],[YearsAtCompany]]&lt;=5,"3-5",HR_Employee_Attrition[[#This Row],[YearsAtCompany]]&lt;=10,"6-10",HR_Employee_Attrition[[#This Row],[YearsAtCompany]]&gt;10,"10+")</f>
        <v>3-5</v>
      </c>
      <c r="AL1166" t="str" cm="1">
        <f t="array" ref="AL11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66">
        <f>IF(HR_Employee_Attrition[[#This Row],[Attrition]]="Yes",1,0)</f>
        <v>0</v>
      </c>
    </row>
    <row r="1167" spans="1:39" x14ac:dyDescent="0.3">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c r="AJ1167" t="str">
        <f>IF(HR_Employee_Attrition[[#This Row],[Age]]&gt;60,"60+",IF(HR_Employee_Attrition[[#This Row],[Age]]&gt;=50,"50-59",IF(HR_Employee_Attrition[[#This Row],[Age]]&gt;=40,"40-49",IF(HR_Employee_Attrition[[#This Row],[Age]]&gt;=30,"30-39",IF(HR_Employee_Attrition[[#This Row],[Age]]&gt;=20,"20-29",IF(HR_Employee_Attrition[[#This Row],[Age]]&gt;=18,"18-20"))))))</f>
        <v>40-49</v>
      </c>
      <c r="AK1167" t="str" cm="1">
        <f t="array" ref="AK1167">_xlfn.IFS(HR_Employee_Attrition[[#This Row],[YearsAtCompany]]&lt;=2,"0-2",HR_Employee_Attrition[[#This Row],[YearsAtCompany]]&lt;=5,"3-5",HR_Employee_Attrition[[#This Row],[YearsAtCompany]]&lt;=10,"6-10",HR_Employee_Attrition[[#This Row],[YearsAtCompany]]&gt;10,"10+")</f>
        <v>6-10</v>
      </c>
      <c r="AL1167" t="str" cm="1">
        <f t="array" ref="AL11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67">
        <f>IF(HR_Employee_Attrition[[#This Row],[Attrition]]="Yes",1,0)</f>
        <v>0</v>
      </c>
    </row>
    <row r="1168" spans="1:39" x14ac:dyDescent="0.3">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c r="AJ1168" t="str">
        <f>IF(HR_Employee_Attrition[[#This Row],[Age]]&gt;60,"60+",IF(HR_Employee_Attrition[[#This Row],[Age]]&gt;=50,"50-59",IF(HR_Employee_Attrition[[#This Row],[Age]]&gt;=40,"40-49",IF(HR_Employee_Attrition[[#This Row],[Age]]&gt;=30,"30-39",IF(HR_Employee_Attrition[[#This Row],[Age]]&gt;=20,"20-29",IF(HR_Employee_Attrition[[#This Row],[Age]]&gt;=18,"18-20"))))))</f>
        <v>40-49</v>
      </c>
      <c r="AK1168" t="str" cm="1">
        <f t="array" ref="AK1168">_xlfn.IFS(HR_Employee_Attrition[[#This Row],[YearsAtCompany]]&lt;=2,"0-2",HR_Employee_Attrition[[#This Row],[YearsAtCompany]]&lt;=5,"3-5",HR_Employee_Attrition[[#This Row],[YearsAtCompany]]&lt;=10,"6-10",HR_Employee_Attrition[[#This Row],[YearsAtCompany]]&gt;10,"10+")</f>
        <v>0-2</v>
      </c>
      <c r="AL1168" t="str" cm="1">
        <f t="array" ref="AL11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68">
        <f>IF(HR_Employee_Attrition[[#This Row],[Attrition]]="Yes",1,0)</f>
        <v>0</v>
      </c>
    </row>
    <row r="1169" spans="1:39" x14ac:dyDescent="0.3">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c r="AJ1169" t="str">
        <f>IF(HR_Employee_Attrition[[#This Row],[Age]]&gt;60,"60+",IF(HR_Employee_Attrition[[#This Row],[Age]]&gt;=50,"50-59",IF(HR_Employee_Attrition[[#This Row],[Age]]&gt;=40,"40-49",IF(HR_Employee_Attrition[[#This Row],[Age]]&gt;=30,"30-39",IF(HR_Employee_Attrition[[#This Row],[Age]]&gt;=20,"20-29",IF(HR_Employee_Attrition[[#This Row],[Age]]&gt;=18,"18-20"))))))</f>
        <v>30-39</v>
      </c>
      <c r="AK1169" t="str" cm="1">
        <f t="array" ref="AK1169">_xlfn.IFS(HR_Employee_Attrition[[#This Row],[YearsAtCompany]]&lt;=2,"0-2",HR_Employee_Attrition[[#This Row],[YearsAtCompany]]&lt;=5,"3-5",HR_Employee_Attrition[[#This Row],[YearsAtCompany]]&lt;=10,"6-10",HR_Employee_Attrition[[#This Row],[YearsAtCompany]]&gt;10,"10+")</f>
        <v>0-2</v>
      </c>
      <c r="AL1169" t="str" cm="1">
        <f t="array" ref="AL11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69">
        <f>IF(HR_Employee_Attrition[[#This Row],[Attrition]]="Yes",1,0)</f>
        <v>1</v>
      </c>
    </row>
    <row r="1170" spans="1:39" x14ac:dyDescent="0.3">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c r="AJ1170" t="str">
        <f>IF(HR_Employee_Attrition[[#This Row],[Age]]&gt;60,"60+",IF(HR_Employee_Attrition[[#This Row],[Age]]&gt;=50,"50-59",IF(HR_Employee_Attrition[[#This Row],[Age]]&gt;=40,"40-49",IF(HR_Employee_Attrition[[#This Row],[Age]]&gt;=30,"30-39",IF(HR_Employee_Attrition[[#This Row],[Age]]&gt;=20,"20-29",IF(HR_Employee_Attrition[[#This Row],[Age]]&gt;=18,"18-20"))))))</f>
        <v>20-29</v>
      </c>
      <c r="AK1170" t="str" cm="1">
        <f t="array" ref="AK1170">_xlfn.IFS(HR_Employee_Attrition[[#This Row],[YearsAtCompany]]&lt;=2,"0-2",HR_Employee_Attrition[[#This Row],[YearsAtCompany]]&lt;=5,"3-5",HR_Employee_Attrition[[#This Row],[YearsAtCompany]]&lt;=10,"6-10",HR_Employee_Attrition[[#This Row],[YearsAtCompany]]&gt;10,"10+")</f>
        <v>6-10</v>
      </c>
      <c r="AL1170" t="str" cm="1">
        <f t="array" ref="AL11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70">
        <f>IF(HR_Employee_Attrition[[#This Row],[Attrition]]="Yes",1,0)</f>
        <v>0</v>
      </c>
    </row>
    <row r="1171" spans="1:39" x14ac:dyDescent="0.3">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c r="AJ1171" t="str">
        <f>IF(HR_Employee_Attrition[[#This Row],[Age]]&gt;60,"60+",IF(HR_Employee_Attrition[[#This Row],[Age]]&gt;=50,"50-59",IF(HR_Employee_Attrition[[#This Row],[Age]]&gt;=40,"40-49",IF(HR_Employee_Attrition[[#This Row],[Age]]&gt;=30,"30-39",IF(HR_Employee_Attrition[[#This Row],[Age]]&gt;=20,"20-29",IF(HR_Employee_Attrition[[#This Row],[Age]]&gt;=18,"18-20"))))))</f>
        <v>20-29</v>
      </c>
      <c r="AK1171" t="str" cm="1">
        <f t="array" ref="AK1171">_xlfn.IFS(HR_Employee_Attrition[[#This Row],[YearsAtCompany]]&lt;=2,"0-2",HR_Employee_Attrition[[#This Row],[YearsAtCompany]]&lt;=5,"3-5",HR_Employee_Attrition[[#This Row],[YearsAtCompany]]&lt;=10,"6-10",HR_Employee_Attrition[[#This Row],[YearsAtCompany]]&gt;10,"10+")</f>
        <v>3-5</v>
      </c>
      <c r="AL1171" t="str" cm="1">
        <f t="array" ref="AL11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71">
        <f>IF(HR_Employee_Attrition[[#This Row],[Attrition]]="Yes",1,0)</f>
        <v>0</v>
      </c>
    </row>
    <row r="1172" spans="1:39" x14ac:dyDescent="0.3">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c r="AJ1172" t="str">
        <f>IF(HR_Employee_Attrition[[#This Row],[Age]]&gt;60,"60+",IF(HR_Employee_Attrition[[#This Row],[Age]]&gt;=50,"50-59",IF(HR_Employee_Attrition[[#This Row],[Age]]&gt;=40,"40-49",IF(HR_Employee_Attrition[[#This Row],[Age]]&gt;=30,"30-39",IF(HR_Employee_Attrition[[#This Row],[Age]]&gt;=20,"20-29",IF(HR_Employee_Attrition[[#This Row],[Age]]&gt;=18,"18-20"))))))</f>
        <v>20-29</v>
      </c>
      <c r="AK1172" t="str" cm="1">
        <f t="array" ref="AK1172">_xlfn.IFS(HR_Employee_Attrition[[#This Row],[YearsAtCompany]]&lt;=2,"0-2",HR_Employee_Attrition[[#This Row],[YearsAtCompany]]&lt;=5,"3-5",HR_Employee_Attrition[[#This Row],[YearsAtCompany]]&lt;=10,"6-10",HR_Employee_Attrition[[#This Row],[YearsAtCompany]]&gt;10,"10+")</f>
        <v>3-5</v>
      </c>
      <c r="AL1172" t="str" cm="1">
        <f t="array" ref="AL11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72">
        <f>IF(HR_Employee_Attrition[[#This Row],[Attrition]]="Yes",1,0)</f>
        <v>0</v>
      </c>
    </row>
    <row r="1173" spans="1:39" x14ac:dyDescent="0.3">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c r="AJ1173" t="str">
        <f>IF(HR_Employee_Attrition[[#This Row],[Age]]&gt;60,"60+",IF(HR_Employee_Attrition[[#This Row],[Age]]&gt;=50,"50-59",IF(HR_Employee_Attrition[[#This Row],[Age]]&gt;=40,"40-49",IF(HR_Employee_Attrition[[#This Row],[Age]]&gt;=30,"30-39",IF(HR_Employee_Attrition[[#This Row],[Age]]&gt;=20,"20-29",IF(HR_Employee_Attrition[[#This Row],[Age]]&gt;=18,"18-20"))))))</f>
        <v>40-49</v>
      </c>
      <c r="AK1173" t="str" cm="1">
        <f t="array" ref="AK1173">_xlfn.IFS(HR_Employee_Attrition[[#This Row],[YearsAtCompany]]&lt;=2,"0-2",HR_Employee_Attrition[[#This Row],[YearsAtCompany]]&lt;=5,"3-5",HR_Employee_Attrition[[#This Row],[YearsAtCompany]]&lt;=10,"6-10",HR_Employee_Attrition[[#This Row],[YearsAtCompany]]&gt;10,"10+")</f>
        <v>3-5</v>
      </c>
      <c r="AL1173" t="str" cm="1">
        <f t="array" ref="AL11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73">
        <f>IF(HR_Employee_Attrition[[#This Row],[Attrition]]="Yes",1,0)</f>
        <v>1</v>
      </c>
    </row>
    <row r="1174" spans="1:39" x14ac:dyDescent="0.3">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c r="AJ1174" t="str">
        <f>IF(HR_Employee_Attrition[[#This Row],[Age]]&gt;60,"60+",IF(HR_Employee_Attrition[[#This Row],[Age]]&gt;=50,"50-59",IF(HR_Employee_Attrition[[#This Row],[Age]]&gt;=40,"40-49",IF(HR_Employee_Attrition[[#This Row],[Age]]&gt;=30,"30-39",IF(HR_Employee_Attrition[[#This Row],[Age]]&gt;=20,"20-29",IF(HR_Employee_Attrition[[#This Row],[Age]]&gt;=18,"18-20"))))))</f>
        <v>20-29</v>
      </c>
      <c r="AK1174" t="str" cm="1">
        <f t="array" ref="AK1174">_xlfn.IFS(HR_Employee_Attrition[[#This Row],[YearsAtCompany]]&lt;=2,"0-2",HR_Employee_Attrition[[#This Row],[YearsAtCompany]]&lt;=5,"3-5",HR_Employee_Attrition[[#This Row],[YearsAtCompany]]&lt;=10,"6-10",HR_Employee_Attrition[[#This Row],[YearsAtCompany]]&gt;10,"10+")</f>
        <v>3-5</v>
      </c>
      <c r="AL1174" t="str" cm="1">
        <f t="array" ref="AL11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74">
        <f>IF(HR_Employee_Attrition[[#This Row],[Attrition]]="Yes",1,0)</f>
        <v>0</v>
      </c>
    </row>
    <row r="1175" spans="1:39" x14ac:dyDescent="0.3">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c r="AJ1175" t="str">
        <f>IF(HR_Employee_Attrition[[#This Row],[Age]]&gt;60,"60+",IF(HR_Employee_Attrition[[#This Row],[Age]]&gt;=50,"50-59",IF(HR_Employee_Attrition[[#This Row],[Age]]&gt;=40,"40-49",IF(HR_Employee_Attrition[[#This Row],[Age]]&gt;=30,"30-39",IF(HR_Employee_Attrition[[#This Row],[Age]]&gt;=20,"20-29",IF(HR_Employee_Attrition[[#This Row],[Age]]&gt;=18,"18-20"))))))</f>
        <v>30-39</v>
      </c>
      <c r="AK1175" t="str" cm="1">
        <f t="array" ref="AK1175">_xlfn.IFS(HR_Employee_Attrition[[#This Row],[YearsAtCompany]]&lt;=2,"0-2",HR_Employee_Attrition[[#This Row],[YearsAtCompany]]&lt;=5,"3-5",HR_Employee_Attrition[[#This Row],[YearsAtCompany]]&lt;=10,"6-10",HR_Employee_Attrition[[#This Row],[YearsAtCompany]]&gt;10,"10+")</f>
        <v>3-5</v>
      </c>
      <c r="AL1175" t="str" cm="1">
        <f t="array" ref="AL11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75">
        <f>IF(HR_Employee_Attrition[[#This Row],[Attrition]]="Yes",1,0)</f>
        <v>0</v>
      </c>
    </row>
    <row r="1176" spans="1:39" x14ac:dyDescent="0.3">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c r="AJ1176" t="str">
        <f>IF(HR_Employee_Attrition[[#This Row],[Age]]&gt;60,"60+",IF(HR_Employee_Attrition[[#This Row],[Age]]&gt;=50,"50-59",IF(HR_Employee_Attrition[[#This Row],[Age]]&gt;=40,"40-49",IF(HR_Employee_Attrition[[#This Row],[Age]]&gt;=30,"30-39",IF(HR_Employee_Attrition[[#This Row],[Age]]&gt;=20,"20-29",IF(HR_Employee_Attrition[[#This Row],[Age]]&gt;=18,"18-20"))))))</f>
        <v>20-29</v>
      </c>
      <c r="AK1176" t="str" cm="1">
        <f t="array" ref="AK1176">_xlfn.IFS(HR_Employee_Attrition[[#This Row],[YearsAtCompany]]&lt;=2,"0-2",HR_Employee_Attrition[[#This Row],[YearsAtCompany]]&lt;=5,"3-5",HR_Employee_Attrition[[#This Row],[YearsAtCompany]]&lt;=10,"6-10",HR_Employee_Attrition[[#This Row],[YearsAtCompany]]&gt;10,"10+")</f>
        <v>6-10</v>
      </c>
      <c r="AL1176" t="str" cm="1">
        <f t="array" ref="AL11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76">
        <f>IF(HR_Employee_Attrition[[#This Row],[Attrition]]="Yes",1,0)</f>
        <v>0</v>
      </c>
    </row>
    <row r="1177" spans="1:39" x14ac:dyDescent="0.3">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c r="AJ1177" t="str">
        <f>IF(HR_Employee_Attrition[[#This Row],[Age]]&gt;60,"60+",IF(HR_Employee_Attrition[[#This Row],[Age]]&gt;=50,"50-59",IF(HR_Employee_Attrition[[#This Row],[Age]]&gt;=40,"40-49",IF(HR_Employee_Attrition[[#This Row],[Age]]&gt;=30,"30-39",IF(HR_Employee_Attrition[[#This Row],[Age]]&gt;=20,"20-29",IF(HR_Employee_Attrition[[#This Row],[Age]]&gt;=18,"18-20"))))))</f>
        <v>30-39</v>
      </c>
      <c r="AK1177" t="str" cm="1">
        <f t="array" ref="AK1177">_xlfn.IFS(HR_Employee_Attrition[[#This Row],[YearsAtCompany]]&lt;=2,"0-2",HR_Employee_Attrition[[#This Row],[YearsAtCompany]]&lt;=5,"3-5",HR_Employee_Attrition[[#This Row],[YearsAtCompany]]&lt;=10,"6-10",HR_Employee_Attrition[[#This Row],[YearsAtCompany]]&gt;10,"10+")</f>
        <v>3-5</v>
      </c>
      <c r="AL1177" t="str" cm="1">
        <f t="array" ref="AL11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77">
        <f>IF(HR_Employee_Attrition[[#This Row],[Attrition]]="Yes",1,0)</f>
        <v>0</v>
      </c>
    </row>
    <row r="1178" spans="1:39" x14ac:dyDescent="0.3">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c r="AJ1178" t="str">
        <f>IF(HR_Employee_Attrition[[#This Row],[Age]]&gt;60,"60+",IF(HR_Employee_Attrition[[#This Row],[Age]]&gt;=50,"50-59",IF(HR_Employee_Attrition[[#This Row],[Age]]&gt;=40,"40-49",IF(HR_Employee_Attrition[[#This Row],[Age]]&gt;=30,"30-39",IF(HR_Employee_Attrition[[#This Row],[Age]]&gt;=20,"20-29",IF(HR_Employee_Attrition[[#This Row],[Age]]&gt;=18,"18-20"))))))</f>
        <v>40-49</v>
      </c>
      <c r="AK1178" t="str" cm="1">
        <f t="array" ref="AK1178">_xlfn.IFS(HR_Employee_Attrition[[#This Row],[YearsAtCompany]]&lt;=2,"0-2",HR_Employee_Attrition[[#This Row],[YearsAtCompany]]&lt;=5,"3-5",HR_Employee_Attrition[[#This Row],[YearsAtCompany]]&lt;=10,"6-10",HR_Employee_Attrition[[#This Row],[YearsAtCompany]]&gt;10,"10+")</f>
        <v>3-5</v>
      </c>
      <c r="AL1178" t="str" cm="1">
        <f t="array" ref="AL11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78">
        <f>IF(HR_Employee_Attrition[[#This Row],[Attrition]]="Yes",1,0)</f>
        <v>0</v>
      </c>
    </row>
    <row r="1179" spans="1:39" x14ac:dyDescent="0.3">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c r="AJ1179" t="str">
        <f>IF(HR_Employee_Attrition[[#This Row],[Age]]&gt;60,"60+",IF(HR_Employee_Attrition[[#This Row],[Age]]&gt;=50,"50-59",IF(HR_Employee_Attrition[[#This Row],[Age]]&gt;=40,"40-49",IF(HR_Employee_Attrition[[#This Row],[Age]]&gt;=30,"30-39",IF(HR_Employee_Attrition[[#This Row],[Age]]&gt;=20,"20-29",IF(HR_Employee_Attrition[[#This Row],[Age]]&gt;=18,"18-20"))))))</f>
        <v>50-59</v>
      </c>
      <c r="AK1179" t="str" cm="1">
        <f t="array" ref="AK1179">_xlfn.IFS(HR_Employee_Attrition[[#This Row],[YearsAtCompany]]&lt;=2,"0-2",HR_Employee_Attrition[[#This Row],[YearsAtCompany]]&lt;=5,"3-5",HR_Employee_Attrition[[#This Row],[YearsAtCompany]]&lt;=10,"6-10",HR_Employee_Attrition[[#This Row],[YearsAtCompany]]&gt;10,"10+")</f>
        <v>10+</v>
      </c>
      <c r="AL1179" t="str" cm="1">
        <f t="array" ref="AL11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179">
        <f>IF(HR_Employee_Attrition[[#This Row],[Attrition]]="Yes",1,0)</f>
        <v>0</v>
      </c>
    </row>
    <row r="1180" spans="1:39" x14ac:dyDescent="0.3">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c r="AJ1180" t="str">
        <f>IF(HR_Employee_Attrition[[#This Row],[Age]]&gt;60,"60+",IF(HR_Employee_Attrition[[#This Row],[Age]]&gt;=50,"50-59",IF(HR_Employee_Attrition[[#This Row],[Age]]&gt;=40,"40-49",IF(HR_Employee_Attrition[[#This Row],[Age]]&gt;=30,"30-39",IF(HR_Employee_Attrition[[#This Row],[Age]]&gt;=20,"20-29",IF(HR_Employee_Attrition[[#This Row],[Age]]&gt;=18,"18-20"))))))</f>
        <v>20-29</v>
      </c>
      <c r="AK1180" t="str" cm="1">
        <f t="array" ref="AK1180">_xlfn.IFS(HR_Employee_Attrition[[#This Row],[YearsAtCompany]]&lt;=2,"0-2",HR_Employee_Attrition[[#This Row],[YearsAtCompany]]&lt;=5,"3-5",HR_Employee_Attrition[[#This Row],[YearsAtCompany]]&lt;=10,"6-10",HR_Employee_Attrition[[#This Row],[YearsAtCompany]]&gt;10,"10+")</f>
        <v>0-2</v>
      </c>
      <c r="AL1180" t="str" cm="1">
        <f t="array" ref="AL11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80">
        <f>IF(HR_Employee_Attrition[[#This Row],[Attrition]]="Yes",1,0)</f>
        <v>0</v>
      </c>
    </row>
    <row r="1181" spans="1:39" x14ac:dyDescent="0.3">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c r="AJ1181" t="str">
        <f>IF(HR_Employee_Attrition[[#This Row],[Age]]&gt;60,"60+",IF(HR_Employee_Attrition[[#This Row],[Age]]&gt;=50,"50-59",IF(HR_Employee_Attrition[[#This Row],[Age]]&gt;=40,"40-49",IF(HR_Employee_Attrition[[#This Row],[Age]]&gt;=30,"30-39",IF(HR_Employee_Attrition[[#This Row],[Age]]&gt;=20,"20-29",IF(HR_Employee_Attrition[[#This Row],[Age]]&gt;=18,"18-20"))))))</f>
        <v>30-39</v>
      </c>
      <c r="AK1181" t="str" cm="1">
        <f t="array" ref="AK1181">_xlfn.IFS(HR_Employee_Attrition[[#This Row],[YearsAtCompany]]&lt;=2,"0-2",HR_Employee_Attrition[[#This Row],[YearsAtCompany]]&lt;=5,"3-5",HR_Employee_Attrition[[#This Row],[YearsAtCompany]]&lt;=10,"6-10",HR_Employee_Attrition[[#This Row],[YearsAtCompany]]&gt;10,"10+")</f>
        <v>10+</v>
      </c>
      <c r="AL1181" t="str" cm="1">
        <f t="array" ref="AL11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81">
        <f>IF(HR_Employee_Attrition[[#This Row],[Attrition]]="Yes",1,0)</f>
        <v>0</v>
      </c>
    </row>
    <row r="1182" spans="1:39" x14ac:dyDescent="0.3">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c r="AJ1182" t="str">
        <f>IF(HR_Employee_Attrition[[#This Row],[Age]]&gt;60,"60+",IF(HR_Employee_Attrition[[#This Row],[Age]]&gt;=50,"50-59",IF(HR_Employee_Attrition[[#This Row],[Age]]&gt;=40,"40-49",IF(HR_Employee_Attrition[[#This Row],[Age]]&gt;=30,"30-39",IF(HR_Employee_Attrition[[#This Row],[Age]]&gt;=20,"20-29",IF(HR_Employee_Attrition[[#This Row],[Age]]&gt;=18,"18-20"))))))</f>
        <v>30-39</v>
      </c>
      <c r="AK1182" t="str" cm="1">
        <f t="array" ref="AK1182">_xlfn.IFS(HR_Employee_Attrition[[#This Row],[YearsAtCompany]]&lt;=2,"0-2",HR_Employee_Attrition[[#This Row],[YearsAtCompany]]&lt;=5,"3-5",HR_Employee_Attrition[[#This Row],[YearsAtCompany]]&lt;=10,"6-10",HR_Employee_Attrition[[#This Row],[YearsAtCompany]]&gt;10,"10+")</f>
        <v>3-5</v>
      </c>
      <c r="AL1182" t="str" cm="1">
        <f t="array" ref="AL11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82">
        <f>IF(HR_Employee_Attrition[[#This Row],[Attrition]]="Yes",1,0)</f>
        <v>0</v>
      </c>
    </row>
    <row r="1183" spans="1:39" x14ac:dyDescent="0.3">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c r="AJ1183" t="str">
        <f>IF(HR_Employee_Attrition[[#This Row],[Age]]&gt;60,"60+",IF(HR_Employee_Attrition[[#This Row],[Age]]&gt;=50,"50-59",IF(HR_Employee_Attrition[[#This Row],[Age]]&gt;=40,"40-49",IF(HR_Employee_Attrition[[#This Row],[Age]]&gt;=30,"30-39",IF(HR_Employee_Attrition[[#This Row],[Age]]&gt;=20,"20-29",IF(HR_Employee_Attrition[[#This Row],[Age]]&gt;=18,"18-20"))))))</f>
        <v>40-49</v>
      </c>
      <c r="AK1183" t="str" cm="1">
        <f t="array" ref="AK1183">_xlfn.IFS(HR_Employee_Attrition[[#This Row],[YearsAtCompany]]&lt;=2,"0-2",HR_Employee_Attrition[[#This Row],[YearsAtCompany]]&lt;=5,"3-5",HR_Employee_Attrition[[#This Row],[YearsAtCompany]]&lt;=10,"6-10",HR_Employee_Attrition[[#This Row],[YearsAtCompany]]&gt;10,"10+")</f>
        <v>10+</v>
      </c>
      <c r="AL1183" t="str" cm="1">
        <f t="array" ref="AL11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183">
        <f>IF(HR_Employee_Attrition[[#This Row],[Attrition]]="Yes",1,0)</f>
        <v>0</v>
      </c>
    </row>
    <row r="1184" spans="1:39" x14ac:dyDescent="0.3">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c r="AJ1184" t="str">
        <f>IF(HR_Employee_Attrition[[#This Row],[Age]]&gt;60,"60+",IF(HR_Employee_Attrition[[#This Row],[Age]]&gt;=50,"50-59",IF(HR_Employee_Attrition[[#This Row],[Age]]&gt;=40,"40-49",IF(HR_Employee_Attrition[[#This Row],[Age]]&gt;=30,"30-39",IF(HR_Employee_Attrition[[#This Row],[Age]]&gt;=20,"20-29",IF(HR_Employee_Attrition[[#This Row],[Age]]&gt;=18,"18-20"))))))</f>
        <v>30-39</v>
      </c>
      <c r="AK1184" t="str" cm="1">
        <f t="array" ref="AK1184">_xlfn.IFS(HR_Employee_Attrition[[#This Row],[YearsAtCompany]]&lt;=2,"0-2",HR_Employee_Attrition[[#This Row],[YearsAtCompany]]&lt;=5,"3-5",HR_Employee_Attrition[[#This Row],[YearsAtCompany]]&lt;=10,"6-10",HR_Employee_Attrition[[#This Row],[YearsAtCompany]]&gt;10,"10+")</f>
        <v>3-5</v>
      </c>
      <c r="AL1184" t="str" cm="1">
        <f t="array" ref="AL11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84">
        <f>IF(HR_Employee_Attrition[[#This Row],[Attrition]]="Yes",1,0)</f>
        <v>0</v>
      </c>
    </row>
    <row r="1185" spans="1:39" x14ac:dyDescent="0.3">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c r="AJ1185" t="str">
        <f>IF(HR_Employee_Attrition[[#This Row],[Age]]&gt;60,"60+",IF(HR_Employee_Attrition[[#This Row],[Age]]&gt;=50,"50-59",IF(HR_Employee_Attrition[[#This Row],[Age]]&gt;=40,"40-49",IF(HR_Employee_Attrition[[#This Row],[Age]]&gt;=30,"30-39",IF(HR_Employee_Attrition[[#This Row],[Age]]&gt;=20,"20-29",IF(HR_Employee_Attrition[[#This Row],[Age]]&gt;=18,"18-20"))))))</f>
        <v>30-39</v>
      </c>
      <c r="AK1185" t="str" cm="1">
        <f t="array" ref="AK1185">_xlfn.IFS(HR_Employee_Attrition[[#This Row],[YearsAtCompany]]&lt;=2,"0-2",HR_Employee_Attrition[[#This Row],[YearsAtCompany]]&lt;=5,"3-5",HR_Employee_Attrition[[#This Row],[YearsAtCompany]]&lt;=10,"6-10",HR_Employee_Attrition[[#This Row],[YearsAtCompany]]&gt;10,"10+")</f>
        <v>3-5</v>
      </c>
      <c r="AL1185" t="str" cm="1">
        <f t="array" ref="AL11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85">
        <f>IF(HR_Employee_Attrition[[#This Row],[Attrition]]="Yes",1,0)</f>
        <v>0</v>
      </c>
    </row>
    <row r="1186" spans="1:39" x14ac:dyDescent="0.3">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c r="AJ1186" t="str">
        <f>IF(HR_Employee_Attrition[[#This Row],[Age]]&gt;60,"60+",IF(HR_Employee_Attrition[[#This Row],[Age]]&gt;=50,"50-59",IF(HR_Employee_Attrition[[#This Row],[Age]]&gt;=40,"40-49",IF(HR_Employee_Attrition[[#This Row],[Age]]&gt;=30,"30-39",IF(HR_Employee_Attrition[[#This Row],[Age]]&gt;=20,"20-29",IF(HR_Employee_Attrition[[#This Row],[Age]]&gt;=18,"18-20"))))))</f>
        <v>50-59</v>
      </c>
      <c r="AK1186" t="str" cm="1">
        <f t="array" ref="AK1186">_xlfn.IFS(HR_Employee_Attrition[[#This Row],[YearsAtCompany]]&lt;=2,"0-2",HR_Employee_Attrition[[#This Row],[YearsAtCompany]]&lt;=5,"3-5",HR_Employee_Attrition[[#This Row],[YearsAtCompany]]&lt;=10,"6-10",HR_Employee_Attrition[[#This Row],[YearsAtCompany]]&gt;10,"10+")</f>
        <v>6-10</v>
      </c>
      <c r="AL1186" t="str" cm="1">
        <f t="array" ref="AL11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86">
        <f>IF(HR_Employee_Attrition[[#This Row],[Attrition]]="Yes",1,0)</f>
        <v>0</v>
      </c>
    </row>
    <row r="1187" spans="1:39" x14ac:dyDescent="0.3">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c r="AJ1187" t="str">
        <f>IF(HR_Employee_Attrition[[#This Row],[Age]]&gt;60,"60+",IF(HR_Employee_Attrition[[#This Row],[Age]]&gt;=50,"50-59",IF(HR_Employee_Attrition[[#This Row],[Age]]&gt;=40,"40-49",IF(HR_Employee_Attrition[[#This Row],[Age]]&gt;=30,"30-39",IF(HR_Employee_Attrition[[#This Row],[Age]]&gt;=20,"20-29",IF(HR_Employee_Attrition[[#This Row],[Age]]&gt;=18,"18-20"))))))</f>
        <v>40-49</v>
      </c>
      <c r="AK1187" t="str" cm="1">
        <f t="array" ref="AK1187">_xlfn.IFS(HR_Employee_Attrition[[#This Row],[YearsAtCompany]]&lt;=2,"0-2",HR_Employee_Attrition[[#This Row],[YearsAtCompany]]&lt;=5,"3-5",HR_Employee_Attrition[[#This Row],[YearsAtCompany]]&lt;=10,"6-10",HR_Employee_Attrition[[#This Row],[YearsAtCompany]]&gt;10,"10+")</f>
        <v>10+</v>
      </c>
      <c r="AL1187" t="str" cm="1">
        <f t="array" ref="AL11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87">
        <f>IF(HR_Employee_Attrition[[#This Row],[Attrition]]="Yes",1,0)</f>
        <v>0</v>
      </c>
    </row>
    <row r="1188" spans="1:39" x14ac:dyDescent="0.3">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c r="AJ1188" t="str">
        <f>IF(HR_Employee_Attrition[[#This Row],[Age]]&gt;60,"60+",IF(HR_Employee_Attrition[[#This Row],[Age]]&gt;=50,"50-59",IF(HR_Employee_Attrition[[#This Row],[Age]]&gt;=40,"40-49",IF(HR_Employee_Attrition[[#This Row],[Age]]&gt;=30,"30-39",IF(HR_Employee_Attrition[[#This Row],[Age]]&gt;=20,"20-29",IF(HR_Employee_Attrition[[#This Row],[Age]]&gt;=18,"18-20"))))))</f>
        <v>30-39</v>
      </c>
      <c r="AK1188" t="str" cm="1">
        <f t="array" ref="AK1188">_xlfn.IFS(HR_Employee_Attrition[[#This Row],[YearsAtCompany]]&lt;=2,"0-2",HR_Employee_Attrition[[#This Row],[YearsAtCompany]]&lt;=5,"3-5",HR_Employee_Attrition[[#This Row],[YearsAtCompany]]&lt;=10,"6-10",HR_Employee_Attrition[[#This Row],[YearsAtCompany]]&gt;10,"10+")</f>
        <v>10+</v>
      </c>
      <c r="AL1188" t="str" cm="1">
        <f t="array" ref="AL11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88">
        <f>IF(HR_Employee_Attrition[[#This Row],[Attrition]]="Yes",1,0)</f>
        <v>1</v>
      </c>
    </row>
    <row r="1189" spans="1:39" x14ac:dyDescent="0.3">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c r="AJ1189" t="str">
        <f>IF(HR_Employee_Attrition[[#This Row],[Age]]&gt;60,"60+",IF(HR_Employee_Attrition[[#This Row],[Age]]&gt;=50,"50-59",IF(HR_Employee_Attrition[[#This Row],[Age]]&gt;=40,"40-49",IF(HR_Employee_Attrition[[#This Row],[Age]]&gt;=30,"30-39",IF(HR_Employee_Attrition[[#This Row],[Age]]&gt;=20,"20-29",IF(HR_Employee_Attrition[[#This Row],[Age]]&gt;=18,"18-20"))))))</f>
        <v>30-39</v>
      </c>
      <c r="AK1189" t="str" cm="1">
        <f t="array" ref="AK1189">_xlfn.IFS(HR_Employee_Attrition[[#This Row],[YearsAtCompany]]&lt;=2,"0-2",HR_Employee_Attrition[[#This Row],[YearsAtCompany]]&lt;=5,"3-5",HR_Employee_Attrition[[#This Row],[YearsAtCompany]]&lt;=10,"6-10",HR_Employee_Attrition[[#This Row],[YearsAtCompany]]&gt;10,"10+")</f>
        <v>10+</v>
      </c>
      <c r="AL1189" t="str" cm="1">
        <f t="array" ref="AL11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89">
        <f>IF(HR_Employee_Attrition[[#This Row],[Attrition]]="Yes",1,0)</f>
        <v>0</v>
      </c>
    </row>
    <row r="1190" spans="1:39" x14ac:dyDescent="0.3">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c r="AJ1190" t="str">
        <f>IF(HR_Employee_Attrition[[#This Row],[Age]]&gt;60,"60+",IF(HR_Employee_Attrition[[#This Row],[Age]]&gt;=50,"50-59",IF(HR_Employee_Attrition[[#This Row],[Age]]&gt;=40,"40-49",IF(HR_Employee_Attrition[[#This Row],[Age]]&gt;=30,"30-39",IF(HR_Employee_Attrition[[#This Row],[Age]]&gt;=20,"20-29",IF(HR_Employee_Attrition[[#This Row],[Age]]&gt;=18,"18-20"))))))</f>
        <v>20-29</v>
      </c>
      <c r="AK1190" t="str" cm="1">
        <f t="array" ref="AK1190">_xlfn.IFS(HR_Employee_Attrition[[#This Row],[YearsAtCompany]]&lt;=2,"0-2",HR_Employee_Attrition[[#This Row],[YearsAtCompany]]&lt;=5,"3-5",HR_Employee_Attrition[[#This Row],[YearsAtCompany]]&lt;=10,"6-10",HR_Employee_Attrition[[#This Row],[YearsAtCompany]]&gt;10,"10+")</f>
        <v>6-10</v>
      </c>
      <c r="AL1190" t="str" cm="1">
        <f t="array" ref="AL11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90">
        <f>IF(HR_Employee_Attrition[[#This Row],[Attrition]]="Yes",1,0)</f>
        <v>0</v>
      </c>
    </row>
    <row r="1191" spans="1:39" x14ac:dyDescent="0.3">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c r="AJ1191" t="str">
        <f>IF(HR_Employee_Attrition[[#This Row],[Age]]&gt;60,"60+",IF(HR_Employee_Attrition[[#This Row],[Age]]&gt;=50,"50-59",IF(HR_Employee_Attrition[[#This Row],[Age]]&gt;=40,"40-49",IF(HR_Employee_Attrition[[#This Row],[Age]]&gt;=30,"30-39",IF(HR_Employee_Attrition[[#This Row],[Age]]&gt;=20,"20-29",IF(HR_Employee_Attrition[[#This Row],[Age]]&gt;=18,"18-20"))))))</f>
        <v>30-39</v>
      </c>
      <c r="AK1191" t="str" cm="1">
        <f t="array" ref="AK1191">_xlfn.IFS(HR_Employee_Attrition[[#This Row],[YearsAtCompany]]&lt;=2,"0-2",HR_Employee_Attrition[[#This Row],[YearsAtCompany]]&lt;=5,"3-5",HR_Employee_Attrition[[#This Row],[YearsAtCompany]]&lt;=10,"6-10",HR_Employee_Attrition[[#This Row],[YearsAtCompany]]&gt;10,"10+")</f>
        <v>6-10</v>
      </c>
      <c r="AL1191" t="str" cm="1">
        <f t="array" ref="AL11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91">
        <f>IF(HR_Employee_Attrition[[#This Row],[Attrition]]="Yes",1,0)</f>
        <v>0</v>
      </c>
    </row>
    <row r="1192" spans="1:39" x14ac:dyDescent="0.3">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c r="AJ1192" t="str">
        <f>IF(HR_Employee_Attrition[[#This Row],[Age]]&gt;60,"60+",IF(HR_Employee_Attrition[[#This Row],[Age]]&gt;=50,"50-59",IF(HR_Employee_Attrition[[#This Row],[Age]]&gt;=40,"40-49",IF(HR_Employee_Attrition[[#This Row],[Age]]&gt;=30,"30-39",IF(HR_Employee_Attrition[[#This Row],[Age]]&gt;=20,"20-29",IF(HR_Employee_Attrition[[#This Row],[Age]]&gt;=18,"18-20"))))))</f>
        <v>30-39</v>
      </c>
      <c r="AK1192" t="str" cm="1">
        <f t="array" ref="AK1192">_xlfn.IFS(HR_Employee_Attrition[[#This Row],[YearsAtCompany]]&lt;=2,"0-2",HR_Employee_Attrition[[#This Row],[YearsAtCompany]]&lt;=5,"3-5",HR_Employee_Attrition[[#This Row],[YearsAtCompany]]&lt;=10,"6-10",HR_Employee_Attrition[[#This Row],[YearsAtCompany]]&gt;10,"10+")</f>
        <v>6-10</v>
      </c>
      <c r="AL1192" t="str" cm="1">
        <f t="array" ref="AL11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92">
        <f>IF(HR_Employee_Attrition[[#This Row],[Attrition]]="Yes",1,0)</f>
        <v>0</v>
      </c>
    </row>
    <row r="1193" spans="1:39" x14ac:dyDescent="0.3">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c r="AJ1193" t="str">
        <f>IF(HR_Employee_Attrition[[#This Row],[Age]]&gt;60,"60+",IF(HR_Employee_Attrition[[#This Row],[Age]]&gt;=50,"50-59",IF(HR_Employee_Attrition[[#This Row],[Age]]&gt;=40,"40-49",IF(HR_Employee_Attrition[[#This Row],[Age]]&gt;=30,"30-39",IF(HR_Employee_Attrition[[#This Row],[Age]]&gt;=20,"20-29",IF(HR_Employee_Attrition[[#This Row],[Age]]&gt;=18,"18-20"))))))</f>
        <v>30-39</v>
      </c>
      <c r="AK1193" t="str" cm="1">
        <f t="array" ref="AK1193">_xlfn.IFS(HR_Employee_Attrition[[#This Row],[YearsAtCompany]]&lt;=2,"0-2",HR_Employee_Attrition[[#This Row],[YearsAtCompany]]&lt;=5,"3-5",HR_Employee_Attrition[[#This Row],[YearsAtCompany]]&lt;=10,"6-10",HR_Employee_Attrition[[#This Row],[YearsAtCompany]]&gt;10,"10+")</f>
        <v>6-10</v>
      </c>
      <c r="AL1193" t="str" cm="1">
        <f t="array" ref="AL11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93">
        <f>IF(HR_Employee_Attrition[[#This Row],[Attrition]]="Yes",1,0)</f>
        <v>0</v>
      </c>
    </row>
    <row r="1194" spans="1:39" x14ac:dyDescent="0.3">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c r="AJ1194" t="str">
        <f>IF(HR_Employee_Attrition[[#This Row],[Age]]&gt;60,"60+",IF(HR_Employee_Attrition[[#This Row],[Age]]&gt;=50,"50-59",IF(HR_Employee_Attrition[[#This Row],[Age]]&gt;=40,"40-49",IF(HR_Employee_Attrition[[#This Row],[Age]]&gt;=30,"30-39",IF(HR_Employee_Attrition[[#This Row],[Age]]&gt;=20,"20-29",IF(HR_Employee_Attrition[[#This Row],[Age]]&gt;=18,"18-20"))))))</f>
        <v>40-49</v>
      </c>
      <c r="AK1194" t="str" cm="1">
        <f t="array" ref="AK1194">_xlfn.IFS(HR_Employee_Attrition[[#This Row],[YearsAtCompany]]&lt;=2,"0-2",HR_Employee_Attrition[[#This Row],[YearsAtCompany]]&lt;=5,"3-5",HR_Employee_Attrition[[#This Row],[YearsAtCompany]]&lt;=10,"6-10",HR_Employee_Attrition[[#This Row],[YearsAtCompany]]&gt;10,"10+")</f>
        <v>0-2</v>
      </c>
      <c r="AL1194" t="str" cm="1">
        <f t="array" ref="AL11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94">
        <f>IF(HR_Employee_Attrition[[#This Row],[Attrition]]="Yes",1,0)</f>
        <v>0</v>
      </c>
    </row>
    <row r="1195" spans="1:39" x14ac:dyDescent="0.3">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c r="AJ1195" t="str">
        <f>IF(HR_Employee_Attrition[[#This Row],[Age]]&gt;60,"60+",IF(HR_Employee_Attrition[[#This Row],[Age]]&gt;=50,"50-59",IF(HR_Employee_Attrition[[#This Row],[Age]]&gt;=40,"40-49",IF(HR_Employee_Attrition[[#This Row],[Age]]&gt;=30,"30-39",IF(HR_Employee_Attrition[[#This Row],[Age]]&gt;=20,"20-29",IF(HR_Employee_Attrition[[#This Row],[Age]]&gt;=18,"18-20"))))))</f>
        <v>30-39</v>
      </c>
      <c r="AK1195" t="str" cm="1">
        <f t="array" ref="AK1195">_xlfn.IFS(HR_Employee_Attrition[[#This Row],[YearsAtCompany]]&lt;=2,"0-2",HR_Employee_Attrition[[#This Row],[YearsAtCompany]]&lt;=5,"3-5",HR_Employee_Attrition[[#This Row],[YearsAtCompany]]&lt;=10,"6-10",HR_Employee_Attrition[[#This Row],[YearsAtCompany]]&gt;10,"10+")</f>
        <v>3-5</v>
      </c>
      <c r="AL1195" t="str" cm="1">
        <f t="array" ref="AL11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95">
        <f>IF(HR_Employee_Attrition[[#This Row],[Attrition]]="Yes",1,0)</f>
        <v>0</v>
      </c>
    </row>
    <row r="1196" spans="1:39" x14ac:dyDescent="0.3">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c r="AJ1196" t="str">
        <f>IF(HR_Employee_Attrition[[#This Row],[Age]]&gt;60,"60+",IF(HR_Employee_Attrition[[#This Row],[Age]]&gt;=50,"50-59",IF(HR_Employee_Attrition[[#This Row],[Age]]&gt;=40,"40-49",IF(HR_Employee_Attrition[[#This Row],[Age]]&gt;=30,"30-39",IF(HR_Employee_Attrition[[#This Row],[Age]]&gt;=20,"20-29",IF(HR_Employee_Attrition[[#This Row],[Age]]&gt;=18,"18-20"))))))</f>
        <v>40-49</v>
      </c>
      <c r="AK1196" t="str" cm="1">
        <f t="array" ref="AK1196">_xlfn.IFS(HR_Employee_Attrition[[#This Row],[YearsAtCompany]]&lt;=2,"0-2",HR_Employee_Attrition[[#This Row],[YearsAtCompany]]&lt;=5,"3-5",HR_Employee_Attrition[[#This Row],[YearsAtCompany]]&lt;=10,"6-10",HR_Employee_Attrition[[#This Row],[YearsAtCompany]]&gt;10,"10+")</f>
        <v>3-5</v>
      </c>
      <c r="AL1196" t="str" cm="1">
        <f t="array" ref="AL11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96">
        <f>IF(HR_Employee_Attrition[[#This Row],[Attrition]]="Yes",1,0)</f>
        <v>0</v>
      </c>
    </row>
    <row r="1197" spans="1:39" x14ac:dyDescent="0.3">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c r="AJ1197" t="str">
        <f>IF(HR_Employee_Attrition[[#This Row],[Age]]&gt;60,"60+",IF(HR_Employee_Attrition[[#This Row],[Age]]&gt;=50,"50-59",IF(HR_Employee_Attrition[[#This Row],[Age]]&gt;=40,"40-49",IF(HR_Employee_Attrition[[#This Row],[Age]]&gt;=30,"30-39",IF(HR_Employee_Attrition[[#This Row],[Age]]&gt;=20,"20-29",IF(HR_Employee_Attrition[[#This Row],[Age]]&gt;=18,"18-20"))))))</f>
        <v>40-49</v>
      </c>
      <c r="AK1197" t="str" cm="1">
        <f t="array" ref="AK1197">_xlfn.IFS(HR_Employee_Attrition[[#This Row],[YearsAtCompany]]&lt;=2,"0-2",HR_Employee_Attrition[[#This Row],[YearsAtCompany]]&lt;=5,"3-5",HR_Employee_Attrition[[#This Row],[YearsAtCompany]]&lt;=10,"6-10",HR_Employee_Attrition[[#This Row],[YearsAtCompany]]&gt;10,"10+")</f>
        <v>6-10</v>
      </c>
      <c r="AL1197" t="str" cm="1">
        <f t="array" ref="AL11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97">
        <f>IF(HR_Employee_Attrition[[#This Row],[Attrition]]="Yes",1,0)</f>
        <v>0</v>
      </c>
    </row>
    <row r="1198" spans="1:39" x14ac:dyDescent="0.3">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c r="AJ1198" t="str">
        <f>IF(HR_Employee_Attrition[[#This Row],[Age]]&gt;60,"60+",IF(HR_Employee_Attrition[[#This Row],[Age]]&gt;=50,"50-59",IF(HR_Employee_Attrition[[#This Row],[Age]]&gt;=40,"40-49",IF(HR_Employee_Attrition[[#This Row],[Age]]&gt;=30,"30-39",IF(HR_Employee_Attrition[[#This Row],[Age]]&gt;=20,"20-29",IF(HR_Employee_Attrition[[#This Row],[Age]]&gt;=18,"18-20"))))))</f>
        <v>40-49</v>
      </c>
      <c r="AK1198" t="str" cm="1">
        <f t="array" ref="AK1198">_xlfn.IFS(HR_Employee_Attrition[[#This Row],[YearsAtCompany]]&lt;=2,"0-2",HR_Employee_Attrition[[#This Row],[YearsAtCompany]]&lt;=5,"3-5",HR_Employee_Attrition[[#This Row],[YearsAtCompany]]&lt;=10,"6-10",HR_Employee_Attrition[[#This Row],[YearsAtCompany]]&gt;10,"10+")</f>
        <v>0-2</v>
      </c>
      <c r="AL1198" t="str" cm="1">
        <f t="array" ref="AL11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98">
        <f>IF(HR_Employee_Attrition[[#This Row],[Attrition]]="Yes",1,0)</f>
        <v>0</v>
      </c>
    </row>
    <row r="1199" spans="1:39" x14ac:dyDescent="0.3">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c r="AJ1199" t="str">
        <f>IF(HR_Employee_Attrition[[#This Row],[Age]]&gt;60,"60+",IF(HR_Employee_Attrition[[#This Row],[Age]]&gt;=50,"50-59",IF(HR_Employee_Attrition[[#This Row],[Age]]&gt;=40,"40-49",IF(HR_Employee_Attrition[[#This Row],[Age]]&gt;=30,"30-39",IF(HR_Employee_Attrition[[#This Row],[Age]]&gt;=20,"20-29",IF(HR_Employee_Attrition[[#This Row],[Age]]&gt;=18,"18-20"))))))</f>
        <v>20-29</v>
      </c>
      <c r="AK1199" t="str" cm="1">
        <f t="array" ref="AK1199">_xlfn.IFS(HR_Employee_Attrition[[#This Row],[YearsAtCompany]]&lt;=2,"0-2",HR_Employee_Attrition[[#This Row],[YearsAtCompany]]&lt;=5,"3-5",HR_Employee_Attrition[[#This Row],[YearsAtCompany]]&lt;=10,"6-10",HR_Employee_Attrition[[#This Row],[YearsAtCompany]]&gt;10,"10+")</f>
        <v>0-2</v>
      </c>
      <c r="AL1199" t="str" cm="1">
        <f t="array" ref="AL11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99">
        <f>IF(HR_Employee_Attrition[[#This Row],[Attrition]]="Yes",1,0)</f>
        <v>0</v>
      </c>
    </row>
    <row r="1200" spans="1:39" x14ac:dyDescent="0.3">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c r="AJ1200" t="str">
        <f>IF(HR_Employee_Attrition[[#This Row],[Age]]&gt;60,"60+",IF(HR_Employee_Attrition[[#This Row],[Age]]&gt;=50,"50-59",IF(HR_Employee_Attrition[[#This Row],[Age]]&gt;=40,"40-49",IF(HR_Employee_Attrition[[#This Row],[Age]]&gt;=30,"30-39",IF(HR_Employee_Attrition[[#This Row],[Age]]&gt;=20,"20-29",IF(HR_Employee_Attrition[[#This Row],[Age]]&gt;=18,"18-20"))))))</f>
        <v>30-39</v>
      </c>
      <c r="AK1200" t="str" cm="1">
        <f t="array" ref="AK1200">_xlfn.IFS(HR_Employee_Attrition[[#This Row],[YearsAtCompany]]&lt;=2,"0-2",HR_Employee_Attrition[[#This Row],[YearsAtCompany]]&lt;=5,"3-5",HR_Employee_Attrition[[#This Row],[YearsAtCompany]]&lt;=10,"6-10",HR_Employee_Attrition[[#This Row],[YearsAtCompany]]&gt;10,"10+")</f>
        <v>6-10</v>
      </c>
      <c r="AL1200" t="str" cm="1">
        <f t="array" ref="AL12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00">
        <f>IF(HR_Employee_Attrition[[#This Row],[Attrition]]="Yes",1,0)</f>
        <v>0</v>
      </c>
    </row>
    <row r="1201" spans="1:39" x14ac:dyDescent="0.3">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c r="AJ1201" t="str">
        <f>IF(HR_Employee_Attrition[[#This Row],[Age]]&gt;60,"60+",IF(HR_Employee_Attrition[[#This Row],[Age]]&gt;=50,"50-59",IF(HR_Employee_Attrition[[#This Row],[Age]]&gt;=40,"40-49",IF(HR_Employee_Attrition[[#This Row],[Age]]&gt;=30,"30-39",IF(HR_Employee_Attrition[[#This Row],[Age]]&gt;=20,"20-29",IF(HR_Employee_Attrition[[#This Row],[Age]]&gt;=18,"18-20"))))))</f>
        <v>30-39</v>
      </c>
      <c r="AK1201" t="str" cm="1">
        <f t="array" ref="AK1201">_xlfn.IFS(HR_Employee_Attrition[[#This Row],[YearsAtCompany]]&lt;=2,"0-2",HR_Employee_Attrition[[#This Row],[YearsAtCompany]]&lt;=5,"3-5",HR_Employee_Attrition[[#This Row],[YearsAtCompany]]&lt;=10,"6-10",HR_Employee_Attrition[[#This Row],[YearsAtCompany]]&gt;10,"10+")</f>
        <v>3-5</v>
      </c>
      <c r="AL1201" t="str" cm="1">
        <f t="array" ref="AL12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01">
        <f>IF(HR_Employee_Attrition[[#This Row],[Attrition]]="Yes",1,0)</f>
        <v>0</v>
      </c>
    </row>
    <row r="1202" spans="1:39" x14ac:dyDescent="0.3">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c r="AJ1202" t="str">
        <f>IF(HR_Employee_Attrition[[#This Row],[Age]]&gt;60,"60+",IF(HR_Employee_Attrition[[#This Row],[Age]]&gt;=50,"50-59",IF(HR_Employee_Attrition[[#This Row],[Age]]&gt;=40,"40-49",IF(HR_Employee_Attrition[[#This Row],[Age]]&gt;=30,"30-39",IF(HR_Employee_Attrition[[#This Row],[Age]]&gt;=20,"20-29",IF(HR_Employee_Attrition[[#This Row],[Age]]&gt;=18,"18-20"))))))</f>
        <v>40-49</v>
      </c>
      <c r="AK1202" t="str" cm="1">
        <f t="array" ref="AK1202">_xlfn.IFS(HR_Employee_Attrition[[#This Row],[YearsAtCompany]]&lt;=2,"0-2",HR_Employee_Attrition[[#This Row],[YearsAtCompany]]&lt;=5,"3-5",HR_Employee_Attrition[[#This Row],[YearsAtCompany]]&lt;=10,"6-10",HR_Employee_Attrition[[#This Row],[YearsAtCompany]]&gt;10,"10+")</f>
        <v>0-2</v>
      </c>
      <c r="AL1202" t="str" cm="1">
        <f t="array" ref="AL12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2">
        <f>IF(HR_Employee_Attrition[[#This Row],[Attrition]]="Yes",1,0)</f>
        <v>0</v>
      </c>
    </row>
    <row r="1203" spans="1:39" x14ac:dyDescent="0.3">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c r="AJ1203" t="str">
        <f>IF(HR_Employee_Attrition[[#This Row],[Age]]&gt;60,"60+",IF(HR_Employee_Attrition[[#This Row],[Age]]&gt;=50,"50-59",IF(HR_Employee_Attrition[[#This Row],[Age]]&gt;=40,"40-49",IF(HR_Employee_Attrition[[#This Row],[Age]]&gt;=30,"30-39",IF(HR_Employee_Attrition[[#This Row],[Age]]&gt;=20,"20-29",IF(HR_Employee_Attrition[[#This Row],[Age]]&gt;=18,"18-20"))))))</f>
        <v>20-29</v>
      </c>
      <c r="AK1203" t="str" cm="1">
        <f t="array" ref="AK1203">_xlfn.IFS(HR_Employee_Attrition[[#This Row],[YearsAtCompany]]&lt;=2,"0-2",HR_Employee_Attrition[[#This Row],[YearsAtCompany]]&lt;=5,"3-5",HR_Employee_Attrition[[#This Row],[YearsAtCompany]]&lt;=10,"6-10",HR_Employee_Attrition[[#This Row],[YearsAtCompany]]&gt;10,"10+")</f>
        <v>3-5</v>
      </c>
      <c r="AL1203" t="str" cm="1">
        <f t="array" ref="AL12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3">
        <f>IF(HR_Employee_Attrition[[#This Row],[Attrition]]="Yes",1,0)</f>
        <v>1</v>
      </c>
    </row>
    <row r="1204" spans="1:39" x14ac:dyDescent="0.3">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c r="AJ1204" t="str">
        <f>IF(HR_Employee_Attrition[[#This Row],[Age]]&gt;60,"60+",IF(HR_Employee_Attrition[[#This Row],[Age]]&gt;=50,"50-59",IF(HR_Employee_Attrition[[#This Row],[Age]]&gt;=40,"40-49",IF(HR_Employee_Attrition[[#This Row],[Age]]&gt;=30,"30-39",IF(HR_Employee_Attrition[[#This Row],[Age]]&gt;=20,"20-29",IF(HR_Employee_Attrition[[#This Row],[Age]]&gt;=18,"18-20"))))))</f>
        <v>30-39</v>
      </c>
      <c r="AK1204" t="str" cm="1">
        <f t="array" ref="AK1204">_xlfn.IFS(HR_Employee_Attrition[[#This Row],[YearsAtCompany]]&lt;=2,"0-2",HR_Employee_Attrition[[#This Row],[YearsAtCompany]]&lt;=5,"3-5",HR_Employee_Attrition[[#This Row],[YearsAtCompany]]&lt;=10,"6-10",HR_Employee_Attrition[[#This Row],[YearsAtCompany]]&gt;10,"10+")</f>
        <v>0-2</v>
      </c>
      <c r="AL1204" t="str" cm="1">
        <f t="array" ref="AL12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4">
        <f>IF(HR_Employee_Attrition[[#This Row],[Attrition]]="Yes",1,0)</f>
        <v>0</v>
      </c>
    </row>
    <row r="1205" spans="1:39" x14ac:dyDescent="0.3">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c r="AJ1205" t="str">
        <f>IF(HR_Employee_Attrition[[#This Row],[Age]]&gt;60,"60+",IF(HR_Employee_Attrition[[#This Row],[Age]]&gt;=50,"50-59",IF(HR_Employee_Attrition[[#This Row],[Age]]&gt;=40,"40-49",IF(HR_Employee_Attrition[[#This Row],[Age]]&gt;=30,"30-39",IF(HR_Employee_Attrition[[#This Row],[Age]]&gt;=20,"20-29",IF(HR_Employee_Attrition[[#This Row],[Age]]&gt;=18,"18-20"))))))</f>
        <v>50-59</v>
      </c>
      <c r="AK1205" t="str" cm="1">
        <f t="array" ref="AK1205">_xlfn.IFS(HR_Employee_Attrition[[#This Row],[YearsAtCompany]]&lt;=2,"0-2",HR_Employee_Attrition[[#This Row],[YearsAtCompany]]&lt;=5,"3-5",HR_Employee_Attrition[[#This Row],[YearsAtCompany]]&lt;=10,"6-10",HR_Employee_Attrition[[#This Row],[YearsAtCompany]]&gt;10,"10+")</f>
        <v>3-5</v>
      </c>
      <c r="AL1205" t="str" cm="1">
        <f t="array" ref="AL12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05">
        <f>IF(HR_Employee_Attrition[[#This Row],[Attrition]]="Yes",1,0)</f>
        <v>0</v>
      </c>
    </row>
    <row r="1206" spans="1:39" x14ac:dyDescent="0.3">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c r="AJ1206" t="str">
        <f>IF(HR_Employee_Attrition[[#This Row],[Age]]&gt;60,"60+",IF(HR_Employee_Attrition[[#This Row],[Age]]&gt;=50,"50-59",IF(HR_Employee_Attrition[[#This Row],[Age]]&gt;=40,"40-49",IF(HR_Employee_Attrition[[#This Row],[Age]]&gt;=30,"30-39",IF(HR_Employee_Attrition[[#This Row],[Age]]&gt;=20,"20-29",IF(HR_Employee_Attrition[[#This Row],[Age]]&gt;=18,"18-20"))))))</f>
        <v>40-49</v>
      </c>
      <c r="AK1206" t="str" cm="1">
        <f t="array" ref="AK1206">_xlfn.IFS(HR_Employee_Attrition[[#This Row],[YearsAtCompany]]&lt;=2,"0-2",HR_Employee_Attrition[[#This Row],[YearsAtCompany]]&lt;=5,"3-5",HR_Employee_Attrition[[#This Row],[YearsAtCompany]]&lt;=10,"6-10",HR_Employee_Attrition[[#This Row],[YearsAtCompany]]&gt;10,"10+")</f>
        <v>6-10</v>
      </c>
      <c r="AL1206" t="str" cm="1">
        <f t="array" ref="AL12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6">
        <f>IF(HR_Employee_Attrition[[#This Row],[Attrition]]="Yes",1,0)</f>
        <v>1</v>
      </c>
    </row>
    <row r="1207" spans="1:39" x14ac:dyDescent="0.3">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c r="AJ1207" t="str">
        <f>IF(HR_Employee_Attrition[[#This Row],[Age]]&gt;60,"60+",IF(HR_Employee_Attrition[[#This Row],[Age]]&gt;=50,"50-59",IF(HR_Employee_Attrition[[#This Row],[Age]]&gt;=40,"40-49",IF(HR_Employee_Attrition[[#This Row],[Age]]&gt;=30,"30-39",IF(HR_Employee_Attrition[[#This Row],[Age]]&gt;=20,"20-29",IF(HR_Employee_Attrition[[#This Row],[Age]]&gt;=18,"18-20"))))))</f>
        <v>30-39</v>
      </c>
      <c r="AK1207" t="str" cm="1">
        <f t="array" ref="AK1207">_xlfn.IFS(HR_Employee_Attrition[[#This Row],[YearsAtCompany]]&lt;=2,"0-2",HR_Employee_Attrition[[#This Row],[YearsAtCompany]]&lt;=5,"3-5",HR_Employee_Attrition[[#This Row],[YearsAtCompany]]&lt;=10,"6-10",HR_Employee_Attrition[[#This Row],[YearsAtCompany]]&gt;10,"10+")</f>
        <v>0-2</v>
      </c>
      <c r="AL1207" t="str" cm="1">
        <f t="array" ref="AL12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7">
        <f>IF(HR_Employee_Attrition[[#This Row],[Attrition]]="Yes",1,0)</f>
        <v>1</v>
      </c>
    </row>
    <row r="1208" spans="1:39" x14ac:dyDescent="0.3">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c r="AJ1208" t="str">
        <f>IF(HR_Employee_Attrition[[#This Row],[Age]]&gt;60,"60+",IF(HR_Employee_Attrition[[#This Row],[Age]]&gt;=50,"50-59",IF(HR_Employee_Attrition[[#This Row],[Age]]&gt;=40,"40-49",IF(HR_Employee_Attrition[[#This Row],[Age]]&gt;=30,"30-39",IF(HR_Employee_Attrition[[#This Row],[Age]]&gt;=20,"20-29",IF(HR_Employee_Attrition[[#This Row],[Age]]&gt;=18,"18-20"))))))</f>
        <v>20-29</v>
      </c>
      <c r="AK1208" t="str" cm="1">
        <f t="array" ref="AK1208">_xlfn.IFS(HR_Employee_Attrition[[#This Row],[YearsAtCompany]]&lt;=2,"0-2",HR_Employee_Attrition[[#This Row],[YearsAtCompany]]&lt;=5,"3-5",HR_Employee_Attrition[[#This Row],[YearsAtCompany]]&lt;=10,"6-10",HR_Employee_Attrition[[#This Row],[YearsAtCompany]]&gt;10,"10+")</f>
        <v>6-10</v>
      </c>
      <c r="AL1208" t="str" cm="1">
        <f t="array" ref="AL12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8">
        <f>IF(HR_Employee_Attrition[[#This Row],[Attrition]]="Yes",1,0)</f>
        <v>0</v>
      </c>
    </row>
    <row r="1209" spans="1:39" x14ac:dyDescent="0.3">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c r="AJ1209" t="str">
        <f>IF(HR_Employee_Attrition[[#This Row],[Age]]&gt;60,"60+",IF(HR_Employee_Attrition[[#This Row],[Age]]&gt;=50,"50-59",IF(HR_Employee_Attrition[[#This Row],[Age]]&gt;=40,"40-49",IF(HR_Employee_Attrition[[#This Row],[Age]]&gt;=30,"30-39",IF(HR_Employee_Attrition[[#This Row],[Age]]&gt;=20,"20-29",IF(HR_Employee_Attrition[[#This Row],[Age]]&gt;=18,"18-20"))))))</f>
        <v>50-59</v>
      </c>
      <c r="AK1209" t="str" cm="1">
        <f t="array" ref="AK1209">_xlfn.IFS(HR_Employee_Attrition[[#This Row],[YearsAtCompany]]&lt;=2,"0-2",HR_Employee_Attrition[[#This Row],[YearsAtCompany]]&lt;=5,"3-5",HR_Employee_Attrition[[#This Row],[YearsAtCompany]]&lt;=10,"6-10",HR_Employee_Attrition[[#This Row],[YearsAtCompany]]&gt;10,"10+")</f>
        <v>3-5</v>
      </c>
      <c r="AL1209" t="str" cm="1">
        <f t="array" ref="AL12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9">
        <f>IF(HR_Employee_Attrition[[#This Row],[Attrition]]="Yes",1,0)</f>
        <v>0</v>
      </c>
    </row>
    <row r="1210" spans="1:39" x14ac:dyDescent="0.3">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c r="AJ1210" t="str">
        <f>IF(HR_Employee_Attrition[[#This Row],[Age]]&gt;60,"60+",IF(HR_Employee_Attrition[[#This Row],[Age]]&gt;=50,"50-59",IF(HR_Employee_Attrition[[#This Row],[Age]]&gt;=40,"40-49",IF(HR_Employee_Attrition[[#This Row],[Age]]&gt;=30,"30-39",IF(HR_Employee_Attrition[[#This Row],[Age]]&gt;=20,"20-29",IF(HR_Employee_Attrition[[#This Row],[Age]]&gt;=18,"18-20"))))))</f>
        <v>30-39</v>
      </c>
      <c r="AK1210" t="str" cm="1">
        <f t="array" ref="AK1210">_xlfn.IFS(HR_Employee_Attrition[[#This Row],[YearsAtCompany]]&lt;=2,"0-2",HR_Employee_Attrition[[#This Row],[YearsAtCompany]]&lt;=5,"3-5",HR_Employee_Attrition[[#This Row],[YearsAtCompany]]&lt;=10,"6-10",HR_Employee_Attrition[[#This Row],[YearsAtCompany]]&gt;10,"10+")</f>
        <v>10+</v>
      </c>
      <c r="AL1210" t="str" cm="1">
        <f t="array" ref="AL12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10">
        <f>IF(HR_Employee_Attrition[[#This Row],[Attrition]]="Yes",1,0)</f>
        <v>0</v>
      </c>
    </row>
    <row r="1211" spans="1:39" x14ac:dyDescent="0.3">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c r="AJ1211" t="str">
        <f>IF(HR_Employee_Attrition[[#This Row],[Age]]&gt;60,"60+",IF(HR_Employee_Attrition[[#This Row],[Age]]&gt;=50,"50-59",IF(HR_Employee_Attrition[[#This Row],[Age]]&gt;=40,"40-49",IF(HR_Employee_Attrition[[#This Row],[Age]]&gt;=30,"30-39",IF(HR_Employee_Attrition[[#This Row],[Age]]&gt;=20,"20-29",IF(HR_Employee_Attrition[[#This Row],[Age]]&gt;=18,"18-20"))))))</f>
        <v>50-59</v>
      </c>
      <c r="AK1211" t="str" cm="1">
        <f t="array" ref="AK1211">_xlfn.IFS(HR_Employee_Attrition[[#This Row],[YearsAtCompany]]&lt;=2,"0-2",HR_Employee_Attrition[[#This Row],[YearsAtCompany]]&lt;=5,"3-5",HR_Employee_Attrition[[#This Row],[YearsAtCompany]]&lt;=10,"6-10",HR_Employee_Attrition[[#This Row],[YearsAtCompany]]&gt;10,"10+")</f>
        <v>0-2</v>
      </c>
      <c r="AL1211" t="str" cm="1">
        <f t="array" ref="AL12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11">
        <f>IF(HR_Employee_Attrition[[#This Row],[Attrition]]="Yes",1,0)</f>
        <v>0</v>
      </c>
    </row>
    <row r="1212" spans="1:39" x14ac:dyDescent="0.3">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c r="AJ1212" t="str">
        <f>IF(HR_Employee_Attrition[[#This Row],[Age]]&gt;60,"60+",IF(HR_Employee_Attrition[[#This Row],[Age]]&gt;=50,"50-59",IF(HR_Employee_Attrition[[#This Row],[Age]]&gt;=40,"40-49",IF(HR_Employee_Attrition[[#This Row],[Age]]&gt;=30,"30-39",IF(HR_Employee_Attrition[[#This Row],[Age]]&gt;=20,"20-29",IF(HR_Employee_Attrition[[#This Row],[Age]]&gt;=18,"18-20"))))))</f>
        <v>30-39</v>
      </c>
      <c r="AK1212" t="str" cm="1">
        <f t="array" ref="AK1212">_xlfn.IFS(HR_Employee_Attrition[[#This Row],[YearsAtCompany]]&lt;=2,"0-2",HR_Employee_Attrition[[#This Row],[YearsAtCompany]]&lt;=5,"3-5",HR_Employee_Attrition[[#This Row],[YearsAtCompany]]&lt;=10,"6-10",HR_Employee_Attrition[[#This Row],[YearsAtCompany]]&gt;10,"10+")</f>
        <v>10+</v>
      </c>
      <c r="AL1212" t="str" cm="1">
        <f t="array" ref="AL12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12">
        <f>IF(HR_Employee_Attrition[[#This Row],[Attrition]]="Yes",1,0)</f>
        <v>0</v>
      </c>
    </row>
    <row r="1213" spans="1:39" x14ac:dyDescent="0.3">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c r="AJ1213" t="str">
        <f>IF(HR_Employee_Attrition[[#This Row],[Age]]&gt;60,"60+",IF(HR_Employee_Attrition[[#This Row],[Age]]&gt;=50,"50-59",IF(HR_Employee_Attrition[[#This Row],[Age]]&gt;=40,"40-49",IF(HR_Employee_Attrition[[#This Row],[Age]]&gt;=30,"30-39",IF(HR_Employee_Attrition[[#This Row],[Age]]&gt;=20,"20-29",IF(HR_Employee_Attrition[[#This Row],[Age]]&gt;=18,"18-20"))))))</f>
        <v>30-39</v>
      </c>
      <c r="AK1213" t="str" cm="1">
        <f t="array" ref="AK1213">_xlfn.IFS(HR_Employee_Attrition[[#This Row],[YearsAtCompany]]&lt;=2,"0-2",HR_Employee_Attrition[[#This Row],[YearsAtCompany]]&lt;=5,"3-5",HR_Employee_Attrition[[#This Row],[YearsAtCompany]]&lt;=10,"6-10",HR_Employee_Attrition[[#This Row],[YearsAtCompany]]&gt;10,"10+")</f>
        <v>6-10</v>
      </c>
      <c r="AL1213" t="str" cm="1">
        <f t="array" ref="AL12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13">
        <f>IF(HR_Employee_Attrition[[#This Row],[Attrition]]="Yes",1,0)</f>
        <v>0</v>
      </c>
    </row>
    <row r="1214" spans="1:39" x14ac:dyDescent="0.3">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c r="AJ1214" t="str">
        <f>IF(HR_Employee_Attrition[[#This Row],[Age]]&gt;60,"60+",IF(HR_Employee_Attrition[[#This Row],[Age]]&gt;=50,"50-59",IF(HR_Employee_Attrition[[#This Row],[Age]]&gt;=40,"40-49",IF(HR_Employee_Attrition[[#This Row],[Age]]&gt;=30,"30-39",IF(HR_Employee_Attrition[[#This Row],[Age]]&gt;=20,"20-29",IF(HR_Employee_Attrition[[#This Row],[Age]]&gt;=18,"18-20"))))))</f>
        <v>30-39</v>
      </c>
      <c r="AK1214" t="str" cm="1">
        <f t="array" ref="AK1214">_xlfn.IFS(HR_Employee_Attrition[[#This Row],[YearsAtCompany]]&lt;=2,"0-2",HR_Employee_Attrition[[#This Row],[YearsAtCompany]]&lt;=5,"3-5",HR_Employee_Attrition[[#This Row],[YearsAtCompany]]&lt;=10,"6-10",HR_Employee_Attrition[[#This Row],[YearsAtCompany]]&gt;10,"10+")</f>
        <v>6-10</v>
      </c>
      <c r="AL1214" t="str" cm="1">
        <f t="array" ref="AL12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14">
        <f>IF(HR_Employee_Attrition[[#This Row],[Attrition]]="Yes",1,0)</f>
        <v>0</v>
      </c>
    </row>
    <row r="1215" spans="1:39" x14ac:dyDescent="0.3">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c r="AJ1215" t="str">
        <f>IF(HR_Employee_Attrition[[#This Row],[Age]]&gt;60,"60+",IF(HR_Employee_Attrition[[#This Row],[Age]]&gt;=50,"50-59",IF(HR_Employee_Attrition[[#This Row],[Age]]&gt;=40,"40-49",IF(HR_Employee_Attrition[[#This Row],[Age]]&gt;=30,"30-39",IF(HR_Employee_Attrition[[#This Row],[Age]]&gt;=20,"20-29",IF(HR_Employee_Attrition[[#This Row],[Age]]&gt;=18,"18-20"))))))</f>
        <v>20-29</v>
      </c>
      <c r="AK1215" t="str" cm="1">
        <f t="array" ref="AK1215">_xlfn.IFS(HR_Employee_Attrition[[#This Row],[YearsAtCompany]]&lt;=2,"0-2",HR_Employee_Attrition[[#This Row],[YearsAtCompany]]&lt;=5,"3-5",HR_Employee_Attrition[[#This Row],[YearsAtCompany]]&lt;=10,"6-10",HR_Employee_Attrition[[#This Row],[YearsAtCompany]]&gt;10,"10+")</f>
        <v>3-5</v>
      </c>
      <c r="AL1215" t="str" cm="1">
        <f t="array" ref="AL12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15">
        <f>IF(HR_Employee_Attrition[[#This Row],[Attrition]]="Yes",1,0)</f>
        <v>1</v>
      </c>
    </row>
    <row r="1216" spans="1:39" x14ac:dyDescent="0.3">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c r="AJ1216" t="str">
        <f>IF(HR_Employee_Attrition[[#This Row],[Age]]&gt;60,"60+",IF(HR_Employee_Attrition[[#This Row],[Age]]&gt;=50,"50-59",IF(HR_Employee_Attrition[[#This Row],[Age]]&gt;=40,"40-49",IF(HR_Employee_Attrition[[#This Row],[Age]]&gt;=30,"30-39",IF(HR_Employee_Attrition[[#This Row],[Age]]&gt;=20,"20-29",IF(HR_Employee_Attrition[[#This Row],[Age]]&gt;=18,"18-20"))))))</f>
        <v>40-49</v>
      </c>
      <c r="AK1216" t="str" cm="1">
        <f t="array" ref="AK1216">_xlfn.IFS(HR_Employee_Attrition[[#This Row],[YearsAtCompany]]&lt;=2,"0-2",HR_Employee_Attrition[[#This Row],[YearsAtCompany]]&lt;=5,"3-5",HR_Employee_Attrition[[#This Row],[YearsAtCompany]]&lt;=10,"6-10",HR_Employee_Attrition[[#This Row],[YearsAtCompany]]&gt;10,"10+")</f>
        <v>6-10</v>
      </c>
      <c r="AL1216" t="str" cm="1">
        <f t="array" ref="AL12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16">
        <f>IF(HR_Employee_Attrition[[#This Row],[Attrition]]="Yes",1,0)</f>
        <v>0</v>
      </c>
    </row>
    <row r="1217" spans="1:39" x14ac:dyDescent="0.3">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c r="AJ1217" t="str">
        <f>IF(HR_Employee_Attrition[[#This Row],[Age]]&gt;60,"60+",IF(HR_Employee_Attrition[[#This Row],[Age]]&gt;=50,"50-59",IF(HR_Employee_Attrition[[#This Row],[Age]]&gt;=40,"40-49",IF(HR_Employee_Attrition[[#This Row],[Age]]&gt;=30,"30-39",IF(HR_Employee_Attrition[[#This Row],[Age]]&gt;=20,"20-29",IF(HR_Employee_Attrition[[#This Row],[Age]]&gt;=18,"18-20"))))))</f>
        <v>30-39</v>
      </c>
      <c r="AK1217" t="str" cm="1">
        <f t="array" ref="AK1217">_xlfn.IFS(HR_Employee_Attrition[[#This Row],[YearsAtCompany]]&lt;=2,"0-2",HR_Employee_Attrition[[#This Row],[YearsAtCompany]]&lt;=5,"3-5",HR_Employee_Attrition[[#This Row],[YearsAtCompany]]&lt;=10,"6-10",HR_Employee_Attrition[[#This Row],[YearsAtCompany]]&gt;10,"10+")</f>
        <v>3-5</v>
      </c>
      <c r="AL1217" t="str" cm="1">
        <f t="array" ref="AL12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17">
        <f>IF(HR_Employee_Attrition[[#This Row],[Attrition]]="Yes",1,0)</f>
        <v>0</v>
      </c>
    </row>
    <row r="1218" spans="1:39" x14ac:dyDescent="0.3">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c r="AJ1218" t="str">
        <f>IF(HR_Employee_Attrition[[#This Row],[Age]]&gt;60,"60+",IF(HR_Employee_Attrition[[#This Row],[Age]]&gt;=50,"50-59",IF(HR_Employee_Attrition[[#This Row],[Age]]&gt;=40,"40-49",IF(HR_Employee_Attrition[[#This Row],[Age]]&gt;=30,"30-39",IF(HR_Employee_Attrition[[#This Row],[Age]]&gt;=20,"20-29",IF(HR_Employee_Attrition[[#This Row],[Age]]&gt;=18,"18-20"))))))</f>
        <v>40-49</v>
      </c>
      <c r="AK1218" t="str" cm="1">
        <f t="array" ref="AK1218">_xlfn.IFS(HR_Employee_Attrition[[#This Row],[YearsAtCompany]]&lt;=2,"0-2",HR_Employee_Attrition[[#This Row],[YearsAtCompany]]&lt;=5,"3-5",HR_Employee_Attrition[[#This Row],[YearsAtCompany]]&lt;=10,"6-10",HR_Employee_Attrition[[#This Row],[YearsAtCompany]]&gt;10,"10+")</f>
        <v>6-10</v>
      </c>
      <c r="AL1218" t="str" cm="1">
        <f t="array" ref="AL12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18">
        <f>IF(HR_Employee_Attrition[[#This Row],[Attrition]]="Yes",1,0)</f>
        <v>0</v>
      </c>
    </row>
    <row r="1219" spans="1:39" x14ac:dyDescent="0.3">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c r="AJ1219" t="str">
        <f>IF(HR_Employee_Attrition[[#This Row],[Age]]&gt;60,"60+",IF(HR_Employee_Attrition[[#This Row],[Age]]&gt;=50,"50-59",IF(HR_Employee_Attrition[[#This Row],[Age]]&gt;=40,"40-49",IF(HR_Employee_Attrition[[#This Row],[Age]]&gt;=30,"30-39",IF(HR_Employee_Attrition[[#This Row],[Age]]&gt;=20,"20-29",IF(HR_Employee_Attrition[[#This Row],[Age]]&gt;=18,"18-20"))))))</f>
        <v>20-29</v>
      </c>
      <c r="AK1219" t="str" cm="1">
        <f t="array" ref="AK1219">_xlfn.IFS(HR_Employee_Attrition[[#This Row],[YearsAtCompany]]&lt;=2,"0-2",HR_Employee_Attrition[[#This Row],[YearsAtCompany]]&lt;=5,"3-5",HR_Employee_Attrition[[#This Row],[YearsAtCompany]]&lt;=10,"6-10",HR_Employee_Attrition[[#This Row],[YearsAtCompany]]&gt;10,"10+")</f>
        <v>3-5</v>
      </c>
      <c r="AL1219" t="str" cm="1">
        <f t="array" ref="AL12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19">
        <f>IF(HR_Employee_Attrition[[#This Row],[Attrition]]="Yes",1,0)</f>
        <v>0</v>
      </c>
    </row>
    <row r="1220" spans="1:39" x14ac:dyDescent="0.3">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c r="AJ1220" t="str">
        <f>IF(HR_Employee_Attrition[[#This Row],[Age]]&gt;60,"60+",IF(HR_Employee_Attrition[[#This Row],[Age]]&gt;=50,"50-59",IF(HR_Employee_Attrition[[#This Row],[Age]]&gt;=40,"40-49",IF(HR_Employee_Attrition[[#This Row],[Age]]&gt;=30,"30-39",IF(HR_Employee_Attrition[[#This Row],[Age]]&gt;=20,"20-29",IF(HR_Employee_Attrition[[#This Row],[Age]]&gt;=18,"18-20"))))))</f>
        <v>40-49</v>
      </c>
      <c r="AK1220" t="str" cm="1">
        <f t="array" ref="AK1220">_xlfn.IFS(HR_Employee_Attrition[[#This Row],[YearsAtCompany]]&lt;=2,"0-2",HR_Employee_Attrition[[#This Row],[YearsAtCompany]]&lt;=5,"3-5",HR_Employee_Attrition[[#This Row],[YearsAtCompany]]&lt;=10,"6-10",HR_Employee_Attrition[[#This Row],[YearsAtCompany]]&gt;10,"10+")</f>
        <v>6-10</v>
      </c>
      <c r="AL1220" t="str" cm="1">
        <f t="array" ref="AL12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20">
        <f>IF(HR_Employee_Attrition[[#This Row],[Attrition]]="Yes",1,0)</f>
        <v>0</v>
      </c>
    </row>
    <row r="1221" spans="1:39" x14ac:dyDescent="0.3">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c r="AJ1221" t="str">
        <f>IF(HR_Employee_Attrition[[#This Row],[Age]]&gt;60,"60+",IF(HR_Employee_Attrition[[#This Row],[Age]]&gt;=50,"50-59",IF(HR_Employee_Attrition[[#This Row],[Age]]&gt;=40,"40-49",IF(HR_Employee_Attrition[[#This Row],[Age]]&gt;=30,"30-39",IF(HR_Employee_Attrition[[#This Row],[Age]]&gt;=20,"20-29",IF(HR_Employee_Attrition[[#This Row],[Age]]&gt;=18,"18-20"))))))</f>
        <v>20-29</v>
      </c>
      <c r="AK1221" t="str" cm="1">
        <f t="array" ref="AK1221">_xlfn.IFS(HR_Employee_Attrition[[#This Row],[YearsAtCompany]]&lt;=2,"0-2",HR_Employee_Attrition[[#This Row],[YearsAtCompany]]&lt;=5,"3-5",HR_Employee_Attrition[[#This Row],[YearsAtCompany]]&lt;=10,"6-10",HR_Employee_Attrition[[#This Row],[YearsAtCompany]]&gt;10,"10+")</f>
        <v>3-5</v>
      </c>
      <c r="AL1221" t="str" cm="1">
        <f t="array" ref="AL12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21">
        <f>IF(HR_Employee_Attrition[[#This Row],[Attrition]]="Yes",1,0)</f>
        <v>0</v>
      </c>
    </row>
    <row r="1222" spans="1:39" x14ac:dyDescent="0.3">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c r="AJ1222" t="str">
        <f>IF(HR_Employee_Attrition[[#This Row],[Age]]&gt;60,"60+",IF(HR_Employee_Attrition[[#This Row],[Age]]&gt;=50,"50-59",IF(HR_Employee_Attrition[[#This Row],[Age]]&gt;=40,"40-49",IF(HR_Employee_Attrition[[#This Row],[Age]]&gt;=30,"30-39",IF(HR_Employee_Attrition[[#This Row],[Age]]&gt;=20,"20-29",IF(HR_Employee_Attrition[[#This Row],[Age]]&gt;=18,"18-20"))))))</f>
        <v>30-39</v>
      </c>
      <c r="AK1222" t="str" cm="1">
        <f t="array" ref="AK1222">_xlfn.IFS(HR_Employee_Attrition[[#This Row],[YearsAtCompany]]&lt;=2,"0-2",HR_Employee_Attrition[[#This Row],[YearsAtCompany]]&lt;=5,"3-5",HR_Employee_Attrition[[#This Row],[YearsAtCompany]]&lt;=10,"6-10",HR_Employee_Attrition[[#This Row],[YearsAtCompany]]&gt;10,"10+")</f>
        <v>10+</v>
      </c>
      <c r="AL1222" t="str" cm="1">
        <f t="array" ref="AL12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22">
        <f>IF(HR_Employee_Attrition[[#This Row],[Attrition]]="Yes",1,0)</f>
        <v>0</v>
      </c>
    </row>
    <row r="1223" spans="1:39" x14ac:dyDescent="0.3">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c r="AJ1223" t="str">
        <f>IF(HR_Employee_Attrition[[#This Row],[Age]]&gt;60,"60+",IF(HR_Employee_Attrition[[#This Row],[Age]]&gt;=50,"50-59",IF(HR_Employee_Attrition[[#This Row],[Age]]&gt;=40,"40-49",IF(HR_Employee_Attrition[[#This Row],[Age]]&gt;=30,"30-39",IF(HR_Employee_Attrition[[#This Row],[Age]]&gt;=20,"20-29",IF(HR_Employee_Attrition[[#This Row],[Age]]&gt;=18,"18-20"))))))</f>
        <v>40-49</v>
      </c>
      <c r="AK1223" t="str" cm="1">
        <f t="array" ref="AK1223">_xlfn.IFS(HR_Employee_Attrition[[#This Row],[YearsAtCompany]]&lt;=2,"0-2",HR_Employee_Attrition[[#This Row],[YearsAtCompany]]&lt;=5,"3-5",HR_Employee_Attrition[[#This Row],[YearsAtCompany]]&lt;=10,"6-10",HR_Employee_Attrition[[#This Row],[YearsAtCompany]]&gt;10,"10+")</f>
        <v>10+</v>
      </c>
      <c r="AL1223" t="str" cm="1">
        <f t="array" ref="AL12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23">
        <f>IF(HR_Employee_Attrition[[#This Row],[Attrition]]="Yes",1,0)</f>
        <v>0</v>
      </c>
    </row>
    <row r="1224" spans="1:39" x14ac:dyDescent="0.3">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c r="AJ1224" t="str">
        <f>IF(HR_Employee_Attrition[[#This Row],[Age]]&gt;60,"60+",IF(HR_Employee_Attrition[[#This Row],[Age]]&gt;=50,"50-59",IF(HR_Employee_Attrition[[#This Row],[Age]]&gt;=40,"40-49",IF(HR_Employee_Attrition[[#This Row],[Age]]&gt;=30,"30-39",IF(HR_Employee_Attrition[[#This Row],[Age]]&gt;=20,"20-29",IF(HR_Employee_Attrition[[#This Row],[Age]]&gt;=18,"18-20"))))))</f>
        <v>20-29</v>
      </c>
      <c r="AK1224" t="str" cm="1">
        <f t="array" ref="AK1224">_xlfn.IFS(HR_Employee_Attrition[[#This Row],[YearsAtCompany]]&lt;=2,"0-2",HR_Employee_Attrition[[#This Row],[YearsAtCompany]]&lt;=5,"3-5",HR_Employee_Attrition[[#This Row],[YearsAtCompany]]&lt;=10,"6-10",HR_Employee_Attrition[[#This Row],[YearsAtCompany]]&gt;10,"10+")</f>
        <v>0-2</v>
      </c>
      <c r="AL1224" t="str" cm="1">
        <f t="array" ref="AL12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24">
        <f>IF(HR_Employee_Attrition[[#This Row],[Attrition]]="Yes",1,0)</f>
        <v>1</v>
      </c>
    </row>
    <row r="1225" spans="1:39" x14ac:dyDescent="0.3">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c r="AJ1225" t="str">
        <f>IF(HR_Employee_Attrition[[#This Row],[Age]]&gt;60,"60+",IF(HR_Employee_Attrition[[#This Row],[Age]]&gt;=50,"50-59",IF(HR_Employee_Attrition[[#This Row],[Age]]&gt;=40,"40-49",IF(HR_Employee_Attrition[[#This Row],[Age]]&gt;=30,"30-39",IF(HR_Employee_Attrition[[#This Row],[Age]]&gt;=20,"20-29",IF(HR_Employee_Attrition[[#This Row],[Age]]&gt;=18,"18-20"))))))</f>
        <v>40-49</v>
      </c>
      <c r="AK1225" t="str" cm="1">
        <f t="array" ref="AK1225">_xlfn.IFS(HR_Employee_Attrition[[#This Row],[YearsAtCompany]]&lt;=2,"0-2",HR_Employee_Attrition[[#This Row],[YearsAtCompany]]&lt;=5,"3-5",HR_Employee_Attrition[[#This Row],[YearsAtCompany]]&lt;=10,"6-10",HR_Employee_Attrition[[#This Row],[YearsAtCompany]]&gt;10,"10+")</f>
        <v>10+</v>
      </c>
      <c r="AL1225" t="str" cm="1">
        <f t="array" ref="AL12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25">
        <f>IF(HR_Employee_Attrition[[#This Row],[Attrition]]="Yes",1,0)</f>
        <v>1</v>
      </c>
    </row>
    <row r="1226" spans="1:39" x14ac:dyDescent="0.3">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c r="AJ1226" t="str">
        <f>IF(HR_Employee_Attrition[[#This Row],[Age]]&gt;60,"60+",IF(HR_Employee_Attrition[[#This Row],[Age]]&gt;=50,"50-59",IF(HR_Employee_Attrition[[#This Row],[Age]]&gt;=40,"40-49",IF(HR_Employee_Attrition[[#This Row],[Age]]&gt;=30,"30-39",IF(HR_Employee_Attrition[[#This Row],[Age]]&gt;=20,"20-29",IF(HR_Employee_Attrition[[#This Row],[Age]]&gt;=18,"18-20"))))))</f>
        <v>20-29</v>
      </c>
      <c r="AK1226" t="str" cm="1">
        <f t="array" ref="AK1226">_xlfn.IFS(HR_Employee_Attrition[[#This Row],[YearsAtCompany]]&lt;=2,"0-2",HR_Employee_Attrition[[#This Row],[YearsAtCompany]]&lt;=5,"3-5",HR_Employee_Attrition[[#This Row],[YearsAtCompany]]&lt;=10,"6-10",HR_Employee_Attrition[[#This Row],[YearsAtCompany]]&gt;10,"10+")</f>
        <v>3-5</v>
      </c>
      <c r="AL1226" t="str" cm="1">
        <f t="array" ref="AL12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26">
        <f>IF(HR_Employee_Attrition[[#This Row],[Attrition]]="Yes",1,0)</f>
        <v>0</v>
      </c>
    </row>
    <row r="1227" spans="1:39" x14ac:dyDescent="0.3">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c r="AJ1227" t="str">
        <f>IF(HR_Employee_Attrition[[#This Row],[Age]]&gt;60,"60+",IF(HR_Employee_Attrition[[#This Row],[Age]]&gt;=50,"50-59",IF(HR_Employee_Attrition[[#This Row],[Age]]&gt;=40,"40-49",IF(HR_Employee_Attrition[[#This Row],[Age]]&gt;=30,"30-39",IF(HR_Employee_Attrition[[#This Row],[Age]]&gt;=20,"20-29",IF(HR_Employee_Attrition[[#This Row],[Age]]&gt;=18,"18-20"))))))</f>
        <v>40-49</v>
      </c>
      <c r="AK1227" t="str" cm="1">
        <f t="array" ref="AK1227">_xlfn.IFS(HR_Employee_Attrition[[#This Row],[YearsAtCompany]]&lt;=2,"0-2",HR_Employee_Attrition[[#This Row],[YearsAtCompany]]&lt;=5,"3-5",HR_Employee_Attrition[[#This Row],[YearsAtCompany]]&lt;=10,"6-10",HR_Employee_Attrition[[#This Row],[YearsAtCompany]]&gt;10,"10+")</f>
        <v>10+</v>
      </c>
      <c r="AL1227" t="str" cm="1">
        <f t="array" ref="AL12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227">
        <f>IF(HR_Employee_Attrition[[#This Row],[Attrition]]="Yes",1,0)</f>
        <v>0</v>
      </c>
    </row>
    <row r="1228" spans="1:39" x14ac:dyDescent="0.3">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c r="AJ1228" t="str">
        <f>IF(HR_Employee_Attrition[[#This Row],[Age]]&gt;60,"60+",IF(HR_Employee_Attrition[[#This Row],[Age]]&gt;=50,"50-59",IF(HR_Employee_Attrition[[#This Row],[Age]]&gt;=40,"40-49",IF(HR_Employee_Attrition[[#This Row],[Age]]&gt;=30,"30-39",IF(HR_Employee_Attrition[[#This Row],[Age]]&gt;=20,"20-29",IF(HR_Employee_Attrition[[#This Row],[Age]]&gt;=18,"18-20"))))))</f>
        <v>30-39</v>
      </c>
      <c r="AK1228" t="str" cm="1">
        <f t="array" ref="AK1228">_xlfn.IFS(HR_Employee_Attrition[[#This Row],[YearsAtCompany]]&lt;=2,"0-2",HR_Employee_Attrition[[#This Row],[YearsAtCompany]]&lt;=5,"3-5",HR_Employee_Attrition[[#This Row],[YearsAtCompany]]&lt;=10,"6-10",HR_Employee_Attrition[[#This Row],[YearsAtCompany]]&gt;10,"10+")</f>
        <v>3-5</v>
      </c>
      <c r="AL1228" t="str" cm="1">
        <f t="array" ref="AL12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28">
        <f>IF(HR_Employee_Attrition[[#This Row],[Attrition]]="Yes",1,0)</f>
        <v>0</v>
      </c>
    </row>
    <row r="1229" spans="1:39" x14ac:dyDescent="0.3">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c r="AJ1229" t="str">
        <f>IF(HR_Employee_Attrition[[#This Row],[Age]]&gt;60,"60+",IF(HR_Employee_Attrition[[#This Row],[Age]]&gt;=50,"50-59",IF(HR_Employee_Attrition[[#This Row],[Age]]&gt;=40,"40-49",IF(HR_Employee_Attrition[[#This Row],[Age]]&gt;=30,"30-39",IF(HR_Employee_Attrition[[#This Row],[Age]]&gt;=20,"20-29",IF(HR_Employee_Attrition[[#This Row],[Age]]&gt;=18,"18-20"))))))</f>
        <v>30-39</v>
      </c>
      <c r="AK1229" t="str" cm="1">
        <f t="array" ref="AK1229">_xlfn.IFS(HR_Employee_Attrition[[#This Row],[YearsAtCompany]]&lt;=2,"0-2",HR_Employee_Attrition[[#This Row],[YearsAtCompany]]&lt;=5,"3-5",HR_Employee_Attrition[[#This Row],[YearsAtCompany]]&lt;=10,"6-10",HR_Employee_Attrition[[#This Row],[YearsAtCompany]]&gt;10,"10+")</f>
        <v>3-5</v>
      </c>
      <c r="AL1229" t="str" cm="1">
        <f t="array" ref="AL12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29">
        <f>IF(HR_Employee_Attrition[[#This Row],[Attrition]]="Yes",1,0)</f>
        <v>0</v>
      </c>
    </row>
    <row r="1230" spans="1:39" x14ac:dyDescent="0.3">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c r="AJ1230" t="str">
        <f>IF(HR_Employee_Attrition[[#This Row],[Age]]&gt;60,"60+",IF(HR_Employee_Attrition[[#This Row],[Age]]&gt;=50,"50-59",IF(HR_Employee_Attrition[[#This Row],[Age]]&gt;=40,"40-49",IF(HR_Employee_Attrition[[#This Row],[Age]]&gt;=30,"30-39",IF(HR_Employee_Attrition[[#This Row],[Age]]&gt;=20,"20-29",IF(HR_Employee_Attrition[[#This Row],[Age]]&gt;=18,"18-20"))))))</f>
        <v>40-49</v>
      </c>
      <c r="AK1230" t="str" cm="1">
        <f t="array" ref="AK1230">_xlfn.IFS(HR_Employee_Attrition[[#This Row],[YearsAtCompany]]&lt;=2,"0-2",HR_Employee_Attrition[[#This Row],[YearsAtCompany]]&lt;=5,"3-5",HR_Employee_Attrition[[#This Row],[YearsAtCompany]]&lt;=10,"6-10",HR_Employee_Attrition[[#This Row],[YearsAtCompany]]&gt;10,"10+")</f>
        <v>3-5</v>
      </c>
      <c r="AL1230" t="str" cm="1">
        <f t="array" ref="AL12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30">
        <f>IF(HR_Employee_Attrition[[#This Row],[Attrition]]="Yes",1,0)</f>
        <v>0</v>
      </c>
    </row>
    <row r="1231" spans="1:39" x14ac:dyDescent="0.3">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c r="AJ1231" t="str">
        <f>IF(HR_Employee_Attrition[[#This Row],[Age]]&gt;60,"60+",IF(HR_Employee_Attrition[[#This Row],[Age]]&gt;=50,"50-59",IF(HR_Employee_Attrition[[#This Row],[Age]]&gt;=40,"40-49",IF(HR_Employee_Attrition[[#This Row],[Age]]&gt;=30,"30-39",IF(HR_Employee_Attrition[[#This Row],[Age]]&gt;=20,"20-29",IF(HR_Employee_Attrition[[#This Row],[Age]]&gt;=18,"18-20"))))))</f>
        <v>40-49</v>
      </c>
      <c r="AK1231" t="str" cm="1">
        <f t="array" ref="AK1231">_xlfn.IFS(HR_Employee_Attrition[[#This Row],[YearsAtCompany]]&lt;=2,"0-2",HR_Employee_Attrition[[#This Row],[YearsAtCompany]]&lt;=5,"3-5",HR_Employee_Attrition[[#This Row],[YearsAtCompany]]&lt;=10,"6-10",HR_Employee_Attrition[[#This Row],[YearsAtCompany]]&gt;10,"10+")</f>
        <v>0-2</v>
      </c>
      <c r="AL1231" t="str" cm="1">
        <f t="array" ref="AL12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31">
        <f>IF(HR_Employee_Attrition[[#This Row],[Attrition]]="Yes",1,0)</f>
        <v>0</v>
      </c>
    </row>
    <row r="1232" spans="1:39" x14ac:dyDescent="0.3">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c r="AJ1232" t="str">
        <f>IF(HR_Employee_Attrition[[#This Row],[Age]]&gt;60,"60+",IF(HR_Employee_Attrition[[#This Row],[Age]]&gt;=50,"50-59",IF(HR_Employee_Attrition[[#This Row],[Age]]&gt;=40,"40-49",IF(HR_Employee_Attrition[[#This Row],[Age]]&gt;=30,"30-39",IF(HR_Employee_Attrition[[#This Row],[Age]]&gt;=20,"20-29",IF(HR_Employee_Attrition[[#This Row],[Age]]&gt;=18,"18-20"))))))</f>
        <v>20-29</v>
      </c>
      <c r="AK1232" t="str" cm="1">
        <f t="array" ref="AK1232">_xlfn.IFS(HR_Employee_Attrition[[#This Row],[YearsAtCompany]]&lt;=2,"0-2",HR_Employee_Attrition[[#This Row],[YearsAtCompany]]&lt;=5,"3-5",HR_Employee_Attrition[[#This Row],[YearsAtCompany]]&lt;=10,"6-10",HR_Employee_Attrition[[#This Row],[YearsAtCompany]]&gt;10,"10+")</f>
        <v>6-10</v>
      </c>
      <c r="AL1232" t="str" cm="1">
        <f t="array" ref="AL12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32">
        <f>IF(HR_Employee_Attrition[[#This Row],[Attrition]]="Yes",1,0)</f>
        <v>0</v>
      </c>
    </row>
    <row r="1233" spans="1:39" x14ac:dyDescent="0.3">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c r="AJ1233" t="str">
        <f>IF(HR_Employee_Attrition[[#This Row],[Age]]&gt;60,"60+",IF(HR_Employee_Attrition[[#This Row],[Age]]&gt;=50,"50-59",IF(HR_Employee_Attrition[[#This Row],[Age]]&gt;=40,"40-49",IF(HR_Employee_Attrition[[#This Row],[Age]]&gt;=30,"30-39",IF(HR_Employee_Attrition[[#This Row],[Age]]&gt;=20,"20-29",IF(HR_Employee_Attrition[[#This Row],[Age]]&gt;=18,"18-20"))))))</f>
        <v>40-49</v>
      </c>
      <c r="AK1233" t="str" cm="1">
        <f t="array" ref="AK1233">_xlfn.IFS(HR_Employee_Attrition[[#This Row],[YearsAtCompany]]&lt;=2,"0-2",HR_Employee_Attrition[[#This Row],[YearsAtCompany]]&lt;=5,"3-5",HR_Employee_Attrition[[#This Row],[YearsAtCompany]]&lt;=10,"6-10",HR_Employee_Attrition[[#This Row],[YearsAtCompany]]&gt;10,"10+")</f>
        <v>6-10</v>
      </c>
      <c r="AL1233" t="str" cm="1">
        <f t="array" ref="AL12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33">
        <f>IF(HR_Employee_Attrition[[#This Row],[Attrition]]="Yes",1,0)</f>
        <v>0</v>
      </c>
    </row>
    <row r="1234" spans="1:39" x14ac:dyDescent="0.3">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c r="AJ1234" t="str">
        <f>IF(HR_Employee_Attrition[[#This Row],[Age]]&gt;60,"60+",IF(HR_Employee_Attrition[[#This Row],[Age]]&gt;=50,"50-59",IF(HR_Employee_Attrition[[#This Row],[Age]]&gt;=40,"40-49",IF(HR_Employee_Attrition[[#This Row],[Age]]&gt;=30,"30-39",IF(HR_Employee_Attrition[[#This Row],[Age]]&gt;=20,"20-29",IF(HR_Employee_Attrition[[#This Row],[Age]]&gt;=18,"18-20"))))))</f>
        <v>30-39</v>
      </c>
      <c r="AK1234" t="str" cm="1">
        <f t="array" ref="AK1234">_xlfn.IFS(HR_Employee_Attrition[[#This Row],[YearsAtCompany]]&lt;=2,"0-2",HR_Employee_Attrition[[#This Row],[YearsAtCompany]]&lt;=5,"3-5",HR_Employee_Attrition[[#This Row],[YearsAtCompany]]&lt;=10,"6-10",HR_Employee_Attrition[[#This Row],[YearsAtCompany]]&gt;10,"10+")</f>
        <v>6-10</v>
      </c>
      <c r="AL1234" t="str" cm="1">
        <f t="array" ref="AL12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34">
        <f>IF(HR_Employee_Attrition[[#This Row],[Attrition]]="Yes",1,0)</f>
        <v>0</v>
      </c>
    </row>
    <row r="1235" spans="1:39" x14ac:dyDescent="0.3">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c r="AJ1235" t="str">
        <f>IF(HR_Employee_Attrition[[#This Row],[Age]]&gt;60,"60+",IF(HR_Employee_Attrition[[#This Row],[Age]]&gt;=50,"50-59",IF(HR_Employee_Attrition[[#This Row],[Age]]&gt;=40,"40-49",IF(HR_Employee_Attrition[[#This Row],[Age]]&gt;=30,"30-39",IF(HR_Employee_Attrition[[#This Row],[Age]]&gt;=20,"20-29",IF(HR_Employee_Attrition[[#This Row],[Age]]&gt;=18,"18-20"))))))</f>
        <v>30-39</v>
      </c>
      <c r="AK1235" t="str" cm="1">
        <f t="array" ref="AK1235">_xlfn.IFS(HR_Employee_Attrition[[#This Row],[YearsAtCompany]]&lt;=2,"0-2",HR_Employee_Attrition[[#This Row],[YearsAtCompany]]&lt;=5,"3-5",HR_Employee_Attrition[[#This Row],[YearsAtCompany]]&lt;=10,"6-10",HR_Employee_Attrition[[#This Row],[YearsAtCompany]]&gt;10,"10+")</f>
        <v>6-10</v>
      </c>
      <c r="AL1235" t="str" cm="1">
        <f t="array" ref="AL12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35">
        <f>IF(HR_Employee_Attrition[[#This Row],[Attrition]]="Yes",1,0)</f>
        <v>0</v>
      </c>
    </row>
    <row r="1236" spans="1:39" x14ac:dyDescent="0.3">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c r="AJ1236" t="str">
        <f>IF(HR_Employee_Attrition[[#This Row],[Age]]&gt;60,"60+",IF(HR_Employee_Attrition[[#This Row],[Age]]&gt;=50,"50-59",IF(HR_Employee_Attrition[[#This Row],[Age]]&gt;=40,"40-49",IF(HR_Employee_Attrition[[#This Row],[Age]]&gt;=30,"30-39",IF(HR_Employee_Attrition[[#This Row],[Age]]&gt;=20,"20-29",IF(HR_Employee_Attrition[[#This Row],[Age]]&gt;=18,"18-20"))))))</f>
        <v>40-49</v>
      </c>
      <c r="AK1236" t="str" cm="1">
        <f t="array" ref="AK1236">_xlfn.IFS(HR_Employee_Attrition[[#This Row],[YearsAtCompany]]&lt;=2,"0-2",HR_Employee_Attrition[[#This Row],[YearsAtCompany]]&lt;=5,"3-5",HR_Employee_Attrition[[#This Row],[YearsAtCompany]]&lt;=10,"6-10",HR_Employee_Attrition[[#This Row],[YearsAtCompany]]&gt;10,"10+")</f>
        <v>0-2</v>
      </c>
      <c r="AL1236" t="str" cm="1">
        <f t="array" ref="AL12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36">
        <f>IF(HR_Employee_Attrition[[#This Row],[Attrition]]="Yes",1,0)</f>
        <v>0</v>
      </c>
    </row>
    <row r="1237" spans="1:39" x14ac:dyDescent="0.3">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c r="AJ1237" t="str">
        <f>IF(HR_Employee_Attrition[[#This Row],[Age]]&gt;60,"60+",IF(HR_Employee_Attrition[[#This Row],[Age]]&gt;=50,"50-59",IF(HR_Employee_Attrition[[#This Row],[Age]]&gt;=40,"40-49",IF(HR_Employee_Attrition[[#This Row],[Age]]&gt;=30,"30-39",IF(HR_Employee_Attrition[[#This Row],[Age]]&gt;=20,"20-29",IF(HR_Employee_Attrition[[#This Row],[Age]]&gt;=18,"18-20"))))))</f>
        <v>40-49</v>
      </c>
      <c r="AK1237" t="str" cm="1">
        <f t="array" ref="AK1237">_xlfn.IFS(HR_Employee_Attrition[[#This Row],[YearsAtCompany]]&lt;=2,"0-2",HR_Employee_Attrition[[#This Row],[YearsAtCompany]]&lt;=5,"3-5",HR_Employee_Attrition[[#This Row],[YearsAtCompany]]&lt;=10,"6-10",HR_Employee_Attrition[[#This Row],[YearsAtCompany]]&gt;10,"10+")</f>
        <v>6-10</v>
      </c>
      <c r="AL1237" t="str" cm="1">
        <f t="array" ref="AL12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37">
        <f>IF(HR_Employee_Attrition[[#This Row],[Attrition]]="Yes",1,0)</f>
        <v>0</v>
      </c>
    </row>
    <row r="1238" spans="1:39" x14ac:dyDescent="0.3">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c r="AJ1238" t="str">
        <f>IF(HR_Employee_Attrition[[#This Row],[Age]]&gt;60,"60+",IF(HR_Employee_Attrition[[#This Row],[Age]]&gt;=50,"50-59",IF(HR_Employee_Attrition[[#This Row],[Age]]&gt;=40,"40-49",IF(HR_Employee_Attrition[[#This Row],[Age]]&gt;=30,"30-39",IF(HR_Employee_Attrition[[#This Row],[Age]]&gt;=20,"20-29",IF(HR_Employee_Attrition[[#This Row],[Age]]&gt;=18,"18-20"))))))</f>
        <v>30-39</v>
      </c>
      <c r="AK1238" t="str" cm="1">
        <f t="array" ref="AK1238">_xlfn.IFS(HR_Employee_Attrition[[#This Row],[YearsAtCompany]]&lt;=2,"0-2",HR_Employee_Attrition[[#This Row],[YearsAtCompany]]&lt;=5,"3-5",HR_Employee_Attrition[[#This Row],[YearsAtCompany]]&lt;=10,"6-10",HR_Employee_Attrition[[#This Row],[YearsAtCompany]]&gt;10,"10+")</f>
        <v>0-2</v>
      </c>
      <c r="AL1238" t="str" cm="1">
        <f t="array" ref="AL12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38">
        <f>IF(HR_Employee_Attrition[[#This Row],[Attrition]]="Yes",1,0)</f>
        <v>1</v>
      </c>
    </row>
    <row r="1239" spans="1:39" x14ac:dyDescent="0.3">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c r="AJ1239" t="str">
        <f>IF(HR_Employee_Attrition[[#This Row],[Age]]&gt;60,"60+",IF(HR_Employee_Attrition[[#This Row],[Age]]&gt;=50,"50-59",IF(HR_Employee_Attrition[[#This Row],[Age]]&gt;=40,"40-49",IF(HR_Employee_Attrition[[#This Row],[Age]]&gt;=30,"30-39",IF(HR_Employee_Attrition[[#This Row],[Age]]&gt;=20,"20-29",IF(HR_Employee_Attrition[[#This Row],[Age]]&gt;=18,"18-20"))))))</f>
        <v>30-39</v>
      </c>
      <c r="AK1239" t="str" cm="1">
        <f t="array" ref="AK1239">_xlfn.IFS(HR_Employee_Attrition[[#This Row],[YearsAtCompany]]&lt;=2,"0-2",HR_Employee_Attrition[[#This Row],[YearsAtCompany]]&lt;=5,"3-5",HR_Employee_Attrition[[#This Row],[YearsAtCompany]]&lt;=10,"6-10",HR_Employee_Attrition[[#This Row],[YearsAtCompany]]&gt;10,"10+")</f>
        <v>0-2</v>
      </c>
      <c r="AL1239" t="str" cm="1">
        <f t="array" ref="AL12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39">
        <f>IF(HR_Employee_Attrition[[#This Row],[Attrition]]="Yes",1,0)</f>
        <v>1</v>
      </c>
    </row>
    <row r="1240" spans="1:39" x14ac:dyDescent="0.3">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c r="AJ1240" t="str">
        <f>IF(HR_Employee_Attrition[[#This Row],[Age]]&gt;60,"60+",IF(HR_Employee_Attrition[[#This Row],[Age]]&gt;=50,"50-59",IF(HR_Employee_Attrition[[#This Row],[Age]]&gt;=40,"40-49",IF(HR_Employee_Attrition[[#This Row],[Age]]&gt;=30,"30-39",IF(HR_Employee_Attrition[[#This Row],[Age]]&gt;=20,"20-29",IF(HR_Employee_Attrition[[#This Row],[Age]]&gt;=18,"18-20"))))))</f>
        <v>20-29</v>
      </c>
      <c r="AK1240" t="str" cm="1">
        <f t="array" ref="AK1240">_xlfn.IFS(HR_Employee_Attrition[[#This Row],[YearsAtCompany]]&lt;=2,"0-2",HR_Employee_Attrition[[#This Row],[YearsAtCompany]]&lt;=5,"3-5",HR_Employee_Attrition[[#This Row],[YearsAtCompany]]&lt;=10,"6-10",HR_Employee_Attrition[[#This Row],[YearsAtCompany]]&gt;10,"10+")</f>
        <v>3-5</v>
      </c>
      <c r="AL1240" t="str" cm="1">
        <f t="array" ref="AL12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40">
        <f>IF(HR_Employee_Attrition[[#This Row],[Attrition]]="Yes",1,0)</f>
        <v>0</v>
      </c>
    </row>
    <row r="1241" spans="1:39" x14ac:dyDescent="0.3">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c r="AJ1241" t="str">
        <f>IF(HR_Employee_Attrition[[#This Row],[Age]]&gt;60,"60+",IF(HR_Employee_Attrition[[#This Row],[Age]]&gt;=50,"50-59",IF(HR_Employee_Attrition[[#This Row],[Age]]&gt;=40,"40-49",IF(HR_Employee_Attrition[[#This Row],[Age]]&gt;=30,"30-39",IF(HR_Employee_Attrition[[#This Row],[Age]]&gt;=20,"20-29",IF(HR_Employee_Attrition[[#This Row],[Age]]&gt;=18,"18-20"))))))</f>
        <v>30-39</v>
      </c>
      <c r="AK1241" t="str" cm="1">
        <f t="array" ref="AK1241">_xlfn.IFS(HR_Employee_Attrition[[#This Row],[YearsAtCompany]]&lt;=2,"0-2",HR_Employee_Attrition[[#This Row],[YearsAtCompany]]&lt;=5,"3-5",HR_Employee_Attrition[[#This Row],[YearsAtCompany]]&lt;=10,"6-10",HR_Employee_Attrition[[#This Row],[YearsAtCompany]]&gt;10,"10+")</f>
        <v>3-5</v>
      </c>
      <c r="AL1241" t="str" cm="1">
        <f t="array" ref="AL12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41">
        <f>IF(HR_Employee_Attrition[[#This Row],[Attrition]]="Yes",1,0)</f>
        <v>0</v>
      </c>
    </row>
    <row r="1242" spans="1:39" x14ac:dyDescent="0.3">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c r="AJ1242" t="str">
        <f>IF(HR_Employee_Attrition[[#This Row],[Age]]&gt;60,"60+",IF(HR_Employee_Attrition[[#This Row],[Age]]&gt;=50,"50-59",IF(HR_Employee_Attrition[[#This Row],[Age]]&gt;=40,"40-49",IF(HR_Employee_Attrition[[#This Row],[Age]]&gt;=30,"30-39",IF(HR_Employee_Attrition[[#This Row],[Age]]&gt;=20,"20-29",IF(HR_Employee_Attrition[[#This Row],[Age]]&gt;=18,"18-20"))))))</f>
        <v>30-39</v>
      </c>
      <c r="AK1242" t="str" cm="1">
        <f t="array" ref="AK1242">_xlfn.IFS(HR_Employee_Attrition[[#This Row],[YearsAtCompany]]&lt;=2,"0-2",HR_Employee_Attrition[[#This Row],[YearsAtCompany]]&lt;=5,"3-5",HR_Employee_Attrition[[#This Row],[YearsAtCompany]]&lt;=10,"6-10",HR_Employee_Attrition[[#This Row],[YearsAtCompany]]&gt;10,"10+")</f>
        <v>6-10</v>
      </c>
      <c r="AL1242" t="str" cm="1">
        <f t="array" ref="AL12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42">
        <f>IF(HR_Employee_Attrition[[#This Row],[Attrition]]="Yes",1,0)</f>
        <v>0</v>
      </c>
    </row>
    <row r="1243" spans="1:39" x14ac:dyDescent="0.3">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c r="AJ1243" t="str">
        <f>IF(HR_Employee_Attrition[[#This Row],[Age]]&gt;60,"60+",IF(HR_Employee_Attrition[[#This Row],[Age]]&gt;=50,"50-59",IF(HR_Employee_Attrition[[#This Row],[Age]]&gt;=40,"40-49",IF(HR_Employee_Attrition[[#This Row],[Age]]&gt;=30,"30-39",IF(HR_Employee_Attrition[[#This Row],[Age]]&gt;=20,"20-29",IF(HR_Employee_Attrition[[#This Row],[Age]]&gt;=18,"18-20"))))))</f>
        <v>30-39</v>
      </c>
      <c r="AK1243" t="str" cm="1">
        <f t="array" ref="AK1243">_xlfn.IFS(HR_Employee_Attrition[[#This Row],[YearsAtCompany]]&lt;=2,"0-2",HR_Employee_Attrition[[#This Row],[YearsAtCompany]]&lt;=5,"3-5",HR_Employee_Attrition[[#This Row],[YearsAtCompany]]&lt;=10,"6-10",HR_Employee_Attrition[[#This Row],[YearsAtCompany]]&gt;10,"10+")</f>
        <v>3-5</v>
      </c>
      <c r="AL1243" t="str" cm="1">
        <f t="array" ref="AL12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43">
        <f>IF(HR_Employee_Attrition[[#This Row],[Attrition]]="Yes",1,0)</f>
        <v>0</v>
      </c>
    </row>
    <row r="1244" spans="1:39" x14ac:dyDescent="0.3">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c r="AJ1244" t="str">
        <f>IF(HR_Employee_Attrition[[#This Row],[Age]]&gt;60,"60+",IF(HR_Employee_Attrition[[#This Row],[Age]]&gt;=50,"50-59",IF(HR_Employee_Attrition[[#This Row],[Age]]&gt;=40,"40-49",IF(HR_Employee_Attrition[[#This Row],[Age]]&gt;=30,"30-39",IF(HR_Employee_Attrition[[#This Row],[Age]]&gt;=20,"20-29",IF(HR_Employee_Attrition[[#This Row],[Age]]&gt;=18,"18-20"))))))</f>
        <v>40-49</v>
      </c>
      <c r="AK1244" t="str" cm="1">
        <f t="array" ref="AK1244">_xlfn.IFS(HR_Employee_Attrition[[#This Row],[YearsAtCompany]]&lt;=2,"0-2",HR_Employee_Attrition[[#This Row],[YearsAtCompany]]&lt;=5,"3-5",HR_Employee_Attrition[[#This Row],[YearsAtCompany]]&lt;=10,"6-10",HR_Employee_Attrition[[#This Row],[YearsAtCompany]]&gt;10,"10+")</f>
        <v>10+</v>
      </c>
      <c r="AL1244" t="str" cm="1">
        <f t="array" ref="AL12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244">
        <f>IF(HR_Employee_Attrition[[#This Row],[Attrition]]="Yes",1,0)</f>
        <v>0</v>
      </c>
    </row>
    <row r="1245" spans="1:39" x14ac:dyDescent="0.3">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c r="AJ1245" t="str">
        <f>IF(HR_Employee_Attrition[[#This Row],[Age]]&gt;60,"60+",IF(HR_Employee_Attrition[[#This Row],[Age]]&gt;=50,"50-59",IF(HR_Employee_Attrition[[#This Row],[Age]]&gt;=40,"40-49",IF(HR_Employee_Attrition[[#This Row],[Age]]&gt;=30,"30-39",IF(HR_Employee_Attrition[[#This Row],[Age]]&gt;=20,"20-29",IF(HR_Employee_Attrition[[#This Row],[Age]]&gt;=18,"18-20"))))))</f>
        <v>40-49</v>
      </c>
      <c r="AK1245" t="str" cm="1">
        <f t="array" ref="AK1245">_xlfn.IFS(HR_Employee_Attrition[[#This Row],[YearsAtCompany]]&lt;=2,"0-2",HR_Employee_Attrition[[#This Row],[YearsAtCompany]]&lt;=5,"3-5",HR_Employee_Attrition[[#This Row],[YearsAtCompany]]&lt;=10,"6-10",HR_Employee_Attrition[[#This Row],[YearsAtCompany]]&gt;10,"10+")</f>
        <v>3-5</v>
      </c>
      <c r="AL1245" t="str" cm="1">
        <f t="array" ref="AL12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45">
        <f>IF(HR_Employee_Attrition[[#This Row],[Attrition]]="Yes",1,0)</f>
        <v>0</v>
      </c>
    </row>
    <row r="1246" spans="1:39" x14ac:dyDescent="0.3">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c r="AJ1246" t="str">
        <f>IF(HR_Employee_Attrition[[#This Row],[Age]]&gt;60,"60+",IF(HR_Employee_Attrition[[#This Row],[Age]]&gt;=50,"50-59",IF(HR_Employee_Attrition[[#This Row],[Age]]&gt;=40,"40-49",IF(HR_Employee_Attrition[[#This Row],[Age]]&gt;=30,"30-39",IF(HR_Employee_Attrition[[#This Row],[Age]]&gt;=20,"20-29",IF(HR_Employee_Attrition[[#This Row],[Age]]&gt;=18,"18-20"))))))</f>
        <v>30-39</v>
      </c>
      <c r="AK1246" t="str" cm="1">
        <f t="array" ref="AK1246">_xlfn.IFS(HR_Employee_Attrition[[#This Row],[YearsAtCompany]]&lt;=2,"0-2",HR_Employee_Attrition[[#This Row],[YearsAtCompany]]&lt;=5,"3-5",HR_Employee_Attrition[[#This Row],[YearsAtCompany]]&lt;=10,"6-10",HR_Employee_Attrition[[#This Row],[YearsAtCompany]]&gt;10,"10+")</f>
        <v>6-10</v>
      </c>
      <c r="AL1246" t="str" cm="1">
        <f t="array" ref="AL12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46">
        <f>IF(HR_Employee_Attrition[[#This Row],[Attrition]]="Yes",1,0)</f>
        <v>0</v>
      </c>
    </row>
    <row r="1247" spans="1:39" x14ac:dyDescent="0.3">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c r="AJ1247" t="str">
        <f>IF(HR_Employee_Attrition[[#This Row],[Age]]&gt;60,"60+",IF(HR_Employee_Attrition[[#This Row],[Age]]&gt;=50,"50-59",IF(HR_Employee_Attrition[[#This Row],[Age]]&gt;=40,"40-49",IF(HR_Employee_Attrition[[#This Row],[Age]]&gt;=30,"30-39",IF(HR_Employee_Attrition[[#This Row],[Age]]&gt;=20,"20-29",IF(HR_Employee_Attrition[[#This Row],[Age]]&gt;=18,"18-20"))))))</f>
        <v>20-29</v>
      </c>
      <c r="AK1247" t="str" cm="1">
        <f t="array" ref="AK1247">_xlfn.IFS(HR_Employee_Attrition[[#This Row],[YearsAtCompany]]&lt;=2,"0-2",HR_Employee_Attrition[[#This Row],[YearsAtCompany]]&lt;=5,"3-5",HR_Employee_Attrition[[#This Row],[YearsAtCompany]]&lt;=10,"6-10",HR_Employee_Attrition[[#This Row],[YearsAtCompany]]&gt;10,"10+")</f>
        <v>0-2</v>
      </c>
      <c r="AL1247" t="str" cm="1">
        <f t="array" ref="AL12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47">
        <f>IF(HR_Employee_Attrition[[#This Row],[Attrition]]="Yes",1,0)</f>
        <v>0</v>
      </c>
    </row>
    <row r="1248" spans="1:39" x14ac:dyDescent="0.3">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c r="AJ1248" t="str">
        <f>IF(HR_Employee_Attrition[[#This Row],[Age]]&gt;60,"60+",IF(HR_Employee_Attrition[[#This Row],[Age]]&gt;=50,"50-59",IF(HR_Employee_Attrition[[#This Row],[Age]]&gt;=40,"40-49",IF(HR_Employee_Attrition[[#This Row],[Age]]&gt;=30,"30-39",IF(HR_Employee_Attrition[[#This Row],[Age]]&gt;=20,"20-29",IF(HR_Employee_Attrition[[#This Row],[Age]]&gt;=18,"18-20"))))))</f>
        <v>30-39</v>
      </c>
      <c r="AK1248" t="str" cm="1">
        <f t="array" ref="AK1248">_xlfn.IFS(HR_Employee_Attrition[[#This Row],[YearsAtCompany]]&lt;=2,"0-2",HR_Employee_Attrition[[#This Row],[YearsAtCompany]]&lt;=5,"3-5",HR_Employee_Attrition[[#This Row],[YearsAtCompany]]&lt;=10,"6-10",HR_Employee_Attrition[[#This Row],[YearsAtCompany]]&gt;10,"10+")</f>
        <v>3-5</v>
      </c>
      <c r="AL1248" t="str" cm="1">
        <f t="array" ref="AL12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48">
        <f>IF(HR_Employee_Attrition[[#This Row],[Attrition]]="Yes",1,0)</f>
        <v>1</v>
      </c>
    </row>
    <row r="1249" spans="1:39" x14ac:dyDescent="0.3">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c r="AJ1249" t="str">
        <f>IF(HR_Employee_Attrition[[#This Row],[Age]]&gt;60,"60+",IF(HR_Employee_Attrition[[#This Row],[Age]]&gt;=50,"50-59",IF(HR_Employee_Attrition[[#This Row],[Age]]&gt;=40,"40-49",IF(HR_Employee_Attrition[[#This Row],[Age]]&gt;=30,"30-39",IF(HR_Employee_Attrition[[#This Row],[Age]]&gt;=20,"20-29",IF(HR_Employee_Attrition[[#This Row],[Age]]&gt;=18,"18-20"))))))</f>
        <v>30-39</v>
      </c>
      <c r="AK1249" t="str" cm="1">
        <f t="array" ref="AK1249">_xlfn.IFS(HR_Employee_Attrition[[#This Row],[YearsAtCompany]]&lt;=2,"0-2",HR_Employee_Attrition[[#This Row],[YearsAtCompany]]&lt;=5,"3-5",HR_Employee_Attrition[[#This Row],[YearsAtCompany]]&lt;=10,"6-10",HR_Employee_Attrition[[#This Row],[YearsAtCompany]]&gt;10,"10+")</f>
        <v>3-5</v>
      </c>
      <c r="AL1249" t="str" cm="1">
        <f t="array" ref="AL12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49">
        <f>IF(HR_Employee_Attrition[[#This Row],[Attrition]]="Yes",1,0)</f>
        <v>0</v>
      </c>
    </row>
    <row r="1250" spans="1:39" x14ac:dyDescent="0.3">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c r="AJ1250" t="str">
        <f>IF(HR_Employee_Attrition[[#This Row],[Age]]&gt;60,"60+",IF(HR_Employee_Attrition[[#This Row],[Age]]&gt;=50,"50-59",IF(HR_Employee_Attrition[[#This Row],[Age]]&gt;=40,"40-49",IF(HR_Employee_Attrition[[#This Row],[Age]]&gt;=30,"30-39",IF(HR_Employee_Attrition[[#This Row],[Age]]&gt;=20,"20-29",IF(HR_Employee_Attrition[[#This Row],[Age]]&gt;=18,"18-20"))))))</f>
        <v>20-29</v>
      </c>
      <c r="AK1250" t="str" cm="1">
        <f t="array" ref="AK1250">_xlfn.IFS(HR_Employee_Attrition[[#This Row],[YearsAtCompany]]&lt;=2,"0-2",HR_Employee_Attrition[[#This Row],[YearsAtCompany]]&lt;=5,"3-5",HR_Employee_Attrition[[#This Row],[YearsAtCompany]]&lt;=10,"6-10",HR_Employee_Attrition[[#This Row],[YearsAtCompany]]&gt;10,"10+")</f>
        <v>6-10</v>
      </c>
      <c r="AL1250" t="str" cm="1">
        <f t="array" ref="AL12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50">
        <f>IF(HR_Employee_Attrition[[#This Row],[Attrition]]="Yes",1,0)</f>
        <v>0</v>
      </c>
    </row>
    <row r="1251" spans="1:39" x14ac:dyDescent="0.3">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c r="AJ1251" t="str">
        <f>IF(HR_Employee_Attrition[[#This Row],[Age]]&gt;60,"60+",IF(HR_Employee_Attrition[[#This Row],[Age]]&gt;=50,"50-59",IF(HR_Employee_Attrition[[#This Row],[Age]]&gt;=40,"40-49",IF(HR_Employee_Attrition[[#This Row],[Age]]&gt;=30,"30-39",IF(HR_Employee_Attrition[[#This Row],[Age]]&gt;=20,"20-29",IF(HR_Employee_Attrition[[#This Row],[Age]]&gt;=18,"18-20"))))))</f>
        <v>20-29</v>
      </c>
      <c r="AK1251" t="str" cm="1">
        <f t="array" ref="AK1251">_xlfn.IFS(HR_Employee_Attrition[[#This Row],[YearsAtCompany]]&lt;=2,"0-2",HR_Employee_Attrition[[#This Row],[YearsAtCompany]]&lt;=5,"3-5",HR_Employee_Attrition[[#This Row],[YearsAtCompany]]&lt;=10,"6-10",HR_Employee_Attrition[[#This Row],[YearsAtCompany]]&gt;10,"10+")</f>
        <v>0-2</v>
      </c>
      <c r="AL1251" t="str" cm="1">
        <f t="array" ref="AL12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51">
        <f>IF(HR_Employee_Attrition[[#This Row],[Attrition]]="Yes",1,0)</f>
        <v>1</v>
      </c>
    </row>
    <row r="1252" spans="1:39" x14ac:dyDescent="0.3">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c r="AJ1252" t="str">
        <f>IF(HR_Employee_Attrition[[#This Row],[Age]]&gt;60,"60+",IF(HR_Employee_Attrition[[#This Row],[Age]]&gt;=50,"50-59",IF(HR_Employee_Attrition[[#This Row],[Age]]&gt;=40,"40-49",IF(HR_Employee_Attrition[[#This Row],[Age]]&gt;=30,"30-39",IF(HR_Employee_Attrition[[#This Row],[Age]]&gt;=20,"20-29",IF(HR_Employee_Attrition[[#This Row],[Age]]&gt;=18,"18-20"))))))</f>
        <v>20-29</v>
      </c>
      <c r="AK1252" t="str" cm="1">
        <f t="array" ref="AK1252">_xlfn.IFS(HR_Employee_Attrition[[#This Row],[YearsAtCompany]]&lt;=2,"0-2",HR_Employee_Attrition[[#This Row],[YearsAtCompany]]&lt;=5,"3-5",HR_Employee_Attrition[[#This Row],[YearsAtCompany]]&lt;=10,"6-10",HR_Employee_Attrition[[#This Row],[YearsAtCompany]]&gt;10,"10+")</f>
        <v>3-5</v>
      </c>
      <c r="AL1252" t="str" cm="1">
        <f t="array" ref="AL12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52">
        <f>IF(HR_Employee_Attrition[[#This Row],[Attrition]]="Yes",1,0)</f>
        <v>0</v>
      </c>
    </row>
    <row r="1253" spans="1:39" x14ac:dyDescent="0.3">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c r="AJ1253" t="str">
        <f>IF(HR_Employee_Attrition[[#This Row],[Age]]&gt;60,"60+",IF(HR_Employee_Attrition[[#This Row],[Age]]&gt;=50,"50-59",IF(HR_Employee_Attrition[[#This Row],[Age]]&gt;=40,"40-49",IF(HR_Employee_Attrition[[#This Row],[Age]]&gt;=30,"30-39",IF(HR_Employee_Attrition[[#This Row],[Age]]&gt;=20,"20-29",IF(HR_Employee_Attrition[[#This Row],[Age]]&gt;=18,"18-20"))))))</f>
        <v>30-39</v>
      </c>
      <c r="AK1253" t="str" cm="1">
        <f t="array" ref="AK1253">_xlfn.IFS(HR_Employee_Attrition[[#This Row],[YearsAtCompany]]&lt;=2,"0-2",HR_Employee_Attrition[[#This Row],[YearsAtCompany]]&lt;=5,"3-5",HR_Employee_Attrition[[#This Row],[YearsAtCompany]]&lt;=10,"6-10",HR_Employee_Attrition[[#This Row],[YearsAtCompany]]&gt;10,"10+")</f>
        <v>6-10</v>
      </c>
      <c r="AL1253" t="str" cm="1">
        <f t="array" ref="AL12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53">
        <f>IF(HR_Employee_Attrition[[#This Row],[Attrition]]="Yes",1,0)</f>
        <v>0</v>
      </c>
    </row>
    <row r="1254" spans="1:39" x14ac:dyDescent="0.3">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c r="AJ1254" t="str">
        <f>IF(HR_Employee_Attrition[[#This Row],[Age]]&gt;60,"60+",IF(HR_Employee_Attrition[[#This Row],[Age]]&gt;=50,"50-59",IF(HR_Employee_Attrition[[#This Row],[Age]]&gt;=40,"40-49",IF(HR_Employee_Attrition[[#This Row],[Age]]&gt;=30,"30-39",IF(HR_Employee_Attrition[[#This Row],[Age]]&gt;=20,"20-29",IF(HR_Employee_Attrition[[#This Row],[Age]]&gt;=18,"18-20"))))))</f>
        <v>30-39</v>
      </c>
      <c r="AK1254" t="str" cm="1">
        <f t="array" ref="AK1254">_xlfn.IFS(HR_Employee_Attrition[[#This Row],[YearsAtCompany]]&lt;=2,"0-2",HR_Employee_Attrition[[#This Row],[YearsAtCompany]]&lt;=5,"3-5",HR_Employee_Attrition[[#This Row],[YearsAtCompany]]&lt;=10,"6-10",HR_Employee_Attrition[[#This Row],[YearsAtCompany]]&gt;10,"10+")</f>
        <v>3-5</v>
      </c>
      <c r="AL1254" t="str" cm="1">
        <f t="array" ref="AL12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54">
        <f>IF(HR_Employee_Attrition[[#This Row],[Attrition]]="Yes",1,0)</f>
        <v>0</v>
      </c>
    </row>
    <row r="1255" spans="1:39" x14ac:dyDescent="0.3">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c r="AJ1255" t="str">
        <f>IF(HR_Employee_Attrition[[#This Row],[Age]]&gt;60,"60+",IF(HR_Employee_Attrition[[#This Row],[Age]]&gt;=50,"50-59",IF(HR_Employee_Attrition[[#This Row],[Age]]&gt;=40,"40-49",IF(HR_Employee_Attrition[[#This Row],[Age]]&gt;=30,"30-39",IF(HR_Employee_Attrition[[#This Row],[Age]]&gt;=20,"20-29",IF(HR_Employee_Attrition[[#This Row],[Age]]&gt;=18,"18-20"))))))</f>
        <v>30-39</v>
      </c>
      <c r="AK1255" t="str" cm="1">
        <f t="array" ref="AK1255">_xlfn.IFS(HR_Employee_Attrition[[#This Row],[YearsAtCompany]]&lt;=2,"0-2",HR_Employee_Attrition[[#This Row],[YearsAtCompany]]&lt;=5,"3-5",HR_Employee_Attrition[[#This Row],[YearsAtCompany]]&lt;=10,"6-10",HR_Employee_Attrition[[#This Row],[YearsAtCompany]]&gt;10,"10+")</f>
        <v>10+</v>
      </c>
      <c r="AL1255" t="str" cm="1">
        <f t="array" ref="AL12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55">
        <f>IF(HR_Employee_Attrition[[#This Row],[Attrition]]="Yes",1,0)</f>
        <v>0</v>
      </c>
    </row>
    <row r="1256" spans="1:39" x14ac:dyDescent="0.3">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c r="AJ1256" t="str">
        <f>IF(HR_Employee_Attrition[[#This Row],[Age]]&gt;60,"60+",IF(HR_Employee_Attrition[[#This Row],[Age]]&gt;=50,"50-59",IF(HR_Employee_Attrition[[#This Row],[Age]]&gt;=40,"40-49",IF(HR_Employee_Attrition[[#This Row],[Age]]&gt;=30,"30-39",IF(HR_Employee_Attrition[[#This Row],[Age]]&gt;=20,"20-29",IF(HR_Employee_Attrition[[#This Row],[Age]]&gt;=18,"18-20"))))))</f>
        <v>40-49</v>
      </c>
      <c r="AK1256" t="str" cm="1">
        <f t="array" ref="AK1256">_xlfn.IFS(HR_Employee_Attrition[[#This Row],[YearsAtCompany]]&lt;=2,"0-2",HR_Employee_Attrition[[#This Row],[YearsAtCompany]]&lt;=5,"3-5",HR_Employee_Attrition[[#This Row],[YearsAtCompany]]&lt;=10,"6-10",HR_Employee_Attrition[[#This Row],[YearsAtCompany]]&gt;10,"10+")</f>
        <v>3-5</v>
      </c>
      <c r="AL1256" t="str" cm="1">
        <f t="array" ref="AL12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56">
        <f>IF(HR_Employee_Attrition[[#This Row],[Attrition]]="Yes",1,0)</f>
        <v>0</v>
      </c>
    </row>
    <row r="1257" spans="1:39" x14ac:dyDescent="0.3">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c r="AJ1257" t="str">
        <f>IF(HR_Employee_Attrition[[#This Row],[Age]]&gt;60,"60+",IF(HR_Employee_Attrition[[#This Row],[Age]]&gt;=50,"50-59",IF(HR_Employee_Attrition[[#This Row],[Age]]&gt;=40,"40-49",IF(HR_Employee_Attrition[[#This Row],[Age]]&gt;=30,"30-39",IF(HR_Employee_Attrition[[#This Row],[Age]]&gt;=20,"20-29",IF(HR_Employee_Attrition[[#This Row],[Age]]&gt;=18,"18-20"))))))</f>
        <v>30-39</v>
      </c>
      <c r="AK1257" t="str" cm="1">
        <f t="array" ref="AK1257">_xlfn.IFS(HR_Employee_Attrition[[#This Row],[YearsAtCompany]]&lt;=2,"0-2",HR_Employee_Attrition[[#This Row],[YearsAtCompany]]&lt;=5,"3-5",HR_Employee_Attrition[[#This Row],[YearsAtCompany]]&lt;=10,"6-10",HR_Employee_Attrition[[#This Row],[YearsAtCompany]]&gt;10,"10+")</f>
        <v>0-2</v>
      </c>
      <c r="AL1257" t="str" cm="1">
        <f t="array" ref="AL12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57">
        <f>IF(HR_Employee_Attrition[[#This Row],[Attrition]]="Yes",1,0)</f>
        <v>1</v>
      </c>
    </row>
    <row r="1258" spans="1:39" x14ac:dyDescent="0.3">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c r="AJ1258" t="str">
        <f>IF(HR_Employee_Attrition[[#This Row],[Age]]&gt;60,"60+",IF(HR_Employee_Attrition[[#This Row],[Age]]&gt;=50,"50-59",IF(HR_Employee_Attrition[[#This Row],[Age]]&gt;=40,"40-49",IF(HR_Employee_Attrition[[#This Row],[Age]]&gt;=30,"30-39",IF(HR_Employee_Attrition[[#This Row],[Age]]&gt;=20,"20-29",IF(HR_Employee_Attrition[[#This Row],[Age]]&gt;=18,"18-20"))))))</f>
        <v>30-39</v>
      </c>
      <c r="AK1258" t="str" cm="1">
        <f t="array" ref="AK1258">_xlfn.IFS(HR_Employee_Attrition[[#This Row],[YearsAtCompany]]&lt;=2,"0-2",HR_Employee_Attrition[[#This Row],[YearsAtCompany]]&lt;=5,"3-5",HR_Employee_Attrition[[#This Row],[YearsAtCompany]]&lt;=10,"6-10",HR_Employee_Attrition[[#This Row],[YearsAtCompany]]&gt;10,"10+")</f>
        <v>6-10</v>
      </c>
      <c r="AL1258" t="str" cm="1">
        <f t="array" ref="AL12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58">
        <f>IF(HR_Employee_Attrition[[#This Row],[Attrition]]="Yes",1,0)</f>
        <v>0</v>
      </c>
    </row>
    <row r="1259" spans="1:39" x14ac:dyDescent="0.3">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c r="AJ1259" t="str">
        <f>IF(HR_Employee_Attrition[[#This Row],[Age]]&gt;60,"60+",IF(HR_Employee_Attrition[[#This Row],[Age]]&gt;=50,"50-59",IF(HR_Employee_Attrition[[#This Row],[Age]]&gt;=40,"40-49",IF(HR_Employee_Attrition[[#This Row],[Age]]&gt;=30,"30-39",IF(HR_Employee_Attrition[[#This Row],[Age]]&gt;=20,"20-29",IF(HR_Employee_Attrition[[#This Row],[Age]]&gt;=18,"18-20"))))))</f>
        <v>30-39</v>
      </c>
      <c r="AK1259" t="str" cm="1">
        <f t="array" ref="AK1259">_xlfn.IFS(HR_Employee_Attrition[[#This Row],[YearsAtCompany]]&lt;=2,"0-2",HR_Employee_Attrition[[#This Row],[YearsAtCompany]]&lt;=5,"3-5",HR_Employee_Attrition[[#This Row],[YearsAtCompany]]&lt;=10,"6-10",HR_Employee_Attrition[[#This Row],[YearsAtCompany]]&gt;10,"10+")</f>
        <v>0-2</v>
      </c>
      <c r="AL1259" t="str" cm="1">
        <f t="array" ref="AL12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59">
        <f>IF(HR_Employee_Attrition[[#This Row],[Attrition]]="Yes",1,0)</f>
        <v>1</v>
      </c>
    </row>
    <row r="1260" spans="1:39" x14ac:dyDescent="0.3">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c r="AJ1260" t="str">
        <f>IF(HR_Employee_Attrition[[#This Row],[Age]]&gt;60,"60+",IF(HR_Employee_Attrition[[#This Row],[Age]]&gt;=50,"50-59",IF(HR_Employee_Attrition[[#This Row],[Age]]&gt;=40,"40-49",IF(HR_Employee_Attrition[[#This Row],[Age]]&gt;=30,"30-39",IF(HR_Employee_Attrition[[#This Row],[Age]]&gt;=20,"20-29",IF(HR_Employee_Attrition[[#This Row],[Age]]&gt;=18,"18-20"))))))</f>
        <v>20-29</v>
      </c>
      <c r="AK1260" t="str" cm="1">
        <f t="array" ref="AK1260">_xlfn.IFS(HR_Employee_Attrition[[#This Row],[YearsAtCompany]]&lt;=2,"0-2",HR_Employee_Attrition[[#This Row],[YearsAtCompany]]&lt;=5,"3-5",HR_Employee_Attrition[[#This Row],[YearsAtCompany]]&lt;=10,"6-10",HR_Employee_Attrition[[#This Row],[YearsAtCompany]]&gt;10,"10+")</f>
        <v>0-2</v>
      </c>
      <c r="AL1260" t="str" cm="1">
        <f t="array" ref="AL12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60">
        <f>IF(HR_Employee_Attrition[[#This Row],[Attrition]]="Yes",1,0)</f>
        <v>0</v>
      </c>
    </row>
    <row r="1261" spans="1:39" x14ac:dyDescent="0.3">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c r="AJ1261" t="str">
        <f>IF(HR_Employee_Attrition[[#This Row],[Age]]&gt;60,"60+",IF(HR_Employee_Attrition[[#This Row],[Age]]&gt;=50,"50-59",IF(HR_Employee_Attrition[[#This Row],[Age]]&gt;=40,"40-49",IF(HR_Employee_Attrition[[#This Row],[Age]]&gt;=30,"30-39",IF(HR_Employee_Attrition[[#This Row],[Age]]&gt;=20,"20-29",IF(HR_Employee_Attrition[[#This Row],[Age]]&gt;=18,"18-20"))))))</f>
        <v>30-39</v>
      </c>
      <c r="AK1261" t="str" cm="1">
        <f t="array" ref="AK1261">_xlfn.IFS(HR_Employee_Attrition[[#This Row],[YearsAtCompany]]&lt;=2,"0-2",HR_Employee_Attrition[[#This Row],[YearsAtCompany]]&lt;=5,"3-5",HR_Employee_Attrition[[#This Row],[YearsAtCompany]]&lt;=10,"6-10",HR_Employee_Attrition[[#This Row],[YearsAtCompany]]&gt;10,"10+")</f>
        <v>6-10</v>
      </c>
      <c r="AL1261" t="str" cm="1">
        <f t="array" ref="AL12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61">
        <f>IF(HR_Employee_Attrition[[#This Row],[Attrition]]="Yes",1,0)</f>
        <v>0</v>
      </c>
    </row>
    <row r="1262" spans="1:39" x14ac:dyDescent="0.3">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c r="AJ1262" t="str">
        <f>IF(HR_Employee_Attrition[[#This Row],[Age]]&gt;60,"60+",IF(HR_Employee_Attrition[[#This Row],[Age]]&gt;=50,"50-59",IF(HR_Employee_Attrition[[#This Row],[Age]]&gt;=40,"40-49",IF(HR_Employee_Attrition[[#This Row],[Age]]&gt;=30,"30-39",IF(HR_Employee_Attrition[[#This Row],[Age]]&gt;=20,"20-29",IF(HR_Employee_Attrition[[#This Row],[Age]]&gt;=18,"18-20"))))))</f>
        <v>30-39</v>
      </c>
      <c r="AK1262" t="str" cm="1">
        <f t="array" ref="AK1262">_xlfn.IFS(HR_Employee_Attrition[[#This Row],[YearsAtCompany]]&lt;=2,"0-2",HR_Employee_Attrition[[#This Row],[YearsAtCompany]]&lt;=5,"3-5",HR_Employee_Attrition[[#This Row],[YearsAtCompany]]&lt;=10,"6-10",HR_Employee_Attrition[[#This Row],[YearsAtCompany]]&gt;10,"10+")</f>
        <v>6-10</v>
      </c>
      <c r="AL1262" t="str" cm="1">
        <f t="array" ref="AL12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62">
        <f>IF(HR_Employee_Attrition[[#This Row],[Attrition]]="Yes",1,0)</f>
        <v>0</v>
      </c>
    </row>
    <row r="1263" spans="1:39" x14ac:dyDescent="0.3">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c r="AJ1263" t="str">
        <f>IF(HR_Employee_Attrition[[#This Row],[Age]]&gt;60,"60+",IF(HR_Employee_Attrition[[#This Row],[Age]]&gt;=50,"50-59",IF(HR_Employee_Attrition[[#This Row],[Age]]&gt;=40,"40-49",IF(HR_Employee_Attrition[[#This Row],[Age]]&gt;=30,"30-39",IF(HR_Employee_Attrition[[#This Row],[Age]]&gt;=20,"20-29",IF(HR_Employee_Attrition[[#This Row],[Age]]&gt;=18,"18-20"))))))</f>
        <v>30-39</v>
      </c>
      <c r="AK1263" t="str" cm="1">
        <f t="array" ref="AK1263">_xlfn.IFS(HR_Employee_Attrition[[#This Row],[YearsAtCompany]]&lt;=2,"0-2",HR_Employee_Attrition[[#This Row],[YearsAtCompany]]&lt;=5,"3-5",HR_Employee_Attrition[[#This Row],[YearsAtCompany]]&lt;=10,"6-10",HR_Employee_Attrition[[#This Row],[YearsAtCompany]]&gt;10,"10+")</f>
        <v>0-2</v>
      </c>
      <c r="AL1263" t="str" cm="1">
        <f t="array" ref="AL12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63">
        <f>IF(HR_Employee_Attrition[[#This Row],[Attrition]]="Yes",1,0)</f>
        <v>0</v>
      </c>
    </row>
    <row r="1264" spans="1:39" x14ac:dyDescent="0.3">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c r="AJ1264" t="str">
        <f>IF(HR_Employee_Attrition[[#This Row],[Age]]&gt;60,"60+",IF(HR_Employee_Attrition[[#This Row],[Age]]&gt;=50,"50-59",IF(HR_Employee_Attrition[[#This Row],[Age]]&gt;=40,"40-49",IF(HR_Employee_Attrition[[#This Row],[Age]]&gt;=30,"30-39",IF(HR_Employee_Attrition[[#This Row],[Age]]&gt;=20,"20-29",IF(HR_Employee_Attrition[[#This Row],[Age]]&gt;=18,"18-20"))))))</f>
        <v>40-49</v>
      </c>
      <c r="AK1264" t="str" cm="1">
        <f t="array" ref="AK1264">_xlfn.IFS(HR_Employee_Attrition[[#This Row],[YearsAtCompany]]&lt;=2,"0-2",HR_Employee_Attrition[[#This Row],[YearsAtCompany]]&lt;=5,"3-5",HR_Employee_Attrition[[#This Row],[YearsAtCompany]]&lt;=10,"6-10",HR_Employee_Attrition[[#This Row],[YearsAtCompany]]&gt;10,"10+")</f>
        <v>0-2</v>
      </c>
      <c r="AL1264" t="str" cm="1">
        <f t="array" ref="AL12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64">
        <f>IF(HR_Employee_Attrition[[#This Row],[Attrition]]="Yes",1,0)</f>
        <v>1</v>
      </c>
    </row>
    <row r="1265" spans="1:39" x14ac:dyDescent="0.3">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c r="AJ1265" t="str">
        <f>IF(HR_Employee_Attrition[[#This Row],[Age]]&gt;60,"60+",IF(HR_Employee_Attrition[[#This Row],[Age]]&gt;=50,"50-59",IF(HR_Employee_Attrition[[#This Row],[Age]]&gt;=40,"40-49",IF(HR_Employee_Attrition[[#This Row],[Age]]&gt;=30,"30-39",IF(HR_Employee_Attrition[[#This Row],[Age]]&gt;=20,"20-29",IF(HR_Employee_Attrition[[#This Row],[Age]]&gt;=18,"18-20"))))))</f>
        <v>40-49</v>
      </c>
      <c r="AK1265" t="str" cm="1">
        <f t="array" ref="AK1265">_xlfn.IFS(HR_Employee_Attrition[[#This Row],[YearsAtCompany]]&lt;=2,"0-2",HR_Employee_Attrition[[#This Row],[YearsAtCompany]]&lt;=5,"3-5",HR_Employee_Attrition[[#This Row],[YearsAtCompany]]&lt;=10,"6-10",HR_Employee_Attrition[[#This Row],[YearsAtCompany]]&gt;10,"10+")</f>
        <v>3-5</v>
      </c>
      <c r="AL1265" t="str" cm="1">
        <f t="array" ref="AL12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65">
        <f>IF(HR_Employee_Attrition[[#This Row],[Attrition]]="Yes",1,0)</f>
        <v>0</v>
      </c>
    </row>
    <row r="1266" spans="1:39" x14ac:dyDescent="0.3">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c r="AJ1266" t="str">
        <f>IF(HR_Employee_Attrition[[#This Row],[Age]]&gt;60,"60+",IF(HR_Employee_Attrition[[#This Row],[Age]]&gt;=50,"50-59",IF(HR_Employee_Attrition[[#This Row],[Age]]&gt;=40,"40-49",IF(HR_Employee_Attrition[[#This Row],[Age]]&gt;=30,"30-39",IF(HR_Employee_Attrition[[#This Row],[Age]]&gt;=20,"20-29",IF(HR_Employee_Attrition[[#This Row],[Age]]&gt;=18,"18-20"))))))</f>
        <v>50-59</v>
      </c>
      <c r="AK1266" t="str" cm="1">
        <f t="array" ref="AK1266">_xlfn.IFS(HR_Employee_Attrition[[#This Row],[YearsAtCompany]]&lt;=2,"0-2",HR_Employee_Attrition[[#This Row],[YearsAtCompany]]&lt;=5,"3-5",HR_Employee_Attrition[[#This Row],[YearsAtCompany]]&lt;=10,"6-10",HR_Employee_Attrition[[#This Row],[YearsAtCompany]]&gt;10,"10+")</f>
        <v>0-2</v>
      </c>
      <c r="AL1266" t="str" cm="1">
        <f t="array" ref="AL12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266">
        <f>IF(HR_Employee_Attrition[[#This Row],[Attrition]]="Yes",1,0)</f>
        <v>0</v>
      </c>
    </row>
    <row r="1267" spans="1:39" x14ac:dyDescent="0.3">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c r="AJ1267" t="str">
        <f>IF(HR_Employee_Attrition[[#This Row],[Age]]&gt;60,"60+",IF(HR_Employee_Attrition[[#This Row],[Age]]&gt;=50,"50-59",IF(HR_Employee_Attrition[[#This Row],[Age]]&gt;=40,"40-49",IF(HR_Employee_Attrition[[#This Row],[Age]]&gt;=30,"30-39",IF(HR_Employee_Attrition[[#This Row],[Age]]&gt;=20,"20-29",IF(HR_Employee_Attrition[[#This Row],[Age]]&gt;=18,"18-20"))))))</f>
        <v>30-39</v>
      </c>
      <c r="AK1267" t="str" cm="1">
        <f t="array" ref="AK1267">_xlfn.IFS(HR_Employee_Attrition[[#This Row],[YearsAtCompany]]&lt;=2,"0-2",HR_Employee_Attrition[[#This Row],[YearsAtCompany]]&lt;=5,"3-5",HR_Employee_Attrition[[#This Row],[YearsAtCompany]]&lt;=10,"6-10",HR_Employee_Attrition[[#This Row],[YearsAtCompany]]&gt;10,"10+")</f>
        <v>6-10</v>
      </c>
      <c r="AL1267" t="str" cm="1">
        <f t="array" ref="AL12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67">
        <f>IF(HR_Employee_Attrition[[#This Row],[Attrition]]="Yes",1,0)</f>
        <v>0</v>
      </c>
    </row>
    <row r="1268" spans="1:39" x14ac:dyDescent="0.3">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c r="AJ1268" t="str">
        <f>IF(HR_Employee_Attrition[[#This Row],[Age]]&gt;60,"60+",IF(HR_Employee_Attrition[[#This Row],[Age]]&gt;=50,"50-59",IF(HR_Employee_Attrition[[#This Row],[Age]]&gt;=40,"40-49",IF(HR_Employee_Attrition[[#This Row],[Age]]&gt;=30,"30-39",IF(HR_Employee_Attrition[[#This Row],[Age]]&gt;=20,"20-29",IF(HR_Employee_Attrition[[#This Row],[Age]]&gt;=18,"18-20"))))))</f>
        <v>40-49</v>
      </c>
      <c r="AK1268" t="str" cm="1">
        <f t="array" ref="AK1268">_xlfn.IFS(HR_Employee_Attrition[[#This Row],[YearsAtCompany]]&lt;=2,"0-2",HR_Employee_Attrition[[#This Row],[YearsAtCompany]]&lt;=5,"3-5",HR_Employee_Attrition[[#This Row],[YearsAtCompany]]&lt;=10,"6-10",HR_Employee_Attrition[[#This Row],[YearsAtCompany]]&gt;10,"10+")</f>
        <v>3-5</v>
      </c>
      <c r="AL1268" t="str" cm="1">
        <f t="array" ref="AL12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68">
        <f>IF(HR_Employee_Attrition[[#This Row],[Attrition]]="Yes",1,0)</f>
        <v>0</v>
      </c>
    </row>
    <row r="1269" spans="1:39" x14ac:dyDescent="0.3">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c r="AJ1269" t="str">
        <f>IF(HR_Employee_Attrition[[#This Row],[Age]]&gt;60,"60+",IF(HR_Employee_Attrition[[#This Row],[Age]]&gt;=50,"50-59",IF(HR_Employee_Attrition[[#This Row],[Age]]&gt;=40,"40-49",IF(HR_Employee_Attrition[[#This Row],[Age]]&gt;=30,"30-39",IF(HR_Employee_Attrition[[#This Row],[Age]]&gt;=20,"20-29",IF(HR_Employee_Attrition[[#This Row],[Age]]&gt;=18,"18-20"))))))</f>
        <v>30-39</v>
      </c>
      <c r="AK1269" t="str" cm="1">
        <f t="array" ref="AK1269">_xlfn.IFS(HR_Employee_Attrition[[#This Row],[YearsAtCompany]]&lt;=2,"0-2",HR_Employee_Attrition[[#This Row],[YearsAtCompany]]&lt;=5,"3-5",HR_Employee_Attrition[[#This Row],[YearsAtCompany]]&lt;=10,"6-10",HR_Employee_Attrition[[#This Row],[YearsAtCompany]]&gt;10,"10+")</f>
        <v>10+</v>
      </c>
      <c r="AL1269" t="str" cm="1">
        <f t="array" ref="AL12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69">
        <f>IF(HR_Employee_Attrition[[#This Row],[Attrition]]="Yes",1,0)</f>
        <v>0</v>
      </c>
    </row>
    <row r="1270" spans="1:39" x14ac:dyDescent="0.3">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c r="AJ1270" t="str">
        <f>IF(HR_Employee_Attrition[[#This Row],[Age]]&gt;60,"60+",IF(HR_Employee_Attrition[[#This Row],[Age]]&gt;=50,"50-59",IF(HR_Employee_Attrition[[#This Row],[Age]]&gt;=40,"40-49",IF(HR_Employee_Attrition[[#This Row],[Age]]&gt;=30,"30-39",IF(HR_Employee_Attrition[[#This Row],[Age]]&gt;=20,"20-29",IF(HR_Employee_Attrition[[#This Row],[Age]]&gt;=18,"18-20"))))))</f>
        <v>50-59</v>
      </c>
      <c r="AK1270" t="str" cm="1">
        <f t="array" ref="AK1270">_xlfn.IFS(HR_Employee_Attrition[[#This Row],[YearsAtCompany]]&lt;=2,"0-2",HR_Employee_Attrition[[#This Row],[YearsAtCompany]]&lt;=5,"3-5",HR_Employee_Attrition[[#This Row],[YearsAtCompany]]&lt;=10,"6-10",HR_Employee_Attrition[[#This Row],[YearsAtCompany]]&gt;10,"10+")</f>
        <v>3-5</v>
      </c>
      <c r="AL1270" t="str" cm="1">
        <f t="array" ref="AL12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70">
        <f>IF(HR_Employee_Attrition[[#This Row],[Attrition]]="Yes",1,0)</f>
        <v>0</v>
      </c>
    </row>
    <row r="1271" spans="1:39" x14ac:dyDescent="0.3">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c r="AJ1271" t="str">
        <f>IF(HR_Employee_Attrition[[#This Row],[Age]]&gt;60,"60+",IF(HR_Employee_Attrition[[#This Row],[Age]]&gt;=50,"50-59",IF(HR_Employee_Attrition[[#This Row],[Age]]&gt;=40,"40-49",IF(HR_Employee_Attrition[[#This Row],[Age]]&gt;=30,"30-39",IF(HR_Employee_Attrition[[#This Row],[Age]]&gt;=20,"20-29",IF(HR_Employee_Attrition[[#This Row],[Age]]&gt;=18,"18-20"))))))</f>
        <v>40-49</v>
      </c>
      <c r="AK1271" t="str" cm="1">
        <f t="array" ref="AK1271">_xlfn.IFS(HR_Employee_Attrition[[#This Row],[YearsAtCompany]]&lt;=2,"0-2",HR_Employee_Attrition[[#This Row],[YearsAtCompany]]&lt;=5,"3-5",HR_Employee_Attrition[[#This Row],[YearsAtCompany]]&lt;=10,"6-10",HR_Employee_Attrition[[#This Row],[YearsAtCompany]]&gt;10,"10+")</f>
        <v>6-10</v>
      </c>
      <c r="AL1271" t="str" cm="1">
        <f t="array" ref="AL12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71">
        <f>IF(HR_Employee_Attrition[[#This Row],[Attrition]]="Yes",1,0)</f>
        <v>0</v>
      </c>
    </row>
    <row r="1272" spans="1:39" x14ac:dyDescent="0.3">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c r="AJ1272" t="str">
        <f>IF(HR_Employee_Attrition[[#This Row],[Age]]&gt;60,"60+",IF(HR_Employee_Attrition[[#This Row],[Age]]&gt;=50,"50-59",IF(HR_Employee_Attrition[[#This Row],[Age]]&gt;=40,"40-49",IF(HR_Employee_Attrition[[#This Row],[Age]]&gt;=30,"30-39",IF(HR_Employee_Attrition[[#This Row],[Age]]&gt;=20,"20-29",IF(HR_Employee_Attrition[[#This Row],[Age]]&gt;=18,"18-20"))))))</f>
        <v>30-39</v>
      </c>
      <c r="AK1272" t="str" cm="1">
        <f t="array" ref="AK1272">_xlfn.IFS(HR_Employee_Attrition[[#This Row],[YearsAtCompany]]&lt;=2,"0-2",HR_Employee_Attrition[[#This Row],[YearsAtCompany]]&lt;=5,"3-5",HR_Employee_Attrition[[#This Row],[YearsAtCompany]]&lt;=10,"6-10",HR_Employee_Attrition[[#This Row],[YearsAtCompany]]&gt;10,"10+")</f>
        <v>0-2</v>
      </c>
      <c r="AL1272" t="str" cm="1">
        <f t="array" ref="AL12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72">
        <f>IF(HR_Employee_Attrition[[#This Row],[Attrition]]="Yes",1,0)</f>
        <v>0</v>
      </c>
    </row>
    <row r="1273" spans="1:39" x14ac:dyDescent="0.3">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c r="AJ1273" t="str">
        <f>IF(HR_Employee_Attrition[[#This Row],[Age]]&gt;60,"60+",IF(HR_Employee_Attrition[[#This Row],[Age]]&gt;=50,"50-59",IF(HR_Employee_Attrition[[#This Row],[Age]]&gt;=40,"40-49",IF(HR_Employee_Attrition[[#This Row],[Age]]&gt;=30,"30-39",IF(HR_Employee_Attrition[[#This Row],[Age]]&gt;=20,"20-29",IF(HR_Employee_Attrition[[#This Row],[Age]]&gt;=18,"18-20"))))))</f>
        <v>20-29</v>
      </c>
      <c r="AK1273" t="str" cm="1">
        <f t="array" ref="AK1273">_xlfn.IFS(HR_Employee_Attrition[[#This Row],[YearsAtCompany]]&lt;=2,"0-2",HR_Employee_Attrition[[#This Row],[YearsAtCompany]]&lt;=5,"3-5",HR_Employee_Attrition[[#This Row],[YearsAtCompany]]&lt;=10,"6-10",HR_Employee_Attrition[[#This Row],[YearsAtCompany]]&gt;10,"10+")</f>
        <v>0-2</v>
      </c>
      <c r="AL1273" t="str" cm="1">
        <f t="array" ref="AL12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73">
        <f>IF(HR_Employee_Attrition[[#This Row],[Attrition]]="Yes",1,0)</f>
        <v>1</v>
      </c>
    </row>
    <row r="1274" spans="1:39" x14ac:dyDescent="0.3">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c r="AJ1274" t="str">
        <f>IF(HR_Employee_Attrition[[#This Row],[Age]]&gt;60,"60+",IF(HR_Employee_Attrition[[#This Row],[Age]]&gt;=50,"50-59",IF(HR_Employee_Attrition[[#This Row],[Age]]&gt;=40,"40-49",IF(HR_Employee_Attrition[[#This Row],[Age]]&gt;=30,"30-39",IF(HR_Employee_Attrition[[#This Row],[Age]]&gt;=20,"20-29",IF(HR_Employee_Attrition[[#This Row],[Age]]&gt;=18,"18-20"))))))</f>
        <v>30-39</v>
      </c>
      <c r="AK1274" t="str" cm="1">
        <f t="array" ref="AK1274">_xlfn.IFS(HR_Employee_Attrition[[#This Row],[YearsAtCompany]]&lt;=2,"0-2",HR_Employee_Attrition[[#This Row],[YearsAtCompany]]&lt;=5,"3-5",HR_Employee_Attrition[[#This Row],[YearsAtCompany]]&lt;=10,"6-10",HR_Employee_Attrition[[#This Row],[YearsAtCompany]]&gt;10,"10+")</f>
        <v>3-5</v>
      </c>
      <c r="AL1274" t="str" cm="1">
        <f t="array" ref="AL12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74">
        <f>IF(HR_Employee_Attrition[[#This Row],[Attrition]]="Yes",1,0)</f>
        <v>0</v>
      </c>
    </row>
    <row r="1275" spans="1:39" x14ac:dyDescent="0.3">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c r="AJ1275" t="str">
        <f>IF(HR_Employee_Attrition[[#This Row],[Age]]&gt;60,"60+",IF(HR_Employee_Attrition[[#This Row],[Age]]&gt;=50,"50-59",IF(HR_Employee_Attrition[[#This Row],[Age]]&gt;=40,"40-49",IF(HR_Employee_Attrition[[#This Row],[Age]]&gt;=30,"30-39",IF(HR_Employee_Attrition[[#This Row],[Age]]&gt;=20,"20-29",IF(HR_Employee_Attrition[[#This Row],[Age]]&gt;=18,"18-20"))))))</f>
        <v>20-29</v>
      </c>
      <c r="AK1275" t="str" cm="1">
        <f t="array" ref="AK1275">_xlfn.IFS(HR_Employee_Attrition[[#This Row],[YearsAtCompany]]&lt;=2,"0-2",HR_Employee_Attrition[[#This Row],[YearsAtCompany]]&lt;=5,"3-5",HR_Employee_Attrition[[#This Row],[YearsAtCompany]]&lt;=10,"6-10",HR_Employee_Attrition[[#This Row],[YearsAtCompany]]&gt;10,"10+")</f>
        <v>0-2</v>
      </c>
      <c r="AL1275" t="str" cm="1">
        <f t="array" ref="AL12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75">
        <f>IF(HR_Employee_Attrition[[#This Row],[Attrition]]="Yes",1,0)</f>
        <v>1</v>
      </c>
    </row>
    <row r="1276" spans="1:39" x14ac:dyDescent="0.3">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c r="AJ1276" t="str">
        <f>IF(HR_Employee_Attrition[[#This Row],[Age]]&gt;60,"60+",IF(HR_Employee_Attrition[[#This Row],[Age]]&gt;=50,"50-59",IF(HR_Employee_Attrition[[#This Row],[Age]]&gt;=40,"40-49",IF(HR_Employee_Attrition[[#This Row],[Age]]&gt;=30,"30-39",IF(HR_Employee_Attrition[[#This Row],[Age]]&gt;=20,"20-29",IF(HR_Employee_Attrition[[#This Row],[Age]]&gt;=18,"18-20"))))))</f>
        <v>30-39</v>
      </c>
      <c r="AK1276" t="str" cm="1">
        <f t="array" ref="AK1276">_xlfn.IFS(HR_Employee_Attrition[[#This Row],[YearsAtCompany]]&lt;=2,"0-2",HR_Employee_Attrition[[#This Row],[YearsAtCompany]]&lt;=5,"3-5",HR_Employee_Attrition[[#This Row],[YearsAtCompany]]&lt;=10,"6-10",HR_Employee_Attrition[[#This Row],[YearsAtCompany]]&gt;10,"10+")</f>
        <v>10+</v>
      </c>
      <c r="AL1276" t="str" cm="1">
        <f t="array" ref="AL12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76">
        <f>IF(HR_Employee_Attrition[[#This Row],[Attrition]]="Yes",1,0)</f>
        <v>0</v>
      </c>
    </row>
    <row r="1277" spans="1:39" x14ac:dyDescent="0.3">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c r="AJ1277" t="str">
        <f>IF(HR_Employee_Attrition[[#This Row],[Age]]&gt;60,"60+",IF(HR_Employee_Attrition[[#This Row],[Age]]&gt;=50,"50-59",IF(HR_Employee_Attrition[[#This Row],[Age]]&gt;=40,"40-49",IF(HR_Employee_Attrition[[#This Row],[Age]]&gt;=30,"30-39",IF(HR_Employee_Attrition[[#This Row],[Age]]&gt;=20,"20-29",IF(HR_Employee_Attrition[[#This Row],[Age]]&gt;=18,"18-20"))))))</f>
        <v>50-59</v>
      </c>
      <c r="AK1277" t="str" cm="1">
        <f t="array" ref="AK1277">_xlfn.IFS(HR_Employee_Attrition[[#This Row],[YearsAtCompany]]&lt;=2,"0-2",HR_Employee_Attrition[[#This Row],[YearsAtCompany]]&lt;=5,"3-5",HR_Employee_Attrition[[#This Row],[YearsAtCompany]]&lt;=10,"6-10",HR_Employee_Attrition[[#This Row],[YearsAtCompany]]&gt;10,"10+")</f>
        <v>0-2</v>
      </c>
      <c r="AL1277" t="str" cm="1">
        <f t="array" ref="AL12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77">
        <f>IF(HR_Employee_Attrition[[#This Row],[Attrition]]="Yes",1,0)</f>
        <v>0</v>
      </c>
    </row>
    <row r="1278" spans="1:39" x14ac:dyDescent="0.3">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c r="AJ1278" t="str">
        <f>IF(HR_Employee_Attrition[[#This Row],[Age]]&gt;60,"60+",IF(HR_Employee_Attrition[[#This Row],[Age]]&gt;=50,"50-59",IF(HR_Employee_Attrition[[#This Row],[Age]]&gt;=40,"40-49",IF(HR_Employee_Attrition[[#This Row],[Age]]&gt;=30,"30-39",IF(HR_Employee_Attrition[[#This Row],[Age]]&gt;=20,"20-29",IF(HR_Employee_Attrition[[#This Row],[Age]]&gt;=18,"18-20"))))))</f>
        <v>30-39</v>
      </c>
      <c r="AK1278" t="str" cm="1">
        <f t="array" ref="AK1278">_xlfn.IFS(HR_Employee_Attrition[[#This Row],[YearsAtCompany]]&lt;=2,"0-2",HR_Employee_Attrition[[#This Row],[YearsAtCompany]]&lt;=5,"3-5",HR_Employee_Attrition[[#This Row],[YearsAtCompany]]&lt;=10,"6-10",HR_Employee_Attrition[[#This Row],[YearsAtCompany]]&gt;10,"10+")</f>
        <v>3-5</v>
      </c>
      <c r="AL1278" t="str" cm="1">
        <f t="array" ref="AL12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78">
        <f>IF(HR_Employee_Attrition[[#This Row],[Attrition]]="Yes",1,0)</f>
        <v>0</v>
      </c>
    </row>
    <row r="1279" spans="1:39" x14ac:dyDescent="0.3">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c r="AJ1279" t="str">
        <f>IF(HR_Employee_Attrition[[#This Row],[Age]]&gt;60,"60+",IF(HR_Employee_Attrition[[#This Row],[Age]]&gt;=50,"50-59",IF(HR_Employee_Attrition[[#This Row],[Age]]&gt;=40,"40-49",IF(HR_Employee_Attrition[[#This Row],[Age]]&gt;=30,"30-39",IF(HR_Employee_Attrition[[#This Row],[Age]]&gt;=20,"20-29",IF(HR_Employee_Attrition[[#This Row],[Age]]&gt;=18,"18-20"))))))</f>
        <v>40-49</v>
      </c>
      <c r="AK1279" t="str" cm="1">
        <f t="array" ref="AK1279">_xlfn.IFS(HR_Employee_Attrition[[#This Row],[YearsAtCompany]]&lt;=2,"0-2",HR_Employee_Attrition[[#This Row],[YearsAtCompany]]&lt;=5,"3-5",HR_Employee_Attrition[[#This Row],[YearsAtCompany]]&lt;=10,"6-10",HR_Employee_Attrition[[#This Row],[YearsAtCompany]]&gt;10,"10+")</f>
        <v>0-2</v>
      </c>
      <c r="AL1279" t="str" cm="1">
        <f t="array" ref="AL12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279">
        <f>IF(HR_Employee_Attrition[[#This Row],[Attrition]]="Yes",1,0)</f>
        <v>0</v>
      </c>
    </row>
    <row r="1280" spans="1:39" x14ac:dyDescent="0.3">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c r="AJ1280" t="str">
        <f>IF(HR_Employee_Attrition[[#This Row],[Age]]&gt;60,"60+",IF(HR_Employee_Attrition[[#This Row],[Age]]&gt;=50,"50-59",IF(HR_Employee_Attrition[[#This Row],[Age]]&gt;=40,"40-49",IF(HR_Employee_Attrition[[#This Row],[Age]]&gt;=30,"30-39",IF(HR_Employee_Attrition[[#This Row],[Age]]&gt;=20,"20-29",IF(HR_Employee_Attrition[[#This Row],[Age]]&gt;=18,"18-20"))))))</f>
        <v>30-39</v>
      </c>
      <c r="AK1280" t="str" cm="1">
        <f t="array" ref="AK1280">_xlfn.IFS(HR_Employee_Attrition[[#This Row],[YearsAtCompany]]&lt;=2,"0-2",HR_Employee_Attrition[[#This Row],[YearsAtCompany]]&lt;=5,"3-5",HR_Employee_Attrition[[#This Row],[YearsAtCompany]]&lt;=10,"6-10",HR_Employee_Attrition[[#This Row],[YearsAtCompany]]&gt;10,"10+")</f>
        <v>10+</v>
      </c>
      <c r="AL1280" t="str" cm="1">
        <f t="array" ref="AL12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80">
        <f>IF(HR_Employee_Attrition[[#This Row],[Attrition]]="Yes",1,0)</f>
        <v>0</v>
      </c>
    </row>
    <row r="1281" spans="1:39" x14ac:dyDescent="0.3">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c r="AJ1281" t="str">
        <f>IF(HR_Employee_Attrition[[#This Row],[Age]]&gt;60,"60+",IF(HR_Employee_Attrition[[#This Row],[Age]]&gt;=50,"50-59",IF(HR_Employee_Attrition[[#This Row],[Age]]&gt;=40,"40-49",IF(HR_Employee_Attrition[[#This Row],[Age]]&gt;=30,"30-39",IF(HR_Employee_Attrition[[#This Row],[Age]]&gt;=20,"20-29",IF(HR_Employee_Attrition[[#This Row],[Age]]&gt;=18,"18-20"))))))</f>
        <v>40-49</v>
      </c>
      <c r="AK1281" t="str" cm="1">
        <f t="array" ref="AK1281">_xlfn.IFS(HR_Employee_Attrition[[#This Row],[YearsAtCompany]]&lt;=2,"0-2",HR_Employee_Attrition[[#This Row],[YearsAtCompany]]&lt;=5,"3-5",HR_Employee_Attrition[[#This Row],[YearsAtCompany]]&lt;=10,"6-10",HR_Employee_Attrition[[#This Row],[YearsAtCompany]]&gt;10,"10+")</f>
        <v>3-5</v>
      </c>
      <c r="AL1281" t="str" cm="1">
        <f t="array" ref="AL12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81">
        <f>IF(HR_Employee_Attrition[[#This Row],[Attrition]]="Yes",1,0)</f>
        <v>1</v>
      </c>
    </row>
    <row r="1282" spans="1:39" x14ac:dyDescent="0.3">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c r="AJ1282" t="str">
        <f>IF(HR_Employee_Attrition[[#This Row],[Age]]&gt;60,"60+",IF(HR_Employee_Attrition[[#This Row],[Age]]&gt;=50,"50-59",IF(HR_Employee_Attrition[[#This Row],[Age]]&gt;=40,"40-49",IF(HR_Employee_Attrition[[#This Row],[Age]]&gt;=30,"30-39",IF(HR_Employee_Attrition[[#This Row],[Age]]&gt;=20,"20-29",IF(HR_Employee_Attrition[[#This Row],[Age]]&gt;=18,"18-20"))))))</f>
        <v>30-39</v>
      </c>
      <c r="AK1282" t="str" cm="1">
        <f t="array" ref="AK1282">_xlfn.IFS(HR_Employee_Attrition[[#This Row],[YearsAtCompany]]&lt;=2,"0-2",HR_Employee_Attrition[[#This Row],[YearsAtCompany]]&lt;=5,"3-5",HR_Employee_Attrition[[#This Row],[YearsAtCompany]]&lt;=10,"6-10",HR_Employee_Attrition[[#This Row],[YearsAtCompany]]&gt;10,"10+")</f>
        <v>6-10</v>
      </c>
      <c r="AL1282" t="str" cm="1">
        <f t="array" ref="AL12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82">
        <f>IF(HR_Employee_Attrition[[#This Row],[Attrition]]="Yes",1,0)</f>
        <v>0</v>
      </c>
    </row>
    <row r="1283" spans="1:39" x14ac:dyDescent="0.3">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c r="AJ1283" t="str">
        <f>IF(HR_Employee_Attrition[[#This Row],[Age]]&gt;60,"60+",IF(HR_Employee_Attrition[[#This Row],[Age]]&gt;=50,"50-59",IF(HR_Employee_Attrition[[#This Row],[Age]]&gt;=40,"40-49",IF(HR_Employee_Attrition[[#This Row],[Age]]&gt;=30,"30-39",IF(HR_Employee_Attrition[[#This Row],[Age]]&gt;=20,"20-29",IF(HR_Employee_Attrition[[#This Row],[Age]]&gt;=18,"18-20"))))))</f>
        <v>30-39</v>
      </c>
      <c r="AK1283" t="str" cm="1">
        <f t="array" ref="AK1283">_xlfn.IFS(HR_Employee_Attrition[[#This Row],[YearsAtCompany]]&lt;=2,"0-2",HR_Employee_Attrition[[#This Row],[YearsAtCompany]]&lt;=5,"3-5",HR_Employee_Attrition[[#This Row],[YearsAtCompany]]&lt;=10,"6-10",HR_Employee_Attrition[[#This Row],[YearsAtCompany]]&gt;10,"10+")</f>
        <v>6-10</v>
      </c>
      <c r="AL1283" t="str" cm="1">
        <f t="array" ref="AL12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83">
        <f>IF(HR_Employee_Attrition[[#This Row],[Attrition]]="Yes",1,0)</f>
        <v>1</v>
      </c>
    </row>
    <row r="1284" spans="1:39" x14ac:dyDescent="0.3">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c r="AJ1284" t="str">
        <f>IF(HR_Employee_Attrition[[#This Row],[Age]]&gt;60,"60+",IF(HR_Employee_Attrition[[#This Row],[Age]]&gt;=50,"50-59",IF(HR_Employee_Attrition[[#This Row],[Age]]&gt;=40,"40-49",IF(HR_Employee_Attrition[[#This Row],[Age]]&gt;=30,"30-39",IF(HR_Employee_Attrition[[#This Row],[Age]]&gt;=20,"20-29",IF(HR_Employee_Attrition[[#This Row],[Age]]&gt;=18,"18-20"))))))</f>
        <v>30-39</v>
      </c>
      <c r="AK1284" t="str" cm="1">
        <f t="array" ref="AK1284">_xlfn.IFS(HR_Employee_Attrition[[#This Row],[YearsAtCompany]]&lt;=2,"0-2",HR_Employee_Attrition[[#This Row],[YearsAtCompany]]&lt;=5,"3-5",HR_Employee_Attrition[[#This Row],[YearsAtCompany]]&lt;=10,"6-10",HR_Employee_Attrition[[#This Row],[YearsAtCompany]]&gt;10,"10+")</f>
        <v>6-10</v>
      </c>
      <c r="AL1284" t="str" cm="1">
        <f t="array" ref="AL12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84">
        <f>IF(HR_Employee_Attrition[[#This Row],[Attrition]]="Yes",1,0)</f>
        <v>0</v>
      </c>
    </row>
    <row r="1285" spans="1:39" x14ac:dyDescent="0.3">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c r="AJ1285" t="str">
        <f>IF(HR_Employee_Attrition[[#This Row],[Age]]&gt;60,"60+",IF(HR_Employee_Attrition[[#This Row],[Age]]&gt;=50,"50-59",IF(HR_Employee_Attrition[[#This Row],[Age]]&gt;=40,"40-49",IF(HR_Employee_Attrition[[#This Row],[Age]]&gt;=30,"30-39",IF(HR_Employee_Attrition[[#This Row],[Age]]&gt;=20,"20-29",IF(HR_Employee_Attrition[[#This Row],[Age]]&gt;=18,"18-20"))))))</f>
        <v>20-29</v>
      </c>
      <c r="AK1285" t="str" cm="1">
        <f t="array" ref="AK1285">_xlfn.IFS(HR_Employee_Attrition[[#This Row],[YearsAtCompany]]&lt;=2,"0-2",HR_Employee_Attrition[[#This Row],[YearsAtCompany]]&lt;=5,"3-5",HR_Employee_Attrition[[#This Row],[YearsAtCompany]]&lt;=10,"6-10",HR_Employee_Attrition[[#This Row],[YearsAtCompany]]&gt;10,"10+")</f>
        <v>3-5</v>
      </c>
      <c r="AL1285" t="str" cm="1">
        <f t="array" ref="AL12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85">
        <f>IF(HR_Employee_Attrition[[#This Row],[Attrition]]="Yes",1,0)</f>
        <v>0</v>
      </c>
    </row>
    <row r="1286" spans="1:39" x14ac:dyDescent="0.3">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c r="AJ1286" t="str">
        <f>IF(HR_Employee_Attrition[[#This Row],[Age]]&gt;60,"60+",IF(HR_Employee_Attrition[[#This Row],[Age]]&gt;=50,"50-59",IF(HR_Employee_Attrition[[#This Row],[Age]]&gt;=40,"40-49",IF(HR_Employee_Attrition[[#This Row],[Age]]&gt;=30,"30-39",IF(HR_Employee_Attrition[[#This Row],[Age]]&gt;=20,"20-29",IF(HR_Employee_Attrition[[#This Row],[Age]]&gt;=18,"18-20"))))))</f>
        <v>30-39</v>
      </c>
      <c r="AK1286" t="str" cm="1">
        <f t="array" ref="AK1286">_xlfn.IFS(HR_Employee_Attrition[[#This Row],[YearsAtCompany]]&lt;=2,"0-2",HR_Employee_Attrition[[#This Row],[YearsAtCompany]]&lt;=5,"3-5",HR_Employee_Attrition[[#This Row],[YearsAtCompany]]&lt;=10,"6-10",HR_Employee_Attrition[[#This Row],[YearsAtCompany]]&gt;10,"10+")</f>
        <v>3-5</v>
      </c>
      <c r="AL1286" t="str" cm="1">
        <f t="array" ref="AL12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86">
        <f>IF(HR_Employee_Attrition[[#This Row],[Attrition]]="Yes",1,0)</f>
        <v>0</v>
      </c>
    </row>
    <row r="1287" spans="1:39" x14ac:dyDescent="0.3">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c r="AJ1287" t="str">
        <f>IF(HR_Employee_Attrition[[#This Row],[Age]]&gt;60,"60+",IF(HR_Employee_Attrition[[#This Row],[Age]]&gt;=50,"50-59",IF(HR_Employee_Attrition[[#This Row],[Age]]&gt;=40,"40-49",IF(HR_Employee_Attrition[[#This Row],[Age]]&gt;=30,"30-39",IF(HR_Employee_Attrition[[#This Row],[Age]]&gt;=20,"20-29",IF(HR_Employee_Attrition[[#This Row],[Age]]&gt;=18,"18-20"))))))</f>
        <v>40-49</v>
      </c>
      <c r="AK1287" t="str" cm="1">
        <f t="array" ref="AK1287">_xlfn.IFS(HR_Employee_Attrition[[#This Row],[YearsAtCompany]]&lt;=2,"0-2",HR_Employee_Attrition[[#This Row],[YearsAtCompany]]&lt;=5,"3-5",HR_Employee_Attrition[[#This Row],[YearsAtCompany]]&lt;=10,"6-10",HR_Employee_Attrition[[#This Row],[YearsAtCompany]]&gt;10,"10+")</f>
        <v>0-2</v>
      </c>
      <c r="AL1287" t="str" cm="1">
        <f t="array" ref="AL12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87">
        <f>IF(HR_Employee_Attrition[[#This Row],[Attrition]]="Yes",1,0)</f>
        <v>0</v>
      </c>
    </row>
    <row r="1288" spans="1:39" x14ac:dyDescent="0.3">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c r="AJ1288" t="str">
        <f>IF(HR_Employee_Attrition[[#This Row],[Age]]&gt;60,"60+",IF(HR_Employee_Attrition[[#This Row],[Age]]&gt;=50,"50-59",IF(HR_Employee_Attrition[[#This Row],[Age]]&gt;=40,"40-49",IF(HR_Employee_Attrition[[#This Row],[Age]]&gt;=30,"30-39",IF(HR_Employee_Attrition[[#This Row],[Age]]&gt;=20,"20-29",IF(HR_Employee_Attrition[[#This Row],[Age]]&gt;=18,"18-20"))))))</f>
        <v>40-49</v>
      </c>
      <c r="AK1288" t="str" cm="1">
        <f t="array" ref="AK1288">_xlfn.IFS(HR_Employee_Attrition[[#This Row],[YearsAtCompany]]&lt;=2,"0-2",HR_Employee_Attrition[[#This Row],[YearsAtCompany]]&lt;=5,"3-5",HR_Employee_Attrition[[#This Row],[YearsAtCompany]]&lt;=10,"6-10",HR_Employee_Attrition[[#This Row],[YearsAtCompany]]&gt;10,"10+")</f>
        <v>3-5</v>
      </c>
      <c r="AL1288" t="str" cm="1">
        <f t="array" ref="AL12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88">
        <f>IF(HR_Employee_Attrition[[#This Row],[Attrition]]="Yes",1,0)</f>
        <v>0</v>
      </c>
    </row>
    <row r="1289" spans="1:39" x14ac:dyDescent="0.3">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c r="AJ1289" t="str">
        <f>IF(HR_Employee_Attrition[[#This Row],[Age]]&gt;60,"60+",IF(HR_Employee_Attrition[[#This Row],[Age]]&gt;=50,"50-59",IF(HR_Employee_Attrition[[#This Row],[Age]]&gt;=40,"40-49",IF(HR_Employee_Attrition[[#This Row],[Age]]&gt;=30,"30-39",IF(HR_Employee_Attrition[[#This Row],[Age]]&gt;=20,"20-29",IF(HR_Employee_Attrition[[#This Row],[Age]]&gt;=18,"18-20"))))))</f>
        <v>40-49</v>
      </c>
      <c r="AK1289" t="str" cm="1">
        <f t="array" ref="AK1289">_xlfn.IFS(HR_Employee_Attrition[[#This Row],[YearsAtCompany]]&lt;=2,"0-2",HR_Employee_Attrition[[#This Row],[YearsAtCompany]]&lt;=5,"3-5",HR_Employee_Attrition[[#This Row],[YearsAtCompany]]&lt;=10,"6-10",HR_Employee_Attrition[[#This Row],[YearsAtCompany]]&gt;10,"10+")</f>
        <v>0-2</v>
      </c>
      <c r="AL1289" t="str" cm="1">
        <f t="array" ref="AL12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89">
        <f>IF(HR_Employee_Attrition[[#This Row],[Attrition]]="Yes",1,0)</f>
        <v>0</v>
      </c>
    </row>
    <row r="1290" spans="1:39" x14ac:dyDescent="0.3">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c r="AJ1290" t="str">
        <f>IF(HR_Employee_Attrition[[#This Row],[Age]]&gt;60,"60+",IF(HR_Employee_Attrition[[#This Row],[Age]]&gt;=50,"50-59",IF(HR_Employee_Attrition[[#This Row],[Age]]&gt;=40,"40-49",IF(HR_Employee_Attrition[[#This Row],[Age]]&gt;=30,"30-39",IF(HR_Employee_Attrition[[#This Row],[Age]]&gt;=20,"20-29",IF(HR_Employee_Attrition[[#This Row],[Age]]&gt;=18,"18-20"))))))</f>
        <v>30-39</v>
      </c>
      <c r="AK1290" t="str" cm="1">
        <f t="array" ref="AK1290">_xlfn.IFS(HR_Employee_Attrition[[#This Row],[YearsAtCompany]]&lt;=2,"0-2",HR_Employee_Attrition[[#This Row],[YearsAtCompany]]&lt;=5,"3-5",HR_Employee_Attrition[[#This Row],[YearsAtCompany]]&lt;=10,"6-10",HR_Employee_Attrition[[#This Row],[YearsAtCompany]]&gt;10,"10+")</f>
        <v>6-10</v>
      </c>
      <c r="AL1290" t="str" cm="1">
        <f t="array" ref="AL12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90">
        <f>IF(HR_Employee_Attrition[[#This Row],[Attrition]]="Yes",1,0)</f>
        <v>0</v>
      </c>
    </row>
    <row r="1291" spans="1:39" x14ac:dyDescent="0.3">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c r="AJ1291" t="str">
        <f>IF(HR_Employee_Attrition[[#This Row],[Age]]&gt;60,"60+",IF(HR_Employee_Attrition[[#This Row],[Age]]&gt;=50,"50-59",IF(HR_Employee_Attrition[[#This Row],[Age]]&gt;=40,"40-49",IF(HR_Employee_Attrition[[#This Row],[Age]]&gt;=30,"30-39",IF(HR_Employee_Attrition[[#This Row],[Age]]&gt;=20,"20-29",IF(HR_Employee_Attrition[[#This Row],[Age]]&gt;=18,"18-20"))))))</f>
        <v>30-39</v>
      </c>
      <c r="AK1291" t="str" cm="1">
        <f t="array" ref="AK1291">_xlfn.IFS(HR_Employee_Attrition[[#This Row],[YearsAtCompany]]&lt;=2,"0-2",HR_Employee_Attrition[[#This Row],[YearsAtCompany]]&lt;=5,"3-5",HR_Employee_Attrition[[#This Row],[YearsAtCompany]]&lt;=10,"6-10",HR_Employee_Attrition[[#This Row],[YearsAtCompany]]&gt;10,"10+")</f>
        <v>10+</v>
      </c>
      <c r="AL1291" t="str" cm="1">
        <f t="array" ref="AL12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91">
        <f>IF(HR_Employee_Attrition[[#This Row],[Attrition]]="Yes",1,0)</f>
        <v>0</v>
      </c>
    </row>
    <row r="1292" spans="1:39" x14ac:dyDescent="0.3">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c r="AJ1292" t="str">
        <f>IF(HR_Employee_Attrition[[#This Row],[Age]]&gt;60,"60+",IF(HR_Employee_Attrition[[#This Row],[Age]]&gt;=50,"50-59",IF(HR_Employee_Attrition[[#This Row],[Age]]&gt;=40,"40-49",IF(HR_Employee_Attrition[[#This Row],[Age]]&gt;=30,"30-39",IF(HR_Employee_Attrition[[#This Row],[Age]]&gt;=20,"20-29",IF(HR_Employee_Attrition[[#This Row],[Age]]&gt;=18,"18-20"))))))</f>
        <v>30-39</v>
      </c>
      <c r="AK1292" t="str" cm="1">
        <f t="array" ref="AK1292">_xlfn.IFS(HR_Employee_Attrition[[#This Row],[YearsAtCompany]]&lt;=2,"0-2",HR_Employee_Attrition[[#This Row],[YearsAtCompany]]&lt;=5,"3-5",HR_Employee_Attrition[[#This Row],[YearsAtCompany]]&lt;=10,"6-10",HR_Employee_Attrition[[#This Row],[YearsAtCompany]]&gt;10,"10+")</f>
        <v>6-10</v>
      </c>
      <c r="AL1292" t="str" cm="1">
        <f t="array" ref="AL12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92">
        <f>IF(HR_Employee_Attrition[[#This Row],[Attrition]]="Yes",1,0)</f>
        <v>1</v>
      </c>
    </row>
    <row r="1293" spans="1:39" x14ac:dyDescent="0.3">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c r="AJ1293" t="str">
        <f>IF(HR_Employee_Attrition[[#This Row],[Age]]&gt;60,"60+",IF(HR_Employee_Attrition[[#This Row],[Age]]&gt;=50,"50-59",IF(HR_Employee_Attrition[[#This Row],[Age]]&gt;=40,"40-49",IF(HR_Employee_Attrition[[#This Row],[Age]]&gt;=30,"30-39",IF(HR_Employee_Attrition[[#This Row],[Age]]&gt;=20,"20-29",IF(HR_Employee_Attrition[[#This Row],[Age]]&gt;=18,"18-20"))))))</f>
        <v>30-39</v>
      </c>
      <c r="AK1293" t="str" cm="1">
        <f t="array" ref="AK1293">_xlfn.IFS(HR_Employee_Attrition[[#This Row],[YearsAtCompany]]&lt;=2,"0-2",HR_Employee_Attrition[[#This Row],[YearsAtCompany]]&lt;=5,"3-5",HR_Employee_Attrition[[#This Row],[YearsAtCompany]]&lt;=10,"6-10",HR_Employee_Attrition[[#This Row],[YearsAtCompany]]&gt;10,"10+")</f>
        <v>6-10</v>
      </c>
      <c r="AL1293" t="str" cm="1">
        <f t="array" ref="AL12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93">
        <f>IF(HR_Employee_Attrition[[#This Row],[Attrition]]="Yes",1,0)</f>
        <v>1</v>
      </c>
    </row>
    <row r="1294" spans="1:39" x14ac:dyDescent="0.3">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c r="AJ1294" t="str">
        <f>IF(HR_Employee_Attrition[[#This Row],[Age]]&gt;60,"60+",IF(HR_Employee_Attrition[[#This Row],[Age]]&gt;=50,"50-59",IF(HR_Employee_Attrition[[#This Row],[Age]]&gt;=40,"40-49",IF(HR_Employee_Attrition[[#This Row],[Age]]&gt;=30,"30-39",IF(HR_Employee_Attrition[[#This Row],[Age]]&gt;=20,"20-29",IF(HR_Employee_Attrition[[#This Row],[Age]]&gt;=18,"18-20"))))))</f>
        <v>30-39</v>
      </c>
      <c r="AK1294" t="str" cm="1">
        <f t="array" ref="AK1294">_xlfn.IFS(HR_Employee_Attrition[[#This Row],[YearsAtCompany]]&lt;=2,"0-2",HR_Employee_Attrition[[#This Row],[YearsAtCompany]]&lt;=5,"3-5",HR_Employee_Attrition[[#This Row],[YearsAtCompany]]&lt;=10,"6-10",HR_Employee_Attrition[[#This Row],[YearsAtCompany]]&gt;10,"10+")</f>
        <v>0-2</v>
      </c>
      <c r="AL1294" t="str" cm="1">
        <f t="array" ref="AL12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94">
        <f>IF(HR_Employee_Attrition[[#This Row],[Attrition]]="Yes",1,0)</f>
        <v>0</v>
      </c>
    </row>
    <row r="1295" spans="1:39" x14ac:dyDescent="0.3">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c r="AJ1295" t="str">
        <f>IF(HR_Employee_Attrition[[#This Row],[Age]]&gt;60,"60+",IF(HR_Employee_Attrition[[#This Row],[Age]]&gt;=50,"50-59",IF(HR_Employee_Attrition[[#This Row],[Age]]&gt;=40,"40-49",IF(HR_Employee_Attrition[[#This Row],[Age]]&gt;=30,"30-39",IF(HR_Employee_Attrition[[#This Row],[Age]]&gt;=20,"20-29",IF(HR_Employee_Attrition[[#This Row],[Age]]&gt;=18,"18-20"))))))</f>
        <v>40-49</v>
      </c>
      <c r="AK1295" t="str" cm="1">
        <f t="array" ref="AK1295">_xlfn.IFS(HR_Employee_Attrition[[#This Row],[YearsAtCompany]]&lt;=2,"0-2",HR_Employee_Attrition[[#This Row],[YearsAtCompany]]&lt;=5,"3-5",HR_Employee_Attrition[[#This Row],[YearsAtCompany]]&lt;=10,"6-10",HR_Employee_Attrition[[#This Row],[YearsAtCompany]]&gt;10,"10+")</f>
        <v>3-5</v>
      </c>
      <c r="AL1295" t="str" cm="1">
        <f t="array" ref="AL12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95">
        <f>IF(HR_Employee_Attrition[[#This Row],[Attrition]]="Yes",1,0)</f>
        <v>0</v>
      </c>
    </row>
    <row r="1296" spans="1:39" x14ac:dyDescent="0.3">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c r="AJ1296" t="str">
        <f>IF(HR_Employee_Attrition[[#This Row],[Age]]&gt;60,"60+",IF(HR_Employee_Attrition[[#This Row],[Age]]&gt;=50,"50-59",IF(HR_Employee_Attrition[[#This Row],[Age]]&gt;=40,"40-49",IF(HR_Employee_Attrition[[#This Row],[Age]]&gt;=30,"30-39",IF(HR_Employee_Attrition[[#This Row],[Age]]&gt;=20,"20-29",IF(HR_Employee_Attrition[[#This Row],[Age]]&gt;=18,"18-20"))))))</f>
        <v>40-49</v>
      </c>
      <c r="AK1296" t="str" cm="1">
        <f t="array" ref="AK1296">_xlfn.IFS(HR_Employee_Attrition[[#This Row],[YearsAtCompany]]&lt;=2,"0-2",HR_Employee_Attrition[[#This Row],[YearsAtCompany]]&lt;=5,"3-5",HR_Employee_Attrition[[#This Row],[YearsAtCompany]]&lt;=10,"6-10",HR_Employee_Attrition[[#This Row],[YearsAtCompany]]&gt;10,"10+")</f>
        <v>3-5</v>
      </c>
      <c r="AL1296" t="str" cm="1">
        <f t="array" ref="AL12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96">
        <f>IF(HR_Employee_Attrition[[#This Row],[Attrition]]="Yes",1,0)</f>
        <v>0</v>
      </c>
    </row>
    <row r="1297" spans="1:39" x14ac:dyDescent="0.3">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c r="AJ1297" t="str">
        <f>IF(HR_Employee_Attrition[[#This Row],[Age]]&gt;60,"60+",IF(HR_Employee_Attrition[[#This Row],[Age]]&gt;=50,"50-59",IF(HR_Employee_Attrition[[#This Row],[Age]]&gt;=40,"40-49",IF(HR_Employee_Attrition[[#This Row],[Age]]&gt;=30,"30-39",IF(HR_Employee_Attrition[[#This Row],[Age]]&gt;=20,"20-29",IF(HR_Employee_Attrition[[#This Row],[Age]]&gt;=18,"18-20"))))))</f>
        <v>40-49</v>
      </c>
      <c r="AK1297" t="str" cm="1">
        <f t="array" ref="AK1297">_xlfn.IFS(HR_Employee_Attrition[[#This Row],[YearsAtCompany]]&lt;=2,"0-2",HR_Employee_Attrition[[#This Row],[YearsAtCompany]]&lt;=5,"3-5",HR_Employee_Attrition[[#This Row],[YearsAtCompany]]&lt;=10,"6-10",HR_Employee_Attrition[[#This Row],[YearsAtCompany]]&gt;10,"10+")</f>
        <v>10+</v>
      </c>
      <c r="AL1297" t="str" cm="1">
        <f t="array" ref="AL12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97">
        <f>IF(HR_Employee_Attrition[[#This Row],[Attrition]]="Yes",1,0)</f>
        <v>0</v>
      </c>
    </row>
    <row r="1298" spans="1:39" x14ac:dyDescent="0.3">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c r="AJ1298" t="str">
        <f>IF(HR_Employee_Attrition[[#This Row],[Age]]&gt;60,"60+",IF(HR_Employee_Attrition[[#This Row],[Age]]&gt;=50,"50-59",IF(HR_Employee_Attrition[[#This Row],[Age]]&gt;=40,"40-49",IF(HR_Employee_Attrition[[#This Row],[Age]]&gt;=30,"30-39",IF(HR_Employee_Attrition[[#This Row],[Age]]&gt;=20,"20-29",IF(HR_Employee_Attrition[[#This Row],[Age]]&gt;=18,"18-20"))))))</f>
        <v>30-39</v>
      </c>
      <c r="AK1298" t="str" cm="1">
        <f t="array" ref="AK1298">_xlfn.IFS(HR_Employee_Attrition[[#This Row],[YearsAtCompany]]&lt;=2,"0-2",HR_Employee_Attrition[[#This Row],[YearsAtCompany]]&lt;=5,"3-5",HR_Employee_Attrition[[#This Row],[YearsAtCompany]]&lt;=10,"6-10",HR_Employee_Attrition[[#This Row],[YearsAtCompany]]&gt;10,"10+")</f>
        <v>6-10</v>
      </c>
      <c r="AL1298" t="str" cm="1">
        <f t="array" ref="AL12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98">
        <f>IF(HR_Employee_Attrition[[#This Row],[Attrition]]="Yes",1,0)</f>
        <v>0</v>
      </c>
    </row>
    <row r="1299" spans="1:39" x14ac:dyDescent="0.3">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c r="AJ1299" t="str">
        <f>IF(HR_Employee_Attrition[[#This Row],[Age]]&gt;60,"60+",IF(HR_Employee_Attrition[[#This Row],[Age]]&gt;=50,"50-59",IF(HR_Employee_Attrition[[#This Row],[Age]]&gt;=40,"40-49",IF(HR_Employee_Attrition[[#This Row],[Age]]&gt;=30,"30-39",IF(HR_Employee_Attrition[[#This Row],[Age]]&gt;=20,"20-29",IF(HR_Employee_Attrition[[#This Row],[Age]]&gt;=18,"18-20"))))))</f>
        <v>20-29</v>
      </c>
      <c r="AK1299" t="str" cm="1">
        <f t="array" ref="AK1299">_xlfn.IFS(HR_Employee_Attrition[[#This Row],[YearsAtCompany]]&lt;=2,"0-2",HR_Employee_Attrition[[#This Row],[YearsAtCompany]]&lt;=5,"3-5",HR_Employee_Attrition[[#This Row],[YearsAtCompany]]&lt;=10,"6-10",HR_Employee_Attrition[[#This Row],[YearsAtCompany]]&gt;10,"10+")</f>
        <v>3-5</v>
      </c>
      <c r="AL1299" t="str" cm="1">
        <f t="array" ref="AL12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99">
        <f>IF(HR_Employee_Attrition[[#This Row],[Attrition]]="Yes",1,0)</f>
        <v>1</v>
      </c>
    </row>
    <row r="1300" spans="1:39" x14ac:dyDescent="0.3">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c r="AJ1300" t="str">
        <f>IF(HR_Employee_Attrition[[#This Row],[Age]]&gt;60,"60+",IF(HR_Employee_Attrition[[#This Row],[Age]]&gt;=50,"50-59",IF(HR_Employee_Attrition[[#This Row],[Age]]&gt;=40,"40-49",IF(HR_Employee_Attrition[[#This Row],[Age]]&gt;=30,"30-39",IF(HR_Employee_Attrition[[#This Row],[Age]]&gt;=20,"20-29",IF(HR_Employee_Attrition[[#This Row],[Age]]&gt;=18,"18-20"))))))</f>
        <v>40-49</v>
      </c>
      <c r="AK1300" t="str" cm="1">
        <f t="array" ref="AK1300">_xlfn.IFS(HR_Employee_Attrition[[#This Row],[YearsAtCompany]]&lt;=2,"0-2",HR_Employee_Attrition[[#This Row],[YearsAtCompany]]&lt;=5,"3-5",HR_Employee_Attrition[[#This Row],[YearsAtCompany]]&lt;=10,"6-10",HR_Employee_Attrition[[#This Row],[YearsAtCompany]]&gt;10,"10+")</f>
        <v>6-10</v>
      </c>
      <c r="AL1300" t="str" cm="1">
        <f t="array" ref="AL13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00">
        <f>IF(HR_Employee_Attrition[[#This Row],[Attrition]]="Yes",1,0)</f>
        <v>1</v>
      </c>
    </row>
    <row r="1301" spans="1:39" x14ac:dyDescent="0.3">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c r="AJ1301" t="str">
        <f>IF(HR_Employee_Attrition[[#This Row],[Age]]&gt;60,"60+",IF(HR_Employee_Attrition[[#This Row],[Age]]&gt;=50,"50-59",IF(HR_Employee_Attrition[[#This Row],[Age]]&gt;=40,"40-49",IF(HR_Employee_Attrition[[#This Row],[Age]]&gt;=30,"30-39",IF(HR_Employee_Attrition[[#This Row],[Age]]&gt;=20,"20-29",IF(HR_Employee_Attrition[[#This Row],[Age]]&gt;=18,"18-20"))))))</f>
        <v>40-49</v>
      </c>
      <c r="AK1301" t="str" cm="1">
        <f t="array" ref="AK1301">_xlfn.IFS(HR_Employee_Attrition[[#This Row],[YearsAtCompany]]&lt;=2,"0-2",HR_Employee_Attrition[[#This Row],[YearsAtCompany]]&lt;=5,"3-5",HR_Employee_Attrition[[#This Row],[YearsAtCompany]]&lt;=10,"6-10",HR_Employee_Attrition[[#This Row],[YearsAtCompany]]&gt;10,"10+")</f>
        <v>3-5</v>
      </c>
      <c r="AL1301" t="str" cm="1">
        <f t="array" ref="AL13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01">
        <f>IF(HR_Employee_Attrition[[#This Row],[Attrition]]="Yes",1,0)</f>
        <v>0</v>
      </c>
    </row>
    <row r="1302" spans="1:39" x14ac:dyDescent="0.3">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c r="AJ1302" t="str">
        <f>IF(HR_Employee_Attrition[[#This Row],[Age]]&gt;60,"60+",IF(HR_Employee_Attrition[[#This Row],[Age]]&gt;=50,"50-59",IF(HR_Employee_Attrition[[#This Row],[Age]]&gt;=40,"40-49",IF(HR_Employee_Attrition[[#This Row],[Age]]&gt;=30,"30-39",IF(HR_Employee_Attrition[[#This Row],[Age]]&gt;=20,"20-29",IF(HR_Employee_Attrition[[#This Row],[Age]]&gt;=18,"18-20"))))))</f>
        <v>30-39</v>
      </c>
      <c r="AK1302" t="str" cm="1">
        <f t="array" ref="AK1302">_xlfn.IFS(HR_Employee_Attrition[[#This Row],[YearsAtCompany]]&lt;=2,"0-2",HR_Employee_Attrition[[#This Row],[YearsAtCompany]]&lt;=5,"3-5",HR_Employee_Attrition[[#This Row],[YearsAtCompany]]&lt;=10,"6-10",HR_Employee_Attrition[[#This Row],[YearsAtCompany]]&gt;10,"10+")</f>
        <v>6-10</v>
      </c>
      <c r="AL1302" t="str" cm="1">
        <f t="array" ref="AL13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02">
        <f>IF(HR_Employee_Attrition[[#This Row],[Attrition]]="Yes",1,0)</f>
        <v>0</v>
      </c>
    </row>
    <row r="1303" spans="1:39" x14ac:dyDescent="0.3">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c r="AJ1303" t="str">
        <f>IF(HR_Employee_Attrition[[#This Row],[Age]]&gt;60,"60+",IF(HR_Employee_Attrition[[#This Row],[Age]]&gt;=50,"50-59",IF(HR_Employee_Attrition[[#This Row],[Age]]&gt;=40,"40-49",IF(HR_Employee_Attrition[[#This Row],[Age]]&gt;=30,"30-39",IF(HR_Employee_Attrition[[#This Row],[Age]]&gt;=20,"20-29",IF(HR_Employee_Attrition[[#This Row],[Age]]&gt;=18,"18-20"))))))</f>
        <v>50-59</v>
      </c>
      <c r="AK1303" t="str" cm="1">
        <f t="array" ref="AK1303">_xlfn.IFS(HR_Employee_Attrition[[#This Row],[YearsAtCompany]]&lt;=2,"0-2",HR_Employee_Attrition[[#This Row],[YearsAtCompany]]&lt;=5,"3-5",HR_Employee_Attrition[[#This Row],[YearsAtCompany]]&lt;=10,"6-10",HR_Employee_Attrition[[#This Row],[YearsAtCompany]]&gt;10,"10+")</f>
        <v>10+</v>
      </c>
      <c r="AL1303" t="str" cm="1">
        <f t="array" ref="AL13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03">
        <f>IF(HR_Employee_Attrition[[#This Row],[Attrition]]="Yes",1,0)</f>
        <v>0</v>
      </c>
    </row>
    <row r="1304" spans="1:39" x14ac:dyDescent="0.3">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c r="AJ1304" t="str">
        <f>IF(HR_Employee_Attrition[[#This Row],[Age]]&gt;60,"60+",IF(HR_Employee_Attrition[[#This Row],[Age]]&gt;=50,"50-59",IF(HR_Employee_Attrition[[#This Row],[Age]]&gt;=40,"40-49",IF(HR_Employee_Attrition[[#This Row],[Age]]&gt;=30,"30-39",IF(HR_Employee_Attrition[[#This Row],[Age]]&gt;=20,"20-29",IF(HR_Employee_Attrition[[#This Row],[Age]]&gt;=18,"18-20"))))))</f>
        <v>30-39</v>
      </c>
      <c r="AK1304" t="str" cm="1">
        <f t="array" ref="AK1304">_xlfn.IFS(HR_Employee_Attrition[[#This Row],[YearsAtCompany]]&lt;=2,"0-2",HR_Employee_Attrition[[#This Row],[YearsAtCompany]]&lt;=5,"3-5",HR_Employee_Attrition[[#This Row],[YearsAtCompany]]&lt;=10,"6-10",HR_Employee_Attrition[[#This Row],[YearsAtCompany]]&gt;10,"10+")</f>
        <v>3-5</v>
      </c>
      <c r="AL1304" t="str" cm="1">
        <f t="array" ref="AL13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04">
        <f>IF(HR_Employee_Attrition[[#This Row],[Attrition]]="Yes",1,0)</f>
        <v>0</v>
      </c>
    </row>
    <row r="1305" spans="1:39" x14ac:dyDescent="0.3">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c r="AJ1305" t="str">
        <f>IF(HR_Employee_Attrition[[#This Row],[Age]]&gt;60,"60+",IF(HR_Employee_Attrition[[#This Row],[Age]]&gt;=50,"50-59",IF(HR_Employee_Attrition[[#This Row],[Age]]&gt;=40,"40-49",IF(HR_Employee_Attrition[[#This Row],[Age]]&gt;=30,"30-39",IF(HR_Employee_Attrition[[#This Row],[Age]]&gt;=20,"20-29",IF(HR_Employee_Attrition[[#This Row],[Age]]&gt;=18,"18-20"))))))</f>
        <v>40-49</v>
      </c>
      <c r="AK1305" t="str" cm="1">
        <f t="array" ref="AK1305">_xlfn.IFS(HR_Employee_Attrition[[#This Row],[YearsAtCompany]]&lt;=2,"0-2",HR_Employee_Attrition[[#This Row],[YearsAtCompany]]&lt;=5,"3-5",HR_Employee_Attrition[[#This Row],[YearsAtCompany]]&lt;=10,"6-10",HR_Employee_Attrition[[#This Row],[YearsAtCompany]]&gt;10,"10+")</f>
        <v>10+</v>
      </c>
      <c r="AL1305" t="str" cm="1">
        <f t="array" ref="AL13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305">
        <f>IF(HR_Employee_Attrition[[#This Row],[Attrition]]="Yes",1,0)</f>
        <v>0</v>
      </c>
    </row>
    <row r="1306" spans="1:39" x14ac:dyDescent="0.3">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c r="AJ1306" t="str">
        <f>IF(HR_Employee_Attrition[[#This Row],[Age]]&gt;60,"60+",IF(HR_Employee_Attrition[[#This Row],[Age]]&gt;=50,"50-59",IF(HR_Employee_Attrition[[#This Row],[Age]]&gt;=40,"40-49",IF(HR_Employee_Attrition[[#This Row],[Age]]&gt;=30,"30-39",IF(HR_Employee_Attrition[[#This Row],[Age]]&gt;=20,"20-29",IF(HR_Employee_Attrition[[#This Row],[Age]]&gt;=18,"18-20"))))))</f>
        <v>40-49</v>
      </c>
      <c r="AK1306" t="str" cm="1">
        <f t="array" ref="AK1306">_xlfn.IFS(HR_Employee_Attrition[[#This Row],[YearsAtCompany]]&lt;=2,"0-2",HR_Employee_Attrition[[#This Row],[YearsAtCompany]]&lt;=5,"3-5",HR_Employee_Attrition[[#This Row],[YearsAtCompany]]&lt;=10,"6-10",HR_Employee_Attrition[[#This Row],[YearsAtCompany]]&gt;10,"10+")</f>
        <v>6-10</v>
      </c>
      <c r="AL1306" t="str" cm="1">
        <f t="array" ref="AL13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06">
        <f>IF(HR_Employee_Attrition[[#This Row],[Attrition]]="Yes",1,0)</f>
        <v>0</v>
      </c>
    </row>
    <row r="1307" spans="1:39" x14ac:dyDescent="0.3">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c r="AJ1307" t="str">
        <f>IF(HR_Employee_Attrition[[#This Row],[Age]]&gt;60,"60+",IF(HR_Employee_Attrition[[#This Row],[Age]]&gt;=50,"50-59",IF(HR_Employee_Attrition[[#This Row],[Age]]&gt;=40,"40-49",IF(HR_Employee_Attrition[[#This Row],[Age]]&gt;=30,"30-39",IF(HR_Employee_Attrition[[#This Row],[Age]]&gt;=20,"20-29",IF(HR_Employee_Attrition[[#This Row],[Age]]&gt;=18,"18-20"))))))</f>
        <v>50-59</v>
      </c>
      <c r="AK1307" t="str" cm="1">
        <f t="array" ref="AK1307">_xlfn.IFS(HR_Employee_Attrition[[#This Row],[YearsAtCompany]]&lt;=2,"0-2",HR_Employee_Attrition[[#This Row],[YearsAtCompany]]&lt;=5,"3-5",HR_Employee_Attrition[[#This Row],[YearsAtCompany]]&lt;=10,"6-10",HR_Employee_Attrition[[#This Row],[YearsAtCompany]]&gt;10,"10+")</f>
        <v>6-10</v>
      </c>
      <c r="AL1307" t="str" cm="1">
        <f t="array" ref="AL13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07">
        <f>IF(HR_Employee_Attrition[[#This Row],[Attrition]]="Yes",1,0)</f>
        <v>0</v>
      </c>
    </row>
    <row r="1308" spans="1:39" x14ac:dyDescent="0.3">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c r="AJ1308" t="str">
        <f>IF(HR_Employee_Attrition[[#This Row],[Age]]&gt;60,"60+",IF(HR_Employee_Attrition[[#This Row],[Age]]&gt;=50,"50-59",IF(HR_Employee_Attrition[[#This Row],[Age]]&gt;=40,"40-49",IF(HR_Employee_Attrition[[#This Row],[Age]]&gt;=30,"30-39",IF(HR_Employee_Attrition[[#This Row],[Age]]&gt;=20,"20-29",IF(HR_Employee_Attrition[[#This Row],[Age]]&gt;=18,"18-20"))))))</f>
        <v>30-39</v>
      </c>
      <c r="AK1308" t="str" cm="1">
        <f t="array" ref="AK1308">_xlfn.IFS(HR_Employee_Attrition[[#This Row],[YearsAtCompany]]&lt;=2,"0-2",HR_Employee_Attrition[[#This Row],[YearsAtCompany]]&lt;=5,"3-5",HR_Employee_Attrition[[#This Row],[YearsAtCompany]]&lt;=10,"6-10",HR_Employee_Attrition[[#This Row],[YearsAtCompany]]&gt;10,"10+")</f>
        <v>3-5</v>
      </c>
      <c r="AL1308" t="str" cm="1">
        <f t="array" ref="AL13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08">
        <f>IF(HR_Employee_Attrition[[#This Row],[Attrition]]="Yes",1,0)</f>
        <v>0</v>
      </c>
    </row>
    <row r="1309" spans="1:39" x14ac:dyDescent="0.3">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c r="AJ1309" t="str">
        <f>IF(HR_Employee_Attrition[[#This Row],[Age]]&gt;60,"60+",IF(HR_Employee_Attrition[[#This Row],[Age]]&gt;=50,"50-59",IF(HR_Employee_Attrition[[#This Row],[Age]]&gt;=40,"40-49",IF(HR_Employee_Attrition[[#This Row],[Age]]&gt;=30,"30-39",IF(HR_Employee_Attrition[[#This Row],[Age]]&gt;=20,"20-29",IF(HR_Employee_Attrition[[#This Row],[Age]]&gt;=18,"18-20"))))))</f>
        <v>20-29</v>
      </c>
      <c r="AK1309" t="str" cm="1">
        <f t="array" ref="AK1309">_xlfn.IFS(HR_Employee_Attrition[[#This Row],[YearsAtCompany]]&lt;=2,"0-2",HR_Employee_Attrition[[#This Row],[YearsAtCompany]]&lt;=5,"3-5",HR_Employee_Attrition[[#This Row],[YearsAtCompany]]&lt;=10,"6-10",HR_Employee_Attrition[[#This Row],[YearsAtCompany]]&gt;10,"10+")</f>
        <v>3-5</v>
      </c>
      <c r="AL1309" t="str" cm="1">
        <f t="array" ref="AL13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09">
        <f>IF(HR_Employee_Attrition[[#This Row],[Attrition]]="Yes",1,0)</f>
        <v>0</v>
      </c>
    </row>
    <row r="1310" spans="1:39" x14ac:dyDescent="0.3">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c r="AJ1310" t="str">
        <f>IF(HR_Employee_Attrition[[#This Row],[Age]]&gt;60,"60+",IF(HR_Employee_Attrition[[#This Row],[Age]]&gt;=50,"50-59",IF(HR_Employee_Attrition[[#This Row],[Age]]&gt;=40,"40-49",IF(HR_Employee_Attrition[[#This Row],[Age]]&gt;=30,"30-39",IF(HR_Employee_Attrition[[#This Row],[Age]]&gt;=20,"20-29",IF(HR_Employee_Attrition[[#This Row],[Age]]&gt;=18,"18-20"))))))</f>
        <v>30-39</v>
      </c>
      <c r="AK1310" t="str" cm="1">
        <f t="array" ref="AK1310">_xlfn.IFS(HR_Employee_Attrition[[#This Row],[YearsAtCompany]]&lt;=2,"0-2",HR_Employee_Attrition[[#This Row],[YearsAtCompany]]&lt;=5,"3-5",HR_Employee_Attrition[[#This Row],[YearsAtCompany]]&lt;=10,"6-10",HR_Employee_Attrition[[#This Row],[YearsAtCompany]]&gt;10,"10+")</f>
        <v>3-5</v>
      </c>
      <c r="AL1310" t="str" cm="1">
        <f t="array" ref="AL13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10">
        <f>IF(HR_Employee_Attrition[[#This Row],[Attrition]]="Yes",1,0)</f>
        <v>0</v>
      </c>
    </row>
    <row r="1311" spans="1:39" x14ac:dyDescent="0.3">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c r="AJ1311" t="str">
        <f>IF(HR_Employee_Attrition[[#This Row],[Age]]&gt;60,"60+",IF(HR_Employee_Attrition[[#This Row],[Age]]&gt;=50,"50-59",IF(HR_Employee_Attrition[[#This Row],[Age]]&gt;=40,"40-49",IF(HR_Employee_Attrition[[#This Row],[Age]]&gt;=30,"30-39",IF(HR_Employee_Attrition[[#This Row],[Age]]&gt;=20,"20-29",IF(HR_Employee_Attrition[[#This Row],[Age]]&gt;=18,"18-20"))))))</f>
        <v>20-29</v>
      </c>
      <c r="AK1311" t="str" cm="1">
        <f t="array" ref="AK1311">_xlfn.IFS(HR_Employee_Attrition[[#This Row],[YearsAtCompany]]&lt;=2,"0-2",HR_Employee_Attrition[[#This Row],[YearsAtCompany]]&lt;=5,"3-5",HR_Employee_Attrition[[#This Row],[YearsAtCompany]]&lt;=10,"6-10",HR_Employee_Attrition[[#This Row],[YearsAtCompany]]&gt;10,"10+")</f>
        <v>3-5</v>
      </c>
      <c r="AL1311" t="str" cm="1">
        <f t="array" ref="AL13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11">
        <f>IF(HR_Employee_Attrition[[#This Row],[Attrition]]="Yes",1,0)</f>
        <v>0</v>
      </c>
    </row>
    <row r="1312" spans="1:39" x14ac:dyDescent="0.3">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c r="AJ1312" t="str">
        <f>IF(HR_Employee_Attrition[[#This Row],[Age]]&gt;60,"60+",IF(HR_Employee_Attrition[[#This Row],[Age]]&gt;=50,"50-59",IF(HR_Employee_Attrition[[#This Row],[Age]]&gt;=40,"40-49",IF(HR_Employee_Attrition[[#This Row],[Age]]&gt;=30,"30-39",IF(HR_Employee_Attrition[[#This Row],[Age]]&gt;=20,"20-29",IF(HR_Employee_Attrition[[#This Row],[Age]]&gt;=18,"18-20"))))))</f>
        <v>50-59</v>
      </c>
      <c r="AK1312" t="str" cm="1">
        <f t="array" ref="AK1312">_xlfn.IFS(HR_Employee_Attrition[[#This Row],[YearsAtCompany]]&lt;=2,"0-2",HR_Employee_Attrition[[#This Row],[YearsAtCompany]]&lt;=5,"3-5",HR_Employee_Attrition[[#This Row],[YearsAtCompany]]&lt;=10,"6-10",HR_Employee_Attrition[[#This Row],[YearsAtCompany]]&gt;10,"10+")</f>
        <v>0-2</v>
      </c>
      <c r="AL1312" t="str" cm="1">
        <f t="array" ref="AL13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12">
        <f>IF(HR_Employee_Attrition[[#This Row],[Attrition]]="Yes",1,0)</f>
        <v>0</v>
      </c>
    </row>
    <row r="1313" spans="1:39" x14ac:dyDescent="0.3">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c r="AJ1313" t="str">
        <f>IF(HR_Employee_Attrition[[#This Row],[Age]]&gt;60,"60+",IF(HR_Employee_Attrition[[#This Row],[Age]]&gt;=50,"50-59",IF(HR_Employee_Attrition[[#This Row],[Age]]&gt;=40,"40-49",IF(HR_Employee_Attrition[[#This Row],[Age]]&gt;=30,"30-39",IF(HR_Employee_Attrition[[#This Row],[Age]]&gt;=20,"20-29",IF(HR_Employee_Attrition[[#This Row],[Age]]&gt;=18,"18-20"))))))</f>
        <v>18-20</v>
      </c>
      <c r="AK1313" t="str" cm="1">
        <f t="array" ref="AK1313">_xlfn.IFS(HR_Employee_Attrition[[#This Row],[YearsAtCompany]]&lt;=2,"0-2",HR_Employee_Attrition[[#This Row],[YearsAtCompany]]&lt;=5,"3-5",HR_Employee_Attrition[[#This Row],[YearsAtCompany]]&lt;=10,"6-10",HR_Employee_Attrition[[#This Row],[YearsAtCompany]]&gt;10,"10+")</f>
        <v>0-2</v>
      </c>
      <c r="AL1313" t="str" cm="1">
        <f t="array" ref="AL13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13">
        <f>IF(HR_Employee_Attrition[[#This Row],[Attrition]]="Yes",1,0)</f>
        <v>0</v>
      </c>
    </row>
    <row r="1314" spans="1:39" x14ac:dyDescent="0.3">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c r="AJ1314" t="str">
        <f>IF(HR_Employee_Attrition[[#This Row],[Age]]&gt;60,"60+",IF(HR_Employee_Attrition[[#This Row],[Age]]&gt;=50,"50-59",IF(HR_Employee_Attrition[[#This Row],[Age]]&gt;=40,"40-49",IF(HR_Employee_Attrition[[#This Row],[Age]]&gt;=30,"30-39",IF(HR_Employee_Attrition[[#This Row],[Age]]&gt;=20,"20-29",IF(HR_Employee_Attrition[[#This Row],[Age]]&gt;=18,"18-20"))))))</f>
        <v>30-39</v>
      </c>
      <c r="AK1314" t="str" cm="1">
        <f t="array" ref="AK1314">_xlfn.IFS(HR_Employee_Attrition[[#This Row],[YearsAtCompany]]&lt;=2,"0-2",HR_Employee_Attrition[[#This Row],[YearsAtCompany]]&lt;=5,"3-5",HR_Employee_Attrition[[#This Row],[YearsAtCompany]]&lt;=10,"6-10",HR_Employee_Attrition[[#This Row],[YearsAtCompany]]&gt;10,"10+")</f>
        <v>0-2</v>
      </c>
      <c r="AL1314" t="str" cm="1">
        <f t="array" ref="AL13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14">
        <f>IF(HR_Employee_Attrition[[#This Row],[Attrition]]="Yes",1,0)</f>
        <v>1</v>
      </c>
    </row>
    <row r="1315" spans="1:39" x14ac:dyDescent="0.3">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c r="AJ1315" t="str">
        <f>IF(HR_Employee_Attrition[[#This Row],[Age]]&gt;60,"60+",IF(HR_Employee_Attrition[[#This Row],[Age]]&gt;=50,"50-59",IF(HR_Employee_Attrition[[#This Row],[Age]]&gt;=40,"40-49",IF(HR_Employee_Attrition[[#This Row],[Age]]&gt;=30,"30-39",IF(HR_Employee_Attrition[[#This Row],[Age]]&gt;=20,"20-29",IF(HR_Employee_Attrition[[#This Row],[Age]]&gt;=18,"18-20"))))))</f>
        <v>20-29</v>
      </c>
      <c r="AK1315" t="str" cm="1">
        <f t="array" ref="AK1315">_xlfn.IFS(HR_Employee_Attrition[[#This Row],[YearsAtCompany]]&lt;=2,"0-2",HR_Employee_Attrition[[#This Row],[YearsAtCompany]]&lt;=5,"3-5",HR_Employee_Attrition[[#This Row],[YearsAtCompany]]&lt;=10,"6-10",HR_Employee_Attrition[[#This Row],[YearsAtCompany]]&gt;10,"10+")</f>
        <v>0-2</v>
      </c>
      <c r="AL1315" t="str" cm="1">
        <f t="array" ref="AL13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15">
        <f>IF(HR_Employee_Attrition[[#This Row],[Attrition]]="Yes",1,0)</f>
        <v>1</v>
      </c>
    </row>
    <row r="1316" spans="1:39" x14ac:dyDescent="0.3">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c r="AJ1316" t="str">
        <f>IF(HR_Employee_Attrition[[#This Row],[Age]]&gt;60,"60+",IF(HR_Employee_Attrition[[#This Row],[Age]]&gt;=50,"50-59",IF(HR_Employee_Attrition[[#This Row],[Age]]&gt;=40,"40-49",IF(HR_Employee_Attrition[[#This Row],[Age]]&gt;=30,"30-39",IF(HR_Employee_Attrition[[#This Row],[Age]]&gt;=20,"20-29",IF(HR_Employee_Attrition[[#This Row],[Age]]&gt;=18,"18-20"))))))</f>
        <v>40-49</v>
      </c>
      <c r="AK1316" t="str" cm="1">
        <f t="array" ref="AK1316">_xlfn.IFS(HR_Employee_Attrition[[#This Row],[YearsAtCompany]]&lt;=2,"0-2",HR_Employee_Attrition[[#This Row],[YearsAtCompany]]&lt;=5,"3-5",HR_Employee_Attrition[[#This Row],[YearsAtCompany]]&lt;=10,"6-10",HR_Employee_Attrition[[#This Row],[YearsAtCompany]]&gt;10,"10+")</f>
        <v>6-10</v>
      </c>
      <c r="AL1316" t="str" cm="1">
        <f t="array" ref="AL13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16">
        <f>IF(HR_Employee_Attrition[[#This Row],[Attrition]]="Yes",1,0)</f>
        <v>0</v>
      </c>
    </row>
    <row r="1317" spans="1:39" x14ac:dyDescent="0.3">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c r="AJ1317" t="str">
        <f>IF(HR_Employee_Attrition[[#This Row],[Age]]&gt;60,"60+",IF(HR_Employee_Attrition[[#This Row],[Age]]&gt;=50,"50-59",IF(HR_Employee_Attrition[[#This Row],[Age]]&gt;=40,"40-49",IF(HR_Employee_Attrition[[#This Row],[Age]]&gt;=30,"30-39",IF(HR_Employee_Attrition[[#This Row],[Age]]&gt;=20,"20-29",IF(HR_Employee_Attrition[[#This Row],[Age]]&gt;=18,"18-20"))))))</f>
        <v>30-39</v>
      </c>
      <c r="AK1317" t="str" cm="1">
        <f t="array" ref="AK1317">_xlfn.IFS(HR_Employee_Attrition[[#This Row],[YearsAtCompany]]&lt;=2,"0-2",HR_Employee_Attrition[[#This Row],[YearsAtCompany]]&lt;=5,"3-5",HR_Employee_Attrition[[#This Row],[YearsAtCompany]]&lt;=10,"6-10",HR_Employee_Attrition[[#This Row],[YearsAtCompany]]&gt;10,"10+")</f>
        <v>0-2</v>
      </c>
      <c r="AL1317" t="str" cm="1">
        <f t="array" ref="AL13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17">
        <f>IF(HR_Employee_Attrition[[#This Row],[Attrition]]="Yes",1,0)</f>
        <v>0</v>
      </c>
    </row>
    <row r="1318" spans="1:39" x14ac:dyDescent="0.3">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c r="AJ1318" t="str">
        <f>IF(HR_Employee_Attrition[[#This Row],[Age]]&gt;60,"60+",IF(HR_Employee_Attrition[[#This Row],[Age]]&gt;=50,"50-59",IF(HR_Employee_Attrition[[#This Row],[Age]]&gt;=40,"40-49",IF(HR_Employee_Attrition[[#This Row],[Age]]&gt;=30,"30-39",IF(HR_Employee_Attrition[[#This Row],[Age]]&gt;=20,"20-29",IF(HR_Employee_Attrition[[#This Row],[Age]]&gt;=18,"18-20"))))))</f>
        <v>40-49</v>
      </c>
      <c r="AK1318" t="str" cm="1">
        <f t="array" ref="AK1318">_xlfn.IFS(HR_Employee_Attrition[[#This Row],[YearsAtCompany]]&lt;=2,"0-2",HR_Employee_Attrition[[#This Row],[YearsAtCompany]]&lt;=5,"3-5",HR_Employee_Attrition[[#This Row],[YearsAtCompany]]&lt;=10,"6-10",HR_Employee_Attrition[[#This Row],[YearsAtCompany]]&gt;10,"10+")</f>
        <v>6-10</v>
      </c>
      <c r="AL1318" t="str" cm="1">
        <f t="array" ref="AL13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18">
        <f>IF(HR_Employee_Attrition[[#This Row],[Attrition]]="Yes",1,0)</f>
        <v>0</v>
      </c>
    </row>
    <row r="1319" spans="1:39" x14ac:dyDescent="0.3">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c r="AJ1319" t="str">
        <f>IF(HR_Employee_Attrition[[#This Row],[Age]]&gt;60,"60+",IF(HR_Employee_Attrition[[#This Row],[Age]]&gt;=50,"50-59",IF(HR_Employee_Attrition[[#This Row],[Age]]&gt;=40,"40-49",IF(HR_Employee_Attrition[[#This Row],[Age]]&gt;=30,"30-39",IF(HR_Employee_Attrition[[#This Row],[Age]]&gt;=20,"20-29",IF(HR_Employee_Attrition[[#This Row],[Age]]&gt;=18,"18-20"))))))</f>
        <v>20-29</v>
      </c>
      <c r="AK1319" t="str" cm="1">
        <f t="array" ref="AK1319">_xlfn.IFS(HR_Employee_Attrition[[#This Row],[YearsAtCompany]]&lt;=2,"0-2",HR_Employee_Attrition[[#This Row],[YearsAtCompany]]&lt;=5,"3-5",HR_Employee_Attrition[[#This Row],[YearsAtCompany]]&lt;=10,"6-10",HR_Employee_Attrition[[#This Row],[YearsAtCompany]]&gt;10,"10+")</f>
        <v>3-5</v>
      </c>
      <c r="AL1319" t="str" cm="1">
        <f t="array" ref="AL13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19">
        <f>IF(HR_Employee_Attrition[[#This Row],[Attrition]]="Yes",1,0)</f>
        <v>0</v>
      </c>
    </row>
    <row r="1320" spans="1:39" x14ac:dyDescent="0.3">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c r="AJ1320" t="str">
        <f>IF(HR_Employee_Attrition[[#This Row],[Age]]&gt;60,"60+",IF(HR_Employee_Attrition[[#This Row],[Age]]&gt;=50,"50-59",IF(HR_Employee_Attrition[[#This Row],[Age]]&gt;=40,"40-49",IF(HR_Employee_Attrition[[#This Row],[Age]]&gt;=30,"30-39",IF(HR_Employee_Attrition[[#This Row],[Age]]&gt;=20,"20-29",IF(HR_Employee_Attrition[[#This Row],[Age]]&gt;=18,"18-20"))))))</f>
        <v>20-29</v>
      </c>
      <c r="AK1320" t="str" cm="1">
        <f t="array" ref="AK1320">_xlfn.IFS(HR_Employee_Attrition[[#This Row],[YearsAtCompany]]&lt;=2,"0-2",HR_Employee_Attrition[[#This Row],[YearsAtCompany]]&lt;=5,"3-5",HR_Employee_Attrition[[#This Row],[YearsAtCompany]]&lt;=10,"6-10",HR_Employee_Attrition[[#This Row],[YearsAtCompany]]&gt;10,"10+")</f>
        <v>10+</v>
      </c>
      <c r="AL1320" t="str" cm="1">
        <f t="array" ref="AL13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20">
        <f>IF(HR_Employee_Attrition[[#This Row],[Attrition]]="Yes",1,0)</f>
        <v>0</v>
      </c>
    </row>
    <row r="1321" spans="1:39" x14ac:dyDescent="0.3">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c r="AJ1321" t="str">
        <f>IF(HR_Employee_Attrition[[#This Row],[Age]]&gt;60,"60+",IF(HR_Employee_Attrition[[#This Row],[Age]]&gt;=50,"50-59",IF(HR_Employee_Attrition[[#This Row],[Age]]&gt;=40,"40-49",IF(HR_Employee_Attrition[[#This Row],[Age]]&gt;=30,"30-39",IF(HR_Employee_Attrition[[#This Row],[Age]]&gt;=20,"20-29",IF(HR_Employee_Attrition[[#This Row],[Age]]&gt;=18,"18-20"))))))</f>
        <v>30-39</v>
      </c>
      <c r="AK1321" t="str" cm="1">
        <f t="array" ref="AK1321">_xlfn.IFS(HR_Employee_Attrition[[#This Row],[YearsAtCompany]]&lt;=2,"0-2",HR_Employee_Attrition[[#This Row],[YearsAtCompany]]&lt;=5,"3-5",HR_Employee_Attrition[[#This Row],[YearsAtCompany]]&lt;=10,"6-10",HR_Employee_Attrition[[#This Row],[YearsAtCompany]]&gt;10,"10+")</f>
        <v>0-2</v>
      </c>
      <c r="AL1321" t="str" cm="1">
        <f t="array" ref="AL13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21">
        <f>IF(HR_Employee_Attrition[[#This Row],[Attrition]]="Yes",1,0)</f>
        <v>0</v>
      </c>
    </row>
    <row r="1322" spans="1:39" x14ac:dyDescent="0.3">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c r="AJ1322" t="str">
        <f>IF(HR_Employee_Attrition[[#This Row],[Age]]&gt;60,"60+",IF(HR_Employee_Attrition[[#This Row],[Age]]&gt;=50,"50-59",IF(HR_Employee_Attrition[[#This Row],[Age]]&gt;=40,"40-49",IF(HR_Employee_Attrition[[#This Row],[Age]]&gt;=30,"30-39",IF(HR_Employee_Attrition[[#This Row],[Age]]&gt;=20,"20-29",IF(HR_Employee_Attrition[[#This Row],[Age]]&gt;=18,"18-20"))))))</f>
        <v>40-49</v>
      </c>
      <c r="AK1322" t="str" cm="1">
        <f t="array" ref="AK1322">_xlfn.IFS(HR_Employee_Attrition[[#This Row],[YearsAtCompany]]&lt;=2,"0-2",HR_Employee_Attrition[[#This Row],[YearsAtCompany]]&lt;=5,"3-5",HR_Employee_Attrition[[#This Row],[YearsAtCompany]]&lt;=10,"6-10",HR_Employee_Attrition[[#This Row],[YearsAtCompany]]&gt;10,"10+")</f>
        <v>6-10</v>
      </c>
      <c r="AL1322" t="str" cm="1">
        <f t="array" ref="AL13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22">
        <f>IF(HR_Employee_Attrition[[#This Row],[Attrition]]="Yes",1,0)</f>
        <v>0</v>
      </c>
    </row>
    <row r="1323" spans="1:39" x14ac:dyDescent="0.3">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c r="AJ1323" t="str">
        <f>IF(HR_Employee_Attrition[[#This Row],[Age]]&gt;60,"60+",IF(HR_Employee_Attrition[[#This Row],[Age]]&gt;=50,"50-59",IF(HR_Employee_Attrition[[#This Row],[Age]]&gt;=40,"40-49",IF(HR_Employee_Attrition[[#This Row],[Age]]&gt;=30,"30-39",IF(HR_Employee_Attrition[[#This Row],[Age]]&gt;=20,"20-29",IF(HR_Employee_Attrition[[#This Row],[Age]]&gt;=18,"18-20"))))))</f>
        <v>40-49</v>
      </c>
      <c r="AK1323" t="str" cm="1">
        <f t="array" ref="AK1323">_xlfn.IFS(HR_Employee_Attrition[[#This Row],[YearsAtCompany]]&lt;=2,"0-2",HR_Employee_Attrition[[#This Row],[YearsAtCompany]]&lt;=5,"3-5",HR_Employee_Attrition[[#This Row],[YearsAtCompany]]&lt;=10,"6-10",HR_Employee_Attrition[[#This Row],[YearsAtCompany]]&gt;10,"10+")</f>
        <v>0-2</v>
      </c>
      <c r="AL1323" t="str" cm="1">
        <f t="array" ref="AL13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23">
        <f>IF(HR_Employee_Attrition[[#This Row],[Attrition]]="Yes",1,0)</f>
        <v>0</v>
      </c>
    </row>
    <row r="1324" spans="1:39" x14ac:dyDescent="0.3">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c r="AJ1324" t="str">
        <f>IF(HR_Employee_Attrition[[#This Row],[Age]]&gt;60,"60+",IF(HR_Employee_Attrition[[#This Row],[Age]]&gt;=50,"50-59",IF(HR_Employee_Attrition[[#This Row],[Age]]&gt;=40,"40-49",IF(HR_Employee_Attrition[[#This Row],[Age]]&gt;=30,"30-39",IF(HR_Employee_Attrition[[#This Row],[Age]]&gt;=20,"20-29",IF(HR_Employee_Attrition[[#This Row],[Age]]&gt;=18,"18-20"))))))</f>
        <v>40-49</v>
      </c>
      <c r="AK1324" t="str" cm="1">
        <f t="array" ref="AK1324">_xlfn.IFS(HR_Employee_Attrition[[#This Row],[YearsAtCompany]]&lt;=2,"0-2",HR_Employee_Attrition[[#This Row],[YearsAtCompany]]&lt;=5,"3-5",HR_Employee_Attrition[[#This Row],[YearsAtCompany]]&lt;=10,"6-10",HR_Employee_Attrition[[#This Row],[YearsAtCompany]]&gt;10,"10+")</f>
        <v>6-10</v>
      </c>
      <c r="AL1324" t="str" cm="1">
        <f t="array" ref="AL13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24">
        <f>IF(HR_Employee_Attrition[[#This Row],[Attrition]]="Yes",1,0)</f>
        <v>0</v>
      </c>
    </row>
    <row r="1325" spans="1:39" x14ac:dyDescent="0.3">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c r="AJ1325" t="str">
        <f>IF(HR_Employee_Attrition[[#This Row],[Age]]&gt;60,"60+",IF(HR_Employee_Attrition[[#This Row],[Age]]&gt;=50,"50-59",IF(HR_Employee_Attrition[[#This Row],[Age]]&gt;=40,"40-49",IF(HR_Employee_Attrition[[#This Row],[Age]]&gt;=30,"30-39",IF(HR_Employee_Attrition[[#This Row],[Age]]&gt;=20,"20-29",IF(HR_Employee_Attrition[[#This Row],[Age]]&gt;=18,"18-20"))))))</f>
        <v>20-29</v>
      </c>
      <c r="AK1325" t="str" cm="1">
        <f t="array" ref="AK1325">_xlfn.IFS(HR_Employee_Attrition[[#This Row],[YearsAtCompany]]&lt;=2,"0-2",HR_Employee_Attrition[[#This Row],[YearsAtCompany]]&lt;=5,"3-5",HR_Employee_Attrition[[#This Row],[YearsAtCompany]]&lt;=10,"6-10",HR_Employee_Attrition[[#This Row],[YearsAtCompany]]&gt;10,"10+")</f>
        <v>3-5</v>
      </c>
      <c r="AL1325" t="str" cm="1">
        <f t="array" ref="AL13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25">
        <f>IF(HR_Employee_Attrition[[#This Row],[Attrition]]="Yes",1,0)</f>
        <v>0</v>
      </c>
    </row>
    <row r="1326" spans="1:39" x14ac:dyDescent="0.3">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c r="AJ1326" t="str">
        <f>IF(HR_Employee_Attrition[[#This Row],[Age]]&gt;60,"60+",IF(HR_Employee_Attrition[[#This Row],[Age]]&gt;=50,"50-59",IF(HR_Employee_Attrition[[#This Row],[Age]]&gt;=40,"40-49",IF(HR_Employee_Attrition[[#This Row],[Age]]&gt;=30,"30-39",IF(HR_Employee_Attrition[[#This Row],[Age]]&gt;=20,"20-29",IF(HR_Employee_Attrition[[#This Row],[Age]]&gt;=18,"18-20"))))))</f>
        <v>20-29</v>
      </c>
      <c r="AK1326" t="str" cm="1">
        <f t="array" ref="AK1326">_xlfn.IFS(HR_Employee_Attrition[[#This Row],[YearsAtCompany]]&lt;=2,"0-2",HR_Employee_Attrition[[#This Row],[YearsAtCompany]]&lt;=5,"3-5",HR_Employee_Attrition[[#This Row],[YearsAtCompany]]&lt;=10,"6-10",HR_Employee_Attrition[[#This Row],[YearsAtCompany]]&gt;10,"10+")</f>
        <v>6-10</v>
      </c>
      <c r="AL1326" t="str" cm="1">
        <f t="array" ref="AL13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26">
        <f>IF(HR_Employee_Attrition[[#This Row],[Attrition]]="Yes",1,0)</f>
        <v>0</v>
      </c>
    </row>
    <row r="1327" spans="1:39" x14ac:dyDescent="0.3">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c r="AJ1327" t="str">
        <f>IF(HR_Employee_Attrition[[#This Row],[Age]]&gt;60,"60+",IF(HR_Employee_Attrition[[#This Row],[Age]]&gt;=50,"50-59",IF(HR_Employee_Attrition[[#This Row],[Age]]&gt;=40,"40-49",IF(HR_Employee_Attrition[[#This Row],[Age]]&gt;=30,"30-39",IF(HR_Employee_Attrition[[#This Row],[Age]]&gt;=20,"20-29",IF(HR_Employee_Attrition[[#This Row],[Age]]&gt;=18,"18-20"))))))</f>
        <v>40-49</v>
      </c>
      <c r="AK1327" t="str" cm="1">
        <f t="array" ref="AK1327">_xlfn.IFS(HR_Employee_Attrition[[#This Row],[YearsAtCompany]]&lt;=2,"0-2",HR_Employee_Attrition[[#This Row],[YearsAtCompany]]&lt;=5,"3-5",HR_Employee_Attrition[[#This Row],[YearsAtCompany]]&lt;=10,"6-10",HR_Employee_Attrition[[#This Row],[YearsAtCompany]]&gt;10,"10+")</f>
        <v>0-2</v>
      </c>
      <c r="AL1327" t="str" cm="1">
        <f t="array" ref="AL13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27">
        <f>IF(HR_Employee_Attrition[[#This Row],[Attrition]]="Yes",1,0)</f>
        <v>0</v>
      </c>
    </row>
    <row r="1328" spans="1:39" x14ac:dyDescent="0.3">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c r="AJ1328" t="str">
        <f>IF(HR_Employee_Attrition[[#This Row],[Age]]&gt;60,"60+",IF(HR_Employee_Attrition[[#This Row],[Age]]&gt;=50,"50-59",IF(HR_Employee_Attrition[[#This Row],[Age]]&gt;=40,"40-49",IF(HR_Employee_Attrition[[#This Row],[Age]]&gt;=30,"30-39",IF(HR_Employee_Attrition[[#This Row],[Age]]&gt;=20,"20-29",IF(HR_Employee_Attrition[[#This Row],[Age]]&gt;=18,"18-20"))))))</f>
        <v>30-39</v>
      </c>
      <c r="AK1328" t="str" cm="1">
        <f t="array" ref="AK1328">_xlfn.IFS(HR_Employee_Attrition[[#This Row],[YearsAtCompany]]&lt;=2,"0-2",HR_Employee_Attrition[[#This Row],[YearsAtCompany]]&lt;=5,"3-5",HR_Employee_Attrition[[#This Row],[YearsAtCompany]]&lt;=10,"6-10",HR_Employee_Attrition[[#This Row],[YearsAtCompany]]&gt;10,"10+")</f>
        <v>0-2</v>
      </c>
      <c r="AL1328" t="str" cm="1">
        <f t="array" ref="AL13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28">
        <f>IF(HR_Employee_Attrition[[#This Row],[Attrition]]="Yes",1,0)</f>
        <v>1</v>
      </c>
    </row>
    <row r="1329" spans="1:39" x14ac:dyDescent="0.3">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c r="AJ1329" t="str">
        <f>IF(HR_Employee_Attrition[[#This Row],[Age]]&gt;60,"60+",IF(HR_Employee_Attrition[[#This Row],[Age]]&gt;=50,"50-59",IF(HR_Employee_Attrition[[#This Row],[Age]]&gt;=40,"40-49",IF(HR_Employee_Attrition[[#This Row],[Age]]&gt;=30,"30-39",IF(HR_Employee_Attrition[[#This Row],[Age]]&gt;=20,"20-29",IF(HR_Employee_Attrition[[#This Row],[Age]]&gt;=18,"18-20"))))))</f>
        <v>40-49</v>
      </c>
      <c r="AK1329" t="str" cm="1">
        <f t="array" ref="AK1329">_xlfn.IFS(HR_Employee_Attrition[[#This Row],[YearsAtCompany]]&lt;=2,"0-2",HR_Employee_Attrition[[#This Row],[YearsAtCompany]]&lt;=5,"3-5",HR_Employee_Attrition[[#This Row],[YearsAtCompany]]&lt;=10,"6-10",HR_Employee_Attrition[[#This Row],[YearsAtCompany]]&gt;10,"10+")</f>
        <v>10+</v>
      </c>
      <c r="AL1329" t="str" cm="1">
        <f t="array" ref="AL13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329">
        <f>IF(HR_Employee_Attrition[[#This Row],[Attrition]]="Yes",1,0)</f>
        <v>0</v>
      </c>
    </row>
    <row r="1330" spans="1:39" x14ac:dyDescent="0.3">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c r="AJ1330" t="str">
        <f>IF(HR_Employee_Attrition[[#This Row],[Age]]&gt;60,"60+",IF(HR_Employee_Attrition[[#This Row],[Age]]&gt;=50,"50-59",IF(HR_Employee_Attrition[[#This Row],[Age]]&gt;=40,"40-49",IF(HR_Employee_Attrition[[#This Row],[Age]]&gt;=30,"30-39",IF(HR_Employee_Attrition[[#This Row],[Age]]&gt;=20,"20-29",IF(HR_Employee_Attrition[[#This Row],[Age]]&gt;=18,"18-20"))))))</f>
        <v>20-29</v>
      </c>
      <c r="AK1330" t="str" cm="1">
        <f t="array" ref="AK1330">_xlfn.IFS(HR_Employee_Attrition[[#This Row],[YearsAtCompany]]&lt;=2,"0-2",HR_Employee_Attrition[[#This Row],[YearsAtCompany]]&lt;=5,"3-5",HR_Employee_Attrition[[#This Row],[YearsAtCompany]]&lt;=10,"6-10",HR_Employee_Attrition[[#This Row],[YearsAtCompany]]&gt;10,"10+")</f>
        <v>6-10</v>
      </c>
      <c r="AL1330" t="str" cm="1">
        <f t="array" ref="AL13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30">
        <f>IF(HR_Employee_Attrition[[#This Row],[Attrition]]="Yes",1,0)</f>
        <v>0</v>
      </c>
    </row>
    <row r="1331" spans="1:39" x14ac:dyDescent="0.3">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c r="AJ1331" t="str">
        <f>IF(HR_Employee_Attrition[[#This Row],[Age]]&gt;60,"60+",IF(HR_Employee_Attrition[[#This Row],[Age]]&gt;=50,"50-59",IF(HR_Employee_Attrition[[#This Row],[Age]]&gt;=40,"40-49",IF(HR_Employee_Attrition[[#This Row],[Age]]&gt;=30,"30-39",IF(HR_Employee_Attrition[[#This Row],[Age]]&gt;=20,"20-29",IF(HR_Employee_Attrition[[#This Row],[Age]]&gt;=18,"18-20"))))))</f>
        <v>20-29</v>
      </c>
      <c r="AK1331" t="str" cm="1">
        <f t="array" ref="AK1331">_xlfn.IFS(HR_Employee_Attrition[[#This Row],[YearsAtCompany]]&lt;=2,"0-2",HR_Employee_Attrition[[#This Row],[YearsAtCompany]]&lt;=5,"3-5",HR_Employee_Attrition[[#This Row],[YearsAtCompany]]&lt;=10,"6-10",HR_Employee_Attrition[[#This Row],[YearsAtCompany]]&gt;10,"10+")</f>
        <v>0-2</v>
      </c>
      <c r="AL1331" t="str" cm="1">
        <f t="array" ref="AL13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31">
        <f>IF(HR_Employee_Attrition[[#This Row],[Attrition]]="Yes",1,0)</f>
        <v>0</v>
      </c>
    </row>
    <row r="1332" spans="1:39" x14ac:dyDescent="0.3">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c r="AJ1332" t="str">
        <f>IF(HR_Employee_Attrition[[#This Row],[Age]]&gt;60,"60+",IF(HR_Employee_Attrition[[#This Row],[Age]]&gt;=50,"50-59",IF(HR_Employee_Attrition[[#This Row],[Age]]&gt;=40,"40-49",IF(HR_Employee_Attrition[[#This Row],[Age]]&gt;=30,"30-39",IF(HR_Employee_Attrition[[#This Row],[Age]]&gt;=20,"20-29",IF(HR_Employee_Attrition[[#This Row],[Age]]&gt;=18,"18-20"))))))</f>
        <v>40-49</v>
      </c>
      <c r="AK1332" t="str" cm="1">
        <f t="array" ref="AK1332">_xlfn.IFS(HR_Employee_Attrition[[#This Row],[YearsAtCompany]]&lt;=2,"0-2",HR_Employee_Attrition[[#This Row],[YearsAtCompany]]&lt;=5,"3-5",HR_Employee_Attrition[[#This Row],[YearsAtCompany]]&lt;=10,"6-10",HR_Employee_Attrition[[#This Row],[YearsAtCompany]]&gt;10,"10+")</f>
        <v>10+</v>
      </c>
      <c r="AL1332" t="str" cm="1">
        <f t="array" ref="AL13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32">
        <f>IF(HR_Employee_Attrition[[#This Row],[Attrition]]="Yes",1,0)</f>
        <v>0</v>
      </c>
    </row>
    <row r="1333" spans="1:39" x14ac:dyDescent="0.3">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c r="AJ1333" t="str">
        <f>IF(HR_Employee_Attrition[[#This Row],[Age]]&gt;60,"60+",IF(HR_Employee_Attrition[[#This Row],[Age]]&gt;=50,"50-59",IF(HR_Employee_Attrition[[#This Row],[Age]]&gt;=40,"40-49",IF(HR_Employee_Attrition[[#This Row],[Age]]&gt;=30,"30-39",IF(HR_Employee_Attrition[[#This Row],[Age]]&gt;=20,"20-29",IF(HR_Employee_Attrition[[#This Row],[Age]]&gt;=18,"18-20"))))))</f>
        <v>40-49</v>
      </c>
      <c r="AK1333" t="str" cm="1">
        <f t="array" ref="AK1333">_xlfn.IFS(HR_Employee_Attrition[[#This Row],[YearsAtCompany]]&lt;=2,"0-2",HR_Employee_Attrition[[#This Row],[YearsAtCompany]]&lt;=5,"3-5",HR_Employee_Attrition[[#This Row],[YearsAtCompany]]&lt;=10,"6-10",HR_Employee_Attrition[[#This Row],[YearsAtCompany]]&gt;10,"10+")</f>
        <v>10+</v>
      </c>
      <c r="AL1333" t="str" cm="1">
        <f t="array" ref="AL13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33">
        <f>IF(HR_Employee_Attrition[[#This Row],[Attrition]]="Yes",1,0)</f>
        <v>0</v>
      </c>
    </row>
    <row r="1334" spans="1:39" x14ac:dyDescent="0.3">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c r="AJ1334" t="str">
        <f>IF(HR_Employee_Attrition[[#This Row],[Age]]&gt;60,"60+",IF(HR_Employee_Attrition[[#This Row],[Age]]&gt;=50,"50-59",IF(HR_Employee_Attrition[[#This Row],[Age]]&gt;=40,"40-49",IF(HR_Employee_Attrition[[#This Row],[Age]]&gt;=30,"30-39",IF(HR_Employee_Attrition[[#This Row],[Age]]&gt;=20,"20-29",IF(HR_Employee_Attrition[[#This Row],[Age]]&gt;=18,"18-20"))))))</f>
        <v>20-29</v>
      </c>
      <c r="AK1334" t="str" cm="1">
        <f t="array" ref="AK1334">_xlfn.IFS(HR_Employee_Attrition[[#This Row],[YearsAtCompany]]&lt;=2,"0-2",HR_Employee_Attrition[[#This Row],[YearsAtCompany]]&lt;=5,"3-5",HR_Employee_Attrition[[#This Row],[YearsAtCompany]]&lt;=10,"6-10",HR_Employee_Attrition[[#This Row],[YearsAtCompany]]&gt;10,"10+")</f>
        <v>0-2</v>
      </c>
      <c r="AL1334" t="str" cm="1">
        <f t="array" ref="AL13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34">
        <f>IF(HR_Employee_Attrition[[#This Row],[Attrition]]="Yes",1,0)</f>
        <v>1</v>
      </c>
    </row>
    <row r="1335" spans="1:39" x14ac:dyDescent="0.3">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c r="AJ1335" t="str">
        <f>IF(HR_Employee_Attrition[[#This Row],[Age]]&gt;60,"60+",IF(HR_Employee_Attrition[[#This Row],[Age]]&gt;=50,"50-59",IF(HR_Employee_Attrition[[#This Row],[Age]]&gt;=40,"40-49",IF(HR_Employee_Attrition[[#This Row],[Age]]&gt;=30,"30-39",IF(HR_Employee_Attrition[[#This Row],[Age]]&gt;=20,"20-29",IF(HR_Employee_Attrition[[#This Row],[Age]]&gt;=18,"18-20"))))))</f>
        <v>40-49</v>
      </c>
      <c r="AK1335" t="str" cm="1">
        <f t="array" ref="AK1335">_xlfn.IFS(HR_Employee_Attrition[[#This Row],[YearsAtCompany]]&lt;=2,"0-2",HR_Employee_Attrition[[#This Row],[YearsAtCompany]]&lt;=5,"3-5",HR_Employee_Attrition[[#This Row],[YearsAtCompany]]&lt;=10,"6-10",HR_Employee_Attrition[[#This Row],[YearsAtCompany]]&gt;10,"10+")</f>
        <v>6-10</v>
      </c>
      <c r="AL1335" t="str" cm="1">
        <f t="array" ref="AL13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35">
        <f>IF(HR_Employee_Attrition[[#This Row],[Attrition]]="Yes",1,0)</f>
        <v>1</v>
      </c>
    </row>
    <row r="1336" spans="1:39" x14ac:dyDescent="0.3">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c r="AJ1336" t="str">
        <f>IF(HR_Employee_Attrition[[#This Row],[Age]]&gt;60,"60+",IF(HR_Employee_Attrition[[#This Row],[Age]]&gt;=50,"50-59",IF(HR_Employee_Attrition[[#This Row],[Age]]&gt;=40,"40-49",IF(HR_Employee_Attrition[[#This Row],[Age]]&gt;=30,"30-39",IF(HR_Employee_Attrition[[#This Row],[Age]]&gt;=20,"20-29",IF(HR_Employee_Attrition[[#This Row],[Age]]&gt;=18,"18-20"))))))</f>
        <v>20-29</v>
      </c>
      <c r="AK1336" t="str" cm="1">
        <f t="array" ref="AK1336">_xlfn.IFS(HR_Employee_Attrition[[#This Row],[YearsAtCompany]]&lt;=2,"0-2",HR_Employee_Attrition[[#This Row],[YearsAtCompany]]&lt;=5,"3-5",HR_Employee_Attrition[[#This Row],[YearsAtCompany]]&lt;=10,"6-10",HR_Employee_Attrition[[#This Row],[YearsAtCompany]]&gt;10,"10+")</f>
        <v>6-10</v>
      </c>
      <c r="AL1336" t="str" cm="1">
        <f t="array" ref="AL13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36">
        <f>IF(HR_Employee_Attrition[[#This Row],[Attrition]]="Yes",1,0)</f>
        <v>0</v>
      </c>
    </row>
    <row r="1337" spans="1:39" x14ac:dyDescent="0.3">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c r="AJ1337" t="str">
        <f>IF(HR_Employee_Attrition[[#This Row],[Age]]&gt;60,"60+",IF(HR_Employee_Attrition[[#This Row],[Age]]&gt;=50,"50-59",IF(HR_Employee_Attrition[[#This Row],[Age]]&gt;=40,"40-49",IF(HR_Employee_Attrition[[#This Row],[Age]]&gt;=30,"30-39",IF(HR_Employee_Attrition[[#This Row],[Age]]&gt;=20,"20-29",IF(HR_Employee_Attrition[[#This Row],[Age]]&gt;=18,"18-20"))))))</f>
        <v>30-39</v>
      </c>
      <c r="AK1337" t="str" cm="1">
        <f t="array" ref="AK1337">_xlfn.IFS(HR_Employee_Attrition[[#This Row],[YearsAtCompany]]&lt;=2,"0-2",HR_Employee_Attrition[[#This Row],[YearsAtCompany]]&lt;=5,"3-5",HR_Employee_Attrition[[#This Row],[YearsAtCompany]]&lt;=10,"6-10",HR_Employee_Attrition[[#This Row],[YearsAtCompany]]&gt;10,"10+")</f>
        <v>0-2</v>
      </c>
      <c r="AL1337" t="str" cm="1">
        <f t="array" ref="AL13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37">
        <f>IF(HR_Employee_Attrition[[#This Row],[Attrition]]="Yes",1,0)</f>
        <v>0</v>
      </c>
    </row>
    <row r="1338" spans="1:39" x14ac:dyDescent="0.3">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c r="AJ1338" t="str">
        <f>IF(HR_Employee_Attrition[[#This Row],[Age]]&gt;60,"60+",IF(HR_Employee_Attrition[[#This Row],[Age]]&gt;=50,"50-59",IF(HR_Employee_Attrition[[#This Row],[Age]]&gt;=40,"40-49",IF(HR_Employee_Attrition[[#This Row],[Age]]&gt;=30,"30-39",IF(HR_Employee_Attrition[[#This Row],[Age]]&gt;=20,"20-29",IF(HR_Employee_Attrition[[#This Row],[Age]]&gt;=18,"18-20"))))))</f>
        <v>50-59</v>
      </c>
      <c r="AK1338" t="str" cm="1">
        <f t="array" ref="AK1338">_xlfn.IFS(HR_Employee_Attrition[[#This Row],[YearsAtCompany]]&lt;=2,"0-2",HR_Employee_Attrition[[#This Row],[YearsAtCompany]]&lt;=5,"3-5",HR_Employee_Attrition[[#This Row],[YearsAtCompany]]&lt;=10,"6-10",HR_Employee_Attrition[[#This Row],[YearsAtCompany]]&gt;10,"10+")</f>
        <v>3-5</v>
      </c>
      <c r="AL1338" t="str" cm="1">
        <f t="array" ref="AL13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38">
        <f>IF(HR_Employee_Attrition[[#This Row],[Attrition]]="Yes",1,0)</f>
        <v>0</v>
      </c>
    </row>
    <row r="1339" spans="1:39" x14ac:dyDescent="0.3">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c r="AJ1339" t="str">
        <f>IF(HR_Employee_Attrition[[#This Row],[Age]]&gt;60,"60+",IF(HR_Employee_Attrition[[#This Row],[Age]]&gt;=50,"50-59",IF(HR_Employee_Attrition[[#This Row],[Age]]&gt;=40,"40-49",IF(HR_Employee_Attrition[[#This Row],[Age]]&gt;=30,"30-39",IF(HR_Employee_Attrition[[#This Row],[Age]]&gt;=20,"20-29",IF(HR_Employee_Attrition[[#This Row],[Age]]&gt;=18,"18-20"))))))</f>
        <v>20-29</v>
      </c>
      <c r="AK1339" t="str" cm="1">
        <f t="array" ref="AK1339">_xlfn.IFS(HR_Employee_Attrition[[#This Row],[YearsAtCompany]]&lt;=2,"0-2",HR_Employee_Attrition[[#This Row],[YearsAtCompany]]&lt;=5,"3-5",HR_Employee_Attrition[[#This Row],[YearsAtCompany]]&lt;=10,"6-10",HR_Employee_Attrition[[#This Row],[YearsAtCompany]]&gt;10,"10+")</f>
        <v>0-2</v>
      </c>
      <c r="AL1339" t="str" cm="1">
        <f t="array" ref="AL13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39">
        <f>IF(HR_Employee_Attrition[[#This Row],[Attrition]]="Yes",1,0)</f>
        <v>0</v>
      </c>
    </row>
    <row r="1340" spans="1:39" x14ac:dyDescent="0.3">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c r="AJ1340" t="str">
        <f>IF(HR_Employee_Attrition[[#This Row],[Age]]&gt;60,"60+",IF(HR_Employee_Attrition[[#This Row],[Age]]&gt;=50,"50-59",IF(HR_Employee_Attrition[[#This Row],[Age]]&gt;=40,"40-49",IF(HR_Employee_Attrition[[#This Row],[Age]]&gt;=30,"30-39",IF(HR_Employee_Attrition[[#This Row],[Age]]&gt;=20,"20-29",IF(HR_Employee_Attrition[[#This Row],[Age]]&gt;=18,"18-20"))))))</f>
        <v>30-39</v>
      </c>
      <c r="AK1340" t="str" cm="1">
        <f t="array" ref="AK1340">_xlfn.IFS(HR_Employee_Attrition[[#This Row],[YearsAtCompany]]&lt;=2,"0-2",HR_Employee_Attrition[[#This Row],[YearsAtCompany]]&lt;=5,"3-5",HR_Employee_Attrition[[#This Row],[YearsAtCompany]]&lt;=10,"6-10",HR_Employee_Attrition[[#This Row],[YearsAtCompany]]&gt;10,"10+")</f>
        <v>0-2</v>
      </c>
      <c r="AL1340" t="str" cm="1">
        <f t="array" ref="AL13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0">
        <f>IF(HR_Employee_Attrition[[#This Row],[Attrition]]="Yes",1,0)</f>
        <v>1</v>
      </c>
    </row>
    <row r="1341" spans="1:39" x14ac:dyDescent="0.3">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c r="AJ1341" t="str">
        <f>IF(HR_Employee_Attrition[[#This Row],[Age]]&gt;60,"60+",IF(HR_Employee_Attrition[[#This Row],[Age]]&gt;=50,"50-59",IF(HR_Employee_Attrition[[#This Row],[Age]]&gt;=40,"40-49",IF(HR_Employee_Attrition[[#This Row],[Age]]&gt;=30,"30-39",IF(HR_Employee_Attrition[[#This Row],[Age]]&gt;=20,"20-29",IF(HR_Employee_Attrition[[#This Row],[Age]]&gt;=18,"18-20"))))))</f>
        <v>20-29</v>
      </c>
      <c r="AK1341" t="str" cm="1">
        <f t="array" ref="AK1341">_xlfn.IFS(HR_Employee_Attrition[[#This Row],[YearsAtCompany]]&lt;=2,"0-2",HR_Employee_Attrition[[#This Row],[YearsAtCompany]]&lt;=5,"3-5",HR_Employee_Attrition[[#This Row],[YearsAtCompany]]&lt;=10,"6-10",HR_Employee_Attrition[[#This Row],[YearsAtCompany]]&gt;10,"10+")</f>
        <v>0-2</v>
      </c>
      <c r="AL1341" t="str" cm="1">
        <f t="array" ref="AL13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1">
        <f>IF(HR_Employee_Attrition[[#This Row],[Attrition]]="Yes",1,0)</f>
        <v>1</v>
      </c>
    </row>
    <row r="1342" spans="1:39" x14ac:dyDescent="0.3">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c r="AJ1342" t="str">
        <f>IF(HR_Employee_Attrition[[#This Row],[Age]]&gt;60,"60+",IF(HR_Employee_Attrition[[#This Row],[Age]]&gt;=50,"50-59",IF(HR_Employee_Attrition[[#This Row],[Age]]&gt;=40,"40-49",IF(HR_Employee_Attrition[[#This Row],[Age]]&gt;=30,"30-39",IF(HR_Employee_Attrition[[#This Row],[Age]]&gt;=20,"20-29",IF(HR_Employee_Attrition[[#This Row],[Age]]&gt;=18,"18-20"))))))</f>
        <v>30-39</v>
      </c>
      <c r="AK1342" t="str" cm="1">
        <f t="array" ref="AK1342">_xlfn.IFS(HR_Employee_Attrition[[#This Row],[YearsAtCompany]]&lt;=2,"0-2",HR_Employee_Attrition[[#This Row],[YearsAtCompany]]&lt;=5,"3-5",HR_Employee_Attrition[[#This Row],[YearsAtCompany]]&lt;=10,"6-10",HR_Employee_Attrition[[#This Row],[YearsAtCompany]]&gt;10,"10+")</f>
        <v>6-10</v>
      </c>
      <c r="AL1342" t="str" cm="1">
        <f t="array" ref="AL13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42">
        <f>IF(HR_Employee_Attrition[[#This Row],[Attrition]]="Yes",1,0)</f>
        <v>0</v>
      </c>
    </row>
    <row r="1343" spans="1:39" x14ac:dyDescent="0.3">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c r="AJ1343" t="str">
        <f>IF(HR_Employee_Attrition[[#This Row],[Age]]&gt;60,"60+",IF(HR_Employee_Attrition[[#This Row],[Age]]&gt;=50,"50-59",IF(HR_Employee_Attrition[[#This Row],[Age]]&gt;=40,"40-49",IF(HR_Employee_Attrition[[#This Row],[Age]]&gt;=30,"30-39",IF(HR_Employee_Attrition[[#This Row],[Age]]&gt;=20,"20-29",IF(HR_Employee_Attrition[[#This Row],[Age]]&gt;=18,"18-20"))))))</f>
        <v>30-39</v>
      </c>
      <c r="AK1343" t="str" cm="1">
        <f t="array" ref="AK1343">_xlfn.IFS(HR_Employee_Attrition[[#This Row],[YearsAtCompany]]&lt;=2,"0-2",HR_Employee_Attrition[[#This Row],[YearsAtCompany]]&lt;=5,"3-5",HR_Employee_Attrition[[#This Row],[YearsAtCompany]]&lt;=10,"6-10",HR_Employee_Attrition[[#This Row],[YearsAtCompany]]&gt;10,"10+")</f>
        <v>6-10</v>
      </c>
      <c r="AL1343" t="str" cm="1">
        <f t="array" ref="AL13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3">
        <f>IF(HR_Employee_Attrition[[#This Row],[Attrition]]="Yes",1,0)</f>
        <v>0</v>
      </c>
    </row>
    <row r="1344" spans="1:39" x14ac:dyDescent="0.3">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c r="AJ1344" t="str">
        <f>IF(HR_Employee_Attrition[[#This Row],[Age]]&gt;60,"60+",IF(HR_Employee_Attrition[[#This Row],[Age]]&gt;=50,"50-59",IF(HR_Employee_Attrition[[#This Row],[Age]]&gt;=40,"40-49",IF(HR_Employee_Attrition[[#This Row],[Age]]&gt;=30,"30-39",IF(HR_Employee_Attrition[[#This Row],[Age]]&gt;=20,"20-29",IF(HR_Employee_Attrition[[#This Row],[Age]]&gt;=18,"18-20"))))))</f>
        <v>30-39</v>
      </c>
      <c r="AK1344" t="str" cm="1">
        <f t="array" ref="AK1344">_xlfn.IFS(HR_Employee_Attrition[[#This Row],[YearsAtCompany]]&lt;=2,"0-2",HR_Employee_Attrition[[#This Row],[YearsAtCompany]]&lt;=5,"3-5",HR_Employee_Attrition[[#This Row],[YearsAtCompany]]&lt;=10,"6-10",HR_Employee_Attrition[[#This Row],[YearsAtCompany]]&gt;10,"10+")</f>
        <v>3-5</v>
      </c>
      <c r="AL1344" t="str" cm="1">
        <f t="array" ref="AL13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44">
        <f>IF(HR_Employee_Attrition[[#This Row],[Attrition]]="Yes",1,0)</f>
        <v>0</v>
      </c>
    </row>
    <row r="1345" spans="1:39" x14ac:dyDescent="0.3">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c r="AJ1345" t="str">
        <f>IF(HR_Employee_Attrition[[#This Row],[Age]]&gt;60,"60+",IF(HR_Employee_Attrition[[#This Row],[Age]]&gt;=50,"50-59",IF(HR_Employee_Attrition[[#This Row],[Age]]&gt;=40,"40-49",IF(HR_Employee_Attrition[[#This Row],[Age]]&gt;=30,"30-39",IF(HR_Employee_Attrition[[#This Row],[Age]]&gt;=20,"20-29",IF(HR_Employee_Attrition[[#This Row],[Age]]&gt;=18,"18-20"))))))</f>
        <v>20-29</v>
      </c>
      <c r="AK1345" t="str" cm="1">
        <f t="array" ref="AK1345">_xlfn.IFS(HR_Employee_Attrition[[#This Row],[YearsAtCompany]]&lt;=2,"0-2",HR_Employee_Attrition[[#This Row],[YearsAtCompany]]&lt;=5,"3-5",HR_Employee_Attrition[[#This Row],[YearsAtCompany]]&lt;=10,"6-10",HR_Employee_Attrition[[#This Row],[YearsAtCompany]]&gt;10,"10+")</f>
        <v>3-5</v>
      </c>
      <c r="AL1345" t="str" cm="1">
        <f t="array" ref="AL13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5">
        <f>IF(HR_Employee_Attrition[[#This Row],[Attrition]]="Yes",1,0)</f>
        <v>0</v>
      </c>
    </row>
    <row r="1346" spans="1:39" x14ac:dyDescent="0.3">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c r="AJ1346" t="str">
        <f>IF(HR_Employee_Attrition[[#This Row],[Age]]&gt;60,"60+",IF(HR_Employee_Attrition[[#This Row],[Age]]&gt;=50,"50-59",IF(HR_Employee_Attrition[[#This Row],[Age]]&gt;=40,"40-49",IF(HR_Employee_Attrition[[#This Row],[Age]]&gt;=30,"30-39",IF(HR_Employee_Attrition[[#This Row],[Age]]&gt;=20,"20-29",IF(HR_Employee_Attrition[[#This Row],[Age]]&gt;=18,"18-20"))))))</f>
        <v>30-39</v>
      </c>
      <c r="AK1346" t="str" cm="1">
        <f t="array" ref="AK1346">_xlfn.IFS(HR_Employee_Attrition[[#This Row],[YearsAtCompany]]&lt;=2,"0-2",HR_Employee_Attrition[[#This Row],[YearsAtCompany]]&lt;=5,"3-5",HR_Employee_Attrition[[#This Row],[YearsAtCompany]]&lt;=10,"6-10",HR_Employee_Attrition[[#This Row],[YearsAtCompany]]&gt;10,"10+")</f>
        <v>3-5</v>
      </c>
      <c r="AL1346" t="str" cm="1">
        <f t="array" ref="AL13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6">
        <f>IF(HR_Employee_Attrition[[#This Row],[Attrition]]="Yes",1,0)</f>
        <v>0</v>
      </c>
    </row>
    <row r="1347" spans="1:39" x14ac:dyDescent="0.3">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c r="AJ1347" t="str">
        <f>IF(HR_Employee_Attrition[[#This Row],[Age]]&gt;60,"60+",IF(HR_Employee_Attrition[[#This Row],[Age]]&gt;=50,"50-59",IF(HR_Employee_Attrition[[#This Row],[Age]]&gt;=40,"40-49",IF(HR_Employee_Attrition[[#This Row],[Age]]&gt;=30,"30-39",IF(HR_Employee_Attrition[[#This Row],[Age]]&gt;=20,"20-29",IF(HR_Employee_Attrition[[#This Row],[Age]]&gt;=18,"18-20"))))))</f>
        <v>30-39</v>
      </c>
      <c r="AK1347" t="str" cm="1">
        <f t="array" ref="AK1347">_xlfn.IFS(HR_Employee_Attrition[[#This Row],[YearsAtCompany]]&lt;=2,"0-2",HR_Employee_Attrition[[#This Row],[YearsAtCompany]]&lt;=5,"3-5",HR_Employee_Attrition[[#This Row],[YearsAtCompany]]&lt;=10,"6-10",HR_Employee_Attrition[[#This Row],[YearsAtCompany]]&gt;10,"10+")</f>
        <v>3-5</v>
      </c>
      <c r="AL1347" t="str" cm="1">
        <f t="array" ref="AL13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7">
        <f>IF(HR_Employee_Attrition[[#This Row],[Attrition]]="Yes",1,0)</f>
        <v>0</v>
      </c>
    </row>
    <row r="1348" spans="1:39" x14ac:dyDescent="0.3">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c r="AJ1348" t="str">
        <f>IF(HR_Employee_Attrition[[#This Row],[Age]]&gt;60,"60+",IF(HR_Employee_Attrition[[#This Row],[Age]]&gt;=50,"50-59",IF(HR_Employee_Attrition[[#This Row],[Age]]&gt;=40,"40-49",IF(HR_Employee_Attrition[[#This Row],[Age]]&gt;=30,"30-39",IF(HR_Employee_Attrition[[#This Row],[Age]]&gt;=20,"20-29",IF(HR_Employee_Attrition[[#This Row],[Age]]&gt;=18,"18-20"))))))</f>
        <v>40-49</v>
      </c>
      <c r="AK1348" t="str" cm="1">
        <f t="array" ref="AK1348">_xlfn.IFS(HR_Employee_Attrition[[#This Row],[YearsAtCompany]]&lt;=2,"0-2",HR_Employee_Attrition[[#This Row],[YearsAtCompany]]&lt;=5,"3-5",HR_Employee_Attrition[[#This Row],[YearsAtCompany]]&lt;=10,"6-10",HR_Employee_Attrition[[#This Row],[YearsAtCompany]]&gt;10,"10+")</f>
        <v>6-10</v>
      </c>
      <c r="AL1348" t="str" cm="1">
        <f t="array" ref="AL13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48">
        <f>IF(HR_Employee_Attrition[[#This Row],[Attrition]]="Yes",1,0)</f>
        <v>0</v>
      </c>
    </row>
    <row r="1349" spans="1:39" x14ac:dyDescent="0.3">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c r="AJ1349" t="str">
        <f>IF(HR_Employee_Attrition[[#This Row],[Age]]&gt;60,"60+",IF(HR_Employee_Attrition[[#This Row],[Age]]&gt;=50,"50-59",IF(HR_Employee_Attrition[[#This Row],[Age]]&gt;=40,"40-49",IF(HR_Employee_Attrition[[#This Row],[Age]]&gt;=30,"30-39",IF(HR_Employee_Attrition[[#This Row],[Age]]&gt;=20,"20-29",IF(HR_Employee_Attrition[[#This Row],[Age]]&gt;=18,"18-20"))))))</f>
        <v>30-39</v>
      </c>
      <c r="AK1349" t="str" cm="1">
        <f t="array" ref="AK1349">_xlfn.IFS(HR_Employee_Attrition[[#This Row],[YearsAtCompany]]&lt;=2,"0-2",HR_Employee_Attrition[[#This Row],[YearsAtCompany]]&lt;=5,"3-5",HR_Employee_Attrition[[#This Row],[YearsAtCompany]]&lt;=10,"6-10",HR_Employee_Attrition[[#This Row],[YearsAtCompany]]&gt;10,"10+")</f>
        <v>6-10</v>
      </c>
      <c r="AL1349" t="str" cm="1">
        <f t="array" ref="AL13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9">
        <f>IF(HR_Employee_Attrition[[#This Row],[Attrition]]="Yes",1,0)</f>
        <v>0</v>
      </c>
    </row>
    <row r="1350" spans="1:39" x14ac:dyDescent="0.3">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c r="AJ1350" t="str">
        <f>IF(HR_Employee_Attrition[[#This Row],[Age]]&gt;60,"60+",IF(HR_Employee_Attrition[[#This Row],[Age]]&gt;=50,"50-59",IF(HR_Employee_Attrition[[#This Row],[Age]]&gt;=40,"40-49",IF(HR_Employee_Attrition[[#This Row],[Age]]&gt;=30,"30-39",IF(HR_Employee_Attrition[[#This Row],[Age]]&gt;=20,"20-29",IF(HR_Employee_Attrition[[#This Row],[Age]]&gt;=18,"18-20"))))))</f>
        <v>40-49</v>
      </c>
      <c r="AK1350" t="str" cm="1">
        <f t="array" ref="AK1350">_xlfn.IFS(HR_Employee_Attrition[[#This Row],[YearsAtCompany]]&lt;=2,"0-2",HR_Employee_Attrition[[#This Row],[YearsAtCompany]]&lt;=5,"3-5",HR_Employee_Attrition[[#This Row],[YearsAtCompany]]&lt;=10,"6-10",HR_Employee_Attrition[[#This Row],[YearsAtCompany]]&gt;10,"10+")</f>
        <v>10+</v>
      </c>
      <c r="AL1350" t="str" cm="1">
        <f t="array" ref="AL13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50">
        <f>IF(HR_Employee_Attrition[[#This Row],[Attrition]]="Yes",1,0)</f>
        <v>0</v>
      </c>
    </row>
    <row r="1351" spans="1:39" x14ac:dyDescent="0.3">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c r="AJ1351" t="str">
        <f>IF(HR_Employee_Attrition[[#This Row],[Age]]&gt;60,"60+",IF(HR_Employee_Attrition[[#This Row],[Age]]&gt;=50,"50-59",IF(HR_Employee_Attrition[[#This Row],[Age]]&gt;=40,"40-49",IF(HR_Employee_Attrition[[#This Row],[Age]]&gt;=30,"30-39",IF(HR_Employee_Attrition[[#This Row],[Age]]&gt;=20,"20-29",IF(HR_Employee_Attrition[[#This Row],[Age]]&gt;=18,"18-20"))))))</f>
        <v>20-29</v>
      </c>
      <c r="AK1351" t="str" cm="1">
        <f t="array" ref="AK1351">_xlfn.IFS(HR_Employee_Attrition[[#This Row],[YearsAtCompany]]&lt;=2,"0-2",HR_Employee_Attrition[[#This Row],[YearsAtCompany]]&lt;=5,"3-5",HR_Employee_Attrition[[#This Row],[YearsAtCompany]]&lt;=10,"6-10",HR_Employee_Attrition[[#This Row],[YearsAtCompany]]&gt;10,"10+")</f>
        <v>0-2</v>
      </c>
      <c r="AL1351" t="str" cm="1">
        <f t="array" ref="AL13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51">
        <f>IF(HR_Employee_Attrition[[#This Row],[Attrition]]="Yes",1,0)</f>
        <v>0</v>
      </c>
    </row>
    <row r="1352" spans="1:39" x14ac:dyDescent="0.3">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c r="AJ1352" t="str">
        <f>IF(HR_Employee_Attrition[[#This Row],[Age]]&gt;60,"60+",IF(HR_Employee_Attrition[[#This Row],[Age]]&gt;=50,"50-59",IF(HR_Employee_Attrition[[#This Row],[Age]]&gt;=40,"40-49",IF(HR_Employee_Attrition[[#This Row],[Age]]&gt;=30,"30-39",IF(HR_Employee_Attrition[[#This Row],[Age]]&gt;=20,"20-29",IF(HR_Employee_Attrition[[#This Row],[Age]]&gt;=18,"18-20"))))))</f>
        <v>20-29</v>
      </c>
      <c r="AK1352" t="str" cm="1">
        <f t="array" ref="AK1352">_xlfn.IFS(HR_Employee_Attrition[[#This Row],[YearsAtCompany]]&lt;=2,"0-2",HR_Employee_Attrition[[#This Row],[YearsAtCompany]]&lt;=5,"3-5",HR_Employee_Attrition[[#This Row],[YearsAtCompany]]&lt;=10,"6-10",HR_Employee_Attrition[[#This Row],[YearsAtCompany]]&gt;10,"10+")</f>
        <v>6-10</v>
      </c>
      <c r="AL1352" t="str" cm="1">
        <f t="array" ref="AL13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52">
        <f>IF(HR_Employee_Attrition[[#This Row],[Attrition]]="Yes",1,0)</f>
        <v>0</v>
      </c>
    </row>
    <row r="1353" spans="1:39" x14ac:dyDescent="0.3">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c r="AJ1353" t="str">
        <f>IF(HR_Employee_Attrition[[#This Row],[Age]]&gt;60,"60+",IF(HR_Employee_Attrition[[#This Row],[Age]]&gt;=50,"50-59",IF(HR_Employee_Attrition[[#This Row],[Age]]&gt;=40,"40-49",IF(HR_Employee_Attrition[[#This Row],[Age]]&gt;=30,"30-39",IF(HR_Employee_Attrition[[#This Row],[Age]]&gt;=20,"20-29",IF(HR_Employee_Attrition[[#This Row],[Age]]&gt;=18,"18-20"))))))</f>
        <v>40-49</v>
      </c>
      <c r="AK1353" t="str" cm="1">
        <f t="array" ref="AK1353">_xlfn.IFS(HR_Employee_Attrition[[#This Row],[YearsAtCompany]]&lt;=2,"0-2",HR_Employee_Attrition[[#This Row],[YearsAtCompany]]&lt;=5,"3-5",HR_Employee_Attrition[[#This Row],[YearsAtCompany]]&lt;=10,"6-10",HR_Employee_Attrition[[#This Row],[YearsAtCompany]]&gt;10,"10+")</f>
        <v>10+</v>
      </c>
      <c r="AL1353" t="str" cm="1">
        <f t="array" ref="AL13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53">
        <f>IF(HR_Employee_Attrition[[#This Row],[Attrition]]="Yes",1,0)</f>
        <v>0</v>
      </c>
    </row>
    <row r="1354" spans="1:39" x14ac:dyDescent="0.3">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c r="AJ1354" t="str">
        <f>IF(HR_Employee_Attrition[[#This Row],[Age]]&gt;60,"60+",IF(HR_Employee_Attrition[[#This Row],[Age]]&gt;=50,"50-59",IF(HR_Employee_Attrition[[#This Row],[Age]]&gt;=40,"40-49",IF(HR_Employee_Attrition[[#This Row],[Age]]&gt;=30,"30-39",IF(HR_Employee_Attrition[[#This Row],[Age]]&gt;=20,"20-29",IF(HR_Employee_Attrition[[#This Row],[Age]]&gt;=18,"18-20"))))))</f>
        <v>40-49</v>
      </c>
      <c r="AK1354" t="str" cm="1">
        <f t="array" ref="AK1354">_xlfn.IFS(HR_Employee_Attrition[[#This Row],[YearsAtCompany]]&lt;=2,"0-2",HR_Employee_Attrition[[#This Row],[YearsAtCompany]]&lt;=5,"3-5",HR_Employee_Attrition[[#This Row],[YearsAtCompany]]&lt;=10,"6-10",HR_Employee_Attrition[[#This Row],[YearsAtCompany]]&gt;10,"10+")</f>
        <v>0-2</v>
      </c>
      <c r="AL1354" t="str" cm="1">
        <f t="array" ref="AL13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54">
        <f>IF(HR_Employee_Attrition[[#This Row],[Attrition]]="Yes",1,0)</f>
        <v>0</v>
      </c>
    </row>
    <row r="1355" spans="1:39" x14ac:dyDescent="0.3">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c r="AJ1355" t="str">
        <f>IF(HR_Employee_Attrition[[#This Row],[Age]]&gt;60,"60+",IF(HR_Employee_Attrition[[#This Row],[Age]]&gt;=50,"50-59",IF(HR_Employee_Attrition[[#This Row],[Age]]&gt;=40,"40-49",IF(HR_Employee_Attrition[[#This Row],[Age]]&gt;=30,"30-39",IF(HR_Employee_Attrition[[#This Row],[Age]]&gt;=20,"20-29",IF(HR_Employee_Attrition[[#This Row],[Age]]&gt;=18,"18-20"))))))</f>
        <v>30-39</v>
      </c>
      <c r="AK1355" t="str" cm="1">
        <f t="array" ref="AK1355">_xlfn.IFS(HR_Employee_Attrition[[#This Row],[YearsAtCompany]]&lt;=2,"0-2",HR_Employee_Attrition[[#This Row],[YearsAtCompany]]&lt;=5,"3-5",HR_Employee_Attrition[[#This Row],[YearsAtCompany]]&lt;=10,"6-10",HR_Employee_Attrition[[#This Row],[YearsAtCompany]]&gt;10,"10+")</f>
        <v>3-5</v>
      </c>
      <c r="AL1355" t="str" cm="1">
        <f t="array" ref="AL13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55">
        <f>IF(HR_Employee_Attrition[[#This Row],[Attrition]]="Yes",1,0)</f>
        <v>1</v>
      </c>
    </row>
    <row r="1356" spans="1:39" x14ac:dyDescent="0.3">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c r="AJ1356" t="str">
        <f>IF(HR_Employee_Attrition[[#This Row],[Age]]&gt;60,"60+",IF(HR_Employee_Attrition[[#This Row],[Age]]&gt;=50,"50-59",IF(HR_Employee_Attrition[[#This Row],[Age]]&gt;=40,"40-49",IF(HR_Employee_Attrition[[#This Row],[Age]]&gt;=30,"30-39",IF(HR_Employee_Attrition[[#This Row],[Age]]&gt;=20,"20-29",IF(HR_Employee_Attrition[[#This Row],[Age]]&gt;=18,"18-20"))))))</f>
        <v>50-59</v>
      </c>
      <c r="AK1356" t="str" cm="1">
        <f t="array" ref="AK1356">_xlfn.IFS(HR_Employee_Attrition[[#This Row],[YearsAtCompany]]&lt;=2,"0-2",HR_Employee_Attrition[[#This Row],[YearsAtCompany]]&lt;=5,"3-5",HR_Employee_Attrition[[#This Row],[YearsAtCompany]]&lt;=10,"6-10",HR_Employee_Attrition[[#This Row],[YearsAtCompany]]&gt;10,"10+")</f>
        <v>3-5</v>
      </c>
      <c r="AL1356" t="str" cm="1">
        <f t="array" ref="AL13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56">
        <f>IF(HR_Employee_Attrition[[#This Row],[Attrition]]="Yes",1,0)</f>
        <v>1</v>
      </c>
    </row>
    <row r="1357" spans="1:39" x14ac:dyDescent="0.3">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c r="AJ1357" t="str">
        <f>IF(HR_Employee_Attrition[[#This Row],[Age]]&gt;60,"60+",IF(HR_Employee_Attrition[[#This Row],[Age]]&gt;=50,"50-59",IF(HR_Employee_Attrition[[#This Row],[Age]]&gt;=40,"40-49",IF(HR_Employee_Attrition[[#This Row],[Age]]&gt;=30,"30-39",IF(HR_Employee_Attrition[[#This Row],[Age]]&gt;=20,"20-29",IF(HR_Employee_Attrition[[#This Row],[Age]]&gt;=18,"18-20"))))))</f>
        <v>30-39</v>
      </c>
      <c r="AK1357" t="str" cm="1">
        <f t="array" ref="AK1357">_xlfn.IFS(HR_Employee_Attrition[[#This Row],[YearsAtCompany]]&lt;=2,"0-2",HR_Employee_Attrition[[#This Row],[YearsAtCompany]]&lt;=5,"3-5",HR_Employee_Attrition[[#This Row],[YearsAtCompany]]&lt;=10,"6-10",HR_Employee_Attrition[[#This Row],[YearsAtCompany]]&gt;10,"10+")</f>
        <v>3-5</v>
      </c>
      <c r="AL1357" t="str" cm="1">
        <f t="array" ref="AL13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57">
        <f>IF(HR_Employee_Attrition[[#This Row],[Attrition]]="Yes",1,0)</f>
        <v>0</v>
      </c>
    </row>
    <row r="1358" spans="1:39" x14ac:dyDescent="0.3">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c r="AJ1358" t="str">
        <f>IF(HR_Employee_Attrition[[#This Row],[Age]]&gt;60,"60+",IF(HR_Employee_Attrition[[#This Row],[Age]]&gt;=50,"50-59",IF(HR_Employee_Attrition[[#This Row],[Age]]&gt;=40,"40-49",IF(HR_Employee_Attrition[[#This Row],[Age]]&gt;=30,"30-39",IF(HR_Employee_Attrition[[#This Row],[Age]]&gt;=20,"20-29",IF(HR_Employee_Attrition[[#This Row],[Age]]&gt;=18,"18-20"))))))</f>
        <v>40-49</v>
      </c>
      <c r="AK1358" t="str" cm="1">
        <f t="array" ref="AK1358">_xlfn.IFS(HR_Employee_Attrition[[#This Row],[YearsAtCompany]]&lt;=2,"0-2",HR_Employee_Attrition[[#This Row],[YearsAtCompany]]&lt;=5,"3-5",HR_Employee_Attrition[[#This Row],[YearsAtCompany]]&lt;=10,"6-10",HR_Employee_Attrition[[#This Row],[YearsAtCompany]]&gt;10,"10+")</f>
        <v>3-5</v>
      </c>
      <c r="AL1358" t="str" cm="1">
        <f t="array" ref="AL13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58">
        <f>IF(HR_Employee_Attrition[[#This Row],[Attrition]]="Yes",1,0)</f>
        <v>0</v>
      </c>
    </row>
    <row r="1359" spans="1:39" x14ac:dyDescent="0.3">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c r="AJ1359" t="str">
        <f>IF(HR_Employee_Attrition[[#This Row],[Age]]&gt;60,"60+",IF(HR_Employee_Attrition[[#This Row],[Age]]&gt;=50,"50-59",IF(HR_Employee_Attrition[[#This Row],[Age]]&gt;=40,"40-49",IF(HR_Employee_Attrition[[#This Row],[Age]]&gt;=30,"30-39",IF(HR_Employee_Attrition[[#This Row],[Age]]&gt;=20,"20-29",IF(HR_Employee_Attrition[[#This Row],[Age]]&gt;=18,"18-20"))))))</f>
        <v>40-49</v>
      </c>
      <c r="AK1359" t="str" cm="1">
        <f t="array" ref="AK1359">_xlfn.IFS(HR_Employee_Attrition[[#This Row],[YearsAtCompany]]&lt;=2,"0-2",HR_Employee_Attrition[[#This Row],[YearsAtCompany]]&lt;=5,"3-5",HR_Employee_Attrition[[#This Row],[YearsAtCompany]]&lt;=10,"6-10",HR_Employee_Attrition[[#This Row],[YearsAtCompany]]&gt;10,"10+")</f>
        <v>10+</v>
      </c>
      <c r="AL1359" t="str" cm="1">
        <f t="array" ref="AL13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359">
        <f>IF(HR_Employee_Attrition[[#This Row],[Attrition]]="Yes",1,0)</f>
        <v>0</v>
      </c>
    </row>
    <row r="1360" spans="1:39" x14ac:dyDescent="0.3">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c r="AJ1360" t="str">
        <f>IF(HR_Employee_Attrition[[#This Row],[Age]]&gt;60,"60+",IF(HR_Employee_Attrition[[#This Row],[Age]]&gt;=50,"50-59",IF(HR_Employee_Attrition[[#This Row],[Age]]&gt;=40,"40-49",IF(HR_Employee_Attrition[[#This Row],[Age]]&gt;=30,"30-39",IF(HR_Employee_Attrition[[#This Row],[Age]]&gt;=20,"20-29",IF(HR_Employee_Attrition[[#This Row],[Age]]&gt;=18,"18-20"))))))</f>
        <v>30-39</v>
      </c>
      <c r="AK1360" t="str" cm="1">
        <f t="array" ref="AK1360">_xlfn.IFS(HR_Employee_Attrition[[#This Row],[YearsAtCompany]]&lt;=2,"0-2",HR_Employee_Attrition[[#This Row],[YearsAtCompany]]&lt;=5,"3-5",HR_Employee_Attrition[[#This Row],[YearsAtCompany]]&lt;=10,"6-10",HR_Employee_Attrition[[#This Row],[YearsAtCompany]]&gt;10,"10+")</f>
        <v>3-5</v>
      </c>
      <c r="AL1360" t="str" cm="1">
        <f t="array" ref="AL13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60">
        <f>IF(HR_Employee_Attrition[[#This Row],[Attrition]]="Yes",1,0)</f>
        <v>0</v>
      </c>
    </row>
    <row r="1361" spans="1:39" x14ac:dyDescent="0.3">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c r="AJ1361" t="str">
        <f>IF(HR_Employee_Attrition[[#This Row],[Age]]&gt;60,"60+",IF(HR_Employee_Attrition[[#This Row],[Age]]&gt;=50,"50-59",IF(HR_Employee_Attrition[[#This Row],[Age]]&gt;=40,"40-49",IF(HR_Employee_Attrition[[#This Row],[Age]]&gt;=30,"30-39",IF(HR_Employee_Attrition[[#This Row],[Age]]&gt;=20,"20-29",IF(HR_Employee_Attrition[[#This Row],[Age]]&gt;=18,"18-20"))))))</f>
        <v>30-39</v>
      </c>
      <c r="AK1361" t="str" cm="1">
        <f t="array" ref="AK1361">_xlfn.IFS(HR_Employee_Attrition[[#This Row],[YearsAtCompany]]&lt;=2,"0-2",HR_Employee_Attrition[[#This Row],[YearsAtCompany]]&lt;=5,"3-5",HR_Employee_Attrition[[#This Row],[YearsAtCompany]]&lt;=10,"6-10",HR_Employee_Attrition[[#This Row],[YearsAtCompany]]&gt;10,"10+")</f>
        <v>3-5</v>
      </c>
      <c r="AL1361" t="str" cm="1">
        <f t="array" ref="AL13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61">
        <f>IF(HR_Employee_Attrition[[#This Row],[Attrition]]="Yes",1,0)</f>
        <v>0</v>
      </c>
    </row>
    <row r="1362" spans="1:39" x14ac:dyDescent="0.3">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c r="AJ1362" t="str">
        <f>IF(HR_Employee_Attrition[[#This Row],[Age]]&gt;60,"60+",IF(HR_Employee_Attrition[[#This Row],[Age]]&gt;=50,"50-59",IF(HR_Employee_Attrition[[#This Row],[Age]]&gt;=40,"40-49",IF(HR_Employee_Attrition[[#This Row],[Age]]&gt;=30,"30-39",IF(HR_Employee_Attrition[[#This Row],[Age]]&gt;=20,"20-29",IF(HR_Employee_Attrition[[#This Row],[Age]]&gt;=18,"18-20"))))))</f>
        <v>30-39</v>
      </c>
      <c r="AK1362" t="str" cm="1">
        <f t="array" ref="AK1362">_xlfn.IFS(HR_Employee_Attrition[[#This Row],[YearsAtCompany]]&lt;=2,"0-2",HR_Employee_Attrition[[#This Row],[YearsAtCompany]]&lt;=5,"3-5",HR_Employee_Attrition[[#This Row],[YearsAtCompany]]&lt;=10,"6-10",HR_Employee_Attrition[[#This Row],[YearsAtCompany]]&gt;10,"10+")</f>
        <v>0-2</v>
      </c>
      <c r="AL1362" t="str" cm="1">
        <f t="array" ref="AL13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62">
        <f>IF(HR_Employee_Attrition[[#This Row],[Attrition]]="Yes",1,0)</f>
        <v>0</v>
      </c>
    </row>
    <row r="1363" spans="1:39" x14ac:dyDescent="0.3">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c r="AJ1363" t="str">
        <f>IF(HR_Employee_Attrition[[#This Row],[Age]]&gt;60,"60+",IF(HR_Employee_Attrition[[#This Row],[Age]]&gt;=50,"50-59",IF(HR_Employee_Attrition[[#This Row],[Age]]&gt;=40,"40-49",IF(HR_Employee_Attrition[[#This Row],[Age]]&gt;=30,"30-39",IF(HR_Employee_Attrition[[#This Row],[Age]]&gt;=20,"20-29",IF(HR_Employee_Attrition[[#This Row],[Age]]&gt;=18,"18-20"))))))</f>
        <v>20-29</v>
      </c>
      <c r="AK1363" t="str" cm="1">
        <f t="array" ref="AK1363">_xlfn.IFS(HR_Employee_Attrition[[#This Row],[YearsAtCompany]]&lt;=2,"0-2",HR_Employee_Attrition[[#This Row],[YearsAtCompany]]&lt;=5,"3-5",HR_Employee_Attrition[[#This Row],[YearsAtCompany]]&lt;=10,"6-10",HR_Employee_Attrition[[#This Row],[YearsAtCompany]]&gt;10,"10+")</f>
        <v>6-10</v>
      </c>
      <c r="AL1363" t="str" cm="1">
        <f t="array" ref="AL13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63">
        <f>IF(HR_Employee_Attrition[[#This Row],[Attrition]]="Yes",1,0)</f>
        <v>0</v>
      </c>
    </row>
    <row r="1364" spans="1:39" x14ac:dyDescent="0.3">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c r="AJ1364" t="str">
        <f>IF(HR_Employee_Attrition[[#This Row],[Age]]&gt;60,"60+",IF(HR_Employee_Attrition[[#This Row],[Age]]&gt;=50,"50-59",IF(HR_Employee_Attrition[[#This Row],[Age]]&gt;=40,"40-49",IF(HR_Employee_Attrition[[#This Row],[Age]]&gt;=30,"30-39",IF(HR_Employee_Attrition[[#This Row],[Age]]&gt;=20,"20-29",IF(HR_Employee_Attrition[[#This Row],[Age]]&gt;=18,"18-20"))))))</f>
        <v>40-49</v>
      </c>
      <c r="AK1364" t="str" cm="1">
        <f t="array" ref="AK1364">_xlfn.IFS(HR_Employee_Attrition[[#This Row],[YearsAtCompany]]&lt;=2,"0-2",HR_Employee_Attrition[[#This Row],[YearsAtCompany]]&lt;=5,"3-5",HR_Employee_Attrition[[#This Row],[YearsAtCompany]]&lt;=10,"6-10",HR_Employee_Attrition[[#This Row],[YearsAtCompany]]&gt;10,"10+")</f>
        <v>3-5</v>
      </c>
      <c r="AL1364" t="str" cm="1">
        <f t="array" ref="AL13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64">
        <f>IF(HR_Employee_Attrition[[#This Row],[Attrition]]="Yes",1,0)</f>
        <v>0</v>
      </c>
    </row>
    <row r="1365" spans="1:39" x14ac:dyDescent="0.3">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c r="AJ1365" t="str">
        <f>IF(HR_Employee_Attrition[[#This Row],[Age]]&gt;60,"60+",IF(HR_Employee_Attrition[[#This Row],[Age]]&gt;=50,"50-59",IF(HR_Employee_Attrition[[#This Row],[Age]]&gt;=40,"40-49",IF(HR_Employee_Attrition[[#This Row],[Age]]&gt;=30,"30-39",IF(HR_Employee_Attrition[[#This Row],[Age]]&gt;=20,"20-29",IF(HR_Employee_Attrition[[#This Row],[Age]]&gt;=18,"18-20"))))))</f>
        <v>30-39</v>
      </c>
      <c r="AK1365" t="str" cm="1">
        <f t="array" ref="AK1365">_xlfn.IFS(HR_Employee_Attrition[[#This Row],[YearsAtCompany]]&lt;=2,"0-2",HR_Employee_Attrition[[#This Row],[YearsAtCompany]]&lt;=5,"3-5",HR_Employee_Attrition[[#This Row],[YearsAtCompany]]&lt;=10,"6-10",HR_Employee_Attrition[[#This Row],[YearsAtCompany]]&gt;10,"10+")</f>
        <v>6-10</v>
      </c>
      <c r="AL1365" t="str" cm="1">
        <f t="array" ref="AL13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65">
        <f>IF(HR_Employee_Attrition[[#This Row],[Attrition]]="Yes",1,0)</f>
        <v>0</v>
      </c>
    </row>
    <row r="1366" spans="1:39" x14ac:dyDescent="0.3">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c r="AJ1366" t="str">
        <f>IF(HR_Employee_Attrition[[#This Row],[Age]]&gt;60,"60+",IF(HR_Employee_Attrition[[#This Row],[Age]]&gt;=50,"50-59",IF(HR_Employee_Attrition[[#This Row],[Age]]&gt;=40,"40-49",IF(HR_Employee_Attrition[[#This Row],[Age]]&gt;=30,"30-39",IF(HR_Employee_Attrition[[#This Row],[Age]]&gt;=20,"20-29",IF(HR_Employee_Attrition[[#This Row],[Age]]&gt;=18,"18-20"))))))</f>
        <v>20-29</v>
      </c>
      <c r="AK1366" t="str" cm="1">
        <f t="array" ref="AK1366">_xlfn.IFS(HR_Employee_Attrition[[#This Row],[YearsAtCompany]]&lt;=2,"0-2",HR_Employee_Attrition[[#This Row],[YearsAtCompany]]&lt;=5,"3-5",HR_Employee_Attrition[[#This Row],[YearsAtCompany]]&lt;=10,"6-10",HR_Employee_Attrition[[#This Row],[YearsAtCompany]]&gt;10,"10+")</f>
        <v>6-10</v>
      </c>
      <c r="AL1366" t="str" cm="1">
        <f t="array" ref="AL13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66">
        <f>IF(HR_Employee_Attrition[[#This Row],[Attrition]]="Yes",1,0)</f>
        <v>0</v>
      </c>
    </row>
    <row r="1367" spans="1:39" x14ac:dyDescent="0.3">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c r="AJ1367" t="str">
        <f>IF(HR_Employee_Attrition[[#This Row],[Age]]&gt;60,"60+",IF(HR_Employee_Attrition[[#This Row],[Age]]&gt;=50,"50-59",IF(HR_Employee_Attrition[[#This Row],[Age]]&gt;=40,"40-49",IF(HR_Employee_Attrition[[#This Row],[Age]]&gt;=30,"30-39",IF(HR_Employee_Attrition[[#This Row],[Age]]&gt;=20,"20-29",IF(HR_Employee_Attrition[[#This Row],[Age]]&gt;=18,"18-20"))))))</f>
        <v>20-29</v>
      </c>
      <c r="AK1367" t="str" cm="1">
        <f t="array" ref="AK1367">_xlfn.IFS(HR_Employee_Attrition[[#This Row],[YearsAtCompany]]&lt;=2,"0-2",HR_Employee_Attrition[[#This Row],[YearsAtCompany]]&lt;=5,"3-5",HR_Employee_Attrition[[#This Row],[YearsAtCompany]]&lt;=10,"6-10",HR_Employee_Attrition[[#This Row],[YearsAtCompany]]&gt;10,"10+")</f>
        <v>0-2</v>
      </c>
      <c r="AL1367" t="str" cm="1">
        <f t="array" ref="AL13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67">
        <f>IF(HR_Employee_Attrition[[#This Row],[Attrition]]="Yes",1,0)</f>
        <v>1</v>
      </c>
    </row>
    <row r="1368" spans="1:39" x14ac:dyDescent="0.3">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c r="AJ1368" t="str">
        <f>IF(HR_Employee_Attrition[[#This Row],[Age]]&gt;60,"60+",IF(HR_Employee_Attrition[[#This Row],[Age]]&gt;=50,"50-59",IF(HR_Employee_Attrition[[#This Row],[Age]]&gt;=40,"40-49",IF(HR_Employee_Attrition[[#This Row],[Age]]&gt;=30,"30-39",IF(HR_Employee_Attrition[[#This Row],[Age]]&gt;=20,"20-29",IF(HR_Employee_Attrition[[#This Row],[Age]]&gt;=18,"18-20"))))))</f>
        <v>30-39</v>
      </c>
      <c r="AK1368" t="str" cm="1">
        <f t="array" ref="AK1368">_xlfn.IFS(HR_Employee_Attrition[[#This Row],[YearsAtCompany]]&lt;=2,"0-2",HR_Employee_Attrition[[#This Row],[YearsAtCompany]]&lt;=5,"3-5",HR_Employee_Attrition[[#This Row],[YearsAtCompany]]&lt;=10,"6-10",HR_Employee_Attrition[[#This Row],[YearsAtCompany]]&gt;10,"10+")</f>
        <v>3-5</v>
      </c>
      <c r="AL1368" t="str" cm="1">
        <f t="array" ref="AL13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68">
        <f>IF(HR_Employee_Attrition[[#This Row],[Attrition]]="Yes",1,0)</f>
        <v>0</v>
      </c>
    </row>
    <row r="1369" spans="1:39" x14ac:dyDescent="0.3">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c r="AJ1369" t="str">
        <f>IF(HR_Employee_Attrition[[#This Row],[Age]]&gt;60,"60+",IF(HR_Employee_Attrition[[#This Row],[Age]]&gt;=50,"50-59",IF(HR_Employee_Attrition[[#This Row],[Age]]&gt;=40,"40-49",IF(HR_Employee_Attrition[[#This Row],[Age]]&gt;=30,"30-39",IF(HR_Employee_Attrition[[#This Row],[Age]]&gt;=20,"20-29",IF(HR_Employee_Attrition[[#This Row],[Age]]&gt;=18,"18-20"))))))</f>
        <v>20-29</v>
      </c>
      <c r="AK1369" t="str" cm="1">
        <f t="array" ref="AK1369">_xlfn.IFS(HR_Employee_Attrition[[#This Row],[YearsAtCompany]]&lt;=2,"0-2",HR_Employee_Attrition[[#This Row],[YearsAtCompany]]&lt;=5,"3-5",HR_Employee_Attrition[[#This Row],[YearsAtCompany]]&lt;=10,"6-10",HR_Employee_Attrition[[#This Row],[YearsAtCompany]]&gt;10,"10+")</f>
        <v>3-5</v>
      </c>
      <c r="AL1369" t="str" cm="1">
        <f t="array" ref="AL13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69">
        <f>IF(HR_Employee_Attrition[[#This Row],[Attrition]]="Yes",1,0)</f>
        <v>0</v>
      </c>
    </row>
    <row r="1370" spans="1:39" x14ac:dyDescent="0.3">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c r="AJ1370" t="str">
        <f>IF(HR_Employee_Attrition[[#This Row],[Age]]&gt;60,"60+",IF(HR_Employee_Attrition[[#This Row],[Age]]&gt;=50,"50-59",IF(HR_Employee_Attrition[[#This Row],[Age]]&gt;=40,"40-49",IF(HR_Employee_Attrition[[#This Row],[Age]]&gt;=30,"30-39",IF(HR_Employee_Attrition[[#This Row],[Age]]&gt;=20,"20-29",IF(HR_Employee_Attrition[[#This Row],[Age]]&gt;=18,"18-20"))))))</f>
        <v>30-39</v>
      </c>
      <c r="AK1370" t="str" cm="1">
        <f t="array" ref="AK1370">_xlfn.IFS(HR_Employee_Attrition[[#This Row],[YearsAtCompany]]&lt;=2,"0-2",HR_Employee_Attrition[[#This Row],[YearsAtCompany]]&lt;=5,"3-5",HR_Employee_Attrition[[#This Row],[YearsAtCompany]]&lt;=10,"6-10",HR_Employee_Attrition[[#This Row],[YearsAtCompany]]&gt;10,"10+")</f>
        <v>10+</v>
      </c>
      <c r="AL1370" t="str" cm="1">
        <f t="array" ref="AL13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70">
        <f>IF(HR_Employee_Attrition[[#This Row],[Attrition]]="Yes",1,0)</f>
        <v>0</v>
      </c>
    </row>
    <row r="1371" spans="1:39" x14ac:dyDescent="0.3">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c r="AJ1371" t="str">
        <f>IF(HR_Employee_Attrition[[#This Row],[Age]]&gt;60,"60+",IF(HR_Employee_Attrition[[#This Row],[Age]]&gt;=50,"50-59",IF(HR_Employee_Attrition[[#This Row],[Age]]&gt;=40,"40-49",IF(HR_Employee_Attrition[[#This Row],[Age]]&gt;=30,"30-39",IF(HR_Employee_Attrition[[#This Row],[Age]]&gt;=20,"20-29",IF(HR_Employee_Attrition[[#This Row],[Age]]&gt;=18,"18-20"))))))</f>
        <v>20-29</v>
      </c>
      <c r="AK1371" t="str" cm="1">
        <f t="array" ref="AK1371">_xlfn.IFS(HR_Employee_Attrition[[#This Row],[YearsAtCompany]]&lt;=2,"0-2",HR_Employee_Attrition[[#This Row],[YearsAtCompany]]&lt;=5,"3-5",HR_Employee_Attrition[[#This Row],[YearsAtCompany]]&lt;=10,"6-10",HR_Employee_Attrition[[#This Row],[YearsAtCompany]]&gt;10,"10+")</f>
        <v>0-2</v>
      </c>
      <c r="AL1371" t="str" cm="1">
        <f t="array" ref="AL13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71">
        <f>IF(HR_Employee_Attrition[[#This Row],[Attrition]]="Yes",1,0)</f>
        <v>1</v>
      </c>
    </row>
    <row r="1372" spans="1:39" x14ac:dyDescent="0.3">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c r="AJ1372" t="str">
        <f>IF(HR_Employee_Attrition[[#This Row],[Age]]&gt;60,"60+",IF(HR_Employee_Attrition[[#This Row],[Age]]&gt;=50,"50-59",IF(HR_Employee_Attrition[[#This Row],[Age]]&gt;=40,"40-49",IF(HR_Employee_Attrition[[#This Row],[Age]]&gt;=30,"30-39",IF(HR_Employee_Attrition[[#This Row],[Age]]&gt;=20,"20-29",IF(HR_Employee_Attrition[[#This Row],[Age]]&gt;=18,"18-20"))))))</f>
        <v>40-49</v>
      </c>
      <c r="AK1372" t="str" cm="1">
        <f t="array" ref="AK1372">_xlfn.IFS(HR_Employee_Attrition[[#This Row],[YearsAtCompany]]&lt;=2,"0-2",HR_Employee_Attrition[[#This Row],[YearsAtCompany]]&lt;=5,"3-5",HR_Employee_Attrition[[#This Row],[YearsAtCompany]]&lt;=10,"6-10",HR_Employee_Attrition[[#This Row],[YearsAtCompany]]&gt;10,"10+")</f>
        <v>6-10</v>
      </c>
      <c r="AL1372" t="str" cm="1">
        <f t="array" ref="AL13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72">
        <f>IF(HR_Employee_Attrition[[#This Row],[Attrition]]="Yes",1,0)</f>
        <v>0</v>
      </c>
    </row>
    <row r="1373" spans="1:39" x14ac:dyDescent="0.3">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c r="AJ1373" t="str">
        <f>IF(HR_Employee_Attrition[[#This Row],[Age]]&gt;60,"60+",IF(HR_Employee_Attrition[[#This Row],[Age]]&gt;=50,"50-59",IF(HR_Employee_Attrition[[#This Row],[Age]]&gt;=40,"40-49",IF(HR_Employee_Attrition[[#This Row],[Age]]&gt;=30,"30-39",IF(HR_Employee_Attrition[[#This Row],[Age]]&gt;=20,"20-29",IF(HR_Employee_Attrition[[#This Row],[Age]]&gt;=18,"18-20"))))))</f>
        <v>50-59</v>
      </c>
      <c r="AK1373" t="str" cm="1">
        <f t="array" ref="AK1373">_xlfn.IFS(HR_Employee_Attrition[[#This Row],[YearsAtCompany]]&lt;=2,"0-2",HR_Employee_Attrition[[#This Row],[YearsAtCompany]]&lt;=5,"3-5",HR_Employee_Attrition[[#This Row],[YearsAtCompany]]&lt;=10,"6-10",HR_Employee_Attrition[[#This Row],[YearsAtCompany]]&gt;10,"10+")</f>
        <v>0-2</v>
      </c>
      <c r="AL1373" t="str" cm="1">
        <f t="array" ref="AL13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73">
        <f>IF(HR_Employee_Attrition[[#This Row],[Attrition]]="Yes",1,0)</f>
        <v>0</v>
      </c>
    </row>
    <row r="1374" spans="1:39" x14ac:dyDescent="0.3">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c r="AJ1374" t="str">
        <f>IF(HR_Employee_Attrition[[#This Row],[Age]]&gt;60,"60+",IF(HR_Employee_Attrition[[#This Row],[Age]]&gt;=50,"50-59",IF(HR_Employee_Attrition[[#This Row],[Age]]&gt;=40,"40-49",IF(HR_Employee_Attrition[[#This Row],[Age]]&gt;=30,"30-39",IF(HR_Employee_Attrition[[#This Row],[Age]]&gt;=20,"20-29",IF(HR_Employee_Attrition[[#This Row],[Age]]&gt;=18,"18-20"))))))</f>
        <v>30-39</v>
      </c>
      <c r="AK1374" t="str" cm="1">
        <f t="array" ref="AK1374">_xlfn.IFS(HR_Employee_Attrition[[#This Row],[YearsAtCompany]]&lt;=2,"0-2",HR_Employee_Attrition[[#This Row],[YearsAtCompany]]&lt;=5,"3-5",HR_Employee_Attrition[[#This Row],[YearsAtCompany]]&lt;=10,"6-10",HR_Employee_Attrition[[#This Row],[YearsAtCompany]]&gt;10,"10+")</f>
        <v>6-10</v>
      </c>
      <c r="AL1374" t="str" cm="1">
        <f t="array" ref="AL13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74">
        <f>IF(HR_Employee_Attrition[[#This Row],[Attrition]]="Yes",1,0)</f>
        <v>0</v>
      </c>
    </row>
    <row r="1375" spans="1:39" x14ac:dyDescent="0.3">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c r="AJ1375" t="str">
        <f>IF(HR_Employee_Attrition[[#This Row],[Age]]&gt;60,"60+",IF(HR_Employee_Attrition[[#This Row],[Age]]&gt;=50,"50-59",IF(HR_Employee_Attrition[[#This Row],[Age]]&gt;=40,"40-49",IF(HR_Employee_Attrition[[#This Row],[Age]]&gt;=30,"30-39",IF(HR_Employee_Attrition[[#This Row],[Age]]&gt;=20,"20-29",IF(HR_Employee_Attrition[[#This Row],[Age]]&gt;=18,"18-20"))))))</f>
        <v>30-39</v>
      </c>
      <c r="AK1375" t="str" cm="1">
        <f t="array" ref="AK1375">_xlfn.IFS(HR_Employee_Attrition[[#This Row],[YearsAtCompany]]&lt;=2,"0-2",HR_Employee_Attrition[[#This Row],[YearsAtCompany]]&lt;=5,"3-5",HR_Employee_Attrition[[#This Row],[YearsAtCompany]]&lt;=10,"6-10",HR_Employee_Attrition[[#This Row],[YearsAtCompany]]&gt;10,"10+")</f>
        <v>10+</v>
      </c>
      <c r="AL1375" t="str" cm="1">
        <f t="array" ref="AL13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75">
        <f>IF(HR_Employee_Attrition[[#This Row],[Attrition]]="Yes",1,0)</f>
        <v>0</v>
      </c>
    </row>
    <row r="1376" spans="1:39" x14ac:dyDescent="0.3">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c r="AJ1376" t="str">
        <f>IF(HR_Employee_Attrition[[#This Row],[Age]]&gt;60,"60+",IF(HR_Employee_Attrition[[#This Row],[Age]]&gt;=50,"50-59",IF(HR_Employee_Attrition[[#This Row],[Age]]&gt;=40,"40-49",IF(HR_Employee_Attrition[[#This Row],[Age]]&gt;=30,"30-39",IF(HR_Employee_Attrition[[#This Row],[Age]]&gt;=20,"20-29",IF(HR_Employee_Attrition[[#This Row],[Age]]&gt;=18,"18-20"))))))</f>
        <v>50-59</v>
      </c>
      <c r="AK1376" t="str" cm="1">
        <f t="array" ref="AK1376">_xlfn.IFS(HR_Employee_Attrition[[#This Row],[YearsAtCompany]]&lt;=2,"0-2",HR_Employee_Attrition[[#This Row],[YearsAtCompany]]&lt;=5,"3-5",HR_Employee_Attrition[[#This Row],[YearsAtCompany]]&lt;=10,"6-10",HR_Employee_Attrition[[#This Row],[YearsAtCompany]]&gt;10,"10+")</f>
        <v>0-2</v>
      </c>
      <c r="AL1376" t="str" cm="1">
        <f t="array" ref="AL13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76">
        <f>IF(HR_Employee_Attrition[[#This Row],[Attrition]]="Yes",1,0)</f>
        <v>0</v>
      </c>
    </row>
    <row r="1377" spans="1:39" x14ac:dyDescent="0.3">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c r="AJ1377" t="str">
        <f>IF(HR_Employee_Attrition[[#This Row],[Age]]&gt;60,"60+",IF(HR_Employee_Attrition[[#This Row],[Age]]&gt;=50,"50-59",IF(HR_Employee_Attrition[[#This Row],[Age]]&gt;=40,"40-49",IF(HR_Employee_Attrition[[#This Row],[Age]]&gt;=30,"30-39",IF(HR_Employee_Attrition[[#This Row],[Age]]&gt;=20,"20-29",IF(HR_Employee_Attrition[[#This Row],[Age]]&gt;=18,"18-20"))))))</f>
        <v>30-39</v>
      </c>
      <c r="AK1377" t="str" cm="1">
        <f t="array" ref="AK1377">_xlfn.IFS(HR_Employee_Attrition[[#This Row],[YearsAtCompany]]&lt;=2,"0-2",HR_Employee_Attrition[[#This Row],[YearsAtCompany]]&lt;=5,"3-5",HR_Employee_Attrition[[#This Row],[YearsAtCompany]]&lt;=10,"6-10",HR_Employee_Attrition[[#This Row],[YearsAtCompany]]&gt;10,"10+")</f>
        <v>3-5</v>
      </c>
      <c r="AL1377" t="str" cm="1">
        <f t="array" ref="AL13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77">
        <f>IF(HR_Employee_Attrition[[#This Row],[Attrition]]="Yes",1,0)</f>
        <v>1</v>
      </c>
    </row>
    <row r="1378" spans="1:39" x14ac:dyDescent="0.3">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c r="AJ1378" t="str">
        <f>IF(HR_Employee_Attrition[[#This Row],[Age]]&gt;60,"60+",IF(HR_Employee_Attrition[[#This Row],[Age]]&gt;=50,"50-59",IF(HR_Employee_Attrition[[#This Row],[Age]]&gt;=40,"40-49",IF(HR_Employee_Attrition[[#This Row],[Age]]&gt;=30,"30-39",IF(HR_Employee_Attrition[[#This Row],[Age]]&gt;=20,"20-29",IF(HR_Employee_Attrition[[#This Row],[Age]]&gt;=18,"18-20"))))))</f>
        <v>30-39</v>
      </c>
      <c r="AK1378" t="str" cm="1">
        <f t="array" ref="AK1378">_xlfn.IFS(HR_Employee_Attrition[[#This Row],[YearsAtCompany]]&lt;=2,"0-2",HR_Employee_Attrition[[#This Row],[YearsAtCompany]]&lt;=5,"3-5",HR_Employee_Attrition[[#This Row],[YearsAtCompany]]&lt;=10,"6-10",HR_Employee_Attrition[[#This Row],[YearsAtCompany]]&gt;10,"10+")</f>
        <v>3-5</v>
      </c>
      <c r="AL1378" t="str" cm="1">
        <f t="array" ref="AL13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78">
        <f>IF(HR_Employee_Attrition[[#This Row],[Attrition]]="Yes",1,0)</f>
        <v>0</v>
      </c>
    </row>
    <row r="1379" spans="1:39" x14ac:dyDescent="0.3">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c r="AJ1379" t="str">
        <f>IF(HR_Employee_Attrition[[#This Row],[Age]]&gt;60,"60+",IF(HR_Employee_Attrition[[#This Row],[Age]]&gt;=50,"50-59",IF(HR_Employee_Attrition[[#This Row],[Age]]&gt;=40,"40-49",IF(HR_Employee_Attrition[[#This Row],[Age]]&gt;=30,"30-39",IF(HR_Employee_Attrition[[#This Row],[Age]]&gt;=20,"20-29",IF(HR_Employee_Attrition[[#This Row],[Age]]&gt;=18,"18-20"))))))</f>
        <v>40-49</v>
      </c>
      <c r="AK1379" t="str" cm="1">
        <f t="array" ref="AK1379">_xlfn.IFS(HR_Employee_Attrition[[#This Row],[YearsAtCompany]]&lt;=2,"0-2",HR_Employee_Attrition[[#This Row],[YearsAtCompany]]&lt;=5,"3-5",HR_Employee_Attrition[[#This Row],[YearsAtCompany]]&lt;=10,"6-10",HR_Employee_Attrition[[#This Row],[YearsAtCompany]]&gt;10,"10+")</f>
        <v>3-5</v>
      </c>
      <c r="AL1379" t="str" cm="1">
        <f t="array" ref="AL13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79">
        <f>IF(HR_Employee_Attrition[[#This Row],[Attrition]]="Yes",1,0)</f>
        <v>0</v>
      </c>
    </row>
    <row r="1380" spans="1:39" x14ac:dyDescent="0.3">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c r="AJ1380" t="str">
        <f>IF(HR_Employee_Attrition[[#This Row],[Age]]&gt;60,"60+",IF(HR_Employee_Attrition[[#This Row],[Age]]&gt;=50,"50-59",IF(HR_Employee_Attrition[[#This Row],[Age]]&gt;=40,"40-49",IF(HR_Employee_Attrition[[#This Row],[Age]]&gt;=30,"30-39",IF(HR_Employee_Attrition[[#This Row],[Age]]&gt;=20,"20-29",IF(HR_Employee_Attrition[[#This Row],[Age]]&gt;=18,"18-20"))))))</f>
        <v>40-49</v>
      </c>
      <c r="AK1380" t="str" cm="1">
        <f t="array" ref="AK1380">_xlfn.IFS(HR_Employee_Attrition[[#This Row],[YearsAtCompany]]&lt;=2,"0-2",HR_Employee_Attrition[[#This Row],[YearsAtCompany]]&lt;=5,"3-5",HR_Employee_Attrition[[#This Row],[YearsAtCompany]]&lt;=10,"6-10",HR_Employee_Attrition[[#This Row],[YearsAtCompany]]&gt;10,"10+")</f>
        <v>0-2</v>
      </c>
      <c r="AL1380" t="str" cm="1">
        <f t="array" ref="AL13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80">
        <f>IF(HR_Employee_Attrition[[#This Row],[Attrition]]="Yes",1,0)</f>
        <v>0</v>
      </c>
    </row>
    <row r="1381" spans="1:39" x14ac:dyDescent="0.3">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c r="AJ1381" t="str">
        <f>IF(HR_Employee_Attrition[[#This Row],[Age]]&gt;60,"60+",IF(HR_Employee_Attrition[[#This Row],[Age]]&gt;=50,"50-59",IF(HR_Employee_Attrition[[#This Row],[Age]]&gt;=40,"40-49",IF(HR_Employee_Attrition[[#This Row],[Age]]&gt;=30,"30-39",IF(HR_Employee_Attrition[[#This Row],[Age]]&gt;=20,"20-29",IF(HR_Employee_Attrition[[#This Row],[Age]]&gt;=18,"18-20"))))))</f>
        <v>20-29</v>
      </c>
      <c r="AK1381" t="str" cm="1">
        <f t="array" ref="AK1381">_xlfn.IFS(HR_Employee_Attrition[[#This Row],[YearsAtCompany]]&lt;=2,"0-2",HR_Employee_Attrition[[#This Row],[YearsAtCompany]]&lt;=5,"3-5",HR_Employee_Attrition[[#This Row],[YearsAtCompany]]&lt;=10,"6-10",HR_Employee_Attrition[[#This Row],[YearsAtCompany]]&gt;10,"10+")</f>
        <v>0-2</v>
      </c>
      <c r="AL1381" t="str" cm="1">
        <f t="array" ref="AL13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81">
        <f>IF(HR_Employee_Attrition[[#This Row],[Attrition]]="Yes",1,0)</f>
        <v>1</v>
      </c>
    </row>
    <row r="1382" spans="1:39" x14ac:dyDescent="0.3">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c r="AJ1382" t="str">
        <f>IF(HR_Employee_Attrition[[#This Row],[Age]]&gt;60,"60+",IF(HR_Employee_Attrition[[#This Row],[Age]]&gt;=50,"50-59",IF(HR_Employee_Attrition[[#This Row],[Age]]&gt;=40,"40-49",IF(HR_Employee_Attrition[[#This Row],[Age]]&gt;=30,"30-39",IF(HR_Employee_Attrition[[#This Row],[Age]]&gt;=20,"20-29",IF(HR_Employee_Attrition[[#This Row],[Age]]&gt;=18,"18-20"))))))</f>
        <v>30-39</v>
      </c>
      <c r="AK1382" t="str" cm="1">
        <f t="array" ref="AK1382">_xlfn.IFS(HR_Employee_Attrition[[#This Row],[YearsAtCompany]]&lt;=2,"0-2",HR_Employee_Attrition[[#This Row],[YearsAtCompany]]&lt;=5,"3-5",HR_Employee_Attrition[[#This Row],[YearsAtCompany]]&lt;=10,"6-10",HR_Employee_Attrition[[#This Row],[YearsAtCompany]]&gt;10,"10+")</f>
        <v>3-5</v>
      </c>
      <c r="AL1382" t="str" cm="1">
        <f t="array" ref="AL13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82">
        <f>IF(HR_Employee_Attrition[[#This Row],[Attrition]]="Yes",1,0)</f>
        <v>0</v>
      </c>
    </row>
    <row r="1383" spans="1:39" x14ac:dyDescent="0.3">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c r="AJ1383" t="str">
        <f>IF(HR_Employee_Attrition[[#This Row],[Age]]&gt;60,"60+",IF(HR_Employee_Attrition[[#This Row],[Age]]&gt;=50,"50-59",IF(HR_Employee_Attrition[[#This Row],[Age]]&gt;=40,"40-49",IF(HR_Employee_Attrition[[#This Row],[Age]]&gt;=30,"30-39",IF(HR_Employee_Attrition[[#This Row],[Age]]&gt;=20,"20-29",IF(HR_Employee_Attrition[[#This Row],[Age]]&gt;=18,"18-20"))))))</f>
        <v>20-29</v>
      </c>
      <c r="AK1383" t="str" cm="1">
        <f t="array" ref="AK1383">_xlfn.IFS(HR_Employee_Attrition[[#This Row],[YearsAtCompany]]&lt;=2,"0-2",HR_Employee_Attrition[[#This Row],[YearsAtCompany]]&lt;=5,"3-5",HR_Employee_Attrition[[#This Row],[YearsAtCompany]]&lt;=10,"6-10",HR_Employee_Attrition[[#This Row],[YearsAtCompany]]&gt;10,"10+")</f>
        <v>3-5</v>
      </c>
      <c r="AL1383" t="str" cm="1">
        <f t="array" ref="AL13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83">
        <f>IF(HR_Employee_Attrition[[#This Row],[Attrition]]="Yes",1,0)</f>
        <v>0</v>
      </c>
    </row>
    <row r="1384" spans="1:39" x14ac:dyDescent="0.3">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c r="AJ1384" t="str">
        <f>IF(HR_Employee_Attrition[[#This Row],[Age]]&gt;60,"60+",IF(HR_Employee_Attrition[[#This Row],[Age]]&gt;=50,"50-59",IF(HR_Employee_Attrition[[#This Row],[Age]]&gt;=40,"40-49",IF(HR_Employee_Attrition[[#This Row],[Age]]&gt;=30,"30-39",IF(HR_Employee_Attrition[[#This Row],[Age]]&gt;=20,"20-29",IF(HR_Employee_Attrition[[#This Row],[Age]]&gt;=18,"18-20"))))))</f>
        <v>30-39</v>
      </c>
      <c r="AK1384" t="str" cm="1">
        <f t="array" ref="AK1384">_xlfn.IFS(HR_Employee_Attrition[[#This Row],[YearsAtCompany]]&lt;=2,"0-2",HR_Employee_Attrition[[#This Row],[YearsAtCompany]]&lt;=5,"3-5",HR_Employee_Attrition[[#This Row],[YearsAtCompany]]&lt;=10,"6-10",HR_Employee_Attrition[[#This Row],[YearsAtCompany]]&gt;10,"10+")</f>
        <v>3-5</v>
      </c>
      <c r="AL1384" t="str" cm="1">
        <f t="array" ref="AL13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84">
        <f>IF(HR_Employee_Attrition[[#This Row],[Attrition]]="Yes",1,0)</f>
        <v>0</v>
      </c>
    </row>
    <row r="1385" spans="1:39" x14ac:dyDescent="0.3">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c r="AJ1385" t="str">
        <f>IF(HR_Employee_Attrition[[#This Row],[Age]]&gt;60,"60+",IF(HR_Employee_Attrition[[#This Row],[Age]]&gt;=50,"50-59",IF(HR_Employee_Attrition[[#This Row],[Age]]&gt;=40,"40-49",IF(HR_Employee_Attrition[[#This Row],[Age]]&gt;=30,"30-39",IF(HR_Employee_Attrition[[#This Row],[Age]]&gt;=20,"20-29",IF(HR_Employee_Attrition[[#This Row],[Age]]&gt;=18,"18-20"))))))</f>
        <v>30-39</v>
      </c>
      <c r="AK1385" t="str" cm="1">
        <f t="array" ref="AK1385">_xlfn.IFS(HR_Employee_Attrition[[#This Row],[YearsAtCompany]]&lt;=2,"0-2",HR_Employee_Attrition[[#This Row],[YearsAtCompany]]&lt;=5,"3-5",HR_Employee_Attrition[[#This Row],[YearsAtCompany]]&lt;=10,"6-10",HR_Employee_Attrition[[#This Row],[YearsAtCompany]]&gt;10,"10+")</f>
        <v>3-5</v>
      </c>
      <c r="AL1385" t="str" cm="1">
        <f t="array" ref="AL13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85">
        <f>IF(HR_Employee_Attrition[[#This Row],[Attrition]]="Yes",1,0)</f>
        <v>0</v>
      </c>
    </row>
    <row r="1386" spans="1:39" x14ac:dyDescent="0.3">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c r="AJ1386" t="str">
        <f>IF(HR_Employee_Attrition[[#This Row],[Age]]&gt;60,"60+",IF(HR_Employee_Attrition[[#This Row],[Age]]&gt;=50,"50-59",IF(HR_Employee_Attrition[[#This Row],[Age]]&gt;=40,"40-49",IF(HR_Employee_Attrition[[#This Row],[Age]]&gt;=30,"30-39",IF(HR_Employee_Attrition[[#This Row],[Age]]&gt;=20,"20-29",IF(HR_Employee_Attrition[[#This Row],[Age]]&gt;=18,"18-20"))))))</f>
        <v>30-39</v>
      </c>
      <c r="AK1386" t="str" cm="1">
        <f t="array" ref="AK1386">_xlfn.IFS(HR_Employee_Attrition[[#This Row],[YearsAtCompany]]&lt;=2,"0-2",HR_Employee_Attrition[[#This Row],[YearsAtCompany]]&lt;=5,"3-5",HR_Employee_Attrition[[#This Row],[YearsAtCompany]]&lt;=10,"6-10",HR_Employee_Attrition[[#This Row],[YearsAtCompany]]&gt;10,"10+")</f>
        <v>10+</v>
      </c>
      <c r="AL1386" t="str" cm="1">
        <f t="array" ref="AL13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86">
        <f>IF(HR_Employee_Attrition[[#This Row],[Attrition]]="Yes",1,0)</f>
        <v>0</v>
      </c>
    </row>
    <row r="1387" spans="1:39" x14ac:dyDescent="0.3">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c r="AJ1387" t="str">
        <f>IF(HR_Employee_Attrition[[#This Row],[Age]]&gt;60,"60+",IF(HR_Employee_Attrition[[#This Row],[Age]]&gt;=50,"50-59",IF(HR_Employee_Attrition[[#This Row],[Age]]&gt;=40,"40-49",IF(HR_Employee_Attrition[[#This Row],[Age]]&gt;=30,"30-39",IF(HR_Employee_Attrition[[#This Row],[Age]]&gt;=20,"20-29",IF(HR_Employee_Attrition[[#This Row],[Age]]&gt;=18,"18-20"))))))</f>
        <v>30-39</v>
      </c>
      <c r="AK1387" t="str" cm="1">
        <f t="array" ref="AK1387">_xlfn.IFS(HR_Employee_Attrition[[#This Row],[YearsAtCompany]]&lt;=2,"0-2",HR_Employee_Attrition[[#This Row],[YearsAtCompany]]&lt;=5,"3-5",HR_Employee_Attrition[[#This Row],[YearsAtCompany]]&lt;=10,"6-10",HR_Employee_Attrition[[#This Row],[YearsAtCompany]]&gt;10,"10+")</f>
        <v>6-10</v>
      </c>
      <c r="AL1387" t="str" cm="1">
        <f t="array" ref="AL13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87">
        <f>IF(HR_Employee_Attrition[[#This Row],[Attrition]]="Yes",1,0)</f>
        <v>0</v>
      </c>
    </row>
    <row r="1388" spans="1:39" x14ac:dyDescent="0.3">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c r="AJ1388" t="str">
        <f>IF(HR_Employee_Attrition[[#This Row],[Age]]&gt;60,"60+",IF(HR_Employee_Attrition[[#This Row],[Age]]&gt;=50,"50-59",IF(HR_Employee_Attrition[[#This Row],[Age]]&gt;=40,"40-49",IF(HR_Employee_Attrition[[#This Row],[Age]]&gt;=30,"30-39",IF(HR_Employee_Attrition[[#This Row],[Age]]&gt;=20,"20-29",IF(HR_Employee_Attrition[[#This Row],[Age]]&gt;=18,"18-20"))))))</f>
        <v>20-29</v>
      </c>
      <c r="AK1388" t="str" cm="1">
        <f t="array" ref="AK1388">_xlfn.IFS(HR_Employee_Attrition[[#This Row],[YearsAtCompany]]&lt;=2,"0-2",HR_Employee_Attrition[[#This Row],[YearsAtCompany]]&lt;=5,"3-5",HR_Employee_Attrition[[#This Row],[YearsAtCompany]]&lt;=10,"6-10",HR_Employee_Attrition[[#This Row],[YearsAtCompany]]&gt;10,"10+")</f>
        <v>6-10</v>
      </c>
      <c r="AL1388" t="str" cm="1">
        <f t="array" ref="AL13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88">
        <f>IF(HR_Employee_Attrition[[#This Row],[Attrition]]="Yes",1,0)</f>
        <v>0</v>
      </c>
    </row>
    <row r="1389" spans="1:39" x14ac:dyDescent="0.3">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c r="AJ1389" t="str">
        <f>IF(HR_Employee_Attrition[[#This Row],[Age]]&gt;60,"60+",IF(HR_Employee_Attrition[[#This Row],[Age]]&gt;=50,"50-59",IF(HR_Employee_Attrition[[#This Row],[Age]]&gt;=40,"40-49",IF(HR_Employee_Attrition[[#This Row],[Age]]&gt;=30,"30-39",IF(HR_Employee_Attrition[[#This Row],[Age]]&gt;=20,"20-29",IF(HR_Employee_Attrition[[#This Row],[Age]]&gt;=18,"18-20"))))))</f>
        <v>20-29</v>
      </c>
      <c r="AK1389" t="str" cm="1">
        <f t="array" ref="AK1389">_xlfn.IFS(HR_Employee_Attrition[[#This Row],[YearsAtCompany]]&lt;=2,"0-2",HR_Employee_Attrition[[#This Row],[YearsAtCompany]]&lt;=5,"3-5",HR_Employee_Attrition[[#This Row],[YearsAtCompany]]&lt;=10,"6-10",HR_Employee_Attrition[[#This Row],[YearsAtCompany]]&gt;10,"10+")</f>
        <v>3-5</v>
      </c>
      <c r="AL1389" t="str" cm="1">
        <f t="array" ref="AL13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89">
        <f>IF(HR_Employee_Attrition[[#This Row],[Attrition]]="Yes",1,0)</f>
        <v>0</v>
      </c>
    </row>
    <row r="1390" spans="1:39" x14ac:dyDescent="0.3">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c r="AJ1390" t="str">
        <f>IF(HR_Employee_Attrition[[#This Row],[Age]]&gt;60,"60+",IF(HR_Employee_Attrition[[#This Row],[Age]]&gt;=50,"50-59",IF(HR_Employee_Attrition[[#This Row],[Age]]&gt;=40,"40-49",IF(HR_Employee_Attrition[[#This Row],[Age]]&gt;=30,"30-39",IF(HR_Employee_Attrition[[#This Row],[Age]]&gt;=20,"20-29",IF(HR_Employee_Attrition[[#This Row],[Age]]&gt;=18,"18-20"))))))</f>
        <v>30-39</v>
      </c>
      <c r="AK1390" t="str" cm="1">
        <f t="array" ref="AK1390">_xlfn.IFS(HR_Employee_Attrition[[#This Row],[YearsAtCompany]]&lt;=2,"0-2",HR_Employee_Attrition[[#This Row],[YearsAtCompany]]&lt;=5,"3-5",HR_Employee_Attrition[[#This Row],[YearsAtCompany]]&lt;=10,"6-10",HR_Employee_Attrition[[#This Row],[YearsAtCompany]]&gt;10,"10+")</f>
        <v>3-5</v>
      </c>
      <c r="AL1390" t="str" cm="1">
        <f t="array" ref="AL13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90">
        <f>IF(HR_Employee_Attrition[[#This Row],[Attrition]]="Yes",1,0)</f>
        <v>0</v>
      </c>
    </row>
    <row r="1391" spans="1:39" x14ac:dyDescent="0.3">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c r="AJ1391" t="str">
        <f>IF(HR_Employee_Attrition[[#This Row],[Age]]&gt;60,"60+",IF(HR_Employee_Attrition[[#This Row],[Age]]&gt;=50,"50-59",IF(HR_Employee_Attrition[[#This Row],[Age]]&gt;=40,"40-49",IF(HR_Employee_Attrition[[#This Row],[Age]]&gt;=30,"30-39",IF(HR_Employee_Attrition[[#This Row],[Age]]&gt;=20,"20-29",IF(HR_Employee_Attrition[[#This Row],[Age]]&gt;=18,"18-20"))))))</f>
        <v>30-39</v>
      </c>
      <c r="AK1391" t="str" cm="1">
        <f t="array" ref="AK1391">_xlfn.IFS(HR_Employee_Attrition[[#This Row],[YearsAtCompany]]&lt;=2,"0-2",HR_Employee_Attrition[[#This Row],[YearsAtCompany]]&lt;=5,"3-5",HR_Employee_Attrition[[#This Row],[YearsAtCompany]]&lt;=10,"6-10",HR_Employee_Attrition[[#This Row],[YearsAtCompany]]&gt;10,"10+")</f>
        <v>6-10</v>
      </c>
      <c r="AL1391" t="str" cm="1">
        <f t="array" ref="AL13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91">
        <f>IF(HR_Employee_Attrition[[#This Row],[Attrition]]="Yes",1,0)</f>
        <v>0</v>
      </c>
    </row>
    <row r="1392" spans="1:39" x14ac:dyDescent="0.3">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c r="AJ1392" t="str">
        <f>IF(HR_Employee_Attrition[[#This Row],[Age]]&gt;60,"60+",IF(HR_Employee_Attrition[[#This Row],[Age]]&gt;=50,"50-59",IF(HR_Employee_Attrition[[#This Row],[Age]]&gt;=40,"40-49",IF(HR_Employee_Attrition[[#This Row],[Age]]&gt;=30,"30-39",IF(HR_Employee_Attrition[[#This Row],[Age]]&gt;=20,"20-29",IF(HR_Employee_Attrition[[#This Row],[Age]]&gt;=18,"18-20"))))))</f>
        <v>20-29</v>
      </c>
      <c r="AK1392" t="str" cm="1">
        <f t="array" ref="AK1392">_xlfn.IFS(HR_Employee_Attrition[[#This Row],[YearsAtCompany]]&lt;=2,"0-2",HR_Employee_Attrition[[#This Row],[YearsAtCompany]]&lt;=5,"3-5",HR_Employee_Attrition[[#This Row],[YearsAtCompany]]&lt;=10,"6-10",HR_Employee_Attrition[[#This Row],[YearsAtCompany]]&gt;10,"10+")</f>
        <v>3-5</v>
      </c>
      <c r="AL1392" t="str" cm="1">
        <f t="array" ref="AL13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92">
        <f>IF(HR_Employee_Attrition[[#This Row],[Attrition]]="Yes",1,0)</f>
        <v>1</v>
      </c>
    </row>
    <row r="1393" spans="1:39" x14ac:dyDescent="0.3">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c r="AJ1393" t="str">
        <f>IF(HR_Employee_Attrition[[#This Row],[Age]]&gt;60,"60+",IF(HR_Employee_Attrition[[#This Row],[Age]]&gt;=50,"50-59",IF(HR_Employee_Attrition[[#This Row],[Age]]&gt;=40,"40-49",IF(HR_Employee_Attrition[[#This Row],[Age]]&gt;=30,"30-39",IF(HR_Employee_Attrition[[#This Row],[Age]]&gt;=20,"20-29",IF(HR_Employee_Attrition[[#This Row],[Age]]&gt;=18,"18-20"))))))</f>
        <v>30-39</v>
      </c>
      <c r="AK1393" t="str" cm="1">
        <f t="array" ref="AK1393">_xlfn.IFS(HR_Employee_Attrition[[#This Row],[YearsAtCompany]]&lt;=2,"0-2",HR_Employee_Attrition[[#This Row],[YearsAtCompany]]&lt;=5,"3-5",HR_Employee_Attrition[[#This Row],[YearsAtCompany]]&lt;=10,"6-10",HR_Employee_Attrition[[#This Row],[YearsAtCompany]]&gt;10,"10+")</f>
        <v>0-2</v>
      </c>
      <c r="AL1393" t="str" cm="1">
        <f t="array" ref="AL13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93">
        <f>IF(HR_Employee_Attrition[[#This Row],[Attrition]]="Yes",1,0)</f>
        <v>0</v>
      </c>
    </row>
    <row r="1394" spans="1:39" x14ac:dyDescent="0.3">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c r="AJ1394" t="str">
        <f>IF(HR_Employee_Attrition[[#This Row],[Age]]&gt;60,"60+",IF(HR_Employee_Attrition[[#This Row],[Age]]&gt;=50,"50-59",IF(HR_Employee_Attrition[[#This Row],[Age]]&gt;=40,"40-49",IF(HR_Employee_Attrition[[#This Row],[Age]]&gt;=30,"30-39",IF(HR_Employee_Attrition[[#This Row],[Age]]&gt;=20,"20-29",IF(HR_Employee_Attrition[[#This Row],[Age]]&gt;=18,"18-20"))))))</f>
        <v>30-39</v>
      </c>
      <c r="AK1394" t="str" cm="1">
        <f t="array" ref="AK1394">_xlfn.IFS(HR_Employee_Attrition[[#This Row],[YearsAtCompany]]&lt;=2,"0-2",HR_Employee_Attrition[[#This Row],[YearsAtCompany]]&lt;=5,"3-5",HR_Employee_Attrition[[#This Row],[YearsAtCompany]]&lt;=10,"6-10",HR_Employee_Attrition[[#This Row],[YearsAtCompany]]&gt;10,"10+")</f>
        <v>6-10</v>
      </c>
      <c r="AL1394" t="str" cm="1">
        <f t="array" ref="AL13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94">
        <f>IF(HR_Employee_Attrition[[#This Row],[Attrition]]="Yes",1,0)</f>
        <v>0</v>
      </c>
    </row>
    <row r="1395" spans="1:39" x14ac:dyDescent="0.3">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c r="AJ1395" t="str">
        <f>IF(HR_Employee_Attrition[[#This Row],[Age]]&gt;60,"60+",IF(HR_Employee_Attrition[[#This Row],[Age]]&gt;=50,"50-59",IF(HR_Employee_Attrition[[#This Row],[Age]]&gt;=40,"40-49",IF(HR_Employee_Attrition[[#This Row],[Age]]&gt;=30,"30-39",IF(HR_Employee_Attrition[[#This Row],[Age]]&gt;=20,"20-29",IF(HR_Employee_Attrition[[#This Row],[Age]]&gt;=18,"18-20"))))))</f>
        <v>20-29</v>
      </c>
      <c r="AK1395" t="str" cm="1">
        <f t="array" ref="AK1395">_xlfn.IFS(HR_Employee_Attrition[[#This Row],[YearsAtCompany]]&lt;=2,"0-2",HR_Employee_Attrition[[#This Row],[YearsAtCompany]]&lt;=5,"3-5",HR_Employee_Attrition[[#This Row],[YearsAtCompany]]&lt;=10,"6-10",HR_Employee_Attrition[[#This Row],[YearsAtCompany]]&gt;10,"10+")</f>
        <v>6-10</v>
      </c>
      <c r="AL1395" t="str" cm="1">
        <f t="array" ref="AL13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95">
        <f>IF(HR_Employee_Attrition[[#This Row],[Attrition]]="Yes",1,0)</f>
        <v>0</v>
      </c>
    </row>
    <row r="1396" spans="1:39" x14ac:dyDescent="0.3">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c r="AJ1396" t="str">
        <f>IF(HR_Employee_Attrition[[#This Row],[Age]]&gt;60,"60+",IF(HR_Employee_Attrition[[#This Row],[Age]]&gt;=50,"50-59",IF(HR_Employee_Attrition[[#This Row],[Age]]&gt;=40,"40-49",IF(HR_Employee_Attrition[[#This Row],[Age]]&gt;=30,"30-39",IF(HR_Employee_Attrition[[#This Row],[Age]]&gt;=20,"20-29",IF(HR_Employee_Attrition[[#This Row],[Age]]&gt;=18,"18-20"))))))</f>
        <v>30-39</v>
      </c>
      <c r="AK1396" t="str" cm="1">
        <f t="array" ref="AK1396">_xlfn.IFS(HR_Employee_Attrition[[#This Row],[YearsAtCompany]]&lt;=2,"0-2",HR_Employee_Attrition[[#This Row],[YearsAtCompany]]&lt;=5,"3-5",HR_Employee_Attrition[[#This Row],[YearsAtCompany]]&lt;=10,"6-10",HR_Employee_Attrition[[#This Row],[YearsAtCompany]]&gt;10,"10+")</f>
        <v>0-2</v>
      </c>
      <c r="AL1396" t="str" cm="1">
        <f t="array" ref="AL13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96">
        <f>IF(HR_Employee_Attrition[[#This Row],[Attrition]]="Yes",1,0)</f>
        <v>0</v>
      </c>
    </row>
    <row r="1397" spans="1:39" x14ac:dyDescent="0.3">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c r="AJ1397" t="str">
        <f>IF(HR_Employee_Attrition[[#This Row],[Age]]&gt;60,"60+",IF(HR_Employee_Attrition[[#This Row],[Age]]&gt;=50,"50-59",IF(HR_Employee_Attrition[[#This Row],[Age]]&gt;=40,"40-49",IF(HR_Employee_Attrition[[#This Row],[Age]]&gt;=30,"30-39",IF(HR_Employee_Attrition[[#This Row],[Age]]&gt;=20,"20-29",IF(HR_Employee_Attrition[[#This Row],[Age]]&gt;=18,"18-20"))))))</f>
        <v>30-39</v>
      </c>
      <c r="AK1397" t="str" cm="1">
        <f t="array" ref="AK1397">_xlfn.IFS(HR_Employee_Attrition[[#This Row],[YearsAtCompany]]&lt;=2,"0-2",HR_Employee_Attrition[[#This Row],[YearsAtCompany]]&lt;=5,"3-5",HR_Employee_Attrition[[#This Row],[YearsAtCompany]]&lt;=10,"6-10",HR_Employee_Attrition[[#This Row],[YearsAtCompany]]&gt;10,"10+")</f>
        <v>6-10</v>
      </c>
      <c r="AL1397" t="str" cm="1">
        <f t="array" ref="AL13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97">
        <f>IF(HR_Employee_Attrition[[#This Row],[Attrition]]="Yes",1,0)</f>
        <v>1</v>
      </c>
    </row>
    <row r="1398" spans="1:39" x14ac:dyDescent="0.3">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c r="AJ1398" t="str">
        <f>IF(HR_Employee_Attrition[[#This Row],[Age]]&gt;60,"60+",IF(HR_Employee_Attrition[[#This Row],[Age]]&gt;=50,"50-59",IF(HR_Employee_Attrition[[#This Row],[Age]]&gt;=40,"40-49",IF(HR_Employee_Attrition[[#This Row],[Age]]&gt;=30,"30-39",IF(HR_Employee_Attrition[[#This Row],[Age]]&gt;=20,"20-29",IF(HR_Employee_Attrition[[#This Row],[Age]]&gt;=18,"18-20"))))))</f>
        <v>50-59</v>
      </c>
      <c r="AK1398" t="str" cm="1">
        <f t="array" ref="AK1398">_xlfn.IFS(HR_Employee_Attrition[[#This Row],[YearsAtCompany]]&lt;=2,"0-2",HR_Employee_Attrition[[#This Row],[YearsAtCompany]]&lt;=5,"3-5",HR_Employee_Attrition[[#This Row],[YearsAtCompany]]&lt;=10,"6-10",HR_Employee_Attrition[[#This Row],[YearsAtCompany]]&gt;10,"10+")</f>
        <v>0-2</v>
      </c>
      <c r="AL1398" t="str" cm="1">
        <f t="array" ref="AL13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398">
        <f>IF(HR_Employee_Attrition[[#This Row],[Attrition]]="Yes",1,0)</f>
        <v>1</v>
      </c>
    </row>
    <row r="1399" spans="1:39" x14ac:dyDescent="0.3">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c r="AJ1399" t="str">
        <f>IF(HR_Employee_Attrition[[#This Row],[Age]]&gt;60,"60+",IF(HR_Employee_Attrition[[#This Row],[Age]]&gt;=50,"50-59",IF(HR_Employee_Attrition[[#This Row],[Age]]&gt;=40,"40-49",IF(HR_Employee_Attrition[[#This Row],[Age]]&gt;=30,"30-39",IF(HR_Employee_Attrition[[#This Row],[Age]]&gt;=20,"20-29",IF(HR_Employee_Attrition[[#This Row],[Age]]&gt;=18,"18-20"))))))</f>
        <v>50-59</v>
      </c>
      <c r="AK1399" t="str" cm="1">
        <f t="array" ref="AK1399">_xlfn.IFS(HR_Employee_Attrition[[#This Row],[YearsAtCompany]]&lt;=2,"0-2",HR_Employee_Attrition[[#This Row],[YearsAtCompany]]&lt;=5,"3-5",HR_Employee_Attrition[[#This Row],[YearsAtCompany]]&lt;=10,"6-10",HR_Employee_Attrition[[#This Row],[YearsAtCompany]]&gt;10,"10+")</f>
        <v>3-5</v>
      </c>
      <c r="AL1399" t="str" cm="1">
        <f t="array" ref="AL13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99">
        <f>IF(HR_Employee_Attrition[[#This Row],[Attrition]]="Yes",1,0)</f>
        <v>0</v>
      </c>
    </row>
    <row r="1400" spans="1:39" x14ac:dyDescent="0.3">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c r="AJ1400" t="str">
        <f>IF(HR_Employee_Attrition[[#This Row],[Age]]&gt;60,"60+",IF(HR_Employee_Attrition[[#This Row],[Age]]&gt;=50,"50-59",IF(HR_Employee_Attrition[[#This Row],[Age]]&gt;=40,"40-49",IF(HR_Employee_Attrition[[#This Row],[Age]]&gt;=30,"30-39",IF(HR_Employee_Attrition[[#This Row],[Age]]&gt;=20,"20-29",IF(HR_Employee_Attrition[[#This Row],[Age]]&gt;=18,"18-20"))))))</f>
        <v>30-39</v>
      </c>
      <c r="AK1400" t="str" cm="1">
        <f t="array" ref="AK1400">_xlfn.IFS(HR_Employee_Attrition[[#This Row],[YearsAtCompany]]&lt;=2,"0-2",HR_Employee_Attrition[[#This Row],[YearsAtCompany]]&lt;=5,"3-5",HR_Employee_Attrition[[#This Row],[YearsAtCompany]]&lt;=10,"6-10",HR_Employee_Attrition[[#This Row],[YearsAtCompany]]&gt;10,"10+")</f>
        <v>6-10</v>
      </c>
      <c r="AL1400" t="str" cm="1">
        <f t="array" ref="AL14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00">
        <f>IF(HR_Employee_Attrition[[#This Row],[Attrition]]="Yes",1,0)</f>
        <v>0</v>
      </c>
    </row>
    <row r="1401" spans="1:39" x14ac:dyDescent="0.3">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c r="AJ1401" t="str">
        <f>IF(HR_Employee_Attrition[[#This Row],[Age]]&gt;60,"60+",IF(HR_Employee_Attrition[[#This Row],[Age]]&gt;=50,"50-59",IF(HR_Employee_Attrition[[#This Row],[Age]]&gt;=40,"40-49",IF(HR_Employee_Attrition[[#This Row],[Age]]&gt;=30,"30-39",IF(HR_Employee_Attrition[[#This Row],[Age]]&gt;=20,"20-29",IF(HR_Employee_Attrition[[#This Row],[Age]]&gt;=18,"18-20"))))))</f>
        <v>40-49</v>
      </c>
      <c r="AK1401" t="str" cm="1">
        <f t="array" ref="AK1401">_xlfn.IFS(HR_Employee_Attrition[[#This Row],[YearsAtCompany]]&lt;=2,"0-2",HR_Employee_Attrition[[#This Row],[YearsAtCompany]]&lt;=5,"3-5",HR_Employee_Attrition[[#This Row],[YearsAtCompany]]&lt;=10,"6-10",HR_Employee_Attrition[[#This Row],[YearsAtCompany]]&gt;10,"10+")</f>
        <v>6-10</v>
      </c>
      <c r="AL1401" t="str" cm="1">
        <f t="array" ref="AL14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01">
        <f>IF(HR_Employee_Attrition[[#This Row],[Attrition]]="Yes",1,0)</f>
        <v>0</v>
      </c>
    </row>
    <row r="1402" spans="1:39" x14ac:dyDescent="0.3">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c r="AJ1402" t="str">
        <f>IF(HR_Employee_Attrition[[#This Row],[Age]]&gt;60,"60+",IF(HR_Employee_Attrition[[#This Row],[Age]]&gt;=50,"50-59",IF(HR_Employee_Attrition[[#This Row],[Age]]&gt;=40,"40-49",IF(HR_Employee_Attrition[[#This Row],[Age]]&gt;=30,"30-39",IF(HR_Employee_Attrition[[#This Row],[Age]]&gt;=20,"20-29",IF(HR_Employee_Attrition[[#This Row],[Age]]&gt;=18,"18-20"))))))</f>
        <v>30-39</v>
      </c>
      <c r="AK1402" t="str" cm="1">
        <f t="array" ref="AK1402">_xlfn.IFS(HR_Employee_Attrition[[#This Row],[YearsAtCompany]]&lt;=2,"0-2",HR_Employee_Attrition[[#This Row],[YearsAtCompany]]&lt;=5,"3-5",HR_Employee_Attrition[[#This Row],[YearsAtCompany]]&lt;=10,"6-10",HR_Employee_Attrition[[#This Row],[YearsAtCompany]]&gt;10,"10+")</f>
        <v>6-10</v>
      </c>
      <c r="AL1402" t="str" cm="1">
        <f t="array" ref="AL14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02">
        <f>IF(HR_Employee_Attrition[[#This Row],[Attrition]]="Yes",1,0)</f>
        <v>0</v>
      </c>
    </row>
    <row r="1403" spans="1:39" x14ac:dyDescent="0.3">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c r="AJ1403" t="str">
        <f>IF(HR_Employee_Attrition[[#This Row],[Age]]&gt;60,"60+",IF(HR_Employee_Attrition[[#This Row],[Age]]&gt;=50,"50-59",IF(HR_Employee_Attrition[[#This Row],[Age]]&gt;=40,"40-49",IF(HR_Employee_Attrition[[#This Row],[Age]]&gt;=30,"30-39",IF(HR_Employee_Attrition[[#This Row],[Age]]&gt;=20,"20-29",IF(HR_Employee_Attrition[[#This Row],[Age]]&gt;=18,"18-20"))))))</f>
        <v>50-59</v>
      </c>
      <c r="AK1403" t="str" cm="1">
        <f t="array" ref="AK1403">_xlfn.IFS(HR_Employee_Attrition[[#This Row],[YearsAtCompany]]&lt;=2,"0-2",HR_Employee_Attrition[[#This Row],[YearsAtCompany]]&lt;=5,"3-5",HR_Employee_Attrition[[#This Row],[YearsAtCompany]]&lt;=10,"6-10",HR_Employee_Attrition[[#This Row],[YearsAtCompany]]&gt;10,"10+")</f>
        <v>6-10</v>
      </c>
      <c r="AL1403" t="str" cm="1">
        <f t="array" ref="AL14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403">
        <f>IF(HR_Employee_Attrition[[#This Row],[Attrition]]="Yes",1,0)</f>
        <v>0</v>
      </c>
    </row>
    <row r="1404" spans="1:39" x14ac:dyDescent="0.3">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c r="AJ1404" t="str">
        <f>IF(HR_Employee_Attrition[[#This Row],[Age]]&gt;60,"60+",IF(HR_Employee_Attrition[[#This Row],[Age]]&gt;=50,"50-59",IF(HR_Employee_Attrition[[#This Row],[Age]]&gt;=40,"40-49",IF(HR_Employee_Attrition[[#This Row],[Age]]&gt;=30,"30-39",IF(HR_Employee_Attrition[[#This Row],[Age]]&gt;=20,"20-29",IF(HR_Employee_Attrition[[#This Row],[Age]]&gt;=18,"18-20"))))))</f>
        <v>30-39</v>
      </c>
      <c r="AK1404" t="str" cm="1">
        <f t="array" ref="AK1404">_xlfn.IFS(HR_Employee_Attrition[[#This Row],[YearsAtCompany]]&lt;=2,"0-2",HR_Employee_Attrition[[#This Row],[YearsAtCompany]]&lt;=5,"3-5",HR_Employee_Attrition[[#This Row],[YearsAtCompany]]&lt;=10,"6-10",HR_Employee_Attrition[[#This Row],[YearsAtCompany]]&gt;10,"10+")</f>
        <v>0-2</v>
      </c>
      <c r="AL1404" t="str" cm="1">
        <f t="array" ref="AL14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04">
        <f>IF(HR_Employee_Attrition[[#This Row],[Attrition]]="Yes",1,0)</f>
        <v>0</v>
      </c>
    </row>
    <row r="1405" spans="1:39" x14ac:dyDescent="0.3">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c r="AJ1405" t="str">
        <f>IF(HR_Employee_Attrition[[#This Row],[Age]]&gt;60,"60+",IF(HR_Employee_Attrition[[#This Row],[Age]]&gt;=50,"50-59",IF(HR_Employee_Attrition[[#This Row],[Age]]&gt;=40,"40-49",IF(HR_Employee_Attrition[[#This Row],[Age]]&gt;=30,"30-39",IF(HR_Employee_Attrition[[#This Row],[Age]]&gt;=20,"20-29",IF(HR_Employee_Attrition[[#This Row],[Age]]&gt;=18,"18-20"))))))</f>
        <v>30-39</v>
      </c>
      <c r="AK1405" t="str" cm="1">
        <f t="array" ref="AK1405">_xlfn.IFS(HR_Employee_Attrition[[#This Row],[YearsAtCompany]]&lt;=2,"0-2",HR_Employee_Attrition[[#This Row],[YearsAtCompany]]&lt;=5,"3-5",HR_Employee_Attrition[[#This Row],[YearsAtCompany]]&lt;=10,"6-10",HR_Employee_Attrition[[#This Row],[YearsAtCompany]]&gt;10,"10+")</f>
        <v>10+</v>
      </c>
      <c r="AL1405" t="str" cm="1">
        <f t="array" ref="AL14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05">
        <f>IF(HR_Employee_Attrition[[#This Row],[Attrition]]="Yes",1,0)</f>
        <v>0</v>
      </c>
    </row>
    <row r="1406" spans="1:39" x14ac:dyDescent="0.3">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c r="AJ1406" t="str">
        <f>IF(HR_Employee_Attrition[[#This Row],[Age]]&gt;60,"60+",IF(HR_Employee_Attrition[[#This Row],[Age]]&gt;=50,"50-59",IF(HR_Employee_Attrition[[#This Row],[Age]]&gt;=40,"40-49",IF(HR_Employee_Attrition[[#This Row],[Age]]&gt;=30,"30-39",IF(HR_Employee_Attrition[[#This Row],[Age]]&gt;=20,"20-29",IF(HR_Employee_Attrition[[#This Row],[Age]]&gt;=18,"18-20"))))))</f>
        <v>40-49</v>
      </c>
      <c r="AK1406" t="str" cm="1">
        <f t="array" ref="AK1406">_xlfn.IFS(HR_Employee_Attrition[[#This Row],[YearsAtCompany]]&lt;=2,"0-2",HR_Employee_Attrition[[#This Row],[YearsAtCompany]]&lt;=5,"3-5",HR_Employee_Attrition[[#This Row],[YearsAtCompany]]&lt;=10,"6-10",HR_Employee_Attrition[[#This Row],[YearsAtCompany]]&gt;10,"10+")</f>
        <v>10+</v>
      </c>
      <c r="AL1406" t="str" cm="1">
        <f t="array" ref="AL14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06">
        <f>IF(HR_Employee_Attrition[[#This Row],[Attrition]]="Yes",1,0)</f>
        <v>0</v>
      </c>
    </row>
    <row r="1407" spans="1:39" x14ac:dyDescent="0.3">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c r="AJ1407" t="str">
        <f>IF(HR_Employee_Attrition[[#This Row],[Age]]&gt;60,"60+",IF(HR_Employee_Attrition[[#This Row],[Age]]&gt;=50,"50-59",IF(HR_Employee_Attrition[[#This Row],[Age]]&gt;=40,"40-49",IF(HR_Employee_Attrition[[#This Row],[Age]]&gt;=30,"30-39",IF(HR_Employee_Attrition[[#This Row],[Age]]&gt;=20,"20-29",IF(HR_Employee_Attrition[[#This Row],[Age]]&gt;=18,"18-20"))))))</f>
        <v>30-39</v>
      </c>
      <c r="AK1407" t="str" cm="1">
        <f t="array" ref="AK1407">_xlfn.IFS(HR_Employee_Attrition[[#This Row],[YearsAtCompany]]&lt;=2,"0-2",HR_Employee_Attrition[[#This Row],[YearsAtCompany]]&lt;=5,"3-5",HR_Employee_Attrition[[#This Row],[YearsAtCompany]]&lt;=10,"6-10",HR_Employee_Attrition[[#This Row],[YearsAtCompany]]&gt;10,"10+")</f>
        <v>10+</v>
      </c>
      <c r="AL1407" t="str" cm="1">
        <f t="array" ref="AL14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07">
        <f>IF(HR_Employee_Attrition[[#This Row],[Attrition]]="Yes",1,0)</f>
        <v>0</v>
      </c>
    </row>
    <row r="1408" spans="1:39" x14ac:dyDescent="0.3">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c r="AJ1408" t="str">
        <f>IF(HR_Employee_Attrition[[#This Row],[Age]]&gt;60,"60+",IF(HR_Employee_Attrition[[#This Row],[Age]]&gt;=50,"50-59",IF(HR_Employee_Attrition[[#This Row],[Age]]&gt;=40,"40-49",IF(HR_Employee_Attrition[[#This Row],[Age]]&gt;=30,"30-39",IF(HR_Employee_Attrition[[#This Row],[Age]]&gt;=20,"20-29",IF(HR_Employee_Attrition[[#This Row],[Age]]&gt;=18,"18-20"))))))</f>
        <v>50-59</v>
      </c>
      <c r="AK1408" t="str" cm="1">
        <f t="array" ref="AK1408">_xlfn.IFS(HR_Employee_Attrition[[#This Row],[YearsAtCompany]]&lt;=2,"0-2",HR_Employee_Attrition[[#This Row],[YearsAtCompany]]&lt;=5,"3-5",HR_Employee_Attrition[[#This Row],[YearsAtCompany]]&lt;=10,"6-10",HR_Employee_Attrition[[#This Row],[YearsAtCompany]]&gt;10,"10+")</f>
        <v>3-5</v>
      </c>
      <c r="AL1408" t="str" cm="1">
        <f t="array" ref="AL14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08">
        <f>IF(HR_Employee_Attrition[[#This Row],[Attrition]]="Yes",1,0)</f>
        <v>0</v>
      </c>
    </row>
    <row r="1409" spans="1:39" x14ac:dyDescent="0.3">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c r="AJ1409" t="str">
        <f>IF(HR_Employee_Attrition[[#This Row],[Age]]&gt;60,"60+",IF(HR_Employee_Attrition[[#This Row],[Age]]&gt;=50,"50-59",IF(HR_Employee_Attrition[[#This Row],[Age]]&gt;=40,"40-49",IF(HR_Employee_Attrition[[#This Row],[Age]]&gt;=30,"30-39",IF(HR_Employee_Attrition[[#This Row],[Age]]&gt;=20,"20-29",IF(HR_Employee_Attrition[[#This Row],[Age]]&gt;=18,"18-20"))))))</f>
        <v>20-29</v>
      </c>
      <c r="AK1409" t="str" cm="1">
        <f t="array" ref="AK1409">_xlfn.IFS(HR_Employee_Attrition[[#This Row],[YearsAtCompany]]&lt;=2,"0-2",HR_Employee_Attrition[[#This Row],[YearsAtCompany]]&lt;=5,"3-5",HR_Employee_Attrition[[#This Row],[YearsAtCompany]]&lt;=10,"6-10",HR_Employee_Attrition[[#This Row],[YearsAtCompany]]&gt;10,"10+")</f>
        <v>3-5</v>
      </c>
      <c r="AL1409" t="str" cm="1">
        <f t="array" ref="AL14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09">
        <f>IF(HR_Employee_Attrition[[#This Row],[Attrition]]="Yes",1,0)</f>
        <v>0</v>
      </c>
    </row>
    <row r="1410" spans="1:39" x14ac:dyDescent="0.3">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c r="AJ1410" t="str">
        <f>IF(HR_Employee_Attrition[[#This Row],[Age]]&gt;60,"60+",IF(HR_Employee_Attrition[[#This Row],[Age]]&gt;=50,"50-59",IF(HR_Employee_Attrition[[#This Row],[Age]]&gt;=40,"40-49",IF(HR_Employee_Attrition[[#This Row],[Age]]&gt;=30,"30-39",IF(HR_Employee_Attrition[[#This Row],[Age]]&gt;=20,"20-29",IF(HR_Employee_Attrition[[#This Row],[Age]]&gt;=18,"18-20"))))))</f>
        <v>20-29</v>
      </c>
      <c r="AK1410" t="str" cm="1">
        <f t="array" ref="AK1410">_xlfn.IFS(HR_Employee_Attrition[[#This Row],[YearsAtCompany]]&lt;=2,"0-2",HR_Employee_Attrition[[#This Row],[YearsAtCompany]]&lt;=5,"3-5",HR_Employee_Attrition[[#This Row],[YearsAtCompany]]&lt;=10,"6-10",HR_Employee_Attrition[[#This Row],[YearsAtCompany]]&gt;10,"10+")</f>
        <v>3-5</v>
      </c>
      <c r="AL1410" t="str" cm="1">
        <f t="array" ref="AL14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10">
        <f>IF(HR_Employee_Attrition[[#This Row],[Attrition]]="Yes",1,0)</f>
        <v>0</v>
      </c>
    </row>
    <row r="1411" spans="1:39" x14ac:dyDescent="0.3">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c r="AJ1411" t="str">
        <f>IF(HR_Employee_Attrition[[#This Row],[Age]]&gt;60,"60+",IF(HR_Employee_Attrition[[#This Row],[Age]]&gt;=50,"50-59",IF(HR_Employee_Attrition[[#This Row],[Age]]&gt;=40,"40-49",IF(HR_Employee_Attrition[[#This Row],[Age]]&gt;=30,"30-39",IF(HR_Employee_Attrition[[#This Row],[Age]]&gt;=20,"20-29",IF(HR_Employee_Attrition[[#This Row],[Age]]&gt;=18,"18-20"))))))</f>
        <v>40-49</v>
      </c>
      <c r="AK1411" t="str" cm="1">
        <f t="array" ref="AK1411">_xlfn.IFS(HR_Employee_Attrition[[#This Row],[YearsAtCompany]]&lt;=2,"0-2",HR_Employee_Attrition[[#This Row],[YearsAtCompany]]&lt;=5,"3-5",HR_Employee_Attrition[[#This Row],[YearsAtCompany]]&lt;=10,"6-10",HR_Employee_Attrition[[#This Row],[YearsAtCompany]]&gt;10,"10+")</f>
        <v>6-10</v>
      </c>
      <c r="AL1411" t="str" cm="1">
        <f t="array" ref="AL14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11">
        <f>IF(HR_Employee_Attrition[[#This Row],[Attrition]]="Yes",1,0)</f>
        <v>0</v>
      </c>
    </row>
    <row r="1412" spans="1:39" x14ac:dyDescent="0.3">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c r="AJ1412" t="str">
        <f>IF(HR_Employee_Attrition[[#This Row],[Age]]&gt;60,"60+",IF(HR_Employee_Attrition[[#This Row],[Age]]&gt;=50,"50-59",IF(HR_Employee_Attrition[[#This Row],[Age]]&gt;=40,"40-49",IF(HR_Employee_Attrition[[#This Row],[Age]]&gt;=30,"30-39",IF(HR_Employee_Attrition[[#This Row],[Age]]&gt;=20,"20-29",IF(HR_Employee_Attrition[[#This Row],[Age]]&gt;=18,"18-20"))))))</f>
        <v>40-49</v>
      </c>
      <c r="AK1412" t="str" cm="1">
        <f t="array" ref="AK1412">_xlfn.IFS(HR_Employee_Attrition[[#This Row],[YearsAtCompany]]&lt;=2,"0-2",HR_Employee_Attrition[[#This Row],[YearsAtCompany]]&lt;=5,"3-5",HR_Employee_Attrition[[#This Row],[YearsAtCompany]]&lt;=10,"6-10",HR_Employee_Attrition[[#This Row],[YearsAtCompany]]&gt;10,"10+")</f>
        <v>10+</v>
      </c>
      <c r="AL1412" t="str" cm="1">
        <f t="array" ref="AL14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12">
        <f>IF(HR_Employee_Attrition[[#This Row],[Attrition]]="Yes",1,0)</f>
        <v>0</v>
      </c>
    </row>
    <row r="1413" spans="1:39" x14ac:dyDescent="0.3">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c r="AJ1413" t="str">
        <f>IF(HR_Employee_Attrition[[#This Row],[Age]]&gt;60,"60+",IF(HR_Employee_Attrition[[#This Row],[Age]]&gt;=50,"50-59",IF(HR_Employee_Attrition[[#This Row],[Age]]&gt;=40,"40-49",IF(HR_Employee_Attrition[[#This Row],[Age]]&gt;=30,"30-39",IF(HR_Employee_Attrition[[#This Row],[Age]]&gt;=20,"20-29",IF(HR_Employee_Attrition[[#This Row],[Age]]&gt;=18,"18-20"))))))</f>
        <v>20-29</v>
      </c>
      <c r="AK1413" t="str" cm="1">
        <f t="array" ref="AK1413">_xlfn.IFS(HR_Employee_Attrition[[#This Row],[YearsAtCompany]]&lt;=2,"0-2",HR_Employee_Attrition[[#This Row],[YearsAtCompany]]&lt;=5,"3-5",HR_Employee_Attrition[[#This Row],[YearsAtCompany]]&lt;=10,"6-10",HR_Employee_Attrition[[#This Row],[YearsAtCompany]]&gt;10,"10+")</f>
        <v>0-2</v>
      </c>
      <c r="AL1413" t="str" cm="1">
        <f t="array" ref="AL14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13">
        <f>IF(HR_Employee_Attrition[[#This Row],[Attrition]]="Yes",1,0)</f>
        <v>0</v>
      </c>
    </row>
    <row r="1414" spans="1:39" x14ac:dyDescent="0.3">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c r="AJ1414" t="str">
        <f>IF(HR_Employee_Attrition[[#This Row],[Age]]&gt;60,"60+",IF(HR_Employee_Attrition[[#This Row],[Age]]&gt;=50,"50-59",IF(HR_Employee_Attrition[[#This Row],[Age]]&gt;=40,"40-49",IF(HR_Employee_Attrition[[#This Row],[Age]]&gt;=30,"30-39",IF(HR_Employee_Attrition[[#This Row],[Age]]&gt;=20,"20-29",IF(HR_Employee_Attrition[[#This Row],[Age]]&gt;=18,"18-20"))))))</f>
        <v>30-39</v>
      </c>
      <c r="AK1414" t="str" cm="1">
        <f t="array" ref="AK1414">_xlfn.IFS(HR_Employee_Attrition[[#This Row],[YearsAtCompany]]&lt;=2,"0-2",HR_Employee_Attrition[[#This Row],[YearsAtCompany]]&lt;=5,"3-5",HR_Employee_Attrition[[#This Row],[YearsAtCompany]]&lt;=10,"6-10",HR_Employee_Attrition[[#This Row],[YearsAtCompany]]&gt;10,"10+")</f>
        <v>10+</v>
      </c>
      <c r="AL1414" t="str" cm="1">
        <f t="array" ref="AL14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14">
        <f>IF(HR_Employee_Attrition[[#This Row],[Attrition]]="Yes",1,0)</f>
        <v>0</v>
      </c>
    </row>
    <row r="1415" spans="1:39" x14ac:dyDescent="0.3">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c r="AJ1415" t="str">
        <f>IF(HR_Employee_Attrition[[#This Row],[Age]]&gt;60,"60+",IF(HR_Employee_Attrition[[#This Row],[Age]]&gt;=50,"50-59",IF(HR_Employee_Attrition[[#This Row],[Age]]&gt;=40,"40-49",IF(HR_Employee_Attrition[[#This Row],[Age]]&gt;=30,"30-39",IF(HR_Employee_Attrition[[#This Row],[Age]]&gt;=20,"20-29",IF(HR_Employee_Attrition[[#This Row],[Age]]&gt;=18,"18-20"))))))</f>
        <v>20-29</v>
      </c>
      <c r="AK1415" t="str" cm="1">
        <f t="array" ref="AK1415">_xlfn.IFS(HR_Employee_Attrition[[#This Row],[YearsAtCompany]]&lt;=2,"0-2",HR_Employee_Attrition[[#This Row],[YearsAtCompany]]&lt;=5,"3-5",HR_Employee_Attrition[[#This Row],[YearsAtCompany]]&lt;=10,"6-10",HR_Employee_Attrition[[#This Row],[YearsAtCompany]]&gt;10,"10+")</f>
        <v>0-2</v>
      </c>
      <c r="AL1415" t="str" cm="1">
        <f t="array" ref="AL14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15">
        <f>IF(HR_Employee_Attrition[[#This Row],[Attrition]]="Yes",1,0)</f>
        <v>0</v>
      </c>
    </row>
    <row r="1416" spans="1:39" x14ac:dyDescent="0.3">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c r="AJ1416" t="str">
        <f>IF(HR_Employee_Attrition[[#This Row],[Age]]&gt;60,"60+",IF(HR_Employee_Attrition[[#This Row],[Age]]&gt;=50,"50-59",IF(HR_Employee_Attrition[[#This Row],[Age]]&gt;=40,"40-49",IF(HR_Employee_Attrition[[#This Row],[Age]]&gt;=30,"30-39",IF(HR_Employee_Attrition[[#This Row],[Age]]&gt;=20,"20-29",IF(HR_Employee_Attrition[[#This Row],[Age]]&gt;=18,"18-20"))))))</f>
        <v>40-49</v>
      </c>
      <c r="AK1416" t="str" cm="1">
        <f t="array" ref="AK1416">_xlfn.IFS(HR_Employee_Attrition[[#This Row],[YearsAtCompany]]&lt;=2,"0-2",HR_Employee_Attrition[[#This Row],[YearsAtCompany]]&lt;=5,"3-5",HR_Employee_Attrition[[#This Row],[YearsAtCompany]]&lt;=10,"6-10",HR_Employee_Attrition[[#This Row],[YearsAtCompany]]&gt;10,"10+")</f>
        <v>10+</v>
      </c>
      <c r="AL1416" t="str" cm="1">
        <f t="array" ref="AL14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16">
        <f>IF(HR_Employee_Attrition[[#This Row],[Attrition]]="Yes",1,0)</f>
        <v>0</v>
      </c>
    </row>
    <row r="1417" spans="1:39" x14ac:dyDescent="0.3">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c r="AJ1417" t="str">
        <f>IF(HR_Employee_Attrition[[#This Row],[Age]]&gt;60,"60+",IF(HR_Employee_Attrition[[#This Row],[Age]]&gt;=50,"50-59",IF(HR_Employee_Attrition[[#This Row],[Age]]&gt;=40,"40-49",IF(HR_Employee_Attrition[[#This Row],[Age]]&gt;=30,"30-39",IF(HR_Employee_Attrition[[#This Row],[Age]]&gt;=20,"20-29",IF(HR_Employee_Attrition[[#This Row],[Age]]&gt;=18,"18-20"))))))</f>
        <v>30-39</v>
      </c>
      <c r="AK1417" t="str" cm="1">
        <f t="array" ref="AK1417">_xlfn.IFS(HR_Employee_Attrition[[#This Row],[YearsAtCompany]]&lt;=2,"0-2",HR_Employee_Attrition[[#This Row],[YearsAtCompany]]&lt;=5,"3-5",HR_Employee_Attrition[[#This Row],[YearsAtCompany]]&lt;=10,"6-10",HR_Employee_Attrition[[#This Row],[YearsAtCompany]]&gt;10,"10+")</f>
        <v>0-2</v>
      </c>
      <c r="AL1417" t="str" cm="1">
        <f t="array" ref="AL14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17">
        <f>IF(HR_Employee_Attrition[[#This Row],[Attrition]]="Yes",1,0)</f>
        <v>0</v>
      </c>
    </row>
    <row r="1418" spans="1:39" x14ac:dyDescent="0.3">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c r="AJ1418" t="str">
        <f>IF(HR_Employee_Attrition[[#This Row],[Age]]&gt;60,"60+",IF(HR_Employee_Attrition[[#This Row],[Age]]&gt;=50,"50-59",IF(HR_Employee_Attrition[[#This Row],[Age]]&gt;=40,"40-49",IF(HR_Employee_Attrition[[#This Row],[Age]]&gt;=30,"30-39",IF(HR_Employee_Attrition[[#This Row],[Age]]&gt;=20,"20-29",IF(HR_Employee_Attrition[[#This Row],[Age]]&gt;=18,"18-20"))))))</f>
        <v>30-39</v>
      </c>
      <c r="AK1418" t="str" cm="1">
        <f t="array" ref="AK1418">_xlfn.IFS(HR_Employee_Attrition[[#This Row],[YearsAtCompany]]&lt;=2,"0-2",HR_Employee_Attrition[[#This Row],[YearsAtCompany]]&lt;=5,"3-5",HR_Employee_Attrition[[#This Row],[YearsAtCompany]]&lt;=10,"6-10",HR_Employee_Attrition[[#This Row],[YearsAtCompany]]&gt;10,"10+")</f>
        <v>10+</v>
      </c>
      <c r="AL1418" t="str" cm="1">
        <f t="array" ref="AL14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18">
        <f>IF(HR_Employee_Attrition[[#This Row],[Attrition]]="Yes",1,0)</f>
        <v>0</v>
      </c>
    </row>
    <row r="1419" spans="1:39" x14ac:dyDescent="0.3">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c r="AJ1419" t="str">
        <f>IF(HR_Employee_Attrition[[#This Row],[Age]]&gt;60,"60+",IF(HR_Employee_Attrition[[#This Row],[Age]]&gt;=50,"50-59",IF(HR_Employee_Attrition[[#This Row],[Age]]&gt;=40,"40-49",IF(HR_Employee_Attrition[[#This Row],[Age]]&gt;=30,"30-39",IF(HR_Employee_Attrition[[#This Row],[Age]]&gt;=20,"20-29",IF(HR_Employee_Attrition[[#This Row],[Age]]&gt;=18,"18-20"))))))</f>
        <v>30-39</v>
      </c>
      <c r="AK1419" t="str" cm="1">
        <f t="array" ref="AK1419">_xlfn.IFS(HR_Employee_Attrition[[#This Row],[YearsAtCompany]]&lt;=2,"0-2",HR_Employee_Attrition[[#This Row],[YearsAtCompany]]&lt;=5,"3-5",HR_Employee_Attrition[[#This Row],[YearsAtCompany]]&lt;=10,"6-10",HR_Employee_Attrition[[#This Row],[YearsAtCompany]]&gt;10,"10+")</f>
        <v>0-2</v>
      </c>
      <c r="AL1419" t="str" cm="1">
        <f t="array" ref="AL14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19">
        <f>IF(HR_Employee_Attrition[[#This Row],[Attrition]]="Yes",1,0)</f>
        <v>0</v>
      </c>
    </row>
    <row r="1420" spans="1:39" x14ac:dyDescent="0.3">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c r="AJ1420" t="str">
        <f>IF(HR_Employee_Attrition[[#This Row],[Age]]&gt;60,"60+",IF(HR_Employee_Attrition[[#This Row],[Age]]&gt;=50,"50-59",IF(HR_Employee_Attrition[[#This Row],[Age]]&gt;=40,"40-49",IF(HR_Employee_Attrition[[#This Row],[Age]]&gt;=30,"30-39",IF(HR_Employee_Attrition[[#This Row],[Age]]&gt;=20,"20-29",IF(HR_Employee_Attrition[[#This Row],[Age]]&gt;=18,"18-20"))))))</f>
        <v>30-39</v>
      </c>
      <c r="AK1420" t="str" cm="1">
        <f t="array" ref="AK1420">_xlfn.IFS(HR_Employee_Attrition[[#This Row],[YearsAtCompany]]&lt;=2,"0-2",HR_Employee_Attrition[[#This Row],[YearsAtCompany]]&lt;=5,"3-5",HR_Employee_Attrition[[#This Row],[YearsAtCompany]]&lt;=10,"6-10",HR_Employee_Attrition[[#This Row],[YearsAtCompany]]&gt;10,"10+")</f>
        <v>6-10</v>
      </c>
      <c r="AL1420" t="str" cm="1">
        <f t="array" ref="AL14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20">
        <f>IF(HR_Employee_Attrition[[#This Row],[Attrition]]="Yes",1,0)</f>
        <v>0</v>
      </c>
    </row>
    <row r="1421" spans="1:39" x14ac:dyDescent="0.3">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c r="AJ1421" t="str">
        <f>IF(HR_Employee_Attrition[[#This Row],[Age]]&gt;60,"60+",IF(HR_Employee_Attrition[[#This Row],[Age]]&gt;=50,"50-59",IF(HR_Employee_Attrition[[#This Row],[Age]]&gt;=40,"40-49",IF(HR_Employee_Attrition[[#This Row],[Age]]&gt;=30,"30-39",IF(HR_Employee_Attrition[[#This Row],[Age]]&gt;=20,"20-29",IF(HR_Employee_Attrition[[#This Row],[Age]]&gt;=18,"18-20"))))))</f>
        <v>40-49</v>
      </c>
      <c r="AK1421" t="str" cm="1">
        <f t="array" ref="AK1421">_xlfn.IFS(HR_Employee_Attrition[[#This Row],[YearsAtCompany]]&lt;=2,"0-2",HR_Employee_Attrition[[#This Row],[YearsAtCompany]]&lt;=5,"3-5",HR_Employee_Attrition[[#This Row],[YearsAtCompany]]&lt;=10,"6-10",HR_Employee_Attrition[[#This Row],[YearsAtCompany]]&gt;10,"10+")</f>
        <v>3-5</v>
      </c>
      <c r="AL1421" t="str" cm="1">
        <f t="array" ref="AL14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21">
        <f>IF(HR_Employee_Attrition[[#This Row],[Attrition]]="Yes",1,0)</f>
        <v>0</v>
      </c>
    </row>
    <row r="1422" spans="1:39" x14ac:dyDescent="0.3">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c r="AJ1422" t="str">
        <f>IF(HR_Employee_Attrition[[#This Row],[Age]]&gt;60,"60+",IF(HR_Employee_Attrition[[#This Row],[Age]]&gt;=50,"50-59",IF(HR_Employee_Attrition[[#This Row],[Age]]&gt;=40,"40-49",IF(HR_Employee_Attrition[[#This Row],[Age]]&gt;=30,"30-39",IF(HR_Employee_Attrition[[#This Row],[Age]]&gt;=20,"20-29",IF(HR_Employee_Attrition[[#This Row],[Age]]&gt;=18,"18-20"))))))</f>
        <v>40-49</v>
      </c>
      <c r="AK1422" t="str" cm="1">
        <f t="array" ref="AK1422">_xlfn.IFS(HR_Employee_Attrition[[#This Row],[YearsAtCompany]]&lt;=2,"0-2",HR_Employee_Attrition[[#This Row],[YearsAtCompany]]&lt;=5,"3-5",HR_Employee_Attrition[[#This Row],[YearsAtCompany]]&lt;=10,"6-10",HR_Employee_Attrition[[#This Row],[YearsAtCompany]]&gt;10,"10+")</f>
        <v>3-5</v>
      </c>
      <c r="AL1422" t="str" cm="1">
        <f t="array" ref="AL14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22">
        <f>IF(HR_Employee_Attrition[[#This Row],[Attrition]]="Yes",1,0)</f>
        <v>0</v>
      </c>
    </row>
    <row r="1423" spans="1:39" x14ac:dyDescent="0.3">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c r="AJ1423" t="str">
        <f>IF(HR_Employee_Attrition[[#This Row],[Age]]&gt;60,"60+",IF(HR_Employee_Attrition[[#This Row],[Age]]&gt;=50,"50-59",IF(HR_Employee_Attrition[[#This Row],[Age]]&gt;=40,"40-49",IF(HR_Employee_Attrition[[#This Row],[Age]]&gt;=30,"30-39",IF(HR_Employee_Attrition[[#This Row],[Age]]&gt;=20,"20-29",IF(HR_Employee_Attrition[[#This Row],[Age]]&gt;=18,"18-20"))))))</f>
        <v>40-49</v>
      </c>
      <c r="AK1423" t="str" cm="1">
        <f t="array" ref="AK1423">_xlfn.IFS(HR_Employee_Attrition[[#This Row],[YearsAtCompany]]&lt;=2,"0-2",HR_Employee_Attrition[[#This Row],[YearsAtCompany]]&lt;=5,"3-5",HR_Employee_Attrition[[#This Row],[YearsAtCompany]]&lt;=10,"6-10",HR_Employee_Attrition[[#This Row],[YearsAtCompany]]&gt;10,"10+")</f>
        <v>10+</v>
      </c>
      <c r="AL1423" t="str" cm="1">
        <f t="array" ref="AL14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23">
        <f>IF(HR_Employee_Attrition[[#This Row],[Attrition]]="Yes",1,0)</f>
        <v>0</v>
      </c>
    </row>
    <row r="1424" spans="1:39" x14ac:dyDescent="0.3">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c r="AJ1424" t="str">
        <f>IF(HR_Employee_Attrition[[#This Row],[Age]]&gt;60,"60+",IF(HR_Employee_Attrition[[#This Row],[Age]]&gt;=50,"50-59",IF(HR_Employee_Attrition[[#This Row],[Age]]&gt;=40,"40-49",IF(HR_Employee_Attrition[[#This Row],[Age]]&gt;=30,"30-39",IF(HR_Employee_Attrition[[#This Row],[Age]]&gt;=20,"20-29",IF(HR_Employee_Attrition[[#This Row],[Age]]&gt;=18,"18-20"))))))</f>
        <v>30-39</v>
      </c>
      <c r="AK1424" t="str" cm="1">
        <f t="array" ref="AK1424">_xlfn.IFS(HR_Employee_Attrition[[#This Row],[YearsAtCompany]]&lt;=2,"0-2",HR_Employee_Attrition[[#This Row],[YearsAtCompany]]&lt;=5,"3-5",HR_Employee_Attrition[[#This Row],[YearsAtCompany]]&lt;=10,"6-10",HR_Employee_Attrition[[#This Row],[YearsAtCompany]]&gt;10,"10+")</f>
        <v>0-2</v>
      </c>
      <c r="AL1424" t="str" cm="1">
        <f t="array" ref="AL14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24">
        <f>IF(HR_Employee_Attrition[[#This Row],[Attrition]]="Yes",1,0)</f>
        <v>0</v>
      </c>
    </row>
    <row r="1425" spans="1:39" x14ac:dyDescent="0.3">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c r="AJ1425" t="str">
        <f>IF(HR_Employee_Attrition[[#This Row],[Age]]&gt;60,"60+",IF(HR_Employee_Attrition[[#This Row],[Age]]&gt;=50,"50-59",IF(HR_Employee_Attrition[[#This Row],[Age]]&gt;=40,"40-49",IF(HR_Employee_Attrition[[#This Row],[Age]]&gt;=30,"30-39",IF(HR_Employee_Attrition[[#This Row],[Age]]&gt;=20,"20-29",IF(HR_Employee_Attrition[[#This Row],[Age]]&gt;=18,"18-20"))))))</f>
        <v>20-29</v>
      </c>
      <c r="AK1425" t="str" cm="1">
        <f t="array" ref="AK1425">_xlfn.IFS(HR_Employee_Attrition[[#This Row],[YearsAtCompany]]&lt;=2,"0-2",HR_Employee_Attrition[[#This Row],[YearsAtCompany]]&lt;=5,"3-5",HR_Employee_Attrition[[#This Row],[YearsAtCompany]]&lt;=10,"6-10",HR_Employee_Attrition[[#This Row],[YearsAtCompany]]&gt;10,"10+")</f>
        <v>3-5</v>
      </c>
      <c r="AL1425" t="str" cm="1">
        <f t="array" ref="AL14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25">
        <f>IF(HR_Employee_Attrition[[#This Row],[Attrition]]="Yes",1,0)</f>
        <v>0</v>
      </c>
    </row>
    <row r="1426" spans="1:39" x14ac:dyDescent="0.3">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c r="AJ1426" t="str">
        <f>IF(HR_Employee_Attrition[[#This Row],[Age]]&gt;60,"60+",IF(HR_Employee_Attrition[[#This Row],[Age]]&gt;=50,"50-59",IF(HR_Employee_Attrition[[#This Row],[Age]]&gt;=40,"40-49",IF(HR_Employee_Attrition[[#This Row],[Age]]&gt;=30,"30-39",IF(HR_Employee_Attrition[[#This Row],[Age]]&gt;=20,"20-29",IF(HR_Employee_Attrition[[#This Row],[Age]]&gt;=18,"18-20"))))))</f>
        <v>30-39</v>
      </c>
      <c r="AK1426" t="str" cm="1">
        <f t="array" ref="AK1426">_xlfn.IFS(HR_Employee_Attrition[[#This Row],[YearsAtCompany]]&lt;=2,"0-2",HR_Employee_Attrition[[#This Row],[YearsAtCompany]]&lt;=5,"3-5",HR_Employee_Attrition[[#This Row],[YearsAtCompany]]&lt;=10,"6-10",HR_Employee_Attrition[[#This Row],[YearsAtCompany]]&gt;10,"10+")</f>
        <v>6-10</v>
      </c>
      <c r="AL1426" t="str" cm="1">
        <f t="array" ref="AL14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26">
        <f>IF(HR_Employee_Attrition[[#This Row],[Attrition]]="Yes",1,0)</f>
        <v>0</v>
      </c>
    </row>
    <row r="1427" spans="1:39" x14ac:dyDescent="0.3">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c r="AJ1427" t="str">
        <f>IF(HR_Employee_Attrition[[#This Row],[Age]]&gt;60,"60+",IF(HR_Employee_Attrition[[#This Row],[Age]]&gt;=50,"50-59",IF(HR_Employee_Attrition[[#This Row],[Age]]&gt;=40,"40-49",IF(HR_Employee_Attrition[[#This Row],[Age]]&gt;=30,"30-39",IF(HR_Employee_Attrition[[#This Row],[Age]]&gt;=20,"20-29",IF(HR_Employee_Attrition[[#This Row],[Age]]&gt;=18,"18-20"))))))</f>
        <v>30-39</v>
      </c>
      <c r="AK1427" t="str" cm="1">
        <f t="array" ref="AK1427">_xlfn.IFS(HR_Employee_Attrition[[#This Row],[YearsAtCompany]]&lt;=2,"0-2",HR_Employee_Attrition[[#This Row],[YearsAtCompany]]&lt;=5,"3-5",HR_Employee_Attrition[[#This Row],[YearsAtCompany]]&lt;=10,"6-10",HR_Employee_Attrition[[#This Row],[YearsAtCompany]]&gt;10,"10+")</f>
        <v>6-10</v>
      </c>
      <c r="AL1427" t="str" cm="1">
        <f t="array" ref="AL14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27">
        <f>IF(HR_Employee_Attrition[[#This Row],[Attrition]]="Yes",1,0)</f>
        <v>0</v>
      </c>
    </row>
    <row r="1428" spans="1:39" x14ac:dyDescent="0.3">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c r="AJ1428" t="str">
        <f>IF(HR_Employee_Attrition[[#This Row],[Age]]&gt;60,"60+",IF(HR_Employee_Attrition[[#This Row],[Age]]&gt;=50,"50-59",IF(HR_Employee_Attrition[[#This Row],[Age]]&gt;=40,"40-49",IF(HR_Employee_Attrition[[#This Row],[Age]]&gt;=30,"30-39",IF(HR_Employee_Attrition[[#This Row],[Age]]&gt;=20,"20-29",IF(HR_Employee_Attrition[[#This Row],[Age]]&gt;=18,"18-20"))))))</f>
        <v>30-39</v>
      </c>
      <c r="AK1428" t="str" cm="1">
        <f t="array" ref="AK1428">_xlfn.IFS(HR_Employee_Attrition[[#This Row],[YearsAtCompany]]&lt;=2,"0-2",HR_Employee_Attrition[[#This Row],[YearsAtCompany]]&lt;=5,"3-5",HR_Employee_Attrition[[#This Row],[YearsAtCompany]]&lt;=10,"6-10",HR_Employee_Attrition[[#This Row],[YearsAtCompany]]&gt;10,"10+")</f>
        <v>6-10</v>
      </c>
      <c r="AL1428" t="str" cm="1">
        <f t="array" ref="AL14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28">
        <f>IF(HR_Employee_Attrition[[#This Row],[Attrition]]="Yes",1,0)</f>
        <v>0</v>
      </c>
    </row>
    <row r="1429" spans="1:39" x14ac:dyDescent="0.3">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c r="AJ1429" t="str">
        <f>IF(HR_Employee_Attrition[[#This Row],[Age]]&gt;60,"60+",IF(HR_Employee_Attrition[[#This Row],[Age]]&gt;=50,"50-59",IF(HR_Employee_Attrition[[#This Row],[Age]]&gt;=40,"40-49",IF(HR_Employee_Attrition[[#This Row],[Age]]&gt;=30,"30-39",IF(HR_Employee_Attrition[[#This Row],[Age]]&gt;=20,"20-29",IF(HR_Employee_Attrition[[#This Row],[Age]]&gt;=18,"18-20"))))))</f>
        <v>40-49</v>
      </c>
      <c r="AK1429" t="str" cm="1">
        <f t="array" ref="AK1429">_xlfn.IFS(HR_Employee_Attrition[[#This Row],[YearsAtCompany]]&lt;=2,"0-2",HR_Employee_Attrition[[#This Row],[YearsAtCompany]]&lt;=5,"3-5",HR_Employee_Attrition[[#This Row],[YearsAtCompany]]&lt;=10,"6-10",HR_Employee_Attrition[[#This Row],[YearsAtCompany]]&gt;10,"10+")</f>
        <v>0-2</v>
      </c>
      <c r="AL1429" t="str" cm="1">
        <f t="array" ref="AL14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29">
        <f>IF(HR_Employee_Attrition[[#This Row],[Attrition]]="Yes",1,0)</f>
        <v>0</v>
      </c>
    </row>
    <row r="1430" spans="1:39" x14ac:dyDescent="0.3">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c r="AJ1430" t="str">
        <f>IF(HR_Employee_Attrition[[#This Row],[Age]]&gt;60,"60+",IF(HR_Employee_Attrition[[#This Row],[Age]]&gt;=50,"50-59",IF(HR_Employee_Attrition[[#This Row],[Age]]&gt;=40,"40-49",IF(HR_Employee_Attrition[[#This Row],[Age]]&gt;=30,"30-39",IF(HR_Employee_Attrition[[#This Row],[Age]]&gt;=20,"20-29",IF(HR_Employee_Attrition[[#This Row],[Age]]&gt;=18,"18-20"))))))</f>
        <v>30-39</v>
      </c>
      <c r="AK1430" t="str" cm="1">
        <f t="array" ref="AK1430">_xlfn.IFS(HR_Employee_Attrition[[#This Row],[YearsAtCompany]]&lt;=2,"0-2",HR_Employee_Attrition[[#This Row],[YearsAtCompany]]&lt;=5,"3-5",HR_Employee_Attrition[[#This Row],[YearsAtCompany]]&lt;=10,"6-10",HR_Employee_Attrition[[#This Row],[YearsAtCompany]]&gt;10,"10+")</f>
        <v>0-2</v>
      </c>
      <c r="AL1430" t="str" cm="1">
        <f t="array" ref="AL14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30">
        <f>IF(HR_Employee_Attrition[[#This Row],[Attrition]]="Yes",1,0)</f>
        <v>0</v>
      </c>
    </row>
    <row r="1431" spans="1:39" x14ac:dyDescent="0.3">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c r="AJ1431" t="str">
        <f>IF(HR_Employee_Attrition[[#This Row],[Age]]&gt;60,"60+",IF(HR_Employee_Attrition[[#This Row],[Age]]&gt;=50,"50-59",IF(HR_Employee_Attrition[[#This Row],[Age]]&gt;=40,"40-49",IF(HR_Employee_Attrition[[#This Row],[Age]]&gt;=30,"30-39",IF(HR_Employee_Attrition[[#This Row],[Age]]&gt;=20,"20-29",IF(HR_Employee_Attrition[[#This Row],[Age]]&gt;=18,"18-20"))))))</f>
        <v>30-39</v>
      </c>
      <c r="AK1431" t="str" cm="1">
        <f t="array" ref="AK1431">_xlfn.IFS(HR_Employee_Attrition[[#This Row],[YearsAtCompany]]&lt;=2,"0-2",HR_Employee_Attrition[[#This Row],[YearsAtCompany]]&lt;=5,"3-5",HR_Employee_Attrition[[#This Row],[YearsAtCompany]]&lt;=10,"6-10",HR_Employee_Attrition[[#This Row],[YearsAtCompany]]&gt;10,"10+")</f>
        <v>6-10</v>
      </c>
      <c r="AL1431" t="str" cm="1">
        <f t="array" ref="AL14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31">
        <f>IF(HR_Employee_Attrition[[#This Row],[Attrition]]="Yes",1,0)</f>
        <v>0</v>
      </c>
    </row>
    <row r="1432" spans="1:39" x14ac:dyDescent="0.3">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c r="AJ1432" t="str">
        <f>IF(HR_Employee_Attrition[[#This Row],[Age]]&gt;60,"60+",IF(HR_Employee_Attrition[[#This Row],[Age]]&gt;=50,"50-59",IF(HR_Employee_Attrition[[#This Row],[Age]]&gt;=40,"40-49",IF(HR_Employee_Attrition[[#This Row],[Age]]&gt;=30,"30-39",IF(HR_Employee_Attrition[[#This Row],[Age]]&gt;=20,"20-29",IF(HR_Employee_Attrition[[#This Row],[Age]]&gt;=18,"18-20"))))))</f>
        <v>30-39</v>
      </c>
      <c r="AK1432" t="str" cm="1">
        <f t="array" ref="AK1432">_xlfn.IFS(HR_Employee_Attrition[[#This Row],[YearsAtCompany]]&lt;=2,"0-2",HR_Employee_Attrition[[#This Row],[YearsAtCompany]]&lt;=5,"3-5",HR_Employee_Attrition[[#This Row],[YearsAtCompany]]&lt;=10,"6-10",HR_Employee_Attrition[[#This Row],[YearsAtCompany]]&gt;10,"10+")</f>
        <v>10+</v>
      </c>
      <c r="AL1432" t="str" cm="1">
        <f t="array" ref="AL14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32">
        <f>IF(HR_Employee_Attrition[[#This Row],[Attrition]]="Yes",1,0)</f>
        <v>0</v>
      </c>
    </row>
    <row r="1433" spans="1:39" x14ac:dyDescent="0.3">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c r="AJ1433" t="str">
        <f>IF(HR_Employee_Attrition[[#This Row],[Age]]&gt;60,"60+",IF(HR_Employee_Attrition[[#This Row],[Age]]&gt;=50,"50-59",IF(HR_Employee_Attrition[[#This Row],[Age]]&gt;=40,"40-49",IF(HR_Employee_Attrition[[#This Row],[Age]]&gt;=30,"30-39",IF(HR_Employee_Attrition[[#This Row],[Age]]&gt;=20,"20-29",IF(HR_Employee_Attrition[[#This Row],[Age]]&gt;=18,"18-20"))))))</f>
        <v>30-39</v>
      </c>
      <c r="AK1433" t="str" cm="1">
        <f t="array" ref="AK1433">_xlfn.IFS(HR_Employee_Attrition[[#This Row],[YearsAtCompany]]&lt;=2,"0-2",HR_Employee_Attrition[[#This Row],[YearsAtCompany]]&lt;=5,"3-5",HR_Employee_Attrition[[#This Row],[YearsAtCompany]]&lt;=10,"6-10",HR_Employee_Attrition[[#This Row],[YearsAtCompany]]&gt;10,"10+")</f>
        <v>10+</v>
      </c>
      <c r="AL1433" t="str" cm="1">
        <f t="array" ref="AL14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33">
        <f>IF(HR_Employee_Attrition[[#This Row],[Attrition]]="Yes",1,0)</f>
        <v>0</v>
      </c>
    </row>
    <row r="1434" spans="1:39" x14ac:dyDescent="0.3">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c r="AJ1434" t="str">
        <f>IF(HR_Employee_Attrition[[#This Row],[Age]]&gt;60,"60+",IF(HR_Employee_Attrition[[#This Row],[Age]]&gt;=50,"50-59",IF(HR_Employee_Attrition[[#This Row],[Age]]&gt;=40,"40-49",IF(HR_Employee_Attrition[[#This Row],[Age]]&gt;=30,"30-39",IF(HR_Employee_Attrition[[#This Row],[Age]]&gt;=20,"20-29",IF(HR_Employee_Attrition[[#This Row],[Age]]&gt;=18,"18-20"))))))</f>
        <v>30-39</v>
      </c>
      <c r="AK1434" t="str" cm="1">
        <f t="array" ref="AK1434">_xlfn.IFS(HR_Employee_Attrition[[#This Row],[YearsAtCompany]]&lt;=2,"0-2",HR_Employee_Attrition[[#This Row],[YearsAtCompany]]&lt;=5,"3-5",HR_Employee_Attrition[[#This Row],[YearsAtCompany]]&lt;=10,"6-10",HR_Employee_Attrition[[#This Row],[YearsAtCompany]]&gt;10,"10+")</f>
        <v>10+</v>
      </c>
      <c r="AL1434" t="str" cm="1">
        <f t="array" ref="AL14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34">
        <f>IF(HR_Employee_Attrition[[#This Row],[Attrition]]="Yes",1,0)</f>
        <v>0</v>
      </c>
    </row>
    <row r="1435" spans="1:39" x14ac:dyDescent="0.3">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c r="AJ1435" t="str">
        <f>IF(HR_Employee_Attrition[[#This Row],[Age]]&gt;60,"60+",IF(HR_Employee_Attrition[[#This Row],[Age]]&gt;=50,"50-59",IF(HR_Employee_Attrition[[#This Row],[Age]]&gt;=40,"40-49",IF(HR_Employee_Attrition[[#This Row],[Age]]&gt;=30,"30-39",IF(HR_Employee_Attrition[[#This Row],[Age]]&gt;=20,"20-29",IF(HR_Employee_Attrition[[#This Row],[Age]]&gt;=18,"18-20"))))))</f>
        <v>20-29</v>
      </c>
      <c r="AK1435" t="str" cm="1">
        <f t="array" ref="AK1435">_xlfn.IFS(HR_Employee_Attrition[[#This Row],[YearsAtCompany]]&lt;=2,"0-2",HR_Employee_Attrition[[#This Row],[YearsAtCompany]]&lt;=5,"3-5",HR_Employee_Attrition[[#This Row],[YearsAtCompany]]&lt;=10,"6-10",HR_Employee_Attrition[[#This Row],[YearsAtCompany]]&gt;10,"10+")</f>
        <v>3-5</v>
      </c>
      <c r="AL1435" t="str" cm="1">
        <f t="array" ref="AL14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35">
        <f>IF(HR_Employee_Attrition[[#This Row],[Attrition]]="Yes",1,0)</f>
        <v>0</v>
      </c>
    </row>
    <row r="1436" spans="1:39" x14ac:dyDescent="0.3">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c r="AJ1436" t="str">
        <f>IF(HR_Employee_Attrition[[#This Row],[Age]]&gt;60,"60+",IF(HR_Employee_Attrition[[#This Row],[Age]]&gt;=50,"50-59",IF(HR_Employee_Attrition[[#This Row],[Age]]&gt;=40,"40-49",IF(HR_Employee_Attrition[[#This Row],[Age]]&gt;=30,"30-39",IF(HR_Employee_Attrition[[#This Row],[Age]]&gt;=20,"20-29",IF(HR_Employee_Attrition[[#This Row],[Age]]&gt;=18,"18-20"))))))</f>
        <v>50-59</v>
      </c>
      <c r="AK1436" t="str" cm="1">
        <f t="array" ref="AK1436">_xlfn.IFS(HR_Employee_Attrition[[#This Row],[YearsAtCompany]]&lt;=2,"0-2",HR_Employee_Attrition[[#This Row],[YearsAtCompany]]&lt;=5,"3-5",HR_Employee_Attrition[[#This Row],[YearsAtCompany]]&lt;=10,"6-10",HR_Employee_Attrition[[#This Row],[YearsAtCompany]]&gt;10,"10+")</f>
        <v>6-10</v>
      </c>
      <c r="AL1436" t="str" cm="1">
        <f t="array" ref="AL14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36">
        <f>IF(HR_Employee_Attrition[[#This Row],[Attrition]]="Yes",1,0)</f>
        <v>0</v>
      </c>
    </row>
    <row r="1437" spans="1:39" x14ac:dyDescent="0.3">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c r="AJ1437" t="str">
        <f>IF(HR_Employee_Attrition[[#This Row],[Age]]&gt;60,"60+",IF(HR_Employee_Attrition[[#This Row],[Age]]&gt;=50,"50-59",IF(HR_Employee_Attrition[[#This Row],[Age]]&gt;=40,"40-49",IF(HR_Employee_Attrition[[#This Row],[Age]]&gt;=30,"30-39",IF(HR_Employee_Attrition[[#This Row],[Age]]&gt;=20,"20-29",IF(HR_Employee_Attrition[[#This Row],[Age]]&gt;=18,"18-20"))))))</f>
        <v>40-49</v>
      </c>
      <c r="AK1437" t="str" cm="1">
        <f t="array" ref="AK1437">_xlfn.IFS(HR_Employee_Attrition[[#This Row],[YearsAtCompany]]&lt;=2,"0-2",HR_Employee_Attrition[[#This Row],[YearsAtCompany]]&lt;=5,"3-5",HR_Employee_Attrition[[#This Row],[YearsAtCompany]]&lt;=10,"6-10",HR_Employee_Attrition[[#This Row],[YearsAtCompany]]&gt;10,"10+")</f>
        <v>3-5</v>
      </c>
      <c r="AL1437" t="str" cm="1">
        <f t="array" ref="AL14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37">
        <f>IF(HR_Employee_Attrition[[#This Row],[Attrition]]="Yes",1,0)</f>
        <v>0</v>
      </c>
    </row>
    <row r="1438" spans="1:39" x14ac:dyDescent="0.3">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c r="AJ1438" t="str">
        <f>IF(HR_Employee_Attrition[[#This Row],[Age]]&gt;60,"60+",IF(HR_Employee_Attrition[[#This Row],[Age]]&gt;=50,"50-59",IF(HR_Employee_Attrition[[#This Row],[Age]]&gt;=40,"40-49",IF(HR_Employee_Attrition[[#This Row],[Age]]&gt;=30,"30-39",IF(HR_Employee_Attrition[[#This Row],[Age]]&gt;=20,"20-29",IF(HR_Employee_Attrition[[#This Row],[Age]]&gt;=18,"18-20"))))))</f>
        <v>20-29</v>
      </c>
      <c r="AK1438" t="str" cm="1">
        <f t="array" ref="AK1438">_xlfn.IFS(HR_Employee_Attrition[[#This Row],[YearsAtCompany]]&lt;=2,"0-2",HR_Employee_Attrition[[#This Row],[YearsAtCompany]]&lt;=5,"3-5",HR_Employee_Attrition[[#This Row],[YearsAtCompany]]&lt;=10,"6-10",HR_Employee_Attrition[[#This Row],[YearsAtCompany]]&gt;10,"10+")</f>
        <v>0-2</v>
      </c>
      <c r="AL1438" t="str" cm="1">
        <f t="array" ref="AL14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38">
        <f>IF(HR_Employee_Attrition[[#This Row],[Attrition]]="Yes",1,0)</f>
        <v>0</v>
      </c>
    </row>
    <row r="1439" spans="1:39" x14ac:dyDescent="0.3">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c r="AJ1439" t="str">
        <f>IF(HR_Employee_Attrition[[#This Row],[Age]]&gt;60,"60+",IF(HR_Employee_Attrition[[#This Row],[Age]]&gt;=50,"50-59",IF(HR_Employee_Attrition[[#This Row],[Age]]&gt;=40,"40-49",IF(HR_Employee_Attrition[[#This Row],[Age]]&gt;=30,"30-39",IF(HR_Employee_Attrition[[#This Row],[Age]]&gt;=20,"20-29",IF(HR_Employee_Attrition[[#This Row],[Age]]&gt;=18,"18-20"))))))</f>
        <v>30-39</v>
      </c>
      <c r="AK1439" t="str" cm="1">
        <f t="array" ref="AK1439">_xlfn.IFS(HR_Employee_Attrition[[#This Row],[YearsAtCompany]]&lt;=2,"0-2",HR_Employee_Attrition[[#This Row],[YearsAtCompany]]&lt;=5,"3-5",HR_Employee_Attrition[[#This Row],[YearsAtCompany]]&lt;=10,"6-10",HR_Employee_Attrition[[#This Row],[YearsAtCompany]]&gt;10,"10+")</f>
        <v>6-10</v>
      </c>
      <c r="AL1439" t="str" cm="1">
        <f t="array" ref="AL14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439">
        <f>IF(HR_Employee_Attrition[[#This Row],[Attrition]]="Yes",1,0)</f>
        <v>0</v>
      </c>
    </row>
    <row r="1440" spans="1:39" x14ac:dyDescent="0.3">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c r="AJ1440" t="str">
        <f>IF(HR_Employee_Attrition[[#This Row],[Age]]&gt;60,"60+",IF(HR_Employee_Attrition[[#This Row],[Age]]&gt;=50,"50-59",IF(HR_Employee_Attrition[[#This Row],[Age]]&gt;=40,"40-49",IF(HR_Employee_Attrition[[#This Row],[Age]]&gt;=30,"30-39",IF(HR_Employee_Attrition[[#This Row],[Age]]&gt;=20,"20-29",IF(HR_Employee_Attrition[[#This Row],[Age]]&gt;=18,"18-20"))))))</f>
        <v>20-29</v>
      </c>
      <c r="AK1440" t="str" cm="1">
        <f t="array" ref="AK1440">_xlfn.IFS(HR_Employee_Attrition[[#This Row],[YearsAtCompany]]&lt;=2,"0-2",HR_Employee_Attrition[[#This Row],[YearsAtCompany]]&lt;=5,"3-5",HR_Employee_Attrition[[#This Row],[YearsAtCompany]]&lt;=10,"6-10",HR_Employee_Attrition[[#This Row],[YearsAtCompany]]&gt;10,"10+")</f>
        <v>0-2</v>
      </c>
      <c r="AL1440" t="str" cm="1">
        <f t="array" ref="AL14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40">
        <f>IF(HR_Employee_Attrition[[#This Row],[Attrition]]="Yes",1,0)</f>
        <v>1</v>
      </c>
    </row>
    <row r="1441" spans="1:39" x14ac:dyDescent="0.3">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c r="AJ1441" t="str">
        <f>IF(HR_Employee_Attrition[[#This Row],[Age]]&gt;60,"60+",IF(HR_Employee_Attrition[[#This Row],[Age]]&gt;=50,"50-59",IF(HR_Employee_Attrition[[#This Row],[Age]]&gt;=40,"40-49",IF(HR_Employee_Attrition[[#This Row],[Age]]&gt;=30,"30-39",IF(HR_Employee_Attrition[[#This Row],[Age]]&gt;=20,"20-29",IF(HR_Employee_Attrition[[#This Row],[Age]]&gt;=18,"18-20"))))))</f>
        <v>30-39</v>
      </c>
      <c r="AK1441" t="str" cm="1">
        <f t="array" ref="AK1441">_xlfn.IFS(HR_Employee_Attrition[[#This Row],[YearsAtCompany]]&lt;=2,"0-2",HR_Employee_Attrition[[#This Row],[YearsAtCompany]]&lt;=5,"3-5",HR_Employee_Attrition[[#This Row],[YearsAtCompany]]&lt;=10,"6-10",HR_Employee_Attrition[[#This Row],[YearsAtCompany]]&gt;10,"10+")</f>
        <v>6-10</v>
      </c>
      <c r="AL1441" t="str" cm="1">
        <f t="array" ref="AL14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41">
        <f>IF(HR_Employee_Attrition[[#This Row],[Attrition]]="Yes",1,0)</f>
        <v>0</v>
      </c>
    </row>
    <row r="1442" spans="1:39" x14ac:dyDescent="0.3">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c r="AJ1442" t="str">
        <f>IF(HR_Employee_Attrition[[#This Row],[Age]]&gt;60,"60+",IF(HR_Employee_Attrition[[#This Row],[Age]]&gt;=50,"50-59",IF(HR_Employee_Attrition[[#This Row],[Age]]&gt;=40,"40-49",IF(HR_Employee_Attrition[[#This Row],[Age]]&gt;=30,"30-39",IF(HR_Employee_Attrition[[#This Row],[Age]]&gt;=20,"20-29",IF(HR_Employee_Attrition[[#This Row],[Age]]&gt;=18,"18-20"))))))</f>
        <v>30-39</v>
      </c>
      <c r="AK1442" t="str" cm="1">
        <f t="array" ref="AK1442">_xlfn.IFS(HR_Employee_Attrition[[#This Row],[YearsAtCompany]]&lt;=2,"0-2",HR_Employee_Attrition[[#This Row],[YearsAtCompany]]&lt;=5,"3-5",HR_Employee_Attrition[[#This Row],[YearsAtCompany]]&lt;=10,"6-10",HR_Employee_Attrition[[#This Row],[YearsAtCompany]]&gt;10,"10+")</f>
        <v>3-5</v>
      </c>
      <c r="AL1442" t="str" cm="1">
        <f t="array" ref="AL14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42">
        <f>IF(HR_Employee_Attrition[[#This Row],[Attrition]]="Yes",1,0)</f>
        <v>0</v>
      </c>
    </row>
    <row r="1443" spans="1:39" x14ac:dyDescent="0.3">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c r="AJ1443" t="str">
        <f>IF(HR_Employee_Attrition[[#This Row],[Age]]&gt;60,"60+",IF(HR_Employee_Attrition[[#This Row],[Age]]&gt;=50,"50-59",IF(HR_Employee_Attrition[[#This Row],[Age]]&gt;=40,"40-49",IF(HR_Employee_Attrition[[#This Row],[Age]]&gt;=30,"30-39",IF(HR_Employee_Attrition[[#This Row],[Age]]&gt;=20,"20-29",IF(HR_Employee_Attrition[[#This Row],[Age]]&gt;=18,"18-20"))))))</f>
        <v>50-59</v>
      </c>
      <c r="AK1443" t="str" cm="1">
        <f t="array" ref="AK1443">_xlfn.IFS(HR_Employee_Attrition[[#This Row],[YearsAtCompany]]&lt;=2,"0-2",HR_Employee_Attrition[[#This Row],[YearsAtCompany]]&lt;=5,"3-5",HR_Employee_Attrition[[#This Row],[YearsAtCompany]]&lt;=10,"6-10",HR_Employee_Attrition[[#This Row],[YearsAtCompany]]&gt;10,"10+")</f>
        <v>10+</v>
      </c>
      <c r="AL1443" t="str" cm="1">
        <f t="array" ref="AL14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43">
        <f>IF(HR_Employee_Attrition[[#This Row],[Attrition]]="Yes",1,0)</f>
        <v>0</v>
      </c>
    </row>
    <row r="1444" spans="1:39" x14ac:dyDescent="0.3">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c r="AJ1444" t="str">
        <f>IF(HR_Employee_Attrition[[#This Row],[Age]]&gt;60,"60+",IF(HR_Employee_Attrition[[#This Row],[Age]]&gt;=50,"50-59",IF(HR_Employee_Attrition[[#This Row],[Age]]&gt;=40,"40-49",IF(HR_Employee_Attrition[[#This Row],[Age]]&gt;=30,"30-39",IF(HR_Employee_Attrition[[#This Row],[Age]]&gt;=20,"20-29",IF(HR_Employee_Attrition[[#This Row],[Age]]&gt;=18,"18-20"))))))</f>
        <v>20-29</v>
      </c>
      <c r="AK1444" t="str" cm="1">
        <f t="array" ref="AK1444">_xlfn.IFS(HR_Employee_Attrition[[#This Row],[YearsAtCompany]]&lt;=2,"0-2",HR_Employee_Attrition[[#This Row],[YearsAtCompany]]&lt;=5,"3-5",HR_Employee_Attrition[[#This Row],[YearsAtCompany]]&lt;=10,"6-10",HR_Employee_Attrition[[#This Row],[YearsAtCompany]]&gt;10,"10+")</f>
        <v>0-2</v>
      </c>
      <c r="AL1444" t="str" cm="1">
        <f t="array" ref="AL14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44">
        <f>IF(HR_Employee_Attrition[[#This Row],[Attrition]]="Yes",1,0)</f>
        <v>1</v>
      </c>
    </row>
    <row r="1445" spans="1:39" x14ac:dyDescent="0.3">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c r="AJ1445" t="str">
        <f>IF(HR_Employee_Attrition[[#This Row],[Age]]&gt;60,"60+",IF(HR_Employee_Attrition[[#This Row],[Age]]&gt;=50,"50-59",IF(HR_Employee_Attrition[[#This Row],[Age]]&gt;=40,"40-49",IF(HR_Employee_Attrition[[#This Row],[Age]]&gt;=30,"30-39",IF(HR_Employee_Attrition[[#This Row],[Age]]&gt;=20,"20-29",IF(HR_Employee_Attrition[[#This Row],[Age]]&gt;=18,"18-20"))))))</f>
        <v>40-49</v>
      </c>
      <c r="AK1445" t="str" cm="1">
        <f t="array" ref="AK1445">_xlfn.IFS(HR_Employee_Attrition[[#This Row],[YearsAtCompany]]&lt;=2,"0-2",HR_Employee_Attrition[[#This Row],[YearsAtCompany]]&lt;=5,"3-5",HR_Employee_Attrition[[#This Row],[YearsAtCompany]]&lt;=10,"6-10",HR_Employee_Attrition[[#This Row],[YearsAtCompany]]&gt;10,"10+")</f>
        <v>10+</v>
      </c>
      <c r="AL1445" t="str" cm="1">
        <f t="array" ref="AL14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445">
        <f>IF(HR_Employee_Attrition[[#This Row],[Attrition]]="Yes",1,0)</f>
        <v>0</v>
      </c>
    </row>
    <row r="1446" spans="1:39" x14ac:dyDescent="0.3">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c r="AJ1446" t="str">
        <f>IF(HR_Employee_Attrition[[#This Row],[Age]]&gt;60,"60+",IF(HR_Employee_Attrition[[#This Row],[Age]]&gt;=50,"50-59",IF(HR_Employee_Attrition[[#This Row],[Age]]&gt;=40,"40-49",IF(HR_Employee_Attrition[[#This Row],[Age]]&gt;=30,"30-39",IF(HR_Employee_Attrition[[#This Row],[Age]]&gt;=20,"20-29",IF(HR_Employee_Attrition[[#This Row],[Age]]&gt;=18,"18-20"))))))</f>
        <v>50-59</v>
      </c>
      <c r="AK1446" t="str" cm="1">
        <f t="array" ref="AK1446">_xlfn.IFS(HR_Employee_Attrition[[#This Row],[YearsAtCompany]]&lt;=2,"0-2",HR_Employee_Attrition[[#This Row],[YearsAtCompany]]&lt;=5,"3-5",HR_Employee_Attrition[[#This Row],[YearsAtCompany]]&lt;=10,"6-10",HR_Employee_Attrition[[#This Row],[YearsAtCompany]]&gt;10,"10+")</f>
        <v>6-10</v>
      </c>
      <c r="AL1446" t="str" cm="1">
        <f t="array" ref="AL14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46">
        <f>IF(HR_Employee_Attrition[[#This Row],[Attrition]]="Yes",1,0)</f>
        <v>1</v>
      </c>
    </row>
    <row r="1447" spans="1:39" x14ac:dyDescent="0.3">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c r="AJ1447" t="str">
        <f>IF(HR_Employee_Attrition[[#This Row],[Age]]&gt;60,"60+",IF(HR_Employee_Attrition[[#This Row],[Age]]&gt;=50,"50-59",IF(HR_Employee_Attrition[[#This Row],[Age]]&gt;=40,"40-49",IF(HR_Employee_Attrition[[#This Row],[Age]]&gt;=30,"30-39",IF(HR_Employee_Attrition[[#This Row],[Age]]&gt;=20,"20-29",IF(HR_Employee_Attrition[[#This Row],[Age]]&gt;=18,"18-20"))))))</f>
        <v>40-49</v>
      </c>
      <c r="AK1447" t="str" cm="1">
        <f t="array" ref="AK1447">_xlfn.IFS(HR_Employee_Attrition[[#This Row],[YearsAtCompany]]&lt;=2,"0-2",HR_Employee_Attrition[[#This Row],[YearsAtCompany]]&lt;=5,"3-5",HR_Employee_Attrition[[#This Row],[YearsAtCompany]]&lt;=10,"6-10",HR_Employee_Attrition[[#This Row],[YearsAtCompany]]&gt;10,"10+")</f>
        <v>10+</v>
      </c>
      <c r="AL1447" t="str" cm="1">
        <f t="array" ref="AL14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47">
        <f>IF(HR_Employee_Attrition[[#This Row],[Attrition]]="Yes",1,0)</f>
        <v>0</v>
      </c>
    </row>
    <row r="1448" spans="1:39" x14ac:dyDescent="0.3">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c r="AJ1448" t="str">
        <f>IF(HR_Employee_Attrition[[#This Row],[Age]]&gt;60,"60+",IF(HR_Employee_Attrition[[#This Row],[Age]]&gt;=50,"50-59",IF(HR_Employee_Attrition[[#This Row],[Age]]&gt;=40,"40-49",IF(HR_Employee_Attrition[[#This Row],[Age]]&gt;=30,"30-39",IF(HR_Employee_Attrition[[#This Row],[Age]]&gt;=20,"20-29",IF(HR_Employee_Attrition[[#This Row],[Age]]&gt;=18,"18-20"))))))</f>
        <v>30-39</v>
      </c>
      <c r="AK1448" t="str" cm="1">
        <f t="array" ref="AK1448">_xlfn.IFS(HR_Employee_Attrition[[#This Row],[YearsAtCompany]]&lt;=2,"0-2",HR_Employee_Attrition[[#This Row],[YearsAtCompany]]&lt;=5,"3-5",HR_Employee_Attrition[[#This Row],[YearsAtCompany]]&lt;=10,"6-10",HR_Employee_Attrition[[#This Row],[YearsAtCompany]]&gt;10,"10+")</f>
        <v>6-10</v>
      </c>
      <c r="AL1448" t="str" cm="1">
        <f t="array" ref="AL14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48">
        <f>IF(HR_Employee_Attrition[[#This Row],[Attrition]]="Yes",1,0)</f>
        <v>0</v>
      </c>
    </row>
    <row r="1449" spans="1:39" x14ac:dyDescent="0.3">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c r="AJ1449" t="str">
        <f>IF(HR_Employee_Attrition[[#This Row],[Age]]&gt;60,"60+",IF(HR_Employee_Attrition[[#This Row],[Age]]&gt;=50,"50-59",IF(HR_Employee_Attrition[[#This Row],[Age]]&gt;=40,"40-49",IF(HR_Employee_Attrition[[#This Row],[Age]]&gt;=30,"30-39",IF(HR_Employee_Attrition[[#This Row],[Age]]&gt;=20,"20-29",IF(HR_Employee_Attrition[[#This Row],[Age]]&gt;=18,"18-20"))))))</f>
        <v>30-39</v>
      </c>
      <c r="AK1449" t="str" cm="1">
        <f t="array" ref="AK1449">_xlfn.IFS(HR_Employee_Attrition[[#This Row],[YearsAtCompany]]&lt;=2,"0-2",HR_Employee_Attrition[[#This Row],[YearsAtCompany]]&lt;=5,"3-5",HR_Employee_Attrition[[#This Row],[YearsAtCompany]]&lt;=10,"6-10",HR_Employee_Attrition[[#This Row],[YearsAtCompany]]&gt;10,"10+")</f>
        <v>10+</v>
      </c>
      <c r="AL1449" t="str" cm="1">
        <f t="array" ref="AL14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49">
        <f>IF(HR_Employee_Attrition[[#This Row],[Attrition]]="Yes",1,0)</f>
        <v>0</v>
      </c>
    </row>
    <row r="1450" spans="1:39" x14ac:dyDescent="0.3">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c r="AJ1450" t="str">
        <f>IF(HR_Employee_Attrition[[#This Row],[Age]]&gt;60,"60+",IF(HR_Employee_Attrition[[#This Row],[Age]]&gt;=50,"50-59",IF(HR_Employee_Attrition[[#This Row],[Age]]&gt;=40,"40-49",IF(HR_Employee_Attrition[[#This Row],[Age]]&gt;=30,"30-39",IF(HR_Employee_Attrition[[#This Row],[Age]]&gt;=20,"20-29",IF(HR_Employee_Attrition[[#This Row],[Age]]&gt;=18,"18-20"))))))</f>
        <v>40-49</v>
      </c>
      <c r="AK1450" t="str" cm="1">
        <f t="array" ref="AK1450">_xlfn.IFS(HR_Employee_Attrition[[#This Row],[YearsAtCompany]]&lt;=2,"0-2",HR_Employee_Attrition[[#This Row],[YearsAtCompany]]&lt;=5,"3-5",HR_Employee_Attrition[[#This Row],[YearsAtCompany]]&lt;=10,"6-10",HR_Employee_Attrition[[#This Row],[YearsAtCompany]]&gt;10,"10+")</f>
        <v>3-5</v>
      </c>
      <c r="AL1450" t="str" cm="1">
        <f t="array" ref="AL14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50">
        <f>IF(HR_Employee_Attrition[[#This Row],[Attrition]]="Yes",1,0)</f>
        <v>0</v>
      </c>
    </row>
    <row r="1451" spans="1:39" x14ac:dyDescent="0.3">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c r="AJ1451" t="str">
        <f>IF(HR_Employee_Attrition[[#This Row],[Age]]&gt;60,"60+",IF(HR_Employee_Attrition[[#This Row],[Age]]&gt;=50,"50-59",IF(HR_Employee_Attrition[[#This Row],[Age]]&gt;=40,"40-49",IF(HR_Employee_Attrition[[#This Row],[Age]]&gt;=30,"30-39",IF(HR_Employee_Attrition[[#This Row],[Age]]&gt;=20,"20-29",IF(HR_Employee_Attrition[[#This Row],[Age]]&gt;=18,"18-20"))))))</f>
        <v>30-39</v>
      </c>
      <c r="AK1451" t="str" cm="1">
        <f t="array" ref="AK1451">_xlfn.IFS(HR_Employee_Attrition[[#This Row],[YearsAtCompany]]&lt;=2,"0-2",HR_Employee_Attrition[[#This Row],[YearsAtCompany]]&lt;=5,"3-5",HR_Employee_Attrition[[#This Row],[YearsAtCompany]]&lt;=10,"6-10",HR_Employee_Attrition[[#This Row],[YearsAtCompany]]&gt;10,"10+")</f>
        <v>3-5</v>
      </c>
      <c r="AL1451" t="str" cm="1">
        <f t="array" ref="AL14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51">
        <f>IF(HR_Employee_Attrition[[#This Row],[Attrition]]="Yes",1,0)</f>
        <v>0</v>
      </c>
    </row>
    <row r="1452" spans="1:39" x14ac:dyDescent="0.3">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c r="AJ1452" t="str">
        <f>IF(HR_Employee_Attrition[[#This Row],[Age]]&gt;60,"60+",IF(HR_Employee_Attrition[[#This Row],[Age]]&gt;=50,"50-59",IF(HR_Employee_Attrition[[#This Row],[Age]]&gt;=40,"40-49",IF(HR_Employee_Attrition[[#This Row],[Age]]&gt;=30,"30-39",IF(HR_Employee_Attrition[[#This Row],[Age]]&gt;=20,"20-29",IF(HR_Employee_Attrition[[#This Row],[Age]]&gt;=18,"18-20"))))))</f>
        <v>30-39</v>
      </c>
      <c r="AK1452" t="str" cm="1">
        <f t="array" ref="AK1452">_xlfn.IFS(HR_Employee_Attrition[[#This Row],[YearsAtCompany]]&lt;=2,"0-2",HR_Employee_Attrition[[#This Row],[YearsAtCompany]]&lt;=5,"3-5",HR_Employee_Attrition[[#This Row],[YearsAtCompany]]&lt;=10,"6-10",HR_Employee_Attrition[[#This Row],[YearsAtCompany]]&gt;10,"10+")</f>
        <v>6-10</v>
      </c>
      <c r="AL1452" t="str" cm="1">
        <f t="array" ref="AL14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52">
        <f>IF(HR_Employee_Attrition[[#This Row],[Attrition]]="Yes",1,0)</f>
        <v>0</v>
      </c>
    </row>
    <row r="1453" spans="1:39" x14ac:dyDescent="0.3">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c r="AJ1453" t="str">
        <f>IF(HR_Employee_Attrition[[#This Row],[Age]]&gt;60,"60+",IF(HR_Employee_Attrition[[#This Row],[Age]]&gt;=50,"50-59",IF(HR_Employee_Attrition[[#This Row],[Age]]&gt;=40,"40-49",IF(HR_Employee_Attrition[[#This Row],[Age]]&gt;=30,"30-39",IF(HR_Employee_Attrition[[#This Row],[Age]]&gt;=20,"20-29",IF(HR_Employee_Attrition[[#This Row],[Age]]&gt;=18,"18-20"))))))</f>
        <v>30-39</v>
      </c>
      <c r="AK1453" t="str" cm="1">
        <f t="array" ref="AK1453">_xlfn.IFS(HR_Employee_Attrition[[#This Row],[YearsAtCompany]]&lt;=2,"0-2",HR_Employee_Attrition[[#This Row],[YearsAtCompany]]&lt;=5,"3-5",HR_Employee_Attrition[[#This Row],[YearsAtCompany]]&lt;=10,"6-10",HR_Employee_Attrition[[#This Row],[YearsAtCompany]]&gt;10,"10+")</f>
        <v>6-10</v>
      </c>
      <c r="AL1453" t="str" cm="1">
        <f t="array" ref="AL14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53">
        <f>IF(HR_Employee_Attrition[[#This Row],[Attrition]]="Yes",1,0)</f>
        <v>0</v>
      </c>
    </row>
    <row r="1454" spans="1:39" x14ac:dyDescent="0.3">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c r="AJ1454" t="str">
        <f>IF(HR_Employee_Attrition[[#This Row],[Age]]&gt;60,"60+",IF(HR_Employee_Attrition[[#This Row],[Age]]&gt;=50,"50-59",IF(HR_Employee_Attrition[[#This Row],[Age]]&gt;=40,"40-49",IF(HR_Employee_Attrition[[#This Row],[Age]]&gt;=30,"30-39",IF(HR_Employee_Attrition[[#This Row],[Age]]&gt;=20,"20-29",IF(HR_Employee_Attrition[[#This Row],[Age]]&gt;=18,"18-20"))))))</f>
        <v>50-59</v>
      </c>
      <c r="AK1454" t="str" cm="1">
        <f t="array" ref="AK1454">_xlfn.IFS(HR_Employee_Attrition[[#This Row],[YearsAtCompany]]&lt;=2,"0-2",HR_Employee_Attrition[[#This Row],[YearsAtCompany]]&lt;=5,"3-5",HR_Employee_Attrition[[#This Row],[YearsAtCompany]]&lt;=10,"6-10",HR_Employee_Attrition[[#This Row],[YearsAtCompany]]&gt;10,"10+")</f>
        <v>6-10</v>
      </c>
      <c r="AL1454" t="str" cm="1">
        <f t="array" ref="AL14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54">
        <f>IF(HR_Employee_Attrition[[#This Row],[Attrition]]="Yes",1,0)</f>
        <v>1</v>
      </c>
    </row>
    <row r="1455" spans="1:39" x14ac:dyDescent="0.3">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c r="AJ1455" t="str">
        <f>IF(HR_Employee_Attrition[[#This Row],[Age]]&gt;60,"60+",IF(HR_Employee_Attrition[[#This Row],[Age]]&gt;=50,"50-59",IF(HR_Employee_Attrition[[#This Row],[Age]]&gt;=40,"40-49",IF(HR_Employee_Attrition[[#This Row],[Age]]&gt;=30,"30-39",IF(HR_Employee_Attrition[[#This Row],[Age]]&gt;=20,"20-29",IF(HR_Employee_Attrition[[#This Row],[Age]]&gt;=18,"18-20"))))))</f>
        <v>30-39</v>
      </c>
      <c r="AK1455" t="str" cm="1">
        <f t="array" ref="AK1455">_xlfn.IFS(HR_Employee_Attrition[[#This Row],[YearsAtCompany]]&lt;=2,"0-2",HR_Employee_Attrition[[#This Row],[YearsAtCompany]]&lt;=5,"3-5",HR_Employee_Attrition[[#This Row],[YearsAtCompany]]&lt;=10,"6-10",HR_Employee_Attrition[[#This Row],[YearsAtCompany]]&gt;10,"10+")</f>
        <v>6-10</v>
      </c>
      <c r="AL1455" t="str" cm="1">
        <f t="array" ref="AL14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55">
        <f>IF(HR_Employee_Attrition[[#This Row],[Attrition]]="Yes",1,0)</f>
        <v>0</v>
      </c>
    </row>
    <row r="1456" spans="1:39" x14ac:dyDescent="0.3">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c r="AJ1456" t="str">
        <f>IF(HR_Employee_Attrition[[#This Row],[Age]]&gt;60,"60+",IF(HR_Employee_Attrition[[#This Row],[Age]]&gt;=50,"50-59",IF(HR_Employee_Attrition[[#This Row],[Age]]&gt;=40,"40-49",IF(HR_Employee_Attrition[[#This Row],[Age]]&gt;=30,"30-39",IF(HR_Employee_Attrition[[#This Row],[Age]]&gt;=20,"20-29",IF(HR_Employee_Attrition[[#This Row],[Age]]&gt;=18,"18-20"))))))</f>
        <v>40-49</v>
      </c>
      <c r="AK1456" t="str" cm="1">
        <f t="array" ref="AK1456">_xlfn.IFS(HR_Employee_Attrition[[#This Row],[YearsAtCompany]]&lt;=2,"0-2",HR_Employee_Attrition[[#This Row],[YearsAtCompany]]&lt;=5,"3-5",HR_Employee_Attrition[[#This Row],[YearsAtCompany]]&lt;=10,"6-10",HR_Employee_Attrition[[#This Row],[YearsAtCompany]]&gt;10,"10+")</f>
        <v>3-5</v>
      </c>
      <c r="AL1456" t="str" cm="1">
        <f t="array" ref="AL14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56">
        <f>IF(HR_Employee_Attrition[[#This Row],[Attrition]]="Yes",1,0)</f>
        <v>0</v>
      </c>
    </row>
    <row r="1457" spans="1:39" x14ac:dyDescent="0.3">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c r="AJ1457" t="str">
        <f>IF(HR_Employee_Attrition[[#This Row],[Age]]&gt;60,"60+",IF(HR_Employee_Attrition[[#This Row],[Age]]&gt;=50,"50-59",IF(HR_Employee_Attrition[[#This Row],[Age]]&gt;=40,"40-49",IF(HR_Employee_Attrition[[#This Row],[Age]]&gt;=30,"30-39",IF(HR_Employee_Attrition[[#This Row],[Age]]&gt;=20,"20-29",IF(HR_Employee_Attrition[[#This Row],[Age]]&gt;=18,"18-20"))))))</f>
        <v>40-49</v>
      </c>
      <c r="AK1457" t="str" cm="1">
        <f t="array" ref="AK1457">_xlfn.IFS(HR_Employee_Attrition[[#This Row],[YearsAtCompany]]&lt;=2,"0-2",HR_Employee_Attrition[[#This Row],[YearsAtCompany]]&lt;=5,"3-5",HR_Employee_Attrition[[#This Row],[YearsAtCompany]]&lt;=10,"6-10",HR_Employee_Attrition[[#This Row],[YearsAtCompany]]&gt;10,"10+")</f>
        <v>0-2</v>
      </c>
      <c r="AL1457" t="str" cm="1">
        <f t="array" ref="AL14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57">
        <f>IF(HR_Employee_Attrition[[#This Row],[Attrition]]="Yes",1,0)</f>
        <v>0</v>
      </c>
    </row>
    <row r="1458" spans="1:39" x14ac:dyDescent="0.3">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c r="AJ1458" t="str">
        <f>IF(HR_Employee_Attrition[[#This Row],[Age]]&gt;60,"60+",IF(HR_Employee_Attrition[[#This Row],[Age]]&gt;=50,"50-59",IF(HR_Employee_Attrition[[#This Row],[Age]]&gt;=40,"40-49",IF(HR_Employee_Attrition[[#This Row],[Age]]&gt;=30,"30-39",IF(HR_Employee_Attrition[[#This Row],[Age]]&gt;=20,"20-29",IF(HR_Employee_Attrition[[#This Row],[Age]]&gt;=18,"18-20"))))))</f>
        <v>30-39</v>
      </c>
      <c r="AK1458" t="str" cm="1">
        <f t="array" ref="AK1458">_xlfn.IFS(HR_Employee_Attrition[[#This Row],[YearsAtCompany]]&lt;=2,"0-2",HR_Employee_Attrition[[#This Row],[YearsAtCompany]]&lt;=5,"3-5",HR_Employee_Attrition[[#This Row],[YearsAtCompany]]&lt;=10,"6-10",HR_Employee_Attrition[[#This Row],[YearsAtCompany]]&gt;10,"10+")</f>
        <v>6-10</v>
      </c>
      <c r="AL1458" t="str" cm="1">
        <f t="array" ref="AL14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58">
        <f>IF(HR_Employee_Attrition[[#This Row],[Attrition]]="Yes",1,0)</f>
        <v>0</v>
      </c>
    </row>
    <row r="1459" spans="1:39" x14ac:dyDescent="0.3">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c r="AJ1459" t="str">
        <f>IF(HR_Employee_Attrition[[#This Row],[Age]]&gt;60,"60+",IF(HR_Employee_Attrition[[#This Row],[Age]]&gt;=50,"50-59",IF(HR_Employee_Attrition[[#This Row],[Age]]&gt;=40,"40-49",IF(HR_Employee_Attrition[[#This Row],[Age]]&gt;=30,"30-39",IF(HR_Employee_Attrition[[#This Row],[Age]]&gt;=20,"20-29",IF(HR_Employee_Attrition[[#This Row],[Age]]&gt;=18,"18-20"))))))</f>
        <v>40-49</v>
      </c>
      <c r="AK1459" t="str" cm="1">
        <f t="array" ref="AK1459">_xlfn.IFS(HR_Employee_Attrition[[#This Row],[YearsAtCompany]]&lt;=2,"0-2",HR_Employee_Attrition[[#This Row],[YearsAtCompany]]&lt;=5,"3-5",HR_Employee_Attrition[[#This Row],[YearsAtCompany]]&lt;=10,"6-10",HR_Employee_Attrition[[#This Row],[YearsAtCompany]]&gt;10,"10+")</f>
        <v>3-5</v>
      </c>
      <c r="AL1459" t="str" cm="1">
        <f t="array" ref="AL14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59">
        <f>IF(HR_Employee_Attrition[[#This Row],[Attrition]]="Yes",1,0)</f>
        <v>0</v>
      </c>
    </row>
    <row r="1460" spans="1:39" x14ac:dyDescent="0.3">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c r="AJ1460" t="str">
        <f>IF(HR_Employee_Attrition[[#This Row],[Age]]&gt;60,"60+",IF(HR_Employee_Attrition[[#This Row],[Age]]&gt;=50,"50-59",IF(HR_Employee_Attrition[[#This Row],[Age]]&gt;=40,"40-49",IF(HR_Employee_Attrition[[#This Row],[Age]]&gt;=30,"30-39",IF(HR_Employee_Attrition[[#This Row],[Age]]&gt;=20,"20-29",IF(HR_Employee_Attrition[[#This Row],[Age]]&gt;=18,"18-20"))))))</f>
        <v>30-39</v>
      </c>
      <c r="AK1460" t="str" cm="1">
        <f t="array" ref="AK1460">_xlfn.IFS(HR_Employee_Attrition[[#This Row],[YearsAtCompany]]&lt;=2,"0-2",HR_Employee_Attrition[[#This Row],[YearsAtCompany]]&lt;=5,"3-5",HR_Employee_Attrition[[#This Row],[YearsAtCompany]]&lt;=10,"6-10",HR_Employee_Attrition[[#This Row],[YearsAtCompany]]&gt;10,"10+")</f>
        <v>3-5</v>
      </c>
      <c r="AL1460" t="str" cm="1">
        <f t="array" ref="AL14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60">
        <f>IF(HR_Employee_Attrition[[#This Row],[Attrition]]="Yes",1,0)</f>
        <v>0</v>
      </c>
    </row>
    <row r="1461" spans="1:39" x14ac:dyDescent="0.3">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c r="AJ1461" t="str">
        <f>IF(HR_Employee_Attrition[[#This Row],[Age]]&gt;60,"60+",IF(HR_Employee_Attrition[[#This Row],[Age]]&gt;=50,"50-59",IF(HR_Employee_Attrition[[#This Row],[Age]]&gt;=40,"40-49",IF(HR_Employee_Attrition[[#This Row],[Age]]&gt;=30,"30-39",IF(HR_Employee_Attrition[[#This Row],[Age]]&gt;=20,"20-29",IF(HR_Employee_Attrition[[#This Row],[Age]]&gt;=18,"18-20"))))))</f>
        <v>20-29</v>
      </c>
      <c r="AK1461" t="str" cm="1">
        <f t="array" ref="AK1461">_xlfn.IFS(HR_Employee_Attrition[[#This Row],[YearsAtCompany]]&lt;=2,"0-2",HR_Employee_Attrition[[#This Row],[YearsAtCompany]]&lt;=5,"3-5",HR_Employee_Attrition[[#This Row],[YearsAtCompany]]&lt;=10,"6-10",HR_Employee_Attrition[[#This Row],[YearsAtCompany]]&gt;10,"10+")</f>
        <v>3-5</v>
      </c>
      <c r="AL1461" t="str" cm="1">
        <f t="array" ref="AL14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61">
        <f>IF(HR_Employee_Attrition[[#This Row],[Attrition]]="Yes",1,0)</f>
        <v>0</v>
      </c>
    </row>
    <row r="1462" spans="1:39" x14ac:dyDescent="0.3">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c r="AJ1462" t="str">
        <f>IF(HR_Employee_Attrition[[#This Row],[Age]]&gt;60,"60+",IF(HR_Employee_Attrition[[#This Row],[Age]]&gt;=50,"50-59",IF(HR_Employee_Attrition[[#This Row],[Age]]&gt;=40,"40-49",IF(HR_Employee_Attrition[[#This Row],[Age]]&gt;=30,"30-39",IF(HR_Employee_Attrition[[#This Row],[Age]]&gt;=20,"20-29",IF(HR_Employee_Attrition[[#This Row],[Age]]&gt;=18,"18-20"))))))</f>
        <v>20-29</v>
      </c>
      <c r="AK1462" t="str" cm="1">
        <f t="array" ref="AK1462">_xlfn.IFS(HR_Employee_Attrition[[#This Row],[YearsAtCompany]]&lt;=2,"0-2",HR_Employee_Attrition[[#This Row],[YearsAtCompany]]&lt;=5,"3-5",HR_Employee_Attrition[[#This Row],[YearsAtCompany]]&lt;=10,"6-10",HR_Employee_Attrition[[#This Row],[YearsAtCompany]]&gt;10,"10+")</f>
        <v>3-5</v>
      </c>
      <c r="AL1462" t="str" cm="1">
        <f t="array" ref="AL14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62">
        <f>IF(HR_Employee_Attrition[[#This Row],[Attrition]]="Yes",1,0)</f>
        <v>0</v>
      </c>
    </row>
    <row r="1463" spans="1:39" x14ac:dyDescent="0.3">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c r="AJ1463" t="str">
        <f>IF(HR_Employee_Attrition[[#This Row],[Age]]&gt;60,"60+",IF(HR_Employee_Attrition[[#This Row],[Age]]&gt;=50,"50-59",IF(HR_Employee_Attrition[[#This Row],[Age]]&gt;=40,"40-49",IF(HR_Employee_Attrition[[#This Row],[Age]]&gt;=30,"30-39",IF(HR_Employee_Attrition[[#This Row],[Age]]&gt;=20,"20-29",IF(HR_Employee_Attrition[[#This Row],[Age]]&gt;=18,"18-20"))))))</f>
        <v>50-59</v>
      </c>
      <c r="AK1463" t="str" cm="1">
        <f t="array" ref="AK1463">_xlfn.IFS(HR_Employee_Attrition[[#This Row],[YearsAtCompany]]&lt;=2,"0-2",HR_Employee_Attrition[[#This Row],[YearsAtCompany]]&lt;=5,"3-5",HR_Employee_Attrition[[#This Row],[YearsAtCompany]]&lt;=10,"6-10",HR_Employee_Attrition[[#This Row],[YearsAtCompany]]&gt;10,"10+")</f>
        <v>3-5</v>
      </c>
      <c r="AL1463" t="str" cm="1">
        <f t="array" ref="AL14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63">
        <f>IF(HR_Employee_Attrition[[#This Row],[Attrition]]="Yes",1,0)</f>
        <v>1</v>
      </c>
    </row>
    <row r="1464" spans="1:39" x14ac:dyDescent="0.3">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c r="AJ1464" t="str">
        <f>IF(HR_Employee_Attrition[[#This Row],[Age]]&gt;60,"60+",IF(HR_Employee_Attrition[[#This Row],[Age]]&gt;=50,"50-59",IF(HR_Employee_Attrition[[#This Row],[Age]]&gt;=40,"40-49",IF(HR_Employee_Attrition[[#This Row],[Age]]&gt;=30,"30-39",IF(HR_Employee_Attrition[[#This Row],[Age]]&gt;=20,"20-29",IF(HR_Employee_Attrition[[#This Row],[Age]]&gt;=18,"18-20"))))))</f>
        <v>30-39</v>
      </c>
      <c r="AK1464" t="str" cm="1">
        <f t="array" ref="AK1464">_xlfn.IFS(HR_Employee_Attrition[[#This Row],[YearsAtCompany]]&lt;=2,"0-2",HR_Employee_Attrition[[#This Row],[YearsAtCompany]]&lt;=5,"3-5",HR_Employee_Attrition[[#This Row],[YearsAtCompany]]&lt;=10,"6-10",HR_Employee_Attrition[[#This Row],[YearsAtCompany]]&gt;10,"10+")</f>
        <v>10+</v>
      </c>
      <c r="AL1464" t="str" cm="1">
        <f t="array" ref="AL14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64">
        <f>IF(HR_Employee_Attrition[[#This Row],[Attrition]]="Yes",1,0)</f>
        <v>0</v>
      </c>
    </row>
    <row r="1465" spans="1:39" x14ac:dyDescent="0.3">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c r="AJ1465" t="str">
        <f>IF(HR_Employee_Attrition[[#This Row],[Age]]&gt;60,"60+",IF(HR_Employee_Attrition[[#This Row],[Age]]&gt;=50,"50-59",IF(HR_Employee_Attrition[[#This Row],[Age]]&gt;=40,"40-49",IF(HR_Employee_Attrition[[#This Row],[Age]]&gt;=30,"30-39",IF(HR_Employee_Attrition[[#This Row],[Age]]&gt;=20,"20-29",IF(HR_Employee_Attrition[[#This Row],[Age]]&gt;=18,"18-20"))))))</f>
        <v>30-39</v>
      </c>
      <c r="AK1465" t="str" cm="1">
        <f t="array" ref="AK1465">_xlfn.IFS(HR_Employee_Attrition[[#This Row],[YearsAtCompany]]&lt;=2,"0-2",HR_Employee_Attrition[[#This Row],[YearsAtCompany]]&lt;=5,"3-5",HR_Employee_Attrition[[#This Row],[YearsAtCompany]]&lt;=10,"6-10",HR_Employee_Attrition[[#This Row],[YearsAtCompany]]&gt;10,"10+")</f>
        <v>6-10</v>
      </c>
      <c r="AL1465" t="str" cm="1">
        <f t="array" ref="AL14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65">
        <f>IF(HR_Employee_Attrition[[#This Row],[Attrition]]="Yes",1,0)</f>
        <v>0</v>
      </c>
    </row>
    <row r="1466" spans="1:39" x14ac:dyDescent="0.3">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c r="AJ1466" t="str">
        <f>IF(HR_Employee_Attrition[[#This Row],[Age]]&gt;60,"60+",IF(HR_Employee_Attrition[[#This Row],[Age]]&gt;=50,"50-59",IF(HR_Employee_Attrition[[#This Row],[Age]]&gt;=40,"40-49",IF(HR_Employee_Attrition[[#This Row],[Age]]&gt;=30,"30-39",IF(HR_Employee_Attrition[[#This Row],[Age]]&gt;=20,"20-29",IF(HR_Employee_Attrition[[#This Row],[Age]]&gt;=18,"18-20"))))))</f>
        <v>20-29</v>
      </c>
      <c r="AK1466" t="str" cm="1">
        <f t="array" ref="AK1466">_xlfn.IFS(HR_Employee_Attrition[[#This Row],[YearsAtCompany]]&lt;=2,"0-2",HR_Employee_Attrition[[#This Row],[YearsAtCompany]]&lt;=5,"3-5",HR_Employee_Attrition[[#This Row],[YearsAtCompany]]&lt;=10,"6-10",HR_Employee_Attrition[[#This Row],[YearsAtCompany]]&gt;10,"10+")</f>
        <v>3-5</v>
      </c>
      <c r="AL1466" t="str" cm="1">
        <f t="array" ref="AL14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66">
        <f>IF(HR_Employee_Attrition[[#This Row],[Attrition]]="Yes",1,0)</f>
        <v>0</v>
      </c>
    </row>
    <row r="1467" spans="1:39" x14ac:dyDescent="0.3">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c r="AJ1467" t="str">
        <f>IF(HR_Employee_Attrition[[#This Row],[Age]]&gt;60,"60+",IF(HR_Employee_Attrition[[#This Row],[Age]]&gt;=50,"50-59",IF(HR_Employee_Attrition[[#This Row],[Age]]&gt;=40,"40-49",IF(HR_Employee_Attrition[[#This Row],[Age]]&gt;=30,"30-39",IF(HR_Employee_Attrition[[#This Row],[Age]]&gt;=20,"20-29",IF(HR_Employee_Attrition[[#This Row],[Age]]&gt;=18,"18-20"))))))</f>
        <v>30-39</v>
      </c>
      <c r="AK1467" t="str" cm="1">
        <f t="array" ref="AK1467">_xlfn.IFS(HR_Employee_Attrition[[#This Row],[YearsAtCompany]]&lt;=2,"0-2",HR_Employee_Attrition[[#This Row],[YearsAtCompany]]&lt;=5,"3-5",HR_Employee_Attrition[[#This Row],[YearsAtCompany]]&lt;=10,"6-10",HR_Employee_Attrition[[#This Row],[YearsAtCompany]]&gt;10,"10+")</f>
        <v>3-5</v>
      </c>
      <c r="AL1467" t="str" cm="1">
        <f t="array" ref="AL14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67">
        <f>IF(HR_Employee_Attrition[[#This Row],[Attrition]]="Yes",1,0)</f>
        <v>0</v>
      </c>
    </row>
    <row r="1468" spans="1:39" x14ac:dyDescent="0.3">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c r="AJ1468" t="str">
        <f>IF(HR_Employee_Attrition[[#This Row],[Age]]&gt;60,"60+",IF(HR_Employee_Attrition[[#This Row],[Age]]&gt;=50,"50-59",IF(HR_Employee_Attrition[[#This Row],[Age]]&gt;=40,"40-49",IF(HR_Employee_Attrition[[#This Row],[Age]]&gt;=30,"30-39",IF(HR_Employee_Attrition[[#This Row],[Age]]&gt;=20,"20-29",IF(HR_Employee_Attrition[[#This Row],[Age]]&gt;=18,"18-20"))))))</f>
        <v>30-39</v>
      </c>
      <c r="AK1468" t="str" cm="1">
        <f t="array" ref="AK1468">_xlfn.IFS(HR_Employee_Attrition[[#This Row],[YearsAtCompany]]&lt;=2,"0-2",HR_Employee_Attrition[[#This Row],[YearsAtCompany]]&lt;=5,"3-5",HR_Employee_Attrition[[#This Row],[YearsAtCompany]]&lt;=10,"6-10",HR_Employee_Attrition[[#This Row],[YearsAtCompany]]&gt;10,"10+")</f>
        <v>6-10</v>
      </c>
      <c r="AL1468" t="str" cm="1">
        <f t="array" ref="AL14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68">
        <f>IF(HR_Employee_Attrition[[#This Row],[Attrition]]="Yes",1,0)</f>
        <v>0</v>
      </c>
    </row>
    <row r="1469" spans="1:39" x14ac:dyDescent="0.3">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c r="AJ1469" t="str">
        <f>IF(HR_Employee_Attrition[[#This Row],[Age]]&gt;60,"60+",IF(HR_Employee_Attrition[[#This Row],[Age]]&gt;=50,"50-59",IF(HR_Employee_Attrition[[#This Row],[Age]]&gt;=40,"40-49",IF(HR_Employee_Attrition[[#This Row],[Age]]&gt;=30,"30-39",IF(HR_Employee_Attrition[[#This Row],[Age]]&gt;=20,"20-29",IF(HR_Employee_Attrition[[#This Row],[Age]]&gt;=18,"18-20"))))))</f>
        <v>20-29</v>
      </c>
      <c r="AK1469" t="str" cm="1">
        <f t="array" ref="AK1469">_xlfn.IFS(HR_Employee_Attrition[[#This Row],[YearsAtCompany]]&lt;=2,"0-2",HR_Employee_Attrition[[#This Row],[YearsAtCompany]]&lt;=5,"3-5",HR_Employee_Attrition[[#This Row],[YearsAtCompany]]&lt;=10,"6-10",HR_Employee_Attrition[[#This Row],[YearsAtCompany]]&gt;10,"10+")</f>
        <v>6-10</v>
      </c>
      <c r="AL1469" t="str" cm="1">
        <f t="array" ref="AL14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69">
        <f>IF(HR_Employee_Attrition[[#This Row],[Attrition]]="Yes",1,0)</f>
        <v>0</v>
      </c>
    </row>
    <row r="1470" spans="1:39" x14ac:dyDescent="0.3">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c r="AJ1470" t="str">
        <f>IF(HR_Employee_Attrition[[#This Row],[Age]]&gt;60,"60+",IF(HR_Employee_Attrition[[#This Row],[Age]]&gt;=50,"50-59",IF(HR_Employee_Attrition[[#This Row],[Age]]&gt;=40,"40-49",IF(HR_Employee_Attrition[[#This Row],[Age]]&gt;=30,"30-39",IF(HR_Employee_Attrition[[#This Row],[Age]]&gt;=20,"20-29",IF(HR_Employee_Attrition[[#This Row],[Age]]&gt;=18,"18-20"))))))</f>
        <v>40-49</v>
      </c>
      <c r="AK1470" t="str" cm="1">
        <f t="array" ref="AK1470">_xlfn.IFS(HR_Employee_Attrition[[#This Row],[YearsAtCompany]]&lt;=2,"0-2",HR_Employee_Attrition[[#This Row],[YearsAtCompany]]&lt;=5,"3-5",HR_Employee_Attrition[[#This Row],[YearsAtCompany]]&lt;=10,"6-10",HR_Employee_Attrition[[#This Row],[YearsAtCompany]]&gt;10,"10+")</f>
        <v>6-10</v>
      </c>
      <c r="AL1470" t="str" cm="1">
        <f t="array" ref="AL14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70">
        <f>IF(HR_Employee_Attrition[[#This Row],[Attrition]]="Yes",1,0)</f>
        <v>0</v>
      </c>
    </row>
    <row r="1471" spans="1:39" x14ac:dyDescent="0.3">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c r="AJ1471" t="str">
        <f>IF(HR_Employee_Attrition[[#This Row],[Age]]&gt;60,"60+",IF(HR_Employee_Attrition[[#This Row],[Age]]&gt;=50,"50-59",IF(HR_Employee_Attrition[[#This Row],[Age]]&gt;=40,"40-49",IF(HR_Employee_Attrition[[#This Row],[Age]]&gt;=30,"30-39",IF(HR_Employee_Attrition[[#This Row],[Age]]&gt;=20,"20-29",IF(HR_Employee_Attrition[[#This Row],[Age]]&gt;=18,"18-20"))))))</f>
        <v>30-39</v>
      </c>
      <c r="AK1471" t="str" cm="1">
        <f t="array" ref="AK1471">_xlfn.IFS(HR_Employee_Attrition[[#This Row],[YearsAtCompany]]&lt;=2,"0-2",HR_Employee_Attrition[[#This Row],[YearsAtCompany]]&lt;=5,"3-5",HR_Employee_Attrition[[#This Row],[YearsAtCompany]]&lt;=10,"6-10",HR_Employee_Attrition[[#This Row],[YearsAtCompany]]&gt;10,"10+")</f>
        <v>3-5</v>
      </c>
      <c r="AL1471" t="str" cm="1">
        <f t="array" ref="AL14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71">
        <f>IF(HR_Employee_Attrition[[#This Row],[Attrition]]="Yes",1,0)</f>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753D3-EF73-47E1-98D2-B21B790BA8CA}">
  <sheetPr codeName="Sheet3"/>
  <dimension ref="A1:BY282"/>
  <sheetViews>
    <sheetView zoomScaleNormal="100" workbookViewId="0">
      <selection activeCell="H24" sqref="H24:K29"/>
    </sheetView>
  </sheetViews>
  <sheetFormatPr defaultRowHeight="14.4" x14ac:dyDescent="0.3"/>
  <cols>
    <col min="1" max="1" width="12" customWidth="1"/>
    <col min="3" max="3" width="26.88671875" customWidth="1"/>
    <col min="4" max="4" width="21.33203125" customWidth="1"/>
    <col min="5" max="5" width="23.44140625" bestFit="1" customWidth="1"/>
    <col min="6" max="6" width="10.109375" bestFit="1" customWidth="1"/>
    <col min="7" max="7" width="14.6640625" bestFit="1" customWidth="1"/>
    <col min="8" max="8" width="21.88671875" bestFit="1" customWidth="1"/>
    <col min="9" max="9" width="11.5546875" bestFit="1" customWidth="1"/>
    <col min="10" max="10" width="15.77734375" bestFit="1" customWidth="1"/>
    <col min="12" max="12" width="8.44140625" bestFit="1" customWidth="1"/>
    <col min="13" max="13" width="9.5546875" customWidth="1"/>
    <col min="14" max="14" width="9.109375" bestFit="1" customWidth="1"/>
    <col min="15" max="15" width="7.44140625" bestFit="1" customWidth="1"/>
    <col min="16" max="16" width="17.33203125" bestFit="1" customWidth="1"/>
    <col min="17" max="17" width="7.109375" bestFit="1" customWidth="1"/>
    <col min="18" max="18" width="11.5546875" bestFit="1" customWidth="1"/>
    <col min="19" max="19" width="21.44140625" bestFit="1" customWidth="1"/>
    <col min="20" max="20" width="23.33203125" bestFit="1" customWidth="1"/>
    <col min="21" max="21" width="17" bestFit="1" customWidth="1"/>
    <col min="22" max="22" width="4.44140625" bestFit="1" customWidth="1"/>
    <col min="23" max="23" width="11.21875" bestFit="1" customWidth="1"/>
    <col min="24" max="24" width="21.88671875" bestFit="1" customWidth="1"/>
    <col min="25" max="25" width="14.6640625" bestFit="1" customWidth="1"/>
    <col min="26" max="26" width="21.88671875" bestFit="1" customWidth="1"/>
    <col min="27" max="27" width="29.109375" bestFit="1" customWidth="1"/>
    <col min="28" max="28" width="7.33203125" bestFit="1" customWidth="1"/>
    <col min="29" max="29" width="10.77734375" bestFit="1" customWidth="1"/>
    <col min="30" max="30" width="11.5546875" bestFit="1" customWidth="1"/>
    <col min="31" max="31" width="33.5546875" bestFit="1" customWidth="1"/>
    <col min="32" max="32" width="13.5546875" bestFit="1" customWidth="1"/>
    <col min="33" max="33" width="15.77734375" bestFit="1" customWidth="1"/>
    <col min="34" max="34" width="10.21875" customWidth="1"/>
    <col min="35" max="35" width="12" customWidth="1"/>
    <col min="36" max="39" width="3.21875" bestFit="1" customWidth="1"/>
    <col min="40" max="40" width="14.6640625" bestFit="1" customWidth="1"/>
    <col min="41" max="41" width="21.88671875" bestFit="1" customWidth="1"/>
    <col min="42" max="45" width="12.88671875" bestFit="1" customWidth="1"/>
    <col min="46" max="46" width="21.88671875" bestFit="1" customWidth="1"/>
    <col min="47" max="47" width="8.88671875" bestFit="1" customWidth="1"/>
    <col min="48" max="48" width="7.21875" bestFit="1" customWidth="1"/>
    <col min="49" max="49" width="8.88671875" bestFit="1" customWidth="1"/>
    <col min="50" max="50" width="5.6640625" bestFit="1" customWidth="1"/>
    <col min="51" max="51" width="21.33203125" bestFit="1" customWidth="1"/>
    <col min="52" max="52" width="8.88671875" bestFit="1" customWidth="1"/>
    <col min="53" max="55" width="7.21875" bestFit="1" customWidth="1"/>
    <col min="56" max="56" width="30.5546875" bestFit="1" customWidth="1"/>
    <col min="57" max="57" width="18.88671875" bestFit="1" customWidth="1"/>
    <col min="58" max="58" width="21.88671875" bestFit="1" customWidth="1"/>
    <col min="59" max="59" width="16.5546875" bestFit="1" customWidth="1"/>
    <col min="60" max="62" width="14.6640625" bestFit="1" customWidth="1"/>
    <col min="63" max="63" width="21.88671875" bestFit="1" customWidth="1"/>
    <col min="64" max="64" width="9.44140625" customWidth="1"/>
    <col min="65" max="65" width="27.6640625" bestFit="1" customWidth="1"/>
    <col min="66" max="66" width="14.6640625" bestFit="1" customWidth="1"/>
    <col min="67" max="67" width="21.88671875" bestFit="1" customWidth="1"/>
    <col min="68" max="70" width="5.6640625" bestFit="1" customWidth="1"/>
    <col min="71" max="71" width="11.21875" bestFit="1" customWidth="1"/>
    <col min="72" max="74" width="3" bestFit="1" customWidth="1"/>
    <col min="75" max="75" width="11.21875" bestFit="1" customWidth="1"/>
    <col min="76" max="76" width="14.6640625" bestFit="1" customWidth="1"/>
    <col min="77" max="77" width="21.88671875" bestFit="1" customWidth="1"/>
    <col min="78" max="78" width="16.5546875" bestFit="1" customWidth="1"/>
    <col min="79" max="79" width="16.44140625" bestFit="1" customWidth="1"/>
    <col min="80" max="80" width="14.6640625" bestFit="1" customWidth="1"/>
    <col min="81" max="81" width="21.88671875" bestFit="1" customWidth="1"/>
    <col min="82" max="82" width="16.44140625" bestFit="1" customWidth="1"/>
    <col min="83" max="83" width="18.6640625" bestFit="1" customWidth="1"/>
    <col min="84" max="84" width="21.88671875" bestFit="1" customWidth="1"/>
    <col min="85" max="87" width="16.44140625" bestFit="1" customWidth="1"/>
    <col min="88" max="88" width="11.21875" bestFit="1" customWidth="1"/>
    <col min="89" max="89" width="3.33203125" bestFit="1" customWidth="1"/>
    <col min="90" max="90" width="7" bestFit="1" customWidth="1"/>
    <col min="91" max="91" width="30.21875" bestFit="1" customWidth="1"/>
    <col min="92" max="92" width="26.6640625" bestFit="1" customWidth="1"/>
  </cols>
  <sheetData>
    <row r="1" spans="1:11" x14ac:dyDescent="0.3">
      <c r="J1" s="1" t="s">
        <v>65</v>
      </c>
      <c r="K1" t="s">
        <v>94</v>
      </c>
    </row>
    <row r="2" spans="1:11" x14ac:dyDescent="0.3">
      <c r="A2" t="s">
        <v>62</v>
      </c>
      <c r="D2" s="1" t="s">
        <v>65</v>
      </c>
      <c r="E2" t="s">
        <v>95</v>
      </c>
      <c r="F2" s="1" t="s">
        <v>65</v>
      </c>
      <c r="G2" t="s">
        <v>94</v>
      </c>
      <c r="J2" s="2">
        <v>1</v>
      </c>
      <c r="K2" s="11">
        <v>0.26335174953959484</v>
      </c>
    </row>
    <row r="3" spans="1:11" x14ac:dyDescent="0.3">
      <c r="B3">
        <f>COUNTA(HR_Employee_Attrition[Attrition])</f>
        <v>1470</v>
      </c>
      <c r="D3" s="2" t="s">
        <v>43</v>
      </c>
      <c r="E3">
        <v>110</v>
      </c>
      <c r="F3" s="2" t="s">
        <v>70</v>
      </c>
      <c r="G3" s="11">
        <v>0.58823529411764708</v>
      </c>
      <c r="J3" s="2">
        <v>3</v>
      </c>
      <c r="K3" s="11">
        <v>0.14678899082568808</v>
      </c>
    </row>
    <row r="4" spans="1:11" x14ac:dyDescent="0.3">
      <c r="D4" s="2" t="s">
        <v>35</v>
      </c>
      <c r="E4">
        <v>127</v>
      </c>
      <c r="F4" s="2" t="s">
        <v>71</v>
      </c>
      <c r="G4" s="11">
        <v>0.26213592233009708</v>
      </c>
      <c r="J4" s="2">
        <v>2</v>
      </c>
      <c r="K4" s="11">
        <v>9.7378277153558054E-2</v>
      </c>
    </row>
    <row r="5" spans="1:11" x14ac:dyDescent="0.3">
      <c r="A5" t="s">
        <v>63</v>
      </c>
      <c r="B5">
        <f>COUNTIF('HR-Employee-Attrition'!B1:B1471,"Yes")</f>
        <v>237</v>
      </c>
      <c r="D5" s="2" t="s">
        <v>66</v>
      </c>
      <c r="E5">
        <v>237</v>
      </c>
      <c r="F5" s="2" t="s">
        <v>72</v>
      </c>
      <c r="G5" s="11">
        <v>0.14308681672025725</v>
      </c>
      <c r="J5" s="2">
        <v>5</v>
      </c>
      <c r="K5" s="11">
        <v>7.2463768115942032E-2</v>
      </c>
    </row>
    <row r="6" spans="1:11" x14ac:dyDescent="0.3">
      <c r="F6" s="2" t="s">
        <v>73</v>
      </c>
      <c r="G6" s="11">
        <v>9.7421203438395415E-2</v>
      </c>
      <c r="J6" s="2">
        <v>4</v>
      </c>
      <c r="K6" s="11">
        <v>4.716981132075472E-2</v>
      </c>
    </row>
    <row r="7" spans="1:11" x14ac:dyDescent="0.3">
      <c r="F7" s="2" t="s">
        <v>74</v>
      </c>
      <c r="G7" s="11">
        <v>0.13294797687861271</v>
      </c>
      <c r="J7" s="2" t="s">
        <v>66</v>
      </c>
      <c r="K7" s="11">
        <v>0.16122448979591836</v>
      </c>
    </row>
    <row r="8" spans="1:11" x14ac:dyDescent="0.3">
      <c r="F8" s="2" t="s">
        <v>66</v>
      </c>
      <c r="G8" s="11">
        <v>0.16122448979591836</v>
      </c>
    </row>
    <row r="9" spans="1:11" x14ac:dyDescent="0.3">
      <c r="A9" t="s">
        <v>64</v>
      </c>
      <c r="B9">
        <f>(B5/B3)*100</f>
        <v>16.122448979591837</v>
      </c>
    </row>
    <row r="10" spans="1:11" x14ac:dyDescent="0.3">
      <c r="I10" s="1" t="s">
        <v>65</v>
      </c>
      <c r="J10" t="s">
        <v>94</v>
      </c>
    </row>
    <row r="11" spans="1:11" x14ac:dyDescent="0.3">
      <c r="I11" s="2" t="s">
        <v>79</v>
      </c>
      <c r="J11" s="12">
        <v>0.2982456140350877</v>
      </c>
    </row>
    <row r="12" spans="1:11" x14ac:dyDescent="0.3">
      <c r="D12" s="1" t="s">
        <v>65</v>
      </c>
      <c r="E12" t="s">
        <v>94</v>
      </c>
      <c r="I12" s="2" t="s">
        <v>81</v>
      </c>
      <c r="J12" s="12">
        <v>0.13824884792626729</v>
      </c>
    </row>
    <row r="13" spans="1:11" x14ac:dyDescent="0.3">
      <c r="A13" t="s">
        <v>75</v>
      </c>
      <c r="D13" s="2" t="s">
        <v>54</v>
      </c>
      <c r="E13" s="11">
        <v>6.8702290076335881E-2</v>
      </c>
      <c r="I13" s="2" t="s">
        <v>82</v>
      </c>
      <c r="J13" s="12">
        <v>0.12276785714285714</v>
      </c>
    </row>
    <row r="14" spans="1:11" x14ac:dyDescent="0.3">
      <c r="D14" s="2" t="s">
        <v>61</v>
      </c>
      <c r="E14" s="11">
        <v>0.23076923076923078</v>
      </c>
      <c r="I14" s="2" t="s">
        <v>80</v>
      </c>
      <c r="J14" s="12">
        <v>8.1300813008130079E-2</v>
      </c>
    </row>
    <row r="15" spans="1:11" x14ac:dyDescent="0.3">
      <c r="D15" s="2" t="s">
        <v>50</v>
      </c>
      <c r="E15" s="11">
        <v>0.23938223938223938</v>
      </c>
      <c r="I15" s="2" t="s">
        <v>66</v>
      </c>
      <c r="J15" s="12">
        <v>0.16122448979591836</v>
      </c>
    </row>
    <row r="16" spans="1:11" x14ac:dyDescent="0.3">
      <c r="D16" s="2" t="s">
        <v>56</v>
      </c>
      <c r="E16" s="11">
        <v>4.9019607843137254E-2</v>
      </c>
    </row>
    <row r="17" spans="1:25" x14ac:dyDescent="0.3">
      <c r="D17" s="2" t="s">
        <v>53</v>
      </c>
      <c r="E17" s="11">
        <v>6.8965517241379309E-2</v>
      </c>
    </row>
    <row r="18" spans="1:25" x14ac:dyDescent="0.3">
      <c r="A18" t="s">
        <v>76</v>
      </c>
      <c r="D18" s="2" t="s">
        <v>58</v>
      </c>
      <c r="E18" s="11">
        <v>2.5000000000000001E-2</v>
      </c>
      <c r="I18" s="1" t="s">
        <v>65</v>
      </c>
      <c r="J18" t="s">
        <v>94</v>
      </c>
    </row>
    <row r="19" spans="1:25" x14ac:dyDescent="0.3">
      <c r="D19" s="2" t="s">
        <v>47</v>
      </c>
      <c r="E19" s="11">
        <v>0.16095890410958905</v>
      </c>
      <c r="I19" s="2" t="s">
        <v>55</v>
      </c>
      <c r="J19" s="11">
        <v>0.08</v>
      </c>
    </row>
    <row r="20" spans="1:25" x14ac:dyDescent="0.3">
      <c r="A20">
        <f>AVERAGE(HR_Employee_Attrition[MonthlyIncome])</f>
        <v>6502.931292517007</v>
      </c>
      <c r="D20" s="2" t="s">
        <v>40</v>
      </c>
      <c r="E20" s="11">
        <v>0.17484662576687116</v>
      </c>
      <c r="I20" s="2" t="s">
        <v>44</v>
      </c>
      <c r="J20" s="11">
        <v>0.24909747292418771</v>
      </c>
      <c r="T20" s="1" t="s">
        <v>67</v>
      </c>
      <c r="U20" s="1" t="s">
        <v>68</v>
      </c>
    </row>
    <row r="21" spans="1:25" x14ac:dyDescent="0.3">
      <c r="D21" s="2" t="s">
        <v>57</v>
      </c>
      <c r="E21" s="11">
        <v>0.39759036144578314</v>
      </c>
      <c r="I21" s="2" t="s">
        <v>36</v>
      </c>
      <c r="J21" s="11">
        <v>0.14956855225311602</v>
      </c>
      <c r="T21" s="1" t="s">
        <v>65</v>
      </c>
      <c r="U21" t="s">
        <v>43</v>
      </c>
      <c r="V21" t="s">
        <v>35</v>
      </c>
      <c r="W21" t="s">
        <v>66</v>
      </c>
    </row>
    <row r="22" spans="1:25" x14ac:dyDescent="0.3">
      <c r="D22" s="2" t="s">
        <v>66</v>
      </c>
      <c r="E22" s="11">
        <v>0.16122448979591836</v>
      </c>
      <c r="I22" s="2" t="s">
        <v>66</v>
      </c>
      <c r="J22" s="11">
        <v>0.16122448979591836</v>
      </c>
      <c r="T22" s="2" t="s">
        <v>61</v>
      </c>
      <c r="U22">
        <v>39</v>
      </c>
      <c r="V22">
        <v>12</v>
      </c>
      <c r="W22">
        <v>51</v>
      </c>
      <c r="X22">
        <f>GETPIVOTDATA("EmployeeCount",$T$20,"Department","Human Resources","OverTime","Yes")/GETPIVOTDATA("EmployeeCount",$T$20,"Department","Human Resources")*100</f>
        <v>23.52941176470588</v>
      </c>
      <c r="Y22">
        <f>GETPIVOTDATA("EmployeeCount",$T$20,"Department","Human Resources","OverTime","Yes")/GETPIVOTDATA("EmployeeCount",$T$20,"Department","Human Resources")*100</f>
        <v>23.52941176470588</v>
      </c>
    </row>
    <row r="23" spans="1:25" x14ac:dyDescent="0.3">
      <c r="A23" t="s">
        <v>96</v>
      </c>
      <c r="C23" s="1" t="s">
        <v>65</v>
      </c>
      <c r="D23" t="s">
        <v>94</v>
      </c>
      <c r="T23" s="2" t="s">
        <v>45</v>
      </c>
      <c r="U23">
        <v>631</v>
      </c>
      <c r="V23">
        <v>197</v>
      </c>
      <c r="W23">
        <v>828</v>
      </c>
      <c r="X23">
        <f>GETPIVOTDATA("EmployeeCount",$T$20,"Department","Research &amp; Development","OverTime","Yes")/GETPIVOTDATA("EmployeeCount",$T$20,"Department","Research &amp; Development")*100</f>
        <v>23.792270531400966</v>
      </c>
      <c r="Y23">
        <f>GETPIVOTDATA("EmployeeCount",$T$20,"Department","Research &amp; Development","OverTime","Yes")/GETPIVOTDATA("EmployeeCount",$T$20,"Department","Research &amp; Development")*100</f>
        <v>23.792270531400966</v>
      </c>
    </row>
    <row r="24" spans="1:25" x14ac:dyDescent="0.3">
      <c r="A24" t="s">
        <v>91</v>
      </c>
      <c r="B24">
        <f>COUNTIF(HR_Employee_Attrition[Attrition],"YES")</f>
        <v>237</v>
      </c>
      <c r="C24" s="2" t="s">
        <v>61</v>
      </c>
      <c r="D24" s="11">
        <v>0.19047619047619047</v>
      </c>
      <c r="H24" s="1" t="s">
        <v>65</v>
      </c>
      <c r="I24" t="s">
        <v>94</v>
      </c>
      <c r="J24" s="1" t="s">
        <v>1</v>
      </c>
      <c r="K24" t="s">
        <v>43</v>
      </c>
      <c r="T24" s="2" t="s">
        <v>37</v>
      </c>
      <c r="U24">
        <v>274</v>
      </c>
      <c r="V24">
        <v>80</v>
      </c>
      <c r="W24">
        <v>354</v>
      </c>
      <c r="X24">
        <f>GETPIVOTDATA("EmployeeCount",$T$20,"Department","Sales","OverTime","Yes")/GETPIVOTDATA("EmployeeCount",$T$20,"Department","Sales")*100</f>
        <v>22.598870056497177</v>
      </c>
      <c r="Y24">
        <f>GETPIVOTDATA("EmployeeCount",$T$20,"Department","Sales","OverTime","Yes")/GETPIVOTDATA("EmployeeCount",$T$20,"Department","Sales")*100</f>
        <v>22.598870056497177</v>
      </c>
    </row>
    <row r="25" spans="1:25" x14ac:dyDescent="0.3">
      <c r="A25" t="s">
        <v>92</v>
      </c>
      <c r="B25">
        <f>COUNTIF(HR_Employee_Attrition[Attrition],"No")</f>
        <v>1233</v>
      </c>
      <c r="C25" s="2" t="s">
        <v>45</v>
      </c>
      <c r="D25" s="11">
        <v>0.13839750260145681</v>
      </c>
      <c r="H25" s="2">
        <v>1</v>
      </c>
      <c r="I25" s="11">
        <v>0.3125</v>
      </c>
      <c r="T25" s="2" t="s">
        <v>66</v>
      </c>
      <c r="U25">
        <v>944</v>
      </c>
      <c r="V25">
        <v>289</v>
      </c>
      <c r="W25">
        <v>1233</v>
      </c>
    </row>
    <row r="26" spans="1:25" x14ac:dyDescent="0.3">
      <c r="C26" s="2" t="s">
        <v>37</v>
      </c>
      <c r="D26" s="11">
        <v>0.20627802690582961</v>
      </c>
      <c r="H26" s="2">
        <v>2</v>
      </c>
      <c r="I26" s="11">
        <v>0.16860465116279069</v>
      </c>
    </row>
    <row r="27" spans="1:25" x14ac:dyDescent="0.3">
      <c r="C27" s="2" t="s">
        <v>66</v>
      </c>
      <c r="D27" s="11">
        <v>0.16122448979591836</v>
      </c>
      <c r="H27" s="2">
        <v>3</v>
      </c>
      <c r="I27" s="11">
        <v>0.14221724524076149</v>
      </c>
    </row>
    <row r="28" spans="1:25" x14ac:dyDescent="0.3">
      <c r="C28" s="1" t="s">
        <v>65</v>
      </c>
      <c r="D28" t="s">
        <v>94</v>
      </c>
      <c r="H28" s="2">
        <v>4</v>
      </c>
      <c r="I28" s="11">
        <v>0.17647058823529413</v>
      </c>
    </row>
    <row r="29" spans="1:25" x14ac:dyDescent="0.3">
      <c r="C29" s="2" t="s">
        <v>84</v>
      </c>
      <c r="D29" s="12">
        <v>0.21762349799732977</v>
      </c>
      <c r="H29" s="2" t="s">
        <v>66</v>
      </c>
      <c r="I29" s="11">
        <v>0.16122448979591836</v>
      </c>
    </row>
    <row r="30" spans="1:25" x14ac:dyDescent="0.3">
      <c r="C30" s="2" t="s">
        <v>86</v>
      </c>
      <c r="D30" s="12">
        <v>0.11136363636363636</v>
      </c>
    </row>
    <row r="31" spans="1:25" x14ac:dyDescent="0.3">
      <c r="C31" s="2" t="s">
        <v>83</v>
      </c>
      <c r="D31" s="12">
        <v>0.13513513513513514</v>
      </c>
    </row>
    <row r="32" spans="1:25" x14ac:dyDescent="0.3">
      <c r="C32" s="2" t="s">
        <v>85</v>
      </c>
      <c r="D32" s="12">
        <v>3.7593984962406013E-2</v>
      </c>
    </row>
    <row r="33" spans="3:4" x14ac:dyDescent="0.3">
      <c r="C33" s="2" t="s">
        <v>66</v>
      </c>
      <c r="D33" s="12">
        <v>0.16122448979591836</v>
      </c>
    </row>
    <row r="81" spans="1:64" x14ac:dyDescent="0.3">
      <c r="A81" t="s">
        <v>87</v>
      </c>
    </row>
    <row r="82" spans="1:64" x14ac:dyDescent="0.3">
      <c r="A82" t="s">
        <v>88</v>
      </c>
      <c r="B82">
        <v>1470</v>
      </c>
    </row>
    <row r="83" spans="1:64" x14ac:dyDescent="0.3">
      <c r="A83" t="s">
        <v>43</v>
      </c>
      <c r="B83" t="e">
        <f>GETPIVOTDATA("EmployeeCount",$BH$231,"Attrition","No")</f>
        <v>#REF!</v>
      </c>
    </row>
    <row r="84" spans="1:64" x14ac:dyDescent="0.3">
      <c r="A84" t="s">
        <v>35</v>
      </c>
      <c r="B84" t="e">
        <f>GETPIVOTDATA("EmployeeCount",$BH$231,"Attrition","Yes")</f>
        <v>#REF!</v>
      </c>
    </row>
    <row r="94" spans="1:64" x14ac:dyDescent="0.3">
      <c r="BL94" t="s">
        <v>78</v>
      </c>
    </row>
    <row r="260" spans="76:77" x14ac:dyDescent="0.3">
      <c r="BX260" s="3"/>
      <c r="BY260" s="3"/>
    </row>
    <row r="261" spans="76:77" x14ac:dyDescent="0.3">
      <c r="BX261" s="2"/>
    </row>
    <row r="262" spans="76:77" x14ac:dyDescent="0.3">
      <c r="BX262" s="2"/>
    </row>
    <row r="263" spans="76:77" x14ac:dyDescent="0.3">
      <c r="BX263" s="2"/>
    </row>
    <row r="264" spans="76:77" x14ac:dyDescent="0.3">
      <c r="BX264" s="2"/>
    </row>
    <row r="265" spans="76:77" x14ac:dyDescent="0.3">
      <c r="BX265" s="4"/>
      <c r="BY265" s="5"/>
    </row>
    <row r="281" spans="77:77" x14ac:dyDescent="0.3">
      <c r="BY281">
        <f>COUNTIF(Sheet1!B2:B1471,"*Yes*")</f>
        <v>0</v>
      </c>
    </row>
    <row r="282" spans="77:77" x14ac:dyDescent="0.3">
      <c r="BY282">
        <f>B3</f>
        <v>1470</v>
      </c>
    </row>
  </sheetData>
  <pageMargins left="0.7" right="0.7" top="0.75" bottom="0.75" header="0.3" footer="0.3"/>
  <pageSetup orientation="portrait" r:id="rId12"/>
  <drawing r:id="rId1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4398C-C4F6-47B2-8D4D-6121A9626EE0}">
  <sheetPr codeName="Sheet4"/>
  <dimension ref="A1:Z35"/>
  <sheetViews>
    <sheetView showGridLines="0" tabSelected="1" zoomScale="95" zoomScaleNormal="102" workbookViewId="0">
      <selection activeCell="N43" sqref="N43"/>
    </sheetView>
  </sheetViews>
  <sheetFormatPr defaultRowHeight="14.4" x14ac:dyDescent="0.3"/>
  <cols>
    <col min="1" max="16384" width="8.88671875" style="6"/>
  </cols>
  <sheetData>
    <row r="1" spans="1:26" x14ac:dyDescent="0.3">
      <c r="A1" s="8"/>
      <c r="B1" s="8"/>
      <c r="C1" s="8"/>
      <c r="D1" s="8"/>
      <c r="E1" s="8"/>
      <c r="F1" s="8"/>
      <c r="G1" s="8"/>
      <c r="H1" s="8"/>
      <c r="I1" s="8"/>
      <c r="J1" s="8"/>
      <c r="K1" s="8"/>
      <c r="L1" s="8"/>
      <c r="M1" s="8"/>
      <c r="N1" s="8"/>
      <c r="O1" s="8"/>
      <c r="P1" s="8"/>
      <c r="Q1" s="8"/>
      <c r="R1" s="8"/>
      <c r="S1" s="8"/>
      <c r="T1" s="8"/>
      <c r="U1" s="8"/>
      <c r="V1" s="8"/>
      <c r="W1" s="8"/>
      <c r="X1" s="8"/>
      <c r="Y1" s="7"/>
      <c r="Z1" s="7"/>
    </row>
    <row r="2" spans="1:26" x14ac:dyDescent="0.3">
      <c r="A2" s="8"/>
      <c r="B2" s="8"/>
      <c r="C2" s="8"/>
      <c r="D2" s="8"/>
      <c r="E2" s="8"/>
      <c r="F2" s="8"/>
      <c r="G2" s="8"/>
      <c r="H2" s="8"/>
      <c r="I2" s="8"/>
      <c r="J2" s="8"/>
      <c r="K2" s="8"/>
      <c r="L2" s="8"/>
      <c r="M2" s="8"/>
      <c r="N2" s="8"/>
      <c r="O2" s="8"/>
      <c r="P2" s="8"/>
      <c r="Q2" s="8"/>
      <c r="R2" s="8"/>
      <c r="S2" s="8"/>
      <c r="T2" s="8"/>
      <c r="U2" s="8"/>
      <c r="V2" s="8"/>
      <c r="W2" s="8"/>
      <c r="X2" s="8"/>
      <c r="Y2" s="7"/>
      <c r="Z2" s="7"/>
    </row>
    <row r="3" spans="1:26" x14ac:dyDescent="0.3">
      <c r="A3" s="8"/>
      <c r="B3" s="8"/>
      <c r="C3" s="8"/>
      <c r="D3" s="8"/>
      <c r="E3" s="8"/>
      <c r="F3" s="8"/>
      <c r="G3" s="8"/>
      <c r="H3" s="8"/>
      <c r="I3" s="8"/>
      <c r="J3" s="8"/>
      <c r="K3" s="8"/>
      <c r="L3" s="8"/>
      <c r="M3" s="8"/>
      <c r="N3" s="8"/>
      <c r="O3" s="8"/>
      <c r="P3" s="8"/>
      <c r="Q3" s="8"/>
      <c r="R3" s="8"/>
      <c r="S3" s="8"/>
      <c r="T3" s="8"/>
      <c r="U3" s="8"/>
      <c r="V3" s="8"/>
      <c r="W3" s="8"/>
      <c r="X3" s="8"/>
      <c r="Y3" s="7"/>
      <c r="Z3" s="7"/>
    </row>
    <row r="4" spans="1:26" x14ac:dyDescent="0.3">
      <c r="A4" s="8"/>
      <c r="B4" s="8"/>
      <c r="C4" s="8"/>
      <c r="D4" s="8"/>
      <c r="E4" s="8"/>
      <c r="F4" s="8"/>
      <c r="G4" s="8"/>
      <c r="H4" s="8"/>
      <c r="I4" s="8"/>
      <c r="J4" s="8"/>
      <c r="K4" s="8"/>
      <c r="L4" s="8"/>
      <c r="M4" s="8"/>
      <c r="N4" s="8"/>
      <c r="O4" s="8"/>
      <c r="P4" s="8"/>
      <c r="Q4" s="8"/>
      <c r="R4" s="8"/>
      <c r="S4" s="8"/>
      <c r="T4" s="8"/>
      <c r="U4" s="8"/>
      <c r="V4" s="8"/>
      <c r="W4" s="8"/>
      <c r="X4" s="8"/>
      <c r="Y4" s="7"/>
      <c r="Z4" s="7"/>
    </row>
    <row r="5" spans="1:26" x14ac:dyDescent="0.3">
      <c r="A5" s="8"/>
      <c r="B5" s="8"/>
      <c r="C5" s="8"/>
      <c r="D5" s="8"/>
      <c r="E5" s="8"/>
      <c r="F5" s="8"/>
      <c r="G5" s="8"/>
      <c r="H5" s="8"/>
      <c r="I5" s="8"/>
      <c r="J5" s="8"/>
      <c r="K5" s="8"/>
      <c r="L5" s="8"/>
      <c r="M5" s="8"/>
      <c r="N5" s="8"/>
      <c r="O5" s="8"/>
      <c r="P5" s="8"/>
      <c r="Q5" s="8"/>
      <c r="R5" s="8"/>
      <c r="S5" s="8"/>
      <c r="T5" s="8"/>
      <c r="U5" s="8"/>
      <c r="V5" s="8"/>
      <c r="W5" s="8"/>
      <c r="X5" s="8"/>
      <c r="Y5" s="7"/>
      <c r="Z5" s="7"/>
    </row>
    <row r="6" spans="1:26" x14ac:dyDescent="0.3">
      <c r="A6" s="8"/>
      <c r="B6" s="8"/>
      <c r="C6" s="8"/>
      <c r="D6" s="8"/>
      <c r="E6" s="8"/>
      <c r="F6" s="8"/>
      <c r="G6" s="8"/>
      <c r="H6" s="8"/>
      <c r="I6" s="8"/>
      <c r="J6" s="8"/>
      <c r="K6" s="8"/>
      <c r="L6" s="8"/>
      <c r="M6" s="8"/>
      <c r="N6" s="8"/>
      <c r="O6" s="8"/>
      <c r="P6" s="8"/>
      <c r="Q6" s="8"/>
      <c r="R6" s="8"/>
      <c r="S6" s="8"/>
      <c r="T6" s="8"/>
      <c r="U6" s="8"/>
      <c r="V6" s="8"/>
      <c r="W6" s="8"/>
      <c r="X6" s="8"/>
      <c r="Y6" s="7"/>
      <c r="Z6" s="7"/>
    </row>
    <row r="7" spans="1:26" x14ac:dyDescent="0.3">
      <c r="A7" s="8"/>
      <c r="B7" s="8"/>
      <c r="C7" s="8"/>
      <c r="D7" s="8"/>
      <c r="E7" s="8"/>
      <c r="F7" s="8"/>
      <c r="G7" s="8"/>
      <c r="H7" s="8"/>
      <c r="I7" s="8"/>
      <c r="J7" s="8"/>
      <c r="K7" s="8"/>
      <c r="L7" s="8"/>
      <c r="M7" s="8"/>
      <c r="N7" s="8"/>
      <c r="O7" s="8"/>
      <c r="P7" s="8"/>
      <c r="Q7" s="8"/>
      <c r="R7" s="8"/>
      <c r="S7" s="8"/>
      <c r="T7" s="8"/>
      <c r="U7" s="8"/>
      <c r="V7" s="8"/>
      <c r="W7" s="8"/>
      <c r="X7" s="8"/>
      <c r="Y7" s="7"/>
      <c r="Z7" s="7"/>
    </row>
    <row r="8" spans="1:26" x14ac:dyDescent="0.3">
      <c r="A8" s="8"/>
      <c r="B8" s="8"/>
      <c r="C8" s="8"/>
      <c r="D8" s="8"/>
      <c r="E8" s="8"/>
      <c r="F8" s="8"/>
      <c r="G8" s="8"/>
      <c r="H8" s="8"/>
      <c r="I8" s="8"/>
      <c r="J8" s="8"/>
      <c r="K8" s="8"/>
      <c r="L8" s="8"/>
      <c r="M8" s="8"/>
      <c r="N8" s="8"/>
      <c r="O8" s="8"/>
      <c r="P8" s="8"/>
      <c r="Q8" s="8"/>
      <c r="R8" s="8"/>
      <c r="S8" s="8"/>
      <c r="T8" s="8"/>
      <c r="U8" s="8"/>
      <c r="V8" s="8"/>
      <c r="W8" s="8"/>
      <c r="X8" s="8"/>
      <c r="Y8" s="7"/>
      <c r="Z8" s="7"/>
    </row>
    <row r="9" spans="1:26" x14ac:dyDescent="0.3">
      <c r="A9" s="8"/>
      <c r="B9" s="8"/>
      <c r="C9" s="8"/>
      <c r="D9" s="8"/>
      <c r="E9" s="8"/>
      <c r="F9" s="8"/>
      <c r="G9" s="8"/>
      <c r="H9" s="8"/>
      <c r="I9" s="8"/>
      <c r="J9" s="8"/>
      <c r="K9" s="8"/>
      <c r="L9" s="8"/>
      <c r="M9" s="8"/>
      <c r="N9" s="8"/>
      <c r="O9" s="8"/>
      <c r="P9" s="8"/>
      <c r="Q9" s="8"/>
      <c r="R9" s="8"/>
      <c r="S9" s="8"/>
      <c r="T9" s="8"/>
      <c r="U9" s="8"/>
      <c r="V9" s="8"/>
      <c r="W9" s="8"/>
      <c r="X9" s="8"/>
      <c r="Y9" s="7"/>
      <c r="Z9" s="7"/>
    </row>
    <row r="10" spans="1:26" x14ac:dyDescent="0.3">
      <c r="A10" s="8"/>
      <c r="B10" s="8"/>
      <c r="C10" s="8" t="s">
        <v>89</v>
      </c>
      <c r="D10" s="8"/>
      <c r="E10" s="8"/>
      <c r="F10" s="8"/>
      <c r="G10" s="8"/>
      <c r="H10" s="8"/>
      <c r="I10" s="8"/>
      <c r="J10" s="8"/>
      <c r="K10" s="8"/>
      <c r="L10" s="8"/>
      <c r="M10" s="8"/>
      <c r="N10" s="8"/>
      <c r="O10" s="8"/>
      <c r="P10" s="8"/>
      <c r="Q10" s="8"/>
      <c r="R10" s="8"/>
      <c r="S10" s="8"/>
      <c r="T10" s="8"/>
      <c r="U10" s="8"/>
      <c r="V10" s="8"/>
      <c r="W10" s="8"/>
      <c r="X10" s="8"/>
      <c r="Y10" s="7"/>
      <c r="Z10" s="7"/>
    </row>
    <row r="11" spans="1:26" x14ac:dyDescent="0.3">
      <c r="A11" s="8"/>
      <c r="B11" s="8"/>
      <c r="C11" s="8"/>
      <c r="D11" s="8"/>
      <c r="E11" s="8"/>
      <c r="F11" s="8"/>
      <c r="G11" s="8"/>
      <c r="H11" s="8"/>
      <c r="I11" s="8"/>
      <c r="J11" s="8"/>
      <c r="K11" s="8"/>
      <c r="L11" s="8"/>
      <c r="M11" s="8"/>
      <c r="N11" s="8"/>
      <c r="O11" s="8"/>
      <c r="P11" s="8"/>
      <c r="Q11" s="8"/>
      <c r="R11" s="8"/>
      <c r="S11" s="8"/>
      <c r="T11" s="8"/>
      <c r="U11" s="8"/>
      <c r="V11" s="8"/>
      <c r="W11" s="8"/>
      <c r="X11" s="8"/>
      <c r="Y11" s="7"/>
      <c r="Z11" s="7"/>
    </row>
    <row r="12" spans="1:26" x14ac:dyDescent="0.3">
      <c r="A12" s="8"/>
      <c r="B12" s="8"/>
      <c r="C12" s="8" t="s">
        <v>90</v>
      </c>
      <c r="D12" s="8"/>
      <c r="E12" s="8"/>
      <c r="F12" s="8"/>
      <c r="G12" s="8"/>
      <c r="H12" s="8"/>
      <c r="I12" s="8"/>
      <c r="J12" s="8"/>
      <c r="K12" s="8"/>
      <c r="L12" s="8"/>
      <c r="M12" s="8"/>
      <c r="N12" s="8"/>
      <c r="O12" s="8"/>
      <c r="P12" s="8"/>
      <c r="Q12" s="8"/>
      <c r="R12" s="8"/>
      <c r="S12" s="8"/>
      <c r="T12" s="8"/>
      <c r="U12" s="8"/>
      <c r="V12" s="8"/>
      <c r="W12" s="8"/>
      <c r="X12" s="8"/>
      <c r="Y12" s="7"/>
      <c r="Z12" s="7"/>
    </row>
    <row r="13" spans="1:26" x14ac:dyDescent="0.3">
      <c r="A13" s="8"/>
      <c r="B13" s="8"/>
      <c r="C13" s="8"/>
      <c r="D13" s="8"/>
      <c r="E13" s="8"/>
      <c r="F13" s="8"/>
      <c r="G13" s="8"/>
      <c r="H13" s="8"/>
      <c r="I13" s="8"/>
      <c r="J13" s="8"/>
      <c r="K13" s="8"/>
      <c r="L13" s="8"/>
      <c r="M13" s="8"/>
      <c r="N13" s="8"/>
      <c r="O13" s="8"/>
      <c r="P13" s="8"/>
      <c r="Q13" s="8"/>
      <c r="R13" s="8"/>
      <c r="S13" s="8"/>
      <c r="T13" s="8"/>
      <c r="U13" s="8"/>
      <c r="V13" s="8"/>
      <c r="W13" s="8"/>
      <c r="X13" s="8"/>
      <c r="Y13" s="7"/>
      <c r="Z13" s="7"/>
    </row>
    <row r="14" spans="1:26" x14ac:dyDescent="0.3">
      <c r="A14" s="8"/>
      <c r="B14" s="8"/>
      <c r="C14" s="8"/>
      <c r="D14" s="8"/>
      <c r="E14" s="8"/>
      <c r="F14" s="8"/>
      <c r="G14" s="8"/>
      <c r="H14" s="8"/>
      <c r="I14" s="8"/>
      <c r="J14" s="8"/>
      <c r="K14" s="8"/>
      <c r="L14" s="8"/>
      <c r="M14" s="8"/>
      <c r="N14" s="8"/>
      <c r="O14" s="8"/>
      <c r="P14" s="8"/>
      <c r="Q14" s="8"/>
      <c r="R14" s="8"/>
      <c r="S14" s="8"/>
      <c r="T14" s="8"/>
      <c r="U14" s="8"/>
      <c r="V14" s="8"/>
      <c r="W14" s="8"/>
      <c r="X14" s="8"/>
      <c r="Y14" s="7"/>
      <c r="Z14" s="7"/>
    </row>
    <row r="15" spans="1:26" x14ac:dyDescent="0.3">
      <c r="A15" s="8"/>
      <c r="B15" s="8"/>
      <c r="C15" s="8"/>
      <c r="D15" s="8"/>
      <c r="E15" s="8"/>
      <c r="F15" s="8"/>
      <c r="G15" s="8"/>
      <c r="H15" s="8"/>
      <c r="I15" s="8"/>
      <c r="J15" s="8"/>
      <c r="K15" s="8"/>
      <c r="L15" s="8"/>
      <c r="M15" s="8"/>
      <c r="N15" s="8"/>
      <c r="O15" s="8"/>
      <c r="P15" s="8"/>
      <c r="Q15" s="8"/>
      <c r="R15" s="8"/>
      <c r="S15" s="8"/>
      <c r="T15" s="8"/>
      <c r="U15" s="8"/>
      <c r="V15" s="8"/>
      <c r="W15" s="8"/>
      <c r="X15" s="8"/>
      <c r="Y15" s="7"/>
      <c r="Z15" s="7"/>
    </row>
    <row r="16" spans="1:26" x14ac:dyDescent="0.3">
      <c r="A16" s="8"/>
      <c r="B16" s="8"/>
      <c r="C16" s="8"/>
      <c r="D16" s="8"/>
      <c r="E16" s="8"/>
      <c r="F16" s="8"/>
      <c r="G16" s="8"/>
      <c r="H16" s="8"/>
      <c r="I16" s="8"/>
      <c r="J16" s="8"/>
      <c r="K16" s="8"/>
      <c r="L16" s="8"/>
      <c r="M16" s="8"/>
      <c r="N16" s="8"/>
      <c r="O16" s="8"/>
      <c r="P16" s="8"/>
      <c r="Q16" s="8"/>
      <c r="R16" s="8"/>
      <c r="S16" s="8"/>
      <c r="T16" s="8"/>
      <c r="U16" s="8"/>
      <c r="V16" s="8"/>
      <c r="W16" s="8"/>
      <c r="X16" s="8"/>
      <c r="Y16" s="7"/>
      <c r="Z16" s="7"/>
    </row>
    <row r="17" spans="1:26" x14ac:dyDescent="0.3">
      <c r="A17" s="8"/>
      <c r="B17" s="8"/>
      <c r="C17" s="8"/>
      <c r="D17" s="8"/>
      <c r="E17" s="8"/>
      <c r="F17" s="8"/>
      <c r="G17" s="8"/>
      <c r="H17" s="8"/>
      <c r="I17" s="8"/>
      <c r="J17" s="8"/>
      <c r="K17" s="8"/>
      <c r="L17" s="8"/>
      <c r="M17" s="8"/>
      <c r="N17" s="8"/>
      <c r="O17" s="8"/>
      <c r="P17" s="8"/>
      <c r="Q17" s="8"/>
      <c r="R17" s="8"/>
      <c r="S17" s="8"/>
      <c r="T17" s="8"/>
      <c r="U17" s="8"/>
      <c r="V17" s="8"/>
      <c r="W17" s="8"/>
      <c r="X17" s="8"/>
      <c r="Y17" s="7"/>
      <c r="Z17" s="7"/>
    </row>
    <row r="18" spans="1:26" x14ac:dyDescent="0.3">
      <c r="A18" s="8"/>
      <c r="B18" s="8"/>
      <c r="C18" s="8"/>
      <c r="D18" s="8"/>
      <c r="E18" s="8"/>
      <c r="F18" s="8"/>
      <c r="G18" s="8"/>
      <c r="H18" s="8"/>
      <c r="I18" s="8"/>
      <c r="J18" s="8"/>
      <c r="K18" s="8"/>
      <c r="L18" s="8"/>
      <c r="M18" s="8"/>
      <c r="N18" s="8"/>
      <c r="O18" s="8"/>
      <c r="P18" s="8"/>
      <c r="Q18" s="8"/>
      <c r="R18" s="8"/>
      <c r="S18" s="8"/>
      <c r="T18" s="8"/>
      <c r="U18" s="8"/>
      <c r="V18" s="8"/>
      <c r="W18" s="8"/>
      <c r="X18" s="8"/>
      <c r="Y18" s="7"/>
      <c r="Z18" s="7"/>
    </row>
    <row r="19" spans="1:26" x14ac:dyDescent="0.3">
      <c r="A19" s="8"/>
      <c r="B19" s="8"/>
      <c r="C19" s="8"/>
      <c r="D19" s="8"/>
      <c r="E19" s="8"/>
      <c r="F19" s="8"/>
      <c r="G19" s="8"/>
      <c r="H19" s="8"/>
      <c r="I19" s="8"/>
      <c r="J19" s="8"/>
      <c r="K19" s="8"/>
      <c r="L19" s="8"/>
      <c r="M19" s="8"/>
      <c r="N19" s="8"/>
      <c r="O19" s="8"/>
      <c r="P19" s="8"/>
      <c r="Q19" s="8"/>
      <c r="R19" s="8"/>
      <c r="S19" s="8"/>
      <c r="T19" s="8"/>
      <c r="U19" s="8"/>
      <c r="V19" s="8"/>
      <c r="W19" s="8"/>
      <c r="X19" s="8"/>
      <c r="Y19" s="7"/>
      <c r="Z19" s="7"/>
    </row>
    <row r="20" spans="1:26" x14ac:dyDescent="0.3">
      <c r="A20" s="8"/>
      <c r="B20" s="8"/>
      <c r="C20" s="8"/>
      <c r="D20" s="8"/>
      <c r="E20" s="8"/>
      <c r="F20" s="8"/>
      <c r="G20" s="8"/>
      <c r="H20" s="8"/>
      <c r="I20" s="8"/>
      <c r="J20" s="8"/>
      <c r="K20" s="8"/>
      <c r="L20" s="8"/>
      <c r="M20" s="8"/>
      <c r="N20" s="8"/>
      <c r="O20" s="8"/>
      <c r="P20" s="8"/>
      <c r="Q20" s="8"/>
      <c r="R20" s="8"/>
      <c r="S20" s="8"/>
      <c r="T20" s="8"/>
      <c r="U20" s="8"/>
      <c r="V20" s="8"/>
      <c r="W20" s="8"/>
      <c r="X20" s="8"/>
      <c r="Y20" s="7"/>
      <c r="Z20" s="7"/>
    </row>
    <row r="21" spans="1:26" x14ac:dyDescent="0.3">
      <c r="A21" s="8"/>
      <c r="B21" s="8"/>
      <c r="C21" s="8"/>
      <c r="D21" s="8"/>
      <c r="E21" s="8"/>
      <c r="F21" s="8"/>
      <c r="G21" s="8"/>
      <c r="H21" s="8"/>
      <c r="I21" s="8"/>
      <c r="J21" s="8"/>
      <c r="K21" s="8"/>
      <c r="L21" s="8"/>
      <c r="M21" s="8"/>
      <c r="N21" s="8"/>
      <c r="O21" s="8"/>
      <c r="P21" s="8"/>
      <c r="Q21" s="8"/>
      <c r="R21" s="8"/>
      <c r="S21" s="8"/>
      <c r="T21" s="8"/>
      <c r="U21" s="8"/>
      <c r="V21" s="8"/>
      <c r="W21" s="8"/>
      <c r="X21" s="8"/>
      <c r="Y21" s="7"/>
      <c r="Z21" s="7"/>
    </row>
    <row r="22" spans="1:26" x14ac:dyDescent="0.3">
      <c r="A22" s="8"/>
      <c r="B22" s="8"/>
      <c r="C22" s="8"/>
      <c r="D22" s="8"/>
      <c r="E22" s="8"/>
      <c r="F22" s="8"/>
      <c r="G22" s="8"/>
      <c r="H22" s="8"/>
      <c r="I22" s="8"/>
      <c r="J22" s="8"/>
      <c r="K22" s="8"/>
      <c r="L22" s="8"/>
      <c r="M22" s="8"/>
      <c r="N22" s="8"/>
      <c r="O22" s="8"/>
      <c r="P22" s="8"/>
      <c r="Q22" s="8"/>
      <c r="R22" s="8"/>
      <c r="S22" s="8"/>
      <c r="T22" s="8"/>
      <c r="U22" s="8"/>
      <c r="V22" s="8"/>
      <c r="W22" s="8"/>
      <c r="X22" s="8"/>
      <c r="Y22" s="7"/>
      <c r="Z22" s="7"/>
    </row>
    <row r="23" spans="1:26" x14ac:dyDescent="0.3">
      <c r="A23" s="8"/>
      <c r="B23" s="8"/>
      <c r="C23" s="8"/>
      <c r="D23" s="8"/>
      <c r="E23" s="8"/>
      <c r="F23" s="8"/>
      <c r="G23" s="8"/>
      <c r="H23" s="8"/>
      <c r="I23" s="8"/>
      <c r="J23" s="8"/>
      <c r="K23" s="8"/>
      <c r="L23" s="8"/>
      <c r="M23" s="8"/>
      <c r="N23" s="8"/>
      <c r="O23" s="8"/>
      <c r="P23" s="8"/>
      <c r="Q23" s="8"/>
      <c r="R23" s="8"/>
      <c r="S23" s="8"/>
      <c r="T23" s="8"/>
      <c r="U23" s="8"/>
      <c r="V23" s="8"/>
      <c r="W23" s="8"/>
      <c r="X23" s="8"/>
      <c r="Y23" s="7"/>
      <c r="Z23" s="7"/>
    </row>
    <row r="24" spans="1:26" x14ac:dyDescent="0.3">
      <c r="A24" s="8"/>
      <c r="B24" s="8"/>
      <c r="C24" s="8"/>
      <c r="D24" s="8"/>
      <c r="E24" s="8"/>
      <c r="F24" s="8"/>
      <c r="G24" s="8"/>
      <c r="H24" s="8"/>
      <c r="I24" s="8"/>
      <c r="J24" s="8"/>
      <c r="K24" s="8"/>
      <c r="L24" s="8"/>
      <c r="M24" s="8"/>
      <c r="N24" s="8"/>
      <c r="O24" s="8"/>
      <c r="P24" s="8"/>
      <c r="Q24" s="8"/>
      <c r="R24" s="8"/>
      <c r="S24" s="8"/>
      <c r="T24" s="8"/>
      <c r="U24" s="8"/>
      <c r="V24" s="8"/>
      <c r="W24" s="8"/>
      <c r="X24" s="8"/>
      <c r="Y24" s="7"/>
      <c r="Z24" s="7"/>
    </row>
    <row r="25" spans="1:26" x14ac:dyDescent="0.3">
      <c r="A25" s="8"/>
      <c r="B25" s="8"/>
      <c r="C25" s="8"/>
      <c r="D25" s="8"/>
      <c r="E25" s="8"/>
      <c r="F25" s="8"/>
      <c r="G25" s="8"/>
      <c r="H25" s="8"/>
      <c r="I25" s="8"/>
      <c r="J25" s="8"/>
      <c r="K25" s="8"/>
      <c r="L25" s="8"/>
      <c r="M25" s="8"/>
      <c r="N25" s="8"/>
      <c r="O25" s="8"/>
      <c r="P25" s="8"/>
      <c r="Q25" s="8"/>
      <c r="R25" s="8"/>
      <c r="S25" s="8"/>
      <c r="T25" s="8"/>
      <c r="U25" s="8"/>
      <c r="V25" s="8"/>
      <c r="W25" s="8"/>
      <c r="X25" s="8"/>
      <c r="Y25" s="7"/>
      <c r="Z25" s="7"/>
    </row>
    <row r="26" spans="1:26" x14ac:dyDescent="0.3">
      <c r="A26" s="8"/>
      <c r="B26" s="8"/>
      <c r="C26" s="8"/>
      <c r="D26" s="8"/>
      <c r="E26" s="8"/>
      <c r="F26" s="8"/>
      <c r="G26" s="8"/>
      <c r="H26" s="8"/>
      <c r="I26" s="8"/>
      <c r="J26" s="8"/>
      <c r="K26" s="8"/>
      <c r="L26" s="8"/>
      <c r="M26" s="8"/>
      <c r="N26" s="8"/>
      <c r="O26" s="8"/>
      <c r="P26" s="8"/>
      <c r="Q26" s="8"/>
      <c r="R26" s="8"/>
      <c r="S26" s="8"/>
      <c r="T26" s="8"/>
      <c r="U26" s="8"/>
      <c r="V26" s="8"/>
      <c r="W26" s="8"/>
      <c r="X26" s="8"/>
      <c r="Y26" s="7"/>
      <c r="Z26" s="7"/>
    </row>
    <row r="27" spans="1:26" x14ac:dyDescent="0.3">
      <c r="A27" s="8"/>
      <c r="B27" s="8"/>
      <c r="C27" s="8"/>
      <c r="D27" s="8"/>
      <c r="E27" s="8"/>
      <c r="F27" s="8"/>
      <c r="G27" s="8"/>
      <c r="H27" s="8"/>
      <c r="I27" s="8"/>
      <c r="J27" s="8"/>
      <c r="K27" s="8"/>
      <c r="L27" s="8"/>
      <c r="M27" s="8"/>
      <c r="N27" s="8"/>
      <c r="O27" s="8"/>
      <c r="P27" s="8"/>
      <c r="Q27" s="8"/>
      <c r="R27" s="8"/>
      <c r="S27" s="8"/>
      <c r="T27" s="8"/>
      <c r="U27" s="8"/>
      <c r="V27" s="8"/>
      <c r="W27" s="8"/>
      <c r="X27" s="8"/>
      <c r="Y27" s="7"/>
      <c r="Z27" s="7"/>
    </row>
    <row r="28" spans="1:26" x14ac:dyDescent="0.3">
      <c r="A28" s="8"/>
      <c r="B28" s="8"/>
      <c r="C28" s="8"/>
      <c r="D28" s="8"/>
      <c r="E28" s="8"/>
      <c r="F28" s="8"/>
      <c r="G28" s="8"/>
      <c r="H28" s="8"/>
      <c r="I28" s="8"/>
      <c r="J28" s="8"/>
      <c r="K28" s="8"/>
      <c r="L28" s="8"/>
      <c r="M28" s="8"/>
      <c r="N28" s="8"/>
      <c r="O28" s="8"/>
      <c r="P28" s="8"/>
      <c r="Q28" s="8"/>
      <c r="R28" s="8"/>
      <c r="S28" s="8"/>
      <c r="T28" s="8"/>
      <c r="U28" s="8"/>
      <c r="V28" s="8"/>
      <c r="W28" s="8"/>
      <c r="X28" s="8"/>
      <c r="Y28" s="7"/>
      <c r="Z28" s="7"/>
    </row>
    <row r="29" spans="1:26" x14ac:dyDescent="0.3">
      <c r="A29" s="8"/>
      <c r="B29" s="8"/>
      <c r="C29" s="8"/>
      <c r="D29" s="8"/>
      <c r="E29" s="8"/>
      <c r="F29" s="8"/>
      <c r="G29" s="8"/>
      <c r="H29" s="8"/>
      <c r="I29" s="8"/>
      <c r="J29" s="8"/>
      <c r="K29" s="8"/>
      <c r="L29" s="8"/>
      <c r="M29" s="8"/>
      <c r="N29" s="8"/>
      <c r="O29" s="8"/>
      <c r="P29" s="8"/>
      <c r="Q29" s="8"/>
      <c r="R29" s="8"/>
      <c r="S29" s="8"/>
      <c r="T29" s="8"/>
      <c r="U29" s="8"/>
      <c r="V29" s="8"/>
      <c r="W29" s="8"/>
      <c r="X29" s="8"/>
      <c r="Y29" s="7"/>
      <c r="Z29" s="7"/>
    </row>
    <row r="30" spans="1:26" x14ac:dyDescent="0.3">
      <c r="A30" s="10"/>
      <c r="B30" s="8"/>
      <c r="C30" s="8"/>
      <c r="D30" s="8"/>
      <c r="E30" s="8"/>
      <c r="F30" s="8"/>
      <c r="G30" s="8"/>
      <c r="H30" s="8"/>
      <c r="I30" s="8"/>
      <c r="J30" s="8"/>
      <c r="K30" s="8"/>
      <c r="L30" s="8"/>
      <c r="M30" s="8"/>
      <c r="N30" s="8"/>
      <c r="O30" s="8"/>
      <c r="P30" s="10"/>
      <c r="Q30" s="8"/>
      <c r="R30" s="8"/>
      <c r="S30" s="8"/>
      <c r="T30" s="8"/>
      <c r="U30" s="8"/>
      <c r="V30" s="8"/>
      <c r="W30" s="8"/>
      <c r="X30" s="8"/>
      <c r="Y30" s="7"/>
      <c r="Z30" s="7"/>
    </row>
    <row r="31" spans="1:26" x14ac:dyDescent="0.3">
      <c r="A31" s="8"/>
      <c r="B31" s="8"/>
      <c r="C31" s="8"/>
      <c r="D31" s="8"/>
      <c r="E31" s="8"/>
      <c r="F31" s="8"/>
      <c r="G31" s="8"/>
      <c r="H31" s="8"/>
      <c r="I31" s="8"/>
      <c r="J31" s="8"/>
      <c r="K31" s="8"/>
      <c r="L31" s="8"/>
      <c r="M31" s="8"/>
      <c r="N31" s="8"/>
      <c r="O31" s="8"/>
      <c r="P31" s="8"/>
      <c r="Q31" s="8"/>
      <c r="R31" s="8"/>
      <c r="S31" s="8"/>
      <c r="T31" s="8"/>
      <c r="U31" s="8"/>
      <c r="V31" s="8"/>
      <c r="W31" s="8"/>
      <c r="X31" s="8"/>
      <c r="Y31" s="7"/>
      <c r="Z31" s="7"/>
    </row>
    <row r="32" spans="1:26" x14ac:dyDescent="0.3">
      <c r="A32" s="8"/>
      <c r="B32" s="8"/>
      <c r="C32" s="8"/>
      <c r="D32" s="8"/>
      <c r="E32" s="8"/>
      <c r="F32" s="8"/>
      <c r="G32" s="8"/>
      <c r="H32" s="8"/>
      <c r="I32" s="8"/>
      <c r="J32" s="8"/>
      <c r="K32" s="8"/>
      <c r="L32" s="8"/>
      <c r="M32" s="8"/>
      <c r="N32" s="8"/>
      <c r="O32" s="8"/>
      <c r="P32" s="8"/>
      <c r="Q32" s="8"/>
      <c r="R32" s="8"/>
      <c r="S32" s="8"/>
      <c r="T32" s="8"/>
      <c r="U32" s="8"/>
      <c r="V32" s="8"/>
      <c r="W32" s="8"/>
      <c r="X32" s="8"/>
      <c r="Y32" s="7"/>
      <c r="Z32" s="7"/>
    </row>
    <row r="33" spans="1:26" x14ac:dyDescent="0.3">
      <c r="A33"/>
      <c r="B33" s="8"/>
      <c r="C33" s="8"/>
      <c r="D33" s="8"/>
      <c r="E33" s="8"/>
      <c r="F33" s="8"/>
      <c r="G33" s="8"/>
      <c r="H33" s="8"/>
      <c r="I33" s="8"/>
      <c r="J33" s="8"/>
      <c r="K33" s="8"/>
      <c r="L33" s="8"/>
      <c r="M33" s="8"/>
      <c r="N33" s="8"/>
      <c r="O33" s="8"/>
      <c r="P33" s="8"/>
      <c r="Q33" s="8"/>
      <c r="R33" s="8"/>
      <c r="S33" s="8"/>
      <c r="T33" s="8"/>
      <c r="U33" s="8"/>
      <c r="V33" s="8"/>
      <c r="W33" s="8"/>
      <c r="X33" s="8"/>
      <c r="Y33" s="7"/>
      <c r="Z33" s="7"/>
    </row>
    <row r="34" spans="1:26" x14ac:dyDescent="0.3">
      <c r="A34" s="9"/>
      <c r="B34" s="9"/>
      <c r="C34" s="9"/>
      <c r="D34" s="9"/>
      <c r="E34" s="9"/>
      <c r="F34" s="9"/>
      <c r="G34" s="9"/>
      <c r="H34" s="9"/>
      <c r="I34" s="9"/>
      <c r="J34" s="9"/>
      <c r="K34" s="9"/>
      <c r="L34" s="9"/>
      <c r="M34" s="9"/>
      <c r="N34" s="9"/>
      <c r="O34" s="9"/>
      <c r="P34" s="9"/>
      <c r="Q34" s="9"/>
      <c r="R34" s="9"/>
      <c r="S34" s="9"/>
      <c r="T34" s="9"/>
      <c r="U34" s="9"/>
      <c r="V34" s="9"/>
      <c r="W34" s="9"/>
      <c r="X34" s="9"/>
    </row>
    <row r="35" spans="1:26" x14ac:dyDescent="0.3">
      <c r="A35" s="9"/>
      <c r="B35" s="9"/>
      <c r="C35" s="9"/>
      <c r="D35" s="9"/>
      <c r="E35" s="9"/>
      <c r="F35" s="9"/>
      <c r="G35" s="9"/>
      <c r="H35" s="9"/>
      <c r="I35" s="9"/>
      <c r="J35" s="9"/>
      <c r="K35" s="9"/>
      <c r="L35" s="9"/>
      <c r="M35" s="9"/>
      <c r="N35" s="9"/>
      <c r="O35" s="9"/>
      <c r="P35" s="9"/>
      <c r="Q35" s="9"/>
      <c r="R35" s="9"/>
      <c r="S35" s="9"/>
      <c r="T35" s="9"/>
      <c r="U35" s="9"/>
      <c r="V35" s="9"/>
      <c r="W35" s="9"/>
      <c r="X35" s="9"/>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1B3D969-9E5F-41E5-967D-122FE2FED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HR-Employee-Attrition</vt:lpstr>
      <vt:lpstr>Sheet1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Vidya T P</dc:creator>
  <cp:lastModifiedBy>Vidya T P</cp:lastModifiedBy>
  <dcterms:created xsi:type="dcterms:W3CDTF">2026-07-01T04:32:42Z</dcterms:created>
  <dcterms:modified xsi:type="dcterms:W3CDTF">2026-09-29T06:17:15Z</dcterms:modified>
</cp:coreProperties>
</file>