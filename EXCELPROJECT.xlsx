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charts/chart35.xml" ContentType="application/vnd.openxmlformats-officedocument.drawingml.chart+xml"/>
  <Override PartName="/xl/charts/style36.xml" ContentType="application/vnd.ms-office.chartstyle+xml"/>
  <Override PartName="/xl/charts/colors36.xml" ContentType="application/vnd.ms-office.chartcolorstyle+xml"/>
  <Override PartName="/xl/charts/chart36.xml" ContentType="application/vnd.openxmlformats-officedocument.drawingml.chart+xml"/>
  <Override PartName="/xl/charts/style37.xml" ContentType="application/vnd.ms-office.chartstyle+xml"/>
  <Override PartName="/xl/charts/colors37.xml" ContentType="application/vnd.ms-office.chartcolorstyle+xml"/>
  <Override PartName="/xl/charts/chart37.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2.xml" ContentType="application/vnd.openxmlformats-officedocument.drawing+xml"/>
  <Override PartName="/xl/slicers/slicer1.xml" ContentType="application/vnd.ms-excel.slicer+xml"/>
  <Override PartName="/xl/charts/chart38.xml" ContentType="application/vnd.openxmlformats-officedocument.drawingml.chart+xml"/>
  <Override PartName="/xl/charts/style39.xml" ContentType="application/vnd.ms-office.chartstyle+xml"/>
  <Override PartName="/xl/charts/colors39.xml" ContentType="application/vnd.ms-office.chartcolorstyle+xml"/>
  <Override PartName="/xl/charts/chart39.xml" ContentType="application/vnd.openxmlformats-officedocument.drawingml.chart+xml"/>
  <Override PartName="/xl/charts/style40.xml" ContentType="application/vnd.ms-office.chartstyle+xml"/>
  <Override PartName="/xl/charts/colors40.xml" ContentType="application/vnd.ms-office.chartcolorstyle+xml"/>
  <Override PartName="/xl/charts/chart40.xml" ContentType="application/vnd.openxmlformats-officedocument.drawingml.chart+xml"/>
  <Override PartName="/xl/charts/style41.xml" ContentType="application/vnd.ms-office.chartstyle+xml"/>
  <Override PartName="/xl/charts/colors41.xml" ContentType="application/vnd.ms-office.chartcolorstyle+xml"/>
  <Override PartName="/xl/charts/chart41.xml" ContentType="application/vnd.openxmlformats-officedocument.drawingml.chart+xml"/>
  <Override PartName="/xl/charts/style42.xml" ContentType="application/vnd.ms-office.chartstyle+xml"/>
  <Override PartName="/xl/charts/colors42.xml" ContentType="application/vnd.ms-office.chartcolorstyle+xml"/>
  <Override PartName="/xl/charts/chart42.xml" ContentType="application/vnd.openxmlformats-officedocument.drawingml.chart+xml"/>
  <Override PartName="/xl/charts/style43.xml" ContentType="application/vnd.ms-office.chartstyle+xml"/>
  <Override PartName="/xl/charts/colors43.xml" ContentType="application/vnd.ms-office.chartcolorstyle+xml"/>
  <Override PartName="/xl/charts/chart43.xml" ContentType="application/vnd.openxmlformats-officedocument.drawingml.chart+xml"/>
  <Override PartName="/xl/charts/style44.xml" ContentType="application/vnd.ms-office.chartstyle+xml"/>
  <Override PartName="/xl/charts/colors44.xml" ContentType="application/vnd.ms-office.chartcolorstyle+xml"/>
  <Override PartName="/xl/charts/chart44.xml" ContentType="application/vnd.openxmlformats-officedocument.drawingml.chart+xml"/>
  <Override PartName="/xl/charts/style45.xml" ContentType="application/vnd.ms-office.chartstyle+xml"/>
  <Override PartName="/xl/charts/colors45.xml" ContentType="application/vnd.ms-office.chartcolorstyle+xml"/>
  <Override PartName="/xl/charts/chart45.xml" ContentType="application/vnd.openxmlformats-officedocument.drawingml.chart+xml"/>
  <Override PartName="/xl/charts/style46.xml" ContentType="application/vnd.ms-office.chartstyle+xml"/>
  <Override PartName="/xl/charts/colors46.xml" ContentType="application/vnd.ms-office.chartcolorstyle+xml"/>
  <Override PartName="/xl/charts/chart46.xml" ContentType="application/vnd.openxmlformats-officedocument.drawingml.chart+xml"/>
  <Override PartName="/xl/charts/style47.xml" ContentType="application/vnd.ms-office.chartstyle+xml"/>
  <Override PartName="/xl/charts/colors47.xml" ContentType="application/vnd.ms-office.chartcolorstyle+xml"/>
  <Override PartName="/xl/charts/chart47.xml" ContentType="application/vnd.openxmlformats-officedocument.drawingml.chart+xml"/>
  <Override PartName="/xl/charts/style48.xml" ContentType="application/vnd.ms-office.chartstyle+xml"/>
  <Override PartName="/xl/charts/colors48.xml" ContentType="application/vnd.ms-office.chartcolorstyle+xml"/>
  <Override PartName="/xl/charts/chart48.xml" ContentType="application/vnd.openxmlformats-officedocument.drawingml.chart+xml"/>
  <Override PartName="/xl/charts/style49.xml" ContentType="application/vnd.ms-office.chartstyle+xml"/>
  <Override PartName="/xl/charts/colors4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C:\FOLDER\PROJECT\"/>
    </mc:Choice>
  </mc:AlternateContent>
  <xr:revisionPtr revIDLastSave="0" documentId="13_ncr:1_{BEA31198-0BEB-4117-8393-BCF7F884E85C}" xr6:coauthVersionLast="47" xr6:coauthVersionMax="47" xr10:uidLastSave="{00000000-0000-0000-0000-000000000000}"/>
  <bookViews>
    <workbookView xWindow="-108" yWindow="-108" windowWidth="23256" windowHeight="12456" firstSheet="2" activeTab="2" xr2:uid="{7D794398-E73B-4A00-A25C-310394B387CE}"/>
  </bookViews>
  <sheets>
    <sheet name="Detail1" sheetId="4" r:id="rId1"/>
    <sheet name="HR-Employee-Attrition" sheetId="2" r:id="rId2"/>
    <sheet name="Sheet1" sheetId="1" r:id="rId3"/>
    <sheet name="dashboard" sheetId="3" r:id="rId4"/>
    <sheet name="Sheet3" sheetId="5" r:id="rId5"/>
  </sheets>
  <definedNames>
    <definedName name="_xlchart.v2.0" hidden="1">Sheet1!$O$13:$O$15</definedName>
    <definedName name="_xlchart.v2.1" hidden="1">Sheet1!$S$13:$S$15</definedName>
    <definedName name="_xlchart.v2.2" hidden="1">Sheet1!$O$13:$O$15</definedName>
    <definedName name="_xlchart.v2.3" hidden="1">Sheet1!$S$13:$S$15</definedName>
    <definedName name="ExternalData_1" localSheetId="1" hidden="1">'HR-Employee-Attrition'!$A$1:$AI$1471</definedName>
    <definedName name="Slicer_Attrition">#N/A</definedName>
    <definedName name="Slicer_BusinessTravel">#N/A</definedName>
    <definedName name="Slicer_Department">#N/A</definedName>
    <definedName name="Slicer_Gender">#N/A</definedName>
    <definedName name="Slicer_OverTi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2" i="2" l="1"/>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D35" i="1"/>
  <c r="D34" i="1"/>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AK2" i="2" a="1"/>
  <c r="AK2" i="2"/>
  <c r="AK3" i="2" a="1"/>
  <c r="AK3" i="2" s="1"/>
  <c r="AK4" i="2" a="1"/>
  <c r="AK4" i="2" s="1"/>
  <c r="AK5" i="2" a="1"/>
  <c r="AK5" i="2" s="1"/>
  <c r="AK6" i="2" a="1"/>
  <c r="AK6" i="2" s="1"/>
  <c r="AK7" i="2" a="1"/>
  <c r="AK7" i="2" s="1"/>
  <c r="AK8" i="2" a="1"/>
  <c r="AK8" i="2" s="1"/>
  <c r="AK9" i="2" a="1"/>
  <c r="AK9" i="2" s="1"/>
  <c r="AK10" i="2" a="1"/>
  <c r="AK10" i="2"/>
  <c r="AK11" i="2" a="1"/>
  <c r="AK11" i="2" s="1"/>
  <c r="AK12" i="2" a="1"/>
  <c r="AK12" i="2" s="1"/>
  <c r="AK13" i="2" a="1"/>
  <c r="AK13" i="2" s="1"/>
  <c r="AK14" i="2" a="1"/>
  <c r="AK14" i="2" s="1"/>
  <c r="AK15" i="2" a="1"/>
  <c r="AK15" i="2" s="1"/>
  <c r="AK16" i="2" a="1"/>
  <c r="AK16" i="2"/>
  <c r="AK17" i="2" a="1"/>
  <c r="AK17" i="2" s="1"/>
  <c r="AK18" i="2" a="1"/>
  <c r="AK18" i="2" s="1"/>
  <c r="AK19" i="2" a="1"/>
  <c r="AK19" i="2" s="1"/>
  <c r="AK20" i="2" a="1"/>
  <c r="AK20" i="2" s="1"/>
  <c r="AK21" i="2" a="1"/>
  <c r="AK21" i="2" s="1"/>
  <c r="AK22" i="2" a="1"/>
  <c r="AK22" i="2" s="1"/>
  <c r="AK23" i="2" a="1"/>
  <c r="AK23" i="2"/>
  <c r="AK24" i="2" a="1"/>
  <c r="AK24" i="2"/>
  <c r="AK25" i="2" a="1"/>
  <c r="AK25" i="2" s="1"/>
  <c r="AK26" i="2" a="1"/>
  <c r="AK26" i="2" s="1"/>
  <c r="AK27" i="2" a="1"/>
  <c r="AK27" i="2" s="1"/>
  <c r="AK28" i="2" a="1"/>
  <c r="AK28" i="2"/>
  <c r="AK29" i="2" a="1"/>
  <c r="AK29" i="2" s="1"/>
  <c r="AK30" i="2" a="1"/>
  <c r="AK30" i="2" s="1"/>
  <c r="AK31" i="2" a="1"/>
  <c r="AK31" i="2" s="1"/>
  <c r="AK32" i="2" a="1"/>
  <c r="AK32" i="2"/>
  <c r="AK33" i="2" a="1"/>
  <c r="AK33" i="2" s="1"/>
  <c r="AK34" i="2" a="1"/>
  <c r="AK34" i="2"/>
  <c r="AK35" i="2" a="1"/>
  <c r="AK35" i="2" s="1"/>
  <c r="AK36" i="2" a="1"/>
  <c r="AK36" i="2" s="1"/>
  <c r="AK37" i="2" a="1"/>
  <c r="AK37" i="2" s="1"/>
  <c r="AK38" i="2" a="1"/>
  <c r="AK38" i="2" s="1"/>
  <c r="AK39" i="2" a="1"/>
  <c r="AK39" i="2" s="1"/>
  <c r="AK40" i="2" a="1"/>
  <c r="AK40" i="2" s="1"/>
  <c r="AK41" i="2" a="1"/>
  <c r="AK41" i="2" s="1"/>
  <c r="AK42" i="2" a="1"/>
  <c r="AK42" i="2"/>
  <c r="AK43" i="2" a="1"/>
  <c r="AK43" i="2" s="1"/>
  <c r="AK44" i="2" a="1"/>
  <c r="AK44" i="2" s="1"/>
  <c r="AK45" i="2" a="1"/>
  <c r="AK45" i="2" s="1"/>
  <c r="AK46" i="2" a="1"/>
  <c r="AK46" i="2" s="1"/>
  <c r="AK47" i="2" a="1"/>
  <c r="AK47" i="2" s="1"/>
  <c r="AK48" i="2" a="1"/>
  <c r="AK48" i="2" s="1"/>
  <c r="AK49" i="2" a="1"/>
  <c r="AK49" i="2" s="1"/>
  <c r="AK50" i="2" a="1"/>
  <c r="AK50" i="2" s="1"/>
  <c r="AK51" i="2" a="1"/>
  <c r="AK51" i="2"/>
  <c r="AK52" i="2" a="1"/>
  <c r="AK52" i="2"/>
  <c r="AK53" i="2" a="1"/>
  <c r="AK53" i="2" s="1"/>
  <c r="AK54" i="2" a="1"/>
  <c r="AK54" i="2" s="1"/>
  <c r="AK55" i="2" a="1"/>
  <c r="AK55" i="2" s="1"/>
  <c r="AK56" i="2" a="1"/>
  <c r="AK56" i="2" s="1"/>
  <c r="AK57" i="2" a="1"/>
  <c r="AK57" i="2"/>
  <c r="AK58" i="2" a="1"/>
  <c r="AK58" i="2" s="1"/>
  <c r="AK59" i="2" a="1"/>
  <c r="AK59" i="2" s="1"/>
  <c r="AK60" i="2" a="1"/>
  <c r="AK60" i="2" s="1"/>
  <c r="AK61" i="2" a="1"/>
  <c r="AK61" i="2" s="1"/>
  <c r="AK62" i="2" a="1"/>
  <c r="AK62" i="2" s="1"/>
  <c r="AK63" i="2" a="1"/>
  <c r="AK63" i="2" s="1"/>
  <c r="AK64" i="2" a="1"/>
  <c r="AK64" i="2" s="1"/>
  <c r="AK65" i="2" a="1"/>
  <c r="AK65" i="2" s="1"/>
  <c r="AK66" i="2" a="1"/>
  <c r="AK66" i="2" s="1"/>
  <c r="AK67" i="2" a="1"/>
  <c r="AK67" i="2" s="1"/>
  <c r="AK68" i="2" a="1"/>
  <c r="AK68" i="2" s="1"/>
  <c r="AK69" i="2" a="1"/>
  <c r="AK69" i="2"/>
  <c r="AK70" i="2" a="1"/>
  <c r="AK70" i="2"/>
  <c r="AK71" i="2" a="1"/>
  <c r="AK71" i="2" s="1"/>
  <c r="AK72" i="2" a="1"/>
  <c r="AK72" i="2" s="1"/>
  <c r="AK73" i="2" a="1"/>
  <c r="AK73" i="2" s="1"/>
  <c r="AK74" i="2" a="1"/>
  <c r="AK74" i="2"/>
  <c r="AK75" i="2" a="1"/>
  <c r="AK75" i="2" s="1"/>
  <c r="AK76" i="2" a="1"/>
  <c r="AK76" i="2" s="1"/>
  <c r="AK77" i="2" a="1"/>
  <c r="AK77" i="2"/>
  <c r="AK78" i="2" a="1"/>
  <c r="AK78" i="2" s="1"/>
  <c r="AK79" i="2" a="1"/>
  <c r="AK79" i="2" s="1"/>
  <c r="AK80" i="2" a="1"/>
  <c r="AK80" i="2" s="1"/>
  <c r="AK81" i="2" a="1"/>
  <c r="AK81" i="2" s="1"/>
  <c r="AK82" i="2" a="1"/>
  <c r="AK82" i="2" s="1"/>
  <c r="AK83" i="2" a="1"/>
  <c r="AK83" i="2" s="1"/>
  <c r="AK84" i="2" a="1"/>
  <c r="AK84" i="2" s="1"/>
  <c r="AK85" i="2" a="1"/>
  <c r="AK85" i="2" s="1"/>
  <c r="AK86" i="2" a="1"/>
  <c r="AK86" i="2" s="1"/>
  <c r="AK87" i="2" a="1"/>
  <c r="AK87" i="2" s="1"/>
  <c r="AK88" i="2" a="1"/>
  <c r="AK88" i="2"/>
  <c r="AK89" i="2" a="1"/>
  <c r="AK89" i="2"/>
  <c r="AK90" i="2" a="1"/>
  <c r="AK90" i="2"/>
  <c r="AK91" i="2" a="1"/>
  <c r="AK91" i="2" s="1"/>
  <c r="AK92" i="2" a="1"/>
  <c r="AK92" i="2" s="1"/>
  <c r="AK93" i="2" a="1"/>
  <c r="AK93" i="2" s="1"/>
  <c r="AK94" i="2" a="1"/>
  <c r="AK94" i="2" s="1"/>
  <c r="AK95" i="2" a="1"/>
  <c r="AK95" i="2" s="1"/>
  <c r="AK96" i="2" a="1"/>
  <c r="AK96" i="2" s="1"/>
  <c r="AK97" i="2" a="1"/>
  <c r="AK97" i="2" s="1"/>
  <c r="AK98" i="2" a="1"/>
  <c r="AK98" i="2" s="1"/>
  <c r="AK99" i="2" a="1"/>
  <c r="AK99" i="2"/>
  <c r="AK100" i="2" a="1"/>
  <c r="AK100" i="2" s="1"/>
  <c r="AK101" i="2" a="1"/>
  <c r="AK101" i="2" s="1"/>
  <c r="AK102" i="2" a="1"/>
  <c r="AK102" i="2" s="1"/>
  <c r="AK103" i="2" a="1"/>
  <c r="AK103" i="2" s="1"/>
  <c r="AK104" i="2" a="1"/>
  <c r="AK104" i="2" s="1"/>
  <c r="AK105" i="2" a="1"/>
  <c r="AK105" i="2" s="1"/>
  <c r="AK106" i="2" a="1"/>
  <c r="AK106" i="2" s="1"/>
  <c r="AK107" i="2" a="1"/>
  <c r="AK107" i="2"/>
  <c r="AK108" i="2" a="1"/>
  <c r="AK108" i="2"/>
  <c r="AK109" i="2" a="1"/>
  <c r="AK109" i="2" s="1"/>
  <c r="AK110" i="2" a="1"/>
  <c r="AK110" i="2" s="1"/>
  <c r="AK111" i="2" a="1"/>
  <c r="AK111" i="2" s="1"/>
  <c r="AK112" i="2" a="1"/>
  <c r="AK112" i="2" s="1"/>
  <c r="AK113" i="2" a="1"/>
  <c r="AK113" i="2"/>
  <c r="AK114" i="2" a="1"/>
  <c r="AK114" i="2"/>
  <c r="AK115" i="2" a="1"/>
  <c r="AK115" i="2" s="1"/>
  <c r="AK116" i="2" a="1"/>
  <c r="AK116" i="2" s="1"/>
  <c r="AK117" i="2" a="1"/>
  <c r="AK117" i="2"/>
  <c r="AK118" i="2" a="1"/>
  <c r="AK118" i="2" s="1"/>
  <c r="AK119" i="2" a="1"/>
  <c r="AK119" i="2" s="1"/>
  <c r="AK120" i="2" a="1"/>
  <c r="AK120" i="2" s="1"/>
  <c r="AK121" i="2" a="1"/>
  <c r="AK121" i="2" s="1"/>
  <c r="AK122" i="2" a="1"/>
  <c r="AK122" i="2" s="1"/>
  <c r="AK123" i="2" a="1"/>
  <c r="AK123" i="2" s="1"/>
  <c r="AK124" i="2" a="1"/>
  <c r="AK124" i="2"/>
  <c r="AK125" i="2" a="1"/>
  <c r="AK125" i="2"/>
  <c r="AK126" i="2" a="1"/>
  <c r="AK126" i="2" s="1"/>
  <c r="AK127" i="2" a="1"/>
  <c r="AK127" i="2" s="1"/>
  <c r="AK128" i="2" a="1"/>
  <c r="AK128" i="2" s="1"/>
  <c r="AK129" i="2" a="1"/>
  <c r="AK129" i="2" s="1"/>
  <c r="AK130" i="2" a="1"/>
  <c r="AK130" i="2" s="1"/>
  <c r="AK131" i="2" a="1"/>
  <c r="AK131" i="2"/>
  <c r="AK132" i="2" a="1"/>
  <c r="AK132" i="2" s="1"/>
  <c r="AK133" i="2" a="1"/>
  <c r="AK133" i="2" s="1"/>
  <c r="AK134" i="2" a="1"/>
  <c r="AK134" i="2" s="1"/>
  <c r="AK135" i="2" a="1"/>
  <c r="AK135" i="2" s="1"/>
  <c r="AK136" i="2" a="1"/>
  <c r="AK136" i="2" s="1"/>
  <c r="AK137" i="2" a="1"/>
  <c r="AK137" i="2" s="1"/>
  <c r="AK138" i="2" a="1"/>
  <c r="AK138" i="2" s="1"/>
  <c r="AK139" i="2" a="1"/>
  <c r="AK139" i="2" s="1"/>
  <c r="AK140" i="2" a="1"/>
  <c r="AK140" i="2" s="1"/>
  <c r="AK141" i="2" a="1"/>
  <c r="AK141" i="2" s="1"/>
  <c r="AK142" i="2" a="1"/>
  <c r="AK142" i="2"/>
  <c r="AK143" i="2" a="1"/>
  <c r="AK143" i="2" s="1"/>
  <c r="AK144" i="2" a="1"/>
  <c r="AK144" i="2" s="1"/>
  <c r="AK145" i="2" a="1"/>
  <c r="AK145" i="2" s="1"/>
  <c r="AK146" i="2" a="1"/>
  <c r="AK146" i="2" s="1"/>
  <c r="AK147" i="2" a="1"/>
  <c r="AK147" i="2" s="1"/>
  <c r="AK148" i="2" a="1"/>
  <c r="AK148" i="2" s="1"/>
  <c r="AK149" i="2" a="1"/>
  <c r="AK149" i="2" s="1"/>
  <c r="AK150" i="2" a="1"/>
  <c r="AK150" i="2" s="1"/>
  <c r="AK151" i="2" a="1"/>
  <c r="AK151" i="2" s="1"/>
  <c r="AK152" i="2" a="1"/>
  <c r="AK152" i="2"/>
  <c r="AK153" i="2" a="1"/>
  <c r="AK153" i="2" s="1"/>
  <c r="AK154" i="2" a="1"/>
  <c r="AK154" i="2" s="1"/>
  <c r="AK155" i="2" a="1"/>
  <c r="AK155" i="2"/>
  <c r="AK156" i="2" a="1"/>
  <c r="AK156" i="2" s="1"/>
  <c r="AK157" i="2" a="1"/>
  <c r="AK157" i="2" s="1"/>
  <c r="AK158" i="2" a="1"/>
  <c r="AK158" i="2"/>
  <c r="AK159" i="2" a="1"/>
  <c r="AK159" i="2" s="1"/>
  <c r="AK160" i="2" a="1"/>
  <c r="AK160" i="2" s="1"/>
  <c r="AK161" i="2" a="1"/>
  <c r="AK161" i="2" s="1"/>
  <c r="AK162" i="2" a="1"/>
  <c r="AK162" i="2"/>
  <c r="AK163" i="2" a="1"/>
  <c r="AK163" i="2" s="1"/>
  <c r="AK164" i="2" a="1"/>
  <c r="AK164" i="2" s="1"/>
  <c r="AK165" i="2" a="1"/>
  <c r="AK165" i="2" s="1"/>
  <c r="AK166" i="2" a="1"/>
  <c r="AK166" i="2" s="1"/>
  <c r="AK167" i="2" a="1"/>
  <c r="AK167" i="2" s="1"/>
  <c r="AK168" i="2" a="1"/>
  <c r="AK168" i="2" s="1"/>
  <c r="AK169" i="2" a="1"/>
  <c r="AK169" i="2" s="1"/>
  <c r="AK170" i="2" a="1"/>
  <c r="AK170" i="2" s="1"/>
  <c r="AK171" i="2" a="1"/>
  <c r="AK171" i="2" s="1"/>
  <c r="AK172" i="2" a="1"/>
  <c r="AK172" i="2"/>
  <c r="AK173" i="2" a="1"/>
  <c r="AK173" i="2" s="1"/>
  <c r="AK174" i="2" a="1"/>
  <c r="AK174" i="2" s="1"/>
  <c r="AK175" i="2" a="1"/>
  <c r="AK175" i="2" s="1"/>
  <c r="AK176" i="2" a="1"/>
  <c r="AK176" i="2" s="1"/>
  <c r="AK177" i="2" a="1"/>
  <c r="AK177" i="2" s="1"/>
  <c r="AK178" i="2" a="1"/>
  <c r="AK178" i="2" s="1"/>
  <c r="AK179" i="2" a="1"/>
  <c r="AK179" i="2"/>
  <c r="AK180" i="2" a="1"/>
  <c r="AK180" i="2" s="1"/>
  <c r="AK181" i="2" a="1"/>
  <c r="AK181" i="2" s="1"/>
  <c r="AK182" i="2" a="1"/>
  <c r="AK182" i="2" s="1"/>
  <c r="AK183" i="2" a="1"/>
  <c r="AK183" i="2" s="1"/>
  <c r="AK184" i="2" a="1"/>
  <c r="AK184" i="2" s="1"/>
  <c r="AK185" i="2" a="1"/>
  <c r="AK185" i="2" s="1"/>
  <c r="AK186" i="2" a="1"/>
  <c r="AK186" i="2" s="1"/>
  <c r="AK187" i="2" a="1"/>
  <c r="AK187" i="2" s="1"/>
  <c r="AK188" i="2" a="1"/>
  <c r="AK188" i="2" s="1"/>
  <c r="AK189" i="2" a="1"/>
  <c r="AK189" i="2" s="1"/>
  <c r="AK190" i="2" a="1"/>
  <c r="AK190" i="2" s="1"/>
  <c r="AK191" i="2" a="1"/>
  <c r="AK191" i="2"/>
  <c r="AK192" i="2" a="1"/>
  <c r="AK192" i="2" s="1"/>
  <c r="AK193" i="2" a="1"/>
  <c r="AK193" i="2" s="1"/>
  <c r="AK194" i="2" a="1"/>
  <c r="AK194" i="2"/>
  <c r="AK195" i="2" a="1"/>
  <c r="AK195" i="2" s="1"/>
  <c r="AK196" i="2" a="1"/>
  <c r="AK196" i="2" s="1"/>
  <c r="AK197" i="2" a="1"/>
  <c r="AK197" i="2" s="1"/>
  <c r="AK198" i="2" a="1"/>
  <c r="AK198" i="2" s="1"/>
  <c r="AK199" i="2" a="1"/>
  <c r="AK199" i="2" s="1"/>
  <c r="AK200" i="2" a="1"/>
  <c r="AK200" i="2" s="1"/>
  <c r="AK201" i="2" a="1"/>
  <c r="AK201" i="2"/>
  <c r="AK202" i="2" a="1"/>
  <c r="AK202" i="2" s="1"/>
  <c r="AK203" i="2" a="1"/>
  <c r="AK203" i="2"/>
  <c r="AK204" i="2" a="1"/>
  <c r="AK204" i="2" s="1"/>
  <c r="AK205" i="2" a="1"/>
  <c r="AK205" i="2" s="1"/>
  <c r="AK206" i="2" a="1"/>
  <c r="AK206" i="2" s="1"/>
  <c r="AK207" i="2" a="1"/>
  <c r="AK207" i="2" s="1"/>
  <c r="AK208" i="2" a="1"/>
  <c r="AK208" i="2" s="1"/>
  <c r="AK209" i="2" a="1"/>
  <c r="AK209" i="2" s="1"/>
  <c r="AK210" i="2" a="1"/>
  <c r="AK210" i="2" s="1"/>
  <c r="AK211" i="2" a="1"/>
  <c r="AK211" i="2" s="1"/>
  <c r="AK212" i="2" a="1"/>
  <c r="AK212" i="2" s="1"/>
  <c r="AK213" i="2" a="1"/>
  <c r="AK213" i="2" s="1"/>
  <c r="AK214" i="2" a="1"/>
  <c r="AK214" i="2" s="1"/>
  <c r="AK215" i="2" a="1"/>
  <c r="AK215" i="2" s="1"/>
  <c r="AK216" i="2" a="1"/>
  <c r="AK216" i="2" s="1"/>
  <c r="AK217" i="2" a="1"/>
  <c r="AK217" i="2" s="1"/>
  <c r="AK218" i="2" a="1"/>
  <c r="AK218" i="2" s="1"/>
  <c r="AK219" i="2" a="1"/>
  <c r="AK219" i="2"/>
  <c r="AK220" i="2" a="1"/>
  <c r="AK220" i="2" s="1"/>
  <c r="AK221" i="2" a="1"/>
  <c r="AK221" i="2" s="1"/>
  <c r="AK222" i="2" a="1"/>
  <c r="AK222" i="2" s="1"/>
  <c r="AK223" i="2" a="1"/>
  <c r="AK223" i="2" s="1"/>
  <c r="AK224" i="2" a="1"/>
  <c r="AK224" i="2" s="1"/>
  <c r="AK225" i="2" a="1"/>
  <c r="AK225" i="2" s="1"/>
  <c r="AK226" i="2" a="1"/>
  <c r="AK226" i="2" s="1"/>
  <c r="AK227" i="2" a="1"/>
  <c r="AK227" i="2" s="1"/>
  <c r="AK228" i="2" a="1"/>
  <c r="AK228" i="2" s="1"/>
  <c r="AK229" i="2" a="1"/>
  <c r="AK229" i="2" s="1"/>
  <c r="AK230" i="2" a="1"/>
  <c r="AK230" i="2" s="1"/>
  <c r="AK231" i="2" a="1"/>
  <c r="AK231" i="2"/>
  <c r="AK232" i="2" a="1"/>
  <c r="AK232" i="2" s="1"/>
  <c r="AK233" i="2" a="1"/>
  <c r="AK233" i="2" s="1"/>
  <c r="AK234" i="2" a="1"/>
  <c r="AK234" i="2" s="1"/>
  <c r="AK235" i="2" a="1"/>
  <c r="AK235" i="2" s="1"/>
  <c r="AK236" i="2" a="1"/>
  <c r="AK236" i="2" s="1"/>
  <c r="AK237" i="2" a="1"/>
  <c r="AK237" i="2" s="1"/>
  <c r="AK238" i="2" a="1"/>
  <c r="AK238" i="2" s="1"/>
  <c r="AK239" i="2" a="1"/>
  <c r="AK239" i="2" s="1"/>
  <c r="AK240" i="2" a="1"/>
  <c r="AK240" i="2"/>
  <c r="AK241" i="2" a="1"/>
  <c r="AK241" i="2" s="1"/>
  <c r="AK242" i="2" a="1"/>
  <c r="AK242" i="2" s="1"/>
  <c r="AK243" i="2" a="1"/>
  <c r="AK243" i="2" s="1"/>
  <c r="AK244" i="2" a="1"/>
  <c r="AK244" i="2" s="1"/>
  <c r="AK245" i="2" a="1"/>
  <c r="AK245" i="2"/>
  <c r="AK246" i="2" a="1"/>
  <c r="AK246" i="2" s="1"/>
  <c r="AK247" i="2" a="1"/>
  <c r="AK247" i="2" s="1"/>
  <c r="AK248" i="2" a="1"/>
  <c r="AK248" i="2" s="1"/>
  <c r="AK249" i="2" a="1"/>
  <c r="AK249" i="2" s="1"/>
  <c r="AK250" i="2" a="1"/>
  <c r="AK250" i="2"/>
  <c r="AK251" i="2" a="1"/>
  <c r="AK251" i="2" s="1"/>
  <c r="AK252" i="2" a="1"/>
  <c r="AK252" i="2" s="1"/>
  <c r="AK253" i="2" a="1"/>
  <c r="AK253" i="2" s="1"/>
  <c r="AK254" i="2" a="1"/>
  <c r="AK254" i="2" s="1"/>
  <c r="AK255" i="2" a="1"/>
  <c r="AK255" i="2"/>
  <c r="AK256" i="2" a="1"/>
  <c r="AK256" i="2"/>
  <c r="AK257" i="2" a="1"/>
  <c r="AK257" i="2"/>
  <c r="AK258" i="2" a="1"/>
  <c r="AK258" i="2" s="1"/>
  <c r="AK259" i="2" a="1"/>
  <c r="AK259" i="2" s="1"/>
  <c r="AK260" i="2" a="1"/>
  <c r="AK260" i="2" s="1"/>
  <c r="AK261" i="2" a="1"/>
  <c r="AK261" i="2" s="1"/>
  <c r="AK262" i="2" a="1"/>
  <c r="AK262" i="2" s="1"/>
  <c r="AK263" i="2" a="1"/>
  <c r="AK263" i="2" s="1"/>
  <c r="AK264" i="2" a="1"/>
  <c r="AK264" i="2" s="1"/>
  <c r="AK265" i="2" a="1"/>
  <c r="AK265" i="2" s="1"/>
  <c r="AK266" i="2" a="1"/>
  <c r="AK266" i="2" s="1"/>
  <c r="AK267" i="2" a="1"/>
  <c r="AK267" i="2" s="1"/>
  <c r="AK268" i="2" a="1"/>
  <c r="AK268" i="2" s="1"/>
  <c r="AK269" i="2" a="1"/>
  <c r="AK269" i="2"/>
  <c r="AK270" i="2" a="1"/>
  <c r="AK270" i="2"/>
  <c r="AK271" i="2" a="1"/>
  <c r="AK271" i="2" s="1"/>
  <c r="AK272" i="2" a="1"/>
  <c r="AK272" i="2" s="1"/>
  <c r="AK273" i="2" a="1"/>
  <c r="AK273" i="2" s="1"/>
  <c r="AK274" i="2" a="1"/>
  <c r="AK274" i="2" s="1"/>
  <c r="AK275" i="2" a="1"/>
  <c r="AK275" i="2" s="1"/>
  <c r="AK276" i="2" a="1"/>
  <c r="AK276" i="2"/>
  <c r="AK277" i="2" a="1"/>
  <c r="AK277" i="2" s="1"/>
  <c r="AK278" i="2" a="1"/>
  <c r="AK278" i="2" s="1"/>
  <c r="AK279" i="2" a="1"/>
  <c r="AK279" i="2" s="1"/>
  <c r="AK280" i="2" a="1"/>
  <c r="AK280" i="2" s="1"/>
  <c r="AK281" i="2" a="1"/>
  <c r="AK281" i="2" s="1"/>
  <c r="AK282" i="2" a="1"/>
  <c r="AK282" i="2" s="1"/>
  <c r="AK283" i="2" a="1"/>
  <c r="AK283" i="2" s="1"/>
  <c r="AK284" i="2" a="1"/>
  <c r="AK284" i="2" s="1"/>
  <c r="AK285" i="2" a="1"/>
  <c r="AK285" i="2"/>
  <c r="AK286" i="2" a="1"/>
  <c r="AK286" i="2"/>
  <c r="AK287" i="2" a="1"/>
  <c r="AK287" i="2" s="1"/>
  <c r="AK288" i="2" a="1"/>
  <c r="AK288" i="2" s="1"/>
  <c r="AK289" i="2" a="1"/>
  <c r="AK289" i="2" s="1"/>
  <c r="AK290" i="2" a="1"/>
  <c r="AK290" i="2" s="1"/>
  <c r="AK291" i="2" a="1"/>
  <c r="AK291" i="2" s="1"/>
  <c r="AK292" i="2" a="1"/>
  <c r="AK292" i="2" s="1"/>
  <c r="AK293" i="2" a="1"/>
  <c r="AK293" i="2"/>
  <c r="AK294" i="2" a="1"/>
  <c r="AK294" i="2" s="1"/>
  <c r="AK295" i="2" a="1"/>
  <c r="AK295" i="2" s="1"/>
  <c r="AK296" i="2" a="1"/>
  <c r="AK296" i="2" s="1"/>
  <c r="AK297" i="2" a="1"/>
  <c r="AK297" i="2" s="1"/>
  <c r="AK298" i="2" a="1"/>
  <c r="AK298" i="2" s="1"/>
  <c r="AK299" i="2" a="1"/>
  <c r="AK299" i="2" s="1"/>
  <c r="AK300" i="2" a="1"/>
  <c r="AK300" i="2" s="1"/>
  <c r="AK301" i="2" a="1"/>
  <c r="AK301" i="2" s="1"/>
  <c r="AK302" i="2" a="1"/>
  <c r="AK302" i="2" s="1"/>
  <c r="AK303" i="2" a="1"/>
  <c r="AK303" i="2"/>
  <c r="AK304" i="2" a="1"/>
  <c r="AK304" i="2" s="1"/>
  <c r="AK305" i="2" a="1"/>
  <c r="AK305" i="2"/>
  <c r="AK306" i="2" a="1"/>
  <c r="AK306" i="2" s="1"/>
  <c r="AK307" i="2" a="1"/>
  <c r="AK307" i="2" s="1"/>
  <c r="AK308" i="2" a="1"/>
  <c r="AK308" i="2" s="1"/>
  <c r="AK309" i="2" a="1"/>
  <c r="AK309" i="2" s="1"/>
  <c r="AK310" i="2" a="1"/>
  <c r="AK310" i="2" s="1"/>
  <c r="AK311" i="2" a="1"/>
  <c r="AK311" i="2" s="1"/>
  <c r="AK312" i="2" a="1"/>
  <c r="AK312" i="2"/>
  <c r="AK313" i="2" a="1"/>
  <c r="AK313" i="2" s="1"/>
  <c r="AK314" i="2" a="1"/>
  <c r="AK314" i="2" s="1"/>
  <c r="AK315" i="2" a="1"/>
  <c r="AK315" i="2" s="1"/>
  <c r="AK316" i="2" a="1"/>
  <c r="AK316" i="2" s="1"/>
  <c r="AK317" i="2" a="1"/>
  <c r="AK317" i="2" s="1"/>
  <c r="AK318" i="2" a="1"/>
  <c r="AK318" i="2" s="1"/>
  <c r="AK319" i="2" a="1"/>
  <c r="AK319" i="2" s="1"/>
  <c r="AK320" i="2" a="1"/>
  <c r="AK320" i="2"/>
  <c r="AK321" i="2" a="1"/>
  <c r="AK321" i="2" s="1"/>
  <c r="AK322" i="2" a="1"/>
  <c r="AK322" i="2" s="1"/>
  <c r="AK323" i="2" a="1"/>
  <c r="AK323" i="2"/>
  <c r="AK324" i="2" a="1"/>
  <c r="AK324" i="2"/>
  <c r="AK325" i="2" a="1"/>
  <c r="AK325" i="2" s="1"/>
  <c r="AK326" i="2" a="1"/>
  <c r="AK326" i="2" s="1"/>
  <c r="AK327" i="2" a="1"/>
  <c r="AK327" i="2"/>
  <c r="AK328" i="2" a="1"/>
  <c r="AK328" i="2"/>
  <c r="AK329" i="2" a="1"/>
  <c r="AK329" i="2"/>
  <c r="AK330" i="2" a="1"/>
  <c r="AK330" i="2" s="1"/>
  <c r="AK331" i="2" a="1"/>
  <c r="AK331" i="2" s="1"/>
  <c r="AK332" i="2" a="1"/>
  <c r="AK332" i="2" s="1"/>
  <c r="AK333" i="2" a="1"/>
  <c r="AK333" i="2" s="1"/>
  <c r="AK334" i="2" a="1"/>
  <c r="AK334" i="2" s="1"/>
  <c r="AK335" i="2" a="1"/>
  <c r="AK335" i="2" s="1"/>
  <c r="AK336" i="2" a="1"/>
  <c r="AK336" i="2" s="1"/>
  <c r="AK337" i="2" a="1"/>
  <c r="AK337" i="2" s="1"/>
  <c r="AK338" i="2" a="1"/>
  <c r="AK338" i="2" s="1"/>
  <c r="AK339" i="2" a="1"/>
  <c r="AK339" i="2" s="1"/>
  <c r="AK340" i="2" a="1"/>
  <c r="AK340" i="2" s="1"/>
  <c r="AK341" i="2" a="1"/>
  <c r="AK341" i="2"/>
  <c r="AK342" i="2" a="1"/>
  <c r="AK342" i="2" s="1"/>
  <c r="AK343" i="2" a="1"/>
  <c r="AK343" i="2" s="1"/>
  <c r="AK344" i="2" a="1"/>
  <c r="AK344" i="2" s="1"/>
  <c r="AK345" i="2" a="1"/>
  <c r="AK345" i="2" s="1"/>
  <c r="AK346" i="2" a="1"/>
  <c r="AK346" i="2"/>
  <c r="AK347" i="2" a="1"/>
  <c r="AK347" i="2" s="1"/>
  <c r="AK348" i="2" a="1"/>
  <c r="AK348" i="2" s="1"/>
  <c r="AK349" i="2" a="1"/>
  <c r="AK349" i="2" s="1"/>
  <c r="AK350" i="2" a="1"/>
  <c r="AK350" i="2" s="1"/>
  <c r="AK351" i="2" a="1"/>
  <c r="AK351" i="2"/>
  <c r="AK352" i="2" a="1"/>
  <c r="AK352" i="2" s="1"/>
  <c r="AK353" i="2" a="1"/>
  <c r="AK353" i="2" s="1"/>
  <c r="AK354" i="2" a="1"/>
  <c r="AK354" i="2"/>
  <c r="AK355" i="2" a="1"/>
  <c r="AK355" i="2" s="1"/>
  <c r="AK356" i="2" a="1"/>
  <c r="AK356" i="2" s="1"/>
  <c r="AK357" i="2" a="1"/>
  <c r="AK357" i="2"/>
  <c r="AK358" i="2" a="1"/>
  <c r="AK358" i="2"/>
  <c r="AK359" i="2" a="1"/>
  <c r="AK359" i="2" s="1"/>
  <c r="AK360" i="2" a="1"/>
  <c r="AK360" i="2" s="1"/>
  <c r="AK361" i="2" a="1"/>
  <c r="AK361" i="2" s="1"/>
  <c r="AK362" i="2" a="1"/>
  <c r="AK362" i="2" s="1"/>
  <c r="AK363" i="2" a="1"/>
  <c r="AK363" i="2" s="1"/>
  <c r="AK364" i="2" a="1"/>
  <c r="AK364" i="2" s="1"/>
  <c r="AK365" i="2" a="1"/>
  <c r="AK365" i="2"/>
  <c r="AK366" i="2" a="1"/>
  <c r="AK366" i="2" s="1"/>
  <c r="AK367" i="2" a="1"/>
  <c r="AK367" i="2" s="1"/>
  <c r="AK368" i="2" a="1"/>
  <c r="AK368" i="2" s="1"/>
  <c r="AK369" i="2" a="1"/>
  <c r="AK369" i="2" s="1"/>
  <c r="AK370" i="2" a="1"/>
  <c r="AK370" i="2" s="1"/>
  <c r="AK371" i="2" a="1"/>
  <c r="AK371" i="2" s="1"/>
  <c r="AK372" i="2" a="1"/>
  <c r="AK372" i="2" s="1"/>
  <c r="AK373" i="2" a="1"/>
  <c r="AK373" i="2" s="1"/>
  <c r="AK374" i="2" a="1"/>
  <c r="AK374" i="2"/>
  <c r="AK375" i="2" a="1"/>
  <c r="AK375" i="2" s="1"/>
  <c r="AK376" i="2" a="1"/>
  <c r="AK376" i="2" s="1"/>
  <c r="AK377" i="2" a="1"/>
  <c r="AK377" i="2" s="1"/>
  <c r="AK378" i="2" a="1"/>
  <c r="AK378" i="2" s="1"/>
  <c r="AK379" i="2" a="1"/>
  <c r="AK379" i="2" s="1"/>
  <c r="AK380" i="2" a="1"/>
  <c r="AK380" i="2" s="1"/>
  <c r="AK381" i="2" a="1"/>
  <c r="AK381" i="2" s="1"/>
  <c r="AK382" i="2" a="1"/>
  <c r="AK382" i="2" s="1"/>
  <c r="AK383" i="2" a="1"/>
  <c r="AK383" i="2"/>
  <c r="AK384" i="2" a="1"/>
  <c r="AK384" i="2" s="1"/>
  <c r="AK385" i="2" a="1"/>
  <c r="AK385" i="2" s="1"/>
  <c r="AK386" i="2" a="1"/>
  <c r="AK386" i="2" s="1"/>
  <c r="AK387" i="2" a="1"/>
  <c r="AK387" i="2" s="1"/>
  <c r="AK388" i="2" a="1"/>
  <c r="AK388" i="2" s="1"/>
  <c r="AK389" i="2" a="1"/>
  <c r="AK389" i="2" s="1"/>
  <c r="AK390" i="2" a="1"/>
  <c r="AK390" i="2" s="1"/>
  <c r="AK391" i="2" a="1"/>
  <c r="AK391" i="2" s="1"/>
  <c r="AK392" i="2" a="1"/>
  <c r="AK392" i="2" s="1"/>
  <c r="AK393" i="2" a="1"/>
  <c r="AK393" i="2" s="1"/>
  <c r="AK394" i="2" a="1"/>
  <c r="AK394" i="2"/>
  <c r="AK395" i="2" a="1"/>
  <c r="AK395" i="2" s="1"/>
  <c r="AK396" i="2" a="1"/>
  <c r="AK396" i="2" s="1"/>
  <c r="AK397" i="2" a="1"/>
  <c r="AK397" i="2" s="1"/>
  <c r="AK398" i="2" a="1"/>
  <c r="AK398" i="2" s="1"/>
  <c r="AK399" i="2" a="1"/>
  <c r="AK399" i="2" s="1"/>
  <c r="AK400" i="2" a="1"/>
  <c r="AK400" i="2" s="1"/>
  <c r="AK401" i="2" a="1"/>
  <c r="AK401" i="2"/>
  <c r="AK402" i="2" a="1"/>
  <c r="AK402" i="2" s="1"/>
  <c r="AK403" i="2" a="1"/>
  <c r="AK403" i="2" s="1"/>
  <c r="AK404" i="2" a="1"/>
  <c r="AK404" i="2" s="1"/>
  <c r="AK405" i="2" a="1"/>
  <c r="AK405" i="2" s="1"/>
  <c r="AK406" i="2" a="1"/>
  <c r="AK406" i="2" s="1"/>
  <c r="AK407" i="2" a="1"/>
  <c r="AK407" i="2" s="1"/>
  <c r="AK408" i="2" a="1"/>
  <c r="AK408" i="2" s="1"/>
  <c r="AK409" i="2" a="1"/>
  <c r="AK409" i="2" s="1"/>
  <c r="AK410" i="2" a="1"/>
  <c r="AK410" i="2" s="1"/>
  <c r="AK411" i="2" a="1"/>
  <c r="AK411" i="2" s="1"/>
  <c r="AK412" i="2" a="1"/>
  <c r="AK412" i="2"/>
  <c r="AK413" i="2" a="1"/>
  <c r="AK413" i="2"/>
  <c r="AK414" i="2" a="1"/>
  <c r="AK414" i="2" s="1"/>
  <c r="AK415" i="2" a="1"/>
  <c r="AK415" i="2" s="1"/>
  <c r="AK416" i="2" a="1"/>
  <c r="AK416" i="2" s="1"/>
  <c r="AK417" i="2" a="1"/>
  <c r="AK417" i="2"/>
  <c r="AK418" i="2" a="1"/>
  <c r="AK418" i="2"/>
  <c r="AK419" i="2" a="1"/>
  <c r="AK419" i="2" s="1"/>
  <c r="AK420" i="2" a="1"/>
  <c r="AK420" i="2" s="1"/>
  <c r="AK421" i="2" a="1"/>
  <c r="AK421" i="2" s="1"/>
  <c r="AK422" i="2" a="1"/>
  <c r="AK422" i="2"/>
  <c r="AK423" i="2" a="1"/>
  <c r="AK423" i="2" s="1"/>
  <c r="AK424" i="2" a="1"/>
  <c r="AK424" i="2" s="1"/>
  <c r="AK425" i="2" a="1"/>
  <c r="AK425" i="2"/>
  <c r="AK426" i="2" a="1"/>
  <c r="AK426" i="2" s="1"/>
  <c r="AK427" i="2" a="1"/>
  <c r="AK427" i="2" s="1"/>
  <c r="AK428" i="2" a="1"/>
  <c r="AK428" i="2" s="1"/>
  <c r="AK429" i="2" a="1"/>
  <c r="AK429" i="2"/>
  <c r="AK430" i="2" a="1"/>
  <c r="AK430" i="2" s="1"/>
  <c r="AK431" i="2" a="1"/>
  <c r="AK431" i="2" s="1"/>
  <c r="AK432" i="2" a="1"/>
  <c r="AK432" i="2" s="1"/>
  <c r="AK433" i="2" a="1"/>
  <c r="AK433" i="2" s="1"/>
  <c r="AK434" i="2" a="1"/>
  <c r="AK434" i="2" s="1"/>
  <c r="AK435" i="2" a="1"/>
  <c r="AK435" i="2" s="1"/>
  <c r="AK436" i="2" a="1"/>
  <c r="AK436" i="2" s="1"/>
  <c r="AK437" i="2" a="1"/>
  <c r="AK437" i="2" s="1"/>
  <c r="AK438" i="2" a="1"/>
  <c r="AK438" i="2" s="1"/>
  <c r="AK439" i="2" a="1"/>
  <c r="AK439" i="2" s="1"/>
  <c r="AK440" i="2" a="1"/>
  <c r="AK440" i="2" s="1"/>
  <c r="AK441" i="2" a="1"/>
  <c r="AK441" i="2" s="1"/>
  <c r="AK442" i="2" a="1"/>
  <c r="AK442" i="2" s="1"/>
  <c r="AK443" i="2" a="1"/>
  <c r="AK443" i="2" s="1"/>
  <c r="AK444" i="2" a="1"/>
  <c r="AK444" i="2" s="1"/>
  <c r="AK445" i="2" a="1"/>
  <c r="AK445" i="2" s="1"/>
  <c r="AK446" i="2" a="1"/>
  <c r="AK446" i="2" s="1"/>
  <c r="AK447" i="2" a="1"/>
  <c r="AK447" i="2"/>
  <c r="AK448" i="2" a="1"/>
  <c r="AK448" i="2" s="1"/>
  <c r="AK449" i="2" a="1"/>
  <c r="AK449" i="2"/>
  <c r="AK450" i="2" a="1"/>
  <c r="AK450" i="2" s="1"/>
  <c r="AK451" i="2" a="1"/>
  <c r="AK451" i="2" s="1"/>
  <c r="AK452" i="2" a="1"/>
  <c r="AK452" i="2" s="1"/>
  <c r="AK453" i="2" a="1"/>
  <c r="AK453" i="2" s="1"/>
  <c r="AK454" i="2" a="1"/>
  <c r="AK454" i="2" s="1"/>
  <c r="AK455" i="2" a="1"/>
  <c r="AK455" i="2"/>
  <c r="AK456" i="2" a="1"/>
  <c r="AK456" i="2" s="1"/>
  <c r="AK457" i="2" a="1"/>
  <c r="AK457" i="2" s="1"/>
  <c r="AK458" i="2" a="1"/>
  <c r="AK458" i="2" s="1"/>
  <c r="AK459" i="2" a="1"/>
  <c r="AK459" i="2" s="1"/>
  <c r="AK460" i="2" a="1"/>
  <c r="AK460" i="2" s="1"/>
  <c r="AK461" i="2" a="1"/>
  <c r="AK461" i="2" s="1"/>
  <c r="AK462" i="2" a="1"/>
  <c r="AK462" i="2" s="1"/>
  <c r="AK463" i="2" a="1"/>
  <c r="AK463" i="2" s="1"/>
  <c r="AK464" i="2" a="1"/>
  <c r="AK464" i="2" s="1"/>
  <c r="AK465" i="2" a="1"/>
  <c r="AK465" i="2" s="1"/>
  <c r="AK466" i="2" a="1"/>
  <c r="AK466" i="2"/>
  <c r="AK467" i="2" a="1"/>
  <c r="AK467" i="2"/>
  <c r="AK468" i="2" a="1"/>
  <c r="AK468" i="2" s="1"/>
  <c r="AK469" i="2" a="1"/>
  <c r="AK469" i="2" s="1"/>
  <c r="AK470" i="2" a="1"/>
  <c r="AK470" i="2" s="1"/>
  <c r="AK471" i="2" a="1"/>
  <c r="AK471" i="2"/>
  <c r="AK472" i="2" a="1"/>
  <c r="AK472" i="2" s="1"/>
  <c r="AK473" i="2" a="1"/>
  <c r="AK473" i="2" s="1"/>
  <c r="AK474" i="2" a="1"/>
  <c r="AK474" i="2" s="1"/>
  <c r="AK475" i="2" a="1"/>
  <c r="AK475" i="2" s="1"/>
  <c r="AK476" i="2" a="1"/>
  <c r="AK476" i="2"/>
  <c r="AK477" i="2" a="1"/>
  <c r="AK477" i="2" s="1"/>
  <c r="AK478" i="2" a="1"/>
  <c r="AK478" i="2" s="1"/>
  <c r="AK479" i="2" a="1"/>
  <c r="AK479" i="2" s="1"/>
  <c r="AK480" i="2" a="1"/>
  <c r="AK480" i="2" s="1"/>
  <c r="AK481" i="2" a="1"/>
  <c r="AK481" i="2" s="1"/>
  <c r="AK482" i="2" a="1"/>
  <c r="AK482" i="2" s="1"/>
  <c r="AK483" i="2" a="1"/>
  <c r="AK483" i="2"/>
  <c r="AK484" i="2" a="1"/>
  <c r="AK484" i="2" s="1"/>
  <c r="AK485" i="2" a="1"/>
  <c r="AK485" i="2"/>
  <c r="AK486" i="2" a="1"/>
  <c r="AK486" i="2" s="1"/>
  <c r="AK487" i="2" a="1"/>
  <c r="AK487" i="2" s="1"/>
  <c r="AK488" i="2" a="1"/>
  <c r="AK488" i="2" s="1"/>
  <c r="AK489" i="2" a="1"/>
  <c r="AK489" i="2" s="1"/>
  <c r="AK490" i="2" a="1"/>
  <c r="AK490" i="2" s="1"/>
  <c r="AK491" i="2" a="1"/>
  <c r="AK491" i="2" s="1"/>
  <c r="AK492" i="2" a="1"/>
  <c r="AK492" i="2" s="1"/>
  <c r="AK493" i="2" a="1"/>
  <c r="AK493" i="2" s="1"/>
  <c r="AK494" i="2" a="1"/>
  <c r="AK494" i="2" s="1"/>
  <c r="AK495" i="2" a="1"/>
  <c r="AK495" i="2" s="1"/>
  <c r="AK496" i="2" a="1"/>
  <c r="AK496" i="2" s="1"/>
  <c r="AK497" i="2" a="1"/>
  <c r="AK497" i="2" s="1"/>
  <c r="AK498" i="2" a="1"/>
  <c r="AK498" i="2" s="1"/>
  <c r="AK499" i="2" a="1"/>
  <c r="AK499" i="2" s="1"/>
  <c r="AK500" i="2" a="1"/>
  <c r="AK500" i="2" s="1"/>
  <c r="AK501" i="2" a="1"/>
  <c r="AK501" i="2" s="1"/>
  <c r="AK502" i="2" a="1"/>
  <c r="AK502" i="2" s="1"/>
  <c r="AK503" i="2" a="1"/>
  <c r="AK503" i="2"/>
  <c r="AK504" i="2" a="1"/>
  <c r="AK504" i="2" s="1"/>
  <c r="AK505" i="2" a="1"/>
  <c r="AK505" i="2" s="1"/>
  <c r="AK506" i="2" a="1"/>
  <c r="AK506" i="2" s="1"/>
  <c r="AK507" i="2" a="1"/>
  <c r="AK507" i="2" s="1"/>
  <c r="AK508" i="2" a="1"/>
  <c r="AK508" i="2" s="1"/>
  <c r="AK509" i="2" a="1"/>
  <c r="AK509" i="2" s="1"/>
  <c r="AK510" i="2" a="1"/>
  <c r="AK510" i="2" s="1"/>
  <c r="AK511" i="2" a="1"/>
  <c r="AK511" i="2" s="1"/>
  <c r="AK512" i="2" a="1"/>
  <c r="AK512" i="2" s="1"/>
  <c r="AK513" i="2" a="1"/>
  <c r="AK513" i="2"/>
  <c r="AK514" i="2" a="1"/>
  <c r="AK514" i="2" s="1"/>
  <c r="AK515" i="2" a="1"/>
  <c r="AK515" i="2" s="1"/>
  <c r="AK516" i="2" a="1"/>
  <c r="AK516" i="2" s="1"/>
  <c r="AK517" i="2" a="1"/>
  <c r="AK517" i="2" s="1"/>
  <c r="AK518" i="2" a="1"/>
  <c r="AK518" i="2"/>
  <c r="AK519" i="2" a="1"/>
  <c r="AK519" i="2" s="1"/>
  <c r="AK520" i="2" a="1"/>
  <c r="AK520" i="2"/>
  <c r="AK521" i="2" a="1"/>
  <c r="AK521" i="2"/>
  <c r="AK522" i="2" a="1"/>
  <c r="AK522" i="2" s="1"/>
  <c r="AK523" i="2" a="1"/>
  <c r="AK523" i="2" s="1"/>
  <c r="AK524" i="2" a="1"/>
  <c r="AK524" i="2"/>
  <c r="AK525" i="2" a="1"/>
  <c r="AK525" i="2" s="1"/>
  <c r="AK526" i="2" a="1"/>
  <c r="AK526" i="2" s="1"/>
  <c r="AK527" i="2" a="1"/>
  <c r="AK527" i="2"/>
  <c r="AK528" i="2" a="1"/>
  <c r="AK528" i="2"/>
  <c r="AK529" i="2" a="1"/>
  <c r="AK529" i="2" s="1"/>
  <c r="AK530" i="2" a="1"/>
  <c r="AK530" i="2" s="1"/>
  <c r="AK531" i="2" a="1"/>
  <c r="AK531" i="2" s="1"/>
  <c r="AK532" i="2" a="1"/>
  <c r="AK532" i="2" s="1"/>
  <c r="AK533" i="2" a="1"/>
  <c r="AK533" i="2" s="1"/>
  <c r="AK534" i="2" a="1"/>
  <c r="AK534" i="2" s="1"/>
  <c r="AK535" i="2" a="1"/>
  <c r="AK535" i="2" s="1"/>
  <c r="AK536" i="2" a="1"/>
  <c r="AK536" i="2" s="1"/>
  <c r="AK537" i="2" a="1"/>
  <c r="AK537" i="2" s="1"/>
  <c r="AK538" i="2" a="1"/>
  <c r="AK538" i="2" s="1"/>
  <c r="AK539" i="2" a="1"/>
  <c r="AK539" i="2"/>
  <c r="AK540" i="2" a="1"/>
  <c r="AK540" i="2" s="1"/>
  <c r="AK541" i="2" a="1"/>
  <c r="AK541" i="2" s="1"/>
  <c r="AK542" i="2" a="1"/>
  <c r="AK542" i="2" s="1"/>
  <c r="AK543" i="2" a="1"/>
  <c r="AK543" i="2" s="1"/>
  <c r="AK544" i="2" a="1"/>
  <c r="AK544" i="2" s="1"/>
  <c r="AK545" i="2" a="1"/>
  <c r="AK545" i="2"/>
  <c r="AK546" i="2" a="1"/>
  <c r="AK546" i="2" s="1"/>
  <c r="AK547" i="2" a="1"/>
  <c r="AK547" i="2" s="1"/>
  <c r="AK548" i="2" a="1"/>
  <c r="AK548" i="2" s="1"/>
  <c r="AK549" i="2" a="1"/>
  <c r="AK549" i="2" s="1"/>
  <c r="AK550" i="2" a="1"/>
  <c r="AK550" i="2" s="1"/>
  <c r="AK551" i="2" a="1"/>
  <c r="AK551" i="2"/>
  <c r="AK552" i="2" a="1"/>
  <c r="AK552" i="2"/>
  <c r="AK553" i="2" a="1"/>
  <c r="AK553" i="2" s="1"/>
  <c r="AK554" i="2" a="1"/>
  <c r="AK554" i="2"/>
  <c r="AK555" i="2" a="1"/>
  <c r="AK555" i="2" s="1"/>
  <c r="AK556" i="2" a="1"/>
  <c r="AK556" i="2"/>
  <c r="AK557" i="2" a="1"/>
  <c r="AK557" i="2" s="1"/>
  <c r="AK558" i="2" a="1"/>
  <c r="AK558" i="2" s="1"/>
  <c r="AK559" i="2" a="1"/>
  <c r="AK559" i="2" s="1"/>
  <c r="AK560" i="2" a="1"/>
  <c r="AK560" i="2" s="1"/>
  <c r="AK561" i="2" a="1"/>
  <c r="AK561" i="2"/>
  <c r="AK562" i="2" a="1"/>
  <c r="AK562" i="2" s="1"/>
  <c r="AK563" i="2" a="1"/>
  <c r="AK563" i="2"/>
  <c r="AK564" i="2" a="1"/>
  <c r="AK564" i="2" s="1"/>
  <c r="AK565" i="2" a="1"/>
  <c r="AK565" i="2" s="1"/>
  <c r="AK566" i="2" a="1"/>
  <c r="AK566" i="2" s="1"/>
  <c r="AK567" i="2" a="1"/>
  <c r="AK567" i="2" s="1"/>
  <c r="AK568" i="2" a="1"/>
  <c r="AK568" i="2" s="1"/>
  <c r="AK569" i="2" a="1"/>
  <c r="AK569" i="2" s="1"/>
  <c r="AK570" i="2" a="1"/>
  <c r="AK570" i="2" s="1"/>
  <c r="AK571" i="2" a="1"/>
  <c r="AK571" i="2" s="1"/>
  <c r="AK572" i="2" a="1"/>
  <c r="AK572" i="2"/>
  <c r="AK573" i="2" a="1"/>
  <c r="AK573" i="2" s="1"/>
  <c r="AK574" i="2" a="1"/>
  <c r="AK574" i="2" s="1"/>
  <c r="AK575" i="2" a="1"/>
  <c r="AK575" i="2" s="1"/>
  <c r="AK576" i="2" a="1"/>
  <c r="AK576" i="2" s="1"/>
  <c r="AK577" i="2" a="1"/>
  <c r="AK577" i="2" s="1"/>
  <c r="AK578" i="2" a="1"/>
  <c r="AK578" i="2" s="1"/>
  <c r="AK579" i="2" a="1"/>
  <c r="AK579" i="2" s="1"/>
  <c r="AK580" i="2" a="1"/>
  <c r="AK580" i="2" s="1"/>
  <c r="AK581" i="2" a="1"/>
  <c r="AK581" i="2"/>
  <c r="AK582" i="2" a="1"/>
  <c r="AK582" i="2" s="1"/>
  <c r="AK583" i="2" a="1"/>
  <c r="AK583" i="2" s="1"/>
  <c r="AK584" i="2" a="1"/>
  <c r="AK584" i="2" s="1"/>
  <c r="AK585" i="2" a="1"/>
  <c r="AK585" i="2" s="1"/>
  <c r="AK586" i="2" a="1"/>
  <c r="AK586" i="2" s="1"/>
  <c r="AK587" i="2" a="1"/>
  <c r="AK587" i="2" s="1"/>
  <c r="AK588" i="2" a="1"/>
  <c r="AK588" i="2" s="1"/>
  <c r="AK589" i="2" a="1"/>
  <c r="AK589" i="2" s="1"/>
  <c r="AK590" i="2" a="1"/>
  <c r="AK590" i="2" s="1"/>
  <c r="AK591" i="2" a="1"/>
  <c r="AK591" i="2"/>
  <c r="AK592" i="2" a="1"/>
  <c r="AK592" i="2"/>
  <c r="AK593" i="2" a="1"/>
  <c r="AK593" i="2" s="1"/>
  <c r="AK594" i="2" a="1"/>
  <c r="AK594" i="2" s="1"/>
  <c r="AK595" i="2" a="1"/>
  <c r="AK595" i="2" s="1"/>
  <c r="AK596" i="2" a="1"/>
  <c r="AK596" i="2" s="1"/>
  <c r="AK597" i="2" a="1"/>
  <c r="AK597" i="2" s="1"/>
  <c r="AK598" i="2" a="1"/>
  <c r="AK598" i="2"/>
  <c r="AK599" i="2" a="1"/>
  <c r="AK599" i="2"/>
  <c r="AK600" i="2" a="1"/>
  <c r="AK600" i="2" s="1"/>
  <c r="AK601" i="2" a="1"/>
  <c r="AK601" i="2" s="1"/>
  <c r="AK602" i="2" a="1"/>
  <c r="AK602" i="2" s="1"/>
  <c r="AK603" i="2" a="1"/>
  <c r="AK603" i="2" s="1"/>
  <c r="AK604" i="2" a="1"/>
  <c r="AK604" i="2"/>
  <c r="AK605" i="2" a="1"/>
  <c r="AK605" i="2" s="1"/>
  <c r="AK606" i="2" a="1"/>
  <c r="AK606" i="2" s="1"/>
  <c r="AK607" i="2" a="1"/>
  <c r="AK607" i="2" s="1"/>
  <c r="AK608" i="2" a="1"/>
  <c r="AK608" i="2"/>
  <c r="AK609" i="2" a="1"/>
  <c r="AK609" i="2"/>
  <c r="AK610" i="2" a="1"/>
  <c r="AK610" i="2" s="1"/>
  <c r="AK611" i="2" a="1"/>
  <c r="AK611" i="2" s="1"/>
  <c r="AK612" i="2" a="1"/>
  <c r="AK612" i="2" s="1"/>
  <c r="AK613" i="2" a="1"/>
  <c r="AK613" i="2" s="1"/>
  <c r="AK614" i="2" a="1"/>
  <c r="AK614" i="2" s="1"/>
  <c r="AK615" i="2" a="1"/>
  <c r="AK615" i="2"/>
  <c r="AK616" i="2" a="1"/>
  <c r="AK616" i="2" s="1"/>
  <c r="AK617" i="2" a="1"/>
  <c r="AK617" i="2"/>
  <c r="AK618" i="2" a="1"/>
  <c r="AK618" i="2" s="1"/>
  <c r="AK619" i="2" a="1"/>
  <c r="AK619" i="2" s="1"/>
  <c r="AK620" i="2" a="1"/>
  <c r="AK620" i="2" s="1"/>
  <c r="AK621" i="2" a="1"/>
  <c r="AK621" i="2" s="1"/>
  <c r="AK622" i="2" a="1"/>
  <c r="AK622" i="2" s="1"/>
  <c r="AK623" i="2" a="1"/>
  <c r="AK623" i="2" s="1"/>
  <c r="AK624" i="2" a="1"/>
  <c r="AK624" i="2"/>
  <c r="AK625" i="2" a="1"/>
  <c r="AK625" i="2" s="1"/>
  <c r="AK626" i="2" a="1"/>
  <c r="AK626" i="2" s="1"/>
  <c r="AK627" i="2" a="1"/>
  <c r="AK627" i="2" s="1"/>
  <c r="AK628" i="2" a="1"/>
  <c r="AK628" i="2" s="1"/>
  <c r="AK629" i="2" a="1"/>
  <c r="AK629" i="2" s="1"/>
  <c r="AK630" i="2" a="1"/>
  <c r="AK630" i="2" s="1"/>
  <c r="AK631" i="2" a="1"/>
  <c r="AK631" i="2" s="1"/>
  <c r="AK632" i="2" a="1"/>
  <c r="AK632" i="2" s="1"/>
  <c r="AK633" i="2" a="1"/>
  <c r="AK633" i="2"/>
  <c r="AK634" i="2" a="1"/>
  <c r="AK634" i="2" s="1"/>
  <c r="AK635" i="2" a="1"/>
  <c r="AK635" i="2"/>
  <c r="AK636" i="2" a="1"/>
  <c r="AK636" i="2" s="1"/>
  <c r="AK637" i="2" a="1"/>
  <c r="AK637" i="2" s="1"/>
  <c r="AK638" i="2" a="1"/>
  <c r="AK638" i="2" s="1"/>
  <c r="AK639" i="2" a="1"/>
  <c r="AK639" i="2" s="1"/>
  <c r="AK640" i="2" a="1"/>
  <c r="AK640" i="2"/>
  <c r="AK641" i="2" a="1"/>
  <c r="AK641" i="2" s="1"/>
  <c r="AK642" i="2" a="1"/>
  <c r="AK642" i="2" s="1"/>
  <c r="AK643" i="2" a="1"/>
  <c r="AK643" i="2" s="1"/>
  <c r="AK644" i="2" a="1"/>
  <c r="AK644" i="2" s="1"/>
  <c r="AK645" i="2" a="1"/>
  <c r="AK645" i="2" s="1"/>
  <c r="AK646" i="2" a="1"/>
  <c r="AK646" i="2"/>
  <c r="AK647" i="2" a="1"/>
  <c r="AK647" i="2" s="1"/>
  <c r="AK648" i="2" a="1"/>
  <c r="AK648" i="2" s="1"/>
  <c r="AK649" i="2" a="1"/>
  <c r="AK649" i="2" s="1"/>
  <c r="AK650" i="2" a="1"/>
  <c r="AK650" i="2"/>
  <c r="AK651" i="2" a="1"/>
  <c r="AK651" i="2"/>
  <c r="AK652" i="2" a="1"/>
  <c r="AK652" i="2"/>
  <c r="AK653" i="2" a="1"/>
  <c r="AK653" i="2"/>
  <c r="AK654" i="2" a="1"/>
  <c r="AK654" i="2" s="1"/>
  <c r="AK655" i="2" a="1"/>
  <c r="AK655" i="2" s="1"/>
  <c r="AK656" i="2" a="1"/>
  <c r="AK656" i="2" s="1"/>
  <c r="AK657" i="2" a="1"/>
  <c r="AK657" i="2"/>
  <c r="AK658" i="2" a="1"/>
  <c r="AK658" i="2" s="1"/>
  <c r="AK659" i="2" a="1"/>
  <c r="AK659" i="2" s="1"/>
  <c r="AK660" i="2" a="1"/>
  <c r="AK660" i="2" s="1"/>
  <c r="AK661" i="2" a="1"/>
  <c r="AK661" i="2" s="1"/>
  <c r="AK662" i="2" a="1"/>
  <c r="AK662" i="2" s="1"/>
  <c r="AK663" i="2" a="1"/>
  <c r="AK663" i="2" s="1"/>
  <c r="AK664" i="2" a="1"/>
  <c r="AK664" i="2" s="1"/>
  <c r="AK665" i="2" a="1"/>
  <c r="AK665" i="2" s="1"/>
  <c r="AK666" i="2" a="1"/>
  <c r="AK666" i="2" s="1"/>
  <c r="AK667" i="2" a="1"/>
  <c r="AK667" i="2" s="1"/>
  <c r="AK668" i="2" a="1"/>
  <c r="AK668" i="2"/>
  <c r="AK669" i="2" a="1"/>
  <c r="AK669" i="2" s="1"/>
  <c r="AK670" i="2" a="1"/>
  <c r="AK670" i="2" s="1"/>
  <c r="AK671" i="2" a="1"/>
  <c r="AK671" i="2" s="1"/>
  <c r="AK672" i="2" a="1"/>
  <c r="AK672" i="2" s="1"/>
  <c r="AK673" i="2" a="1"/>
  <c r="AK673" i="2" s="1"/>
  <c r="AK674" i="2" a="1"/>
  <c r="AK674" i="2" s="1"/>
  <c r="AK675" i="2" a="1"/>
  <c r="AK675" i="2" s="1"/>
  <c r="AK676" i="2" a="1"/>
  <c r="AK676" i="2" s="1"/>
  <c r="AK677" i="2" a="1"/>
  <c r="AK677" i="2"/>
  <c r="AK678" i="2" a="1"/>
  <c r="AK678" i="2" s="1"/>
  <c r="AK679" i="2" a="1"/>
  <c r="AK679" i="2" s="1"/>
  <c r="AK680" i="2" a="1"/>
  <c r="AK680" i="2" s="1"/>
  <c r="AK681" i="2" a="1"/>
  <c r="AK681" i="2" s="1"/>
  <c r="AK682" i="2" a="1"/>
  <c r="AK682" i="2" s="1"/>
  <c r="AK683" i="2" a="1"/>
  <c r="AK683" i="2"/>
  <c r="AK684" i="2" a="1"/>
  <c r="AK684" i="2" s="1"/>
  <c r="AK685" i="2" a="1"/>
  <c r="AK685" i="2" s="1"/>
  <c r="AK686" i="2" a="1"/>
  <c r="AK686" i="2" s="1"/>
  <c r="AK687" i="2" a="1"/>
  <c r="AK687" i="2"/>
  <c r="AK688" i="2" a="1"/>
  <c r="AK688" i="2" s="1"/>
  <c r="AK689" i="2" a="1"/>
  <c r="AK689" i="2"/>
  <c r="AK690" i="2" a="1"/>
  <c r="AK690" i="2" s="1"/>
  <c r="AK691" i="2" a="1"/>
  <c r="AK691" i="2" s="1"/>
  <c r="AK692" i="2" a="1"/>
  <c r="AK692" i="2" s="1"/>
  <c r="AK693" i="2" a="1"/>
  <c r="AK693" i="2" s="1"/>
  <c r="AK694" i="2" a="1"/>
  <c r="AK694" i="2" s="1"/>
  <c r="AK695" i="2" a="1"/>
  <c r="AK695" i="2"/>
  <c r="AK696" i="2" a="1"/>
  <c r="AK696" i="2"/>
  <c r="AK697" i="2" a="1"/>
  <c r="AK697" i="2" s="1"/>
  <c r="AK698" i="2" a="1"/>
  <c r="AK698" i="2" s="1"/>
  <c r="AK699" i="2" a="1"/>
  <c r="AK699" i="2" s="1"/>
  <c r="AK700" i="2" a="1"/>
  <c r="AK700" i="2"/>
  <c r="AK701" i="2" a="1"/>
  <c r="AK701" i="2"/>
  <c r="AK702" i="2" a="1"/>
  <c r="AK702" i="2" s="1"/>
  <c r="AK703" i="2" a="1"/>
  <c r="AK703" i="2" s="1"/>
  <c r="AK704" i="2" a="1"/>
  <c r="AK704" i="2" s="1"/>
  <c r="AK705" i="2" a="1"/>
  <c r="AK705" i="2" s="1"/>
  <c r="AK706" i="2" a="1"/>
  <c r="AK706" i="2" s="1"/>
  <c r="AK707" i="2" a="1"/>
  <c r="AK707" i="2" s="1"/>
  <c r="AK708" i="2" a="1"/>
  <c r="AK708" i="2" s="1"/>
  <c r="AK709" i="2" a="1"/>
  <c r="AK709" i="2" s="1"/>
  <c r="AK710" i="2" a="1"/>
  <c r="AK710" i="2" s="1"/>
  <c r="AK711" i="2" a="1"/>
  <c r="AK711" i="2" s="1"/>
  <c r="AK712" i="2" a="1"/>
  <c r="AK712" i="2" s="1"/>
  <c r="AK713" i="2" a="1"/>
  <c r="AK713" i="2" s="1"/>
  <c r="AK714" i="2" a="1"/>
  <c r="AK714" i="2"/>
  <c r="AK715" i="2" a="1"/>
  <c r="AK715" i="2" s="1"/>
  <c r="AK716" i="2" a="1"/>
  <c r="AK716" i="2" s="1"/>
  <c r="AK717" i="2" a="1"/>
  <c r="AK717" i="2" s="1"/>
  <c r="AK718" i="2" a="1"/>
  <c r="AK718" i="2" s="1"/>
  <c r="AK719" i="2" a="1"/>
  <c r="AK719" i="2" s="1"/>
  <c r="AK720" i="2" a="1"/>
  <c r="AK720" i="2" s="1"/>
  <c r="AK721" i="2" a="1"/>
  <c r="AK721" i="2" s="1"/>
  <c r="AK722" i="2" a="1"/>
  <c r="AK722" i="2" s="1"/>
  <c r="AK723" i="2" a="1"/>
  <c r="AK723" i="2"/>
  <c r="AK724" i="2" a="1"/>
  <c r="AK724" i="2"/>
  <c r="AK725" i="2" a="1"/>
  <c r="AK725" i="2" s="1"/>
  <c r="AK726" i="2" a="1"/>
  <c r="AK726" i="2"/>
  <c r="AK727" i="2" a="1"/>
  <c r="AK727" i="2" s="1"/>
  <c r="AK728" i="2" a="1"/>
  <c r="AK728" i="2" s="1"/>
  <c r="AK729" i="2" a="1"/>
  <c r="AK729" i="2" s="1"/>
  <c r="AK730" i="2" a="1"/>
  <c r="AK730" i="2" s="1"/>
  <c r="AK731" i="2" a="1"/>
  <c r="AK731" i="2" s="1"/>
  <c r="AK732" i="2" a="1"/>
  <c r="AK732" i="2" s="1"/>
  <c r="AK733" i="2" a="1"/>
  <c r="AK733" i="2" s="1"/>
  <c r="AK734" i="2" a="1"/>
  <c r="AK734" i="2" s="1"/>
  <c r="AK735" i="2" a="1"/>
  <c r="AK735" i="2" s="1"/>
  <c r="AK736" i="2" a="1"/>
  <c r="AK736" i="2" s="1"/>
  <c r="AK737" i="2" a="1"/>
  <c r="AK737" i="2" s="1"/>
  <c r="AK738" i="2" a="1"/>
  <c r="AK738" i="2" s="1"/>
  <c r="AK739" i="2" a="1"/>
  <c r="AK739" i="2" s="1"/>
  <c r="AK740" i="2" a="1"/>
  <c r="AK740" i="2"/>
  <c r="AK741" i="2" a="1"/>
  <c r="AK741" i="2" s="1"/>
  <c r="AK742" i="2" a="1"/>
  <c r="AK742" i="2"/>
  <c r="AK743" i="2" a="1"/>
  <c r="AK743" i="2" s="1"/>
  <c r="AK744" i="2" a="1"/>
  <c r="AK744" i="2"/>
  <c r="AK745" i="2" a="1"/>
  <c r="AK745" i="2" s="1"/>
  <c r="AK746" i="2" a="1"/>
  <c r="AK746" i="2" s="1"/>
  <c r="AK747" i="2" a="1"/>
  <c r="AK747" i="2" s="1"/>
  <c r="AK748" i="2" a="1"/>
  <c r="AK748" i="2" s="1"/>
  <c r="AK749" i="2" a="1"/>
  <c r="AK749" i="2"/>
  <c r="AK750" i="2" a="1"/>
  <c r="AK750" i="2"/>
  <c r="AK751" i="2" a="1"/>
  <c r="AK751" i="2" s="1"/>
  <c r="AK752" i="2" a="1"/>
  <c r="AK752" i="2" s="1"/>
  <c r="AK753" i="2" a="1"/>
  <c r="AK753" i="2" s="1"/>
  <c r="AK754" i="2" a="1"/>
  <c r="AK754" i="2" s="1"/>
  <c r="AK755" i="2" a="1"/>
  <c r="AK755" i="2" s="1"/>
  <c r="AK756" i="2" a="1"/>
  <c r="AK756" i="2" s="1"/>
  <c r="AK757" i="2" a="1"/>
  <c r="AK757" i="2" s="1"/>
  <c r="AK758" i="2" a="1"/>
  <c r="AK758" i="2" s="1"/>
  <c r="AK759" i="2" a="1"/>
  <c r="AK759" i="2" s="1"/>
  <c r="AK760" i="2" a="1"/>
  <c r="AK760" i="2" s="1"/>
  <c r="AK761" i="2" a="1"/>
  <c r="AK761" i="2" s="1"/>
  <c r="AK762" i="2" a="1"/>
  <c r="AK762" i="2" s="1"/>
  <c r="AK763" i="2" a="1"/>
  <c r="AK763" i="2" s="1"/>
  <c r="AK764" i="2" a="1"/>
  <c r="AK764" i="2" s="1"/>
  <c r="AK765" i="2" a="1"/>
  <c r="AK765" i="2"/>
  <c r="AK766" i="2" a="1"/>
  <c r="AK766" i="2" s="1"/>
  <c r="AK767" i="2" a="1"/>
  <c r="AK767" i="2" s="1"/>
  <c r="AK768" i="2" a="1"/>
  <c r="AK768" i="2" s="1"/>
  <c r="AK769" i="2" a="1"/>
  <c r="AK769" i="2" s="1"/>
  <c r="AK770" i="2" a="1"/>
  <c r="AK770" i="2" s="1"/>
  <c r="AK771" i="2" a="1"/>
  <c r="AK771" i="2"/>
  <c r="AK772" i="2" a="1"/>
  <c r="AK772" i="2" s="1"/>
  <c r="AK773" i="2" a="1"/>
  <c r="AK773" i="2" s="1"/>
  <c r="AK774" i="2" a="1"/>
  <c r="AK774" i="2"/>
  <c r="AK775" i="2" a="1"/>
  <c r="AK775" i="2" s="1"/>
  <c r="AK776" i="2" a="1"/>
  <c r="AK776" i="2" s="1"/>
  <c r="AK777" i="2" a="1"/>
  <c r="AK777" i="2" s="1"/>
  <c r="AK778" i="2" a="1"/>
  <c r="AK778" i="2"/>
  <c r="AK779" i="2" a="1"/>
  <c r="AK779" i="2"/>
  <c r="AK780" i="2" a="1"/>
  <c r="AK780" i="2" s="1"/>
  <c r="AK781" i="2" a="1"/>
  <c r="AK781" i="2" s="1"/>
  <c r="AK782" i="2" a="1"/>
  <c r="AK782" i="2" s="1"/>
  <c r="AK783" i="2" a="1"/>
  <c r="AK783" i="2" s="1"/>
  <c r="AK784" i="2" a="1"/>
  <c r="AK784" i="2" s="1"/>
  <c r="AK785" i="2" a="1"/>
  <c r="AK785" i="2"/>
  <c r="AK786" i="2" a="1"/>
  <c r="AK786" i="2"/>
  <c r="AK787" i="2" a="1"/>
  <c r="AK787" i="2" s="1"/>
  <c r="AK788" i="2" a="1"/>
  <c r="AK788" i="2" s="1"/>
  <c r="AK789" i="2" a="1"/>
  <c r="AK789" i="2" s="1"/>
  <c r="AK790" i="2" a="1"/>
  <c r="AK790" i="2" s="1"/>
  <c r="AK791" i="2" a="1"/>
  <c r="AK791" i="2" s="1"/>
  <c r="AK792" i="2" a="1"/>
  <c r="AK792" i="2" s="1"/>
  <c r="AK793" i="2" a="1"/>
  <c r="AK793" i="2" s="1"/>
  <c r="AK794" i="2" a="1"/>
  <c r="AK794" i="2"/>
  <c r="AK795" i="2" a="1"/>
  <c r="AK795" i="2" s="1"/>
  <c r="AK796" i="2" a="1"/>
  <c r="AK796" i="2"/>
  <c r="AK797" i="2" a="1"/>
  <c r="AK797" i="2" s="1"/>
  <c r="AK798" i="2" a="1"/>
  <c r="AK798" i="2" s="1"/>
  <c r="AK799" i="2" a="1"/>
  <c r="AK799" i="2" s="1"/>
  <c r="AK800" i="2" a="1"/>
  <c r="AK800" i="2" s="1"/>
  <c r="AK801" i="2" a="1"/>
  <c r="AK801" i="2" s="1"/>
  <c r="AK802" i="2" a="1"/>
  <c r="AK802" i="2" s="1"/>
  <c r="AK803" i="2" a="1"/>
  <c r="AK803" i="2" s="1"/>
  <c r="AK804" i="2" a="1"/>
  <c r="AK804" i="2" s="1"/>
  <c r="AK805" i="2" a="1"/>
  <c r="AK805" i="2" s="1"/>
  <c r="AK806" i="2" a="1"/>
  <c r="AK806" i="2"/>
  <c r="AK807" i="2" a="1"/>
  <c r="AK807" i="2" s="1"/>
  <c r="AK808" i="2" a="1"/>
  <c r="AK808" i="2" s="1"/>
  <c r="AK809" i="2" a="1"/>
  <c r="AK809" i="2" s="1"/>
  <c r="AK810" i="2" a="1"/>
  <c r="AK810" i="2" s="1"/>
  <c r="AK811" i="2" a="1"/>
  <c r="AK811" i="2" s="1"/>
  <c r="AK812" i="2" a="1"/>
  <c r="AK812" i="2" s="1"/>
  <c r="AK813" i="2" a="1"/>
  <c r="AK813" i="2" s="1"/>
  <c r="AK814" i="2" a="1"/>
  <c r="AK814" i="2" s="1"/>
  <c r="AK815" i="2" a="1"/>
  <c r="AK815" i="2"/>
  <c r="AK816" i="2" a="1"/>
  <c r="AK816" i="2" s="1"/>
  <c r="AK817" i="2" a="1"/>
  <c r="AK817" i="2" s="1"/>
  <c r="AK818" i="2" a="1"/>
  <c r="AK818" i="2" s="1"/>
  <c r="AK819" i="2" a="1"/>
  <c r="AK819" i="2" s="1"/>
  <c r="AK820" i="2" a="1"/>
  <c r="AK820" i="2" s="1"/>
  <c r="AK821" i="2" a="1"/>
  <c r="AK821" i="2" s="1"/>
  <c r="AK822" i="2" a="1"/>
  <c r="AK822" i="2" s="1"/>
  <c r="AK823" i="2" a="1"/>
  <c r="AK823" i="2" s="1"/>
  <c r="AK824" i="2" a="1"/>
  <c r="AK824" i="2" s="1"/>
  <c r="AK825" i="2" a="1"/>
  <c r="AK825" i="2" s="1"/>
  <c r="AK826" i="2" a="1"/>
  <c r="AK826" i="2" s="1"/>
  <c r="AK827" i="2" a="1"/>
  <c r="AK827" i="2" s="1"/>
  <c r="AK828" i="2" a="1"/>
  <c r="AK828" i="2" s="1"/>
  <c r="AK829" i="2" a="1"/>
  <c r="AK829" i="2" s="1"/>
  <c r="AK830" i="2" a="1"/>
  <c r="AK830" i="2" s="1"/>
  <c r="AK831" i="2" a="1"/>
  <c r="AK831" i="2"/>
  <c r="AK832" i="2" a="1"/>
  <c r="AK832" i="2" s="1"/>
  <c r="AK833" i="2" a="1"/>
  <c r="AK833" i="2" s="1"/>
  <c r="AK834" i="2" a="1"/>
  <c r="AK834" i="2"/>
  <c r="AK835" i="2" a="1"/>
  <c r="AK835" i="2" s="1"/>
  <c r="AK836" i="2" a="1"/>
  <c r="AK836" i="2"/>
  <c r="AK837" i="2" a="1"/>
  <c r="AK837" i="2" s="1"/>
  <c r="AK838" i="2" a="1"/>
  <c r="AK838" i="2" s="1"/>
  <c r="AK839" i="2" a="1"/>
  <c r="AK839" i="2"/>
  <c r="AK840" i="2" a="1"/>
  <c r="AK840" i="2" s="1"/>
  <c r="AK841" i="2" a="1"/>
  <c r="AK841" i="2" s="1"/>
  <c r="AK842" i="2" a="1"/>
  <c r="AK842" i="2"/>
  <c r="AK843" i="2" a="1"/>
  <c r="AK843" i="2" s="1"/>
  <c r="AK844" i="2" a="1"/>
  <c r="AK844" i="2" s="1"/>
  <c r="AK845" i="2" a="1"/>
  <c r="AK845" i="2" s="1"/>
  <c r="AK846" i="2" a="1"/>
  <c r="AK846" i="2" s="1"/>
  <c r="AK847" i="2" a="1"/>
  <c r="AK847" i="2" s="1"/>
  <c r="AK848" i="2" a="1"/>
  <c r="AK848" i="2" s="1"/>
  <c r="AK849" i="2" a="1"/>
  <c r="AK849" i="2" s="1"/>
  <c r="AK850" i="2" a="1"/>
  <c r="AK850" i="2" s="1"/>
  <c r="AK851" i="2" a="1"/>
  <c r="AK851" i="2"/>
  <c r="AK852" i="2" a="1"/>
  <c r="AK852" i="2" s="1"/>
  <c r="AK853" i="2" a="1"/>
  <c r="AK853" i="2" s="1"/>
  <c r="AK854" i="2" a="1"/>
  <c r="AK854" i="2"/>
  <c r="AK855" i="2" a="1"/>
  <c r="AK855" i="2" s="1"/>
  <c r="AK856" i="2" a="1"/>
  <c r="AK856" i="2" s="1"/>
  <c r="AK857" i="2" a="1"/>
  <c r="AK857" i="2"/>
  <c r="AK858" i="2" a="1"/>
  <c r="AK858" i="2"/>
  <c r="AK859" i="2" a="1"/>
  <c r="AK859" i="2"/>
  <c r="AK860" i="2" a="1"/>
  <c r="AK860" i="2"/>
  <c r="AK861" i="2" a="1"/>
  <c r="AK861" i="2" s="1"/>
  <c r="AK862" i="2" a="1"/>
  <c r="AK862" i="2" s="1"/>
  <c r="AK863" i="2" a="1"/>
  <c r="AK863" i="2" s="1"/>
  <c r="AK864" i="2" a="1"/>
  <c r="AK864" i="2" s="1"/>
  <c r="AK865" i="2" a="1"/>
  <c r="AK865" i="2"/>
  <c r="AK866" i="2" a="1"/>
  <c r="AK866" i="2"/>
  <c r="AK867" i="2" a="1"/>
  <c r="AK867" i="2"/>
  <c r="AK868" i="2" a="1"/>
  <c r="AK868" i="2" s="1"/>
  <c r="AK869" i="2" a="1"/>
  <c r="AK869" i="2"/>
  <c r="AK870" i="2" a="1"/>
  <c r="AK870" i="2" s="1"/>
  <c r="AK871" i="2" a="1"/>
  <c r="AK871" i="2" s="1"/>
  <c r="AK872" i="2" a="1"/>
  <c r="AK872" i="2"/>
  <c r="AK873" i="2" a="1"/>
  <c r="AK873" i="2"/>
  <c r="AK874" i="2" a="1"/>
  <c r="AK874" i="2" s="1"/>
  <c r="AK875" i="2" a="1"/>
  <c r="AK875" i="2" s="1"/>
  <c r="AK876" i="2" a="1"/>
  <c r="AK876" i="2"/>
  <c r="AK877" i="2" a="1"/>
  <c r="AK877" i="2" s="1"/>
  <c r="AK878" i="2" a="1"/>
  <c r="AK878" i="2" s="1"/>
  <c r="AK879" i="2" a="1"/>
  <c r="AK879" i="2" s="1"/>
  <c r="AK880" i="2" a="1"/>
  <c r="AK880" i="2" s="1"/>
  <c r="AK881" i="2" a="1"/>
  <c r="AK881" i="2" s="1"/>
  <c r="AK882" i="2" a="1"/>
  <c r="AK882" i="2" s="1"/>
  <c r="AK883" i="2" a="1"/>
  <c r="AK883" i="2"/>
  <c r="AK884" i="2" a="1"/>
  <c r="AK884" i="2"/>
  <c r="AK885" i="2" a="1"/>
  <c r="AK885" i="2" s="1"/>
  <c r="AK886" i="2" a="1"/>
  <c r="AK886" i="2" s="1"/>
  <c r="AK887" i="2" a="1"/>
  <c r="AK887" i="2" s="1"/>
  <c r="AK888" i="2" a="1"/>
  <c r="AK888" i="2" s="1"/>
  <c r="AK889" i="2" a="1"/>
  <c r="AK889" i="2" s="1"/>
  <c r="AK890" i="2" a="1"/>
  <c r="AK890" i="2" s="1"/>
  <c r="AK891" i="2" a="1"/>
  <c r="AK891" i="2"/>
  <c r="AK892" i="2" a="1"/>
  <c r="AK892" i="2" s="1"/>
  <c r="AK893" i="2" a="1"/>
  <c r="AK893" i="2"/>
  <c r="AK894" i="2" a="1"/>
  <c r="AK894" i="2" s="1"/>
  <c r="AK895" i="2" a="1"/>
  <c r="AK895" i="2" s="1"/>
  <c r="AK896" i="2" a="1"/>
  <c r="AK896" i="2" s="1"/>
  <c r="AK897" i="2" a="1"/>
  <c r="AK897" i="2" s="1"/>
  <c r="AK898" i="2" a="1"/>
  <c r="AK898" i="2" s="1"/>
  <c r="AK899" i="2" a="1"/>
  <c r="AK899" i="2" s="1"/>
  <c r="AK900" i="2" a="1"/>
  <c r="AK900" i="2" s="1"/>
  <c r="AK901" i="2" a="1"/>
  <c r="AK901" i="2" s="1"/>
  <c r="AK902" i="2" a="1"/>
  <c r="AK902" i="2" s="1"/>
  <c r="AK903" i="2" a="1"/>
  <c r="AK903" i="2" s="1"/>
  <c r="AK904" i="2" a="1"/>
  <c r="AK904" i="2" s="1"/>
  <c r="AK905" i="2" a="1"/>
  <c r="AK905" i="2" s="1"/>
  <c r="AK906" i="2" a="1"/>
  <c r="AK906" i="2" s="1"/>
  <c r="AK907" i="2" a="1"/>
  <c r="AK907" i="2" s="1"/>
  <c r="AK908" i="2" a="1"/>
  <c r="AK908" i="2"/>
  <c r="AK909" i="2" a="1"/>
  <c r="AK909" i="2"/>
  <c r="AK910" i="2" a="1"/>
  <c r="AK910" i="2" s="1"/>
  <c r="AK911" i="2" a="1"/>
  <c r="AK911" i="2" s="1"/>
  <c r="AK912" i="2" a="1"/>
  <c r="AK912" i="2" s="1"/>
  <c r="AK913" i="2" a="1"/>
  <c r="AK913" i="2"/>
  <c r="AK914" i="2" a="1"/>
  <c r="AK914" i="2"/>
  <c r="AK915" i="2" a="1"/>
  <c r="AK915" i="2"/>
  <c r="AK916" i="2" a="1"/>
  <c r="AK916" i="2" s="1"/>
  <c r="AK917" i="2" a="1"/>
  <c r="AK917" i="2" s="1"/>
  <c r="AK918" i="2" a="1"/>
  <c r="AK918" i="2" s="1"/>
  <c r="AK919" i="2" a="1"/>
  <c r="AK919" i="2" s="1"/>
  <c r="AK920" i="2" a="1"/>
  <c r="AK920" i="2" s="1"/>
  <c r="AK921" i="2" a="1"/>
  <c r="AK921" i="2"/>
  <c r="AK922" i="2" a="1"/>
  <c r="AK922" i="2" s="1"/>
  <c r="AK923" i="2" a="1"/>
  <c r="AK923" i="2" s="1"/>
  <c r="AK924" i="2" a="1"/>
  <c r="AK924" i="2" s="1"/>
  <c r="AK925" i="2" a="1"/>
  <c r="AK925" i="2" s="1"/>
  <c r="AK926" i="2" a="1"/>
  <c r="AK926" i="2"/>
  <c r="AK927" i="2" a="1"/>
  <c r="AK927" i="2" s="1"/>
  <c r="AK928" i="2" a="1"/>
  <c r="AK928" i="2" s="1"/>
  <c r="AK929" i="2" a="1"/>
  <c r="AK929" i="2" s="1"/>
  <c r="AK930" i="2" a="1"/>
  <c r="AK930" i="2"/>
  <c r="AK931" i="2" a="1"/>
  <c r="AK931" i="2"/>
  <c r="AK932" i="2" a="1"/>
  <c r="AK932" i="2" s="1"/>
  <c r="AK933" i="2" a="1"/>
  <c r="AK933" i="2" s="1"/>
  <c r="AK934" i="2" a="1"/>
  <c r="AK934" i="2" s="1"/>
  <c r="AK935" i="2" a="1"/>
  <c r="AK935" i="2" s="1"/>
  <c r="AK936" i="2" a="1"/>
  <c r="AK936" i="2" s="1"/>
  <c r="AK937" i="2" a="1"/>
  <c r="AK937" i="2"/>
  <c r="AK938" i="2" a="1"/>
  <c r="AK938" i="2"/>
  <c r="AK939" i="2" a="1"/>
  <c r="AK939" i="2" s="1"/>
  <c r="AK940" i="2" a="1"/>
  <c r="AK940" i="2" s="1"/>
  <c r="AK941" i="2" a="1"/>
  <c r="AK941" i="2" s="1"/>
  <c r="AK942" i="2" a="1"/>
  <c r="AK942" i="2" s="1"/>
  <c r="AK943" i="2" a="1"/>
  <c r="AK943" i="2" s="1"/>
  <c r="AK944" i="2" a="1"/>
  <c r="AK944" i="2" s="1"/>
  <c r="AK945" i="2" a="1"/>
  <c r="AK945" i="2"/>
  <c r="AK946" i="2" a="1"/>
  <c r="AK946" i="2" s="1"/>
  <c r="AK947" i="2" a="1"/>
  <c r="AK947" i="2" s="1"/>
  <c r="AK948" i="2" a="1"/>
  <c r="AK948" i="2" s="1"/>
  <c r="AK949" i="2" a="1"/>
  <c r="AK949" i="2" s="1"/>
  <c r="AK950" i="2" a="1"/>
  <c r="AK950" i="2" s="1"/>
  <c r="AK951" i="2" a="1"/>
  <c r="AK951" i="2" s="1"/>
  <c r="AK952" i="2" a="1"/>
  <c r="AK952" i="2" s="1"/>
  <c r="AK953" i="2" a="1"/>
  <c r="AK953" i="2" s="1"/>
  <c r="AK954" i="2" a="1"/>
  <c r="AK954" i="2"/>
  <c r="AK955" i="2" a="1"/>
  <c r="AK955" i="2" s="1"/>
  <c r="AK956" i="2" a="1"/>
  <c r="AK956" i="2"/>
  <c r="AK957" i="2" a="1"/>
  <c r="AK957" i="2" s="1"/>
  <c r="AK958" i="2" a="1"/>
  <c r="AK958" i="2" s="1"/>
  <c r="AK959" i="2" a="1"/>
  <c r="AK959" i="2" s="1"/>
  <c r="AK960" i="2" a="1"/>
  <c r="AK960" i="2" s="1"/>
  <c r="AK961" i="2" a="1"/>
  <c r="AK961" i="2"/>
  <c r="AK962" i="2" a="1"/>
  <c r="AK962" i="2"/>
  <c r="AK963" i="2" a="1"/>
  <c r="AK963" i="2" s="1"/>
  <c r="AK964" i="2" a="1"/>
  <c r="AK964" i="2" s="1"/>
  <c r="AK965" i="2" a="1"/>
  <c r="AK965" i="2"/>
  <c r="AK966" i="2" a="1"/>
  <c r="AK966" i="2" s="1"/>
  <c r="AK967" i="2" a="1"/>
  <c r="AK967" i="2" s="1"/>
  <c r="AK968" i="2" a="1"/>
  <c r="AK968" i="2" s="1"/>
  <c r="AK969" i="2" a="1"/>
  <c r="AK969" i="2" s="1"/>
  <c r="AK970" i="2" a="1"/>
  <c r="AK970" i="2" s="1"/>
  <c r="AK971" i="2" a="1"/>
  <c r="AK971" i="2" s="1"/>
  <c r="AK972" i="2" a="1"/>
  <c r="AK972" i="2" s="1"/>
  <c r="AK973" i="2" a="1"/>
  <c r="AK973" i="2" s="1"/>
  <c r="AK974" i="2" a="1"/>
  <c r="AK974" i="2" s="1"/>
  <c r="AK975" i="2" a="1"/>
  <c r="AK975" i="2" s="1"/>
  <c r="AK976" i="2" a="1"/>
  <c r="AK976" i="2" s="1"/>
  <c r="AK977" i="2" a="1"/>
  <c r="AK977" i="2" s="1"/>
  <c r="AK978" i="2" a="1"/>
  <c r="AK978" i="2" s="1"/>
  <c r="AK979" i="2" a="1"/>
  <c r="AK979" i="2" s="1"/>
  <c r="AK980" i="2" a="1"/>
  <c r="AK980" i="2"/>
  <c r="AK981" i="2" a="1"/>
  <c r="AK981" i="2"/>
  <c r="AK982" i="2" a="1"/>
  <c r="AK982" i="2" s="1"/>
  <c r="AK983" i="2" a="1"/>
  <c r="AK983" i="2" s="1"/>
  <c r="AK984" i="2" a="1"/>
  <c r="AK984" i="2" s="1"/>
  <c r="AK985" i="2" a="1"/>
  <c r="AK985" i="2"/>
  <c r="AK986" i="2" a="1"/>
  <c r="AK986" i="2"/>
  <c r="AK987" i="2" a="1"/>
  <c r="AK987" i="2"/>
  <c r="AK988" i="2" a="1"/>
  <c r="AK988" i="2" s="1"/>
  <c r="AK989" i="2" a="1"/>
  <c r="AK989" i="2" s="1"/>
  <c r="AK990" i="2" a="1"/>
  <c r="AK990" i="2" s="1"/>
  <c r="AK991" i="2" a="1"/>
  <c r="AK991" i="2" s="1"/>
  <c r="AK992" i="2" a="1"/>
  <c r="AK992" i="2" s="1"/>
  <c r="AK993" i="2" a="1"/>
  <c r="AK993" i="2"/>
  <c r="AK994" i="2" a="1"/>
  <c r="AK994" i="2" s="1"/>
  <c r="AK995" i="2" a="1"/>
  <c r="AK995" i="2" s="1"/>
  <c r="AK996" i="2" a="1"/>
  <c r="AK996" i="2" s="1"/>
  <c r="AK997" i="2" a="1"/>
  <c r="AK997" i="2" s="1"/>
  <c r="AK998" i="2" a="1"/>
  <c r="AK998" i="2"/>
  <c r="AK999" i="2" a="1"/>
  <c r="AK999" i="2" s="1"/>
  <c r="AK1000" i="2" a="1"/>
  <c r="AK1000" i="2" s="1"/>
  <c r="AK1001" i="2" a="1"/>
  <c r="AK1001" i="2" s="1"/>
  <c r="AK1002" i="2" a="1"/>
  <c r="AK1002" i="2"/>
  <c r="AK1003" i="2" a="1"/>
  <c r="AK1003" i="2"/>
  <c r="AK1004" i="2" a="1"/>
  <c r="AK1004" i="2" s="1"/>
  <c r="AK1005" i="2" a="1"/>
  <c r="AK1005" i="2" s="1"/>
  <c r="AK1006" i="2" a="1"/>
  <c r="AK1006" i="2" s="1"/>
  <c r="AK1007" i="2" a="1"/>
  <c r="AK1007" i="2" s="1"/>
  <c r="AK1008" i="2" a="1"/>
  <c r="AK1008" i="2" s="1"/>
  <c r="AK1009" i="2" a="1"/>
  <c r="AK1009" i="2"/>
  <c r="AK1010" i="2" a="1"/>
  <c r="AK1010" i="2"/>
  <c r="AK1011" i="2" a="1"/>
  <c r="AK1011" i="2" s="1"/>
  <c r="AK1012" i="2" a="1"/>
  <c r="AK1012" i="2" s="1"/>
  <c r="AK1013" i="2" a="1"/>
  <c r="AK1013" i="2" s="1"/>
  <c r="AK1014" i="2" a="1"/>
  <c r="AK1014" i="2" s="1"/>
  <c r="AK1015" i="2" a="1"/>
  <c r="AK1015" i="2" s="1"/>
  <c r="AK1016" i="2" a="1"/>
  <c r="AK1016" i="2" s="1"/>
  <c r="AK1017" i="2" a="1"/>
  <c r="AK1017" i="2"/>
  <c r="AK1018" i="2" a="1"/>
  <c r="AK1018" i="2" s="1"/>
  <c r="AK1019" i="2" a="1"/>
  <c r="AK1019" i="2" s="1"/>
  <c r="AK1020" i="2" a="1"/>
  <c r="AK1020" i="2" s="1"/>
  <c r="AK1021" i="2" a="1"/>
  <c r="AK1021" i="2" s="1"/>
  <c r="AK1022" i="2" a="1"/>
  <c r="AK1022" i="2"/>
  <c r="AK1023" i="2" a="1"/>
  <c r="AK1023" i="2" s="1"/>
  <c r="AK1024" i="2" a="1"/>
  <c r="AK1024" i="2" s="1"/>
  <c r="AK1025" i="2" a="1"/>
  <c r="AK1025" i="2"/>
  <c r="AK1026" i="2" a="1"/>
  <c r="AK1026" i="2"/>
  <c r="AK1027" i="2" a="1"/>
  <c r="AK1027" i="2"/>
  <c r="AK1028" i="2" a="1"/>
  <c r="AK1028" i="2" s="1"/>
  <c r="AK1029" i="2" a="1"/>
  <c r="AK1029" i="2" s="1"/>
  <c r="AK1030" i="2" a="1"/>
  <c r="AK1030" i="2" s="1"/>
  <c r="AK1031" i="2" a="1"/>
  <c r="AK1031" i="2" s="1"/>
  <c r="AK1032" i="2" a="1"/>
  <c r="AK1032" i="2" s="1"/>
  <c r="AK1033" i="2" a="1"/>
  <c r="AK1033" i="2" s="1"/>
  <c r="AK1034" i="2" a="1"/>
  <c r="AK1034" i="2"/>
  <c r="AK1035" i="2" a="1"/>
  <c r="AK1035" i="2"/>
  <c r="AK1036" i="2" a="1"/>
  <c r="AK1036" i="2" s="1"/>
  <c r="AK1037" i="2" a="1"/>
  <c r="AK1037" i="2" s="1"/>
  <c r="AK1038" i="2" a="1"/>
  <c r="AK1038" i="2" s="1"/>
  <c r="AK1039" i="2" a="1"/>
  <c r="AK1039" i="2" s="1"/>
  <c r="AK1040" i="2" a="1"/>
  <c r="AK1040" i="2" s="1"/>
  <c r="AK1041" i="2" a="1"/>
  <c r="AK1041" i="2"/>
  <c r="AK1042" i="2" a="1"/>
  <c r="AK1042" i="2" s="1"/>
  <c r="AK1043" i="2" a="1"/>
  <c r="AK1043" i="2" s="1"/>
  <c r="AK1044" i="2" a="1"/>
  <c r="AK1044" i="2" s="1"/>
  <c r="AK1045" i="2" a="1"/>
  <c r="AK1045" i="2" s="1"/>
  <c r="AK1046" i="2" a="1"/>
  <c r="AK1046" i="2" s="1"/>
  <c r="AK1047" i="2" a="1"/>
  <c r="AK1047" i="2" s="1"/>
  <c r="AK1048" i="2" a="1"/>
  <c r="AK1048" i="2" s="1"/>
  <c r="AK1049" i="2" a="1"/>
  <c r="AK1049" i="2" s="1"/>
  <c r="AK1050" i="2" a="1"/>
  <c r="AK1050" i="2"/>
  <c r="AK1051" i="2" a="1"/>
  <c r="AK1051" i="2" s="1"/>
  <c r="AK1052" i="2" a="1"/>
  <c r="AK1052" i="2"/>
  <c r="AK1053" i="2" a="1"/>
  <c r="AK1053" i="2" s="1"/>
  <c r="AK1054" i="2" a="1"/>
  <c r="AK1054" i="2" s="1"/>
  <c r="AK1055" i="2" a="1"/>
  <c r="AK1055" i="2"/>
  <c r="AK1056" i="2" a="1"/>
  <c r="AK1056" i="2" s="1"/>
  <c r="AK1057" i="2" a="1"/>
  <c r="AK1057" i="2" s="1"/>
  <c r="AK1058" i="2" a="1"/>
  <c r="AK1058" i="2" s="1"/>
  <c r="AK1059" i="2" a="1"/>
  <c r="AK1059" i="2"/>
  <c r="AK1060" i="2" a="1"/>
  <c r="AK1060" i="2" s="1"/>
  <c r="AK1061" i="2" a="1"/>
  <c r="AK1061" i="2" s="1"/>
  <c r="AK1062" i="2" a="1"/>
  <c r="AK1062" i="2" s="1"/>
  <c r="AK1063" i="2" a="1"/>
  <c r="AK1063" i="2" s="1"/>
  <c r="AK1064" i="2" a="1"/>
  <c r="AK1064" i="2" s="1"/>
  <c r="AK1065" i="2" a="1"/>
  <c r="AK1065" i="2" s="1"/>
  <c r="AK1066" i="2" a="1"/>
  <c r="AK1066" i="2" s="1"/>
  <c r="AK1067" i="2" a="1"/>
  <c r="AK1067" i="2" s="1"/>
  <c r="AK1068" i="2" a="1"/>
  <c r="AK1068" i="2" s="1"/>
  <c r="AK1069" i="2" a="1"/>
  <c r="AK1069" i="2" s="1"/>
  <c r="AK1070" i="2" a="1"/>
  <c r="AK1070" i="2" s="1"/>
  <c r="AK1071" i="2" a="1"/>
  <c r="AK1071" i="2"/>
  <c r="AK1072" i="2" a="1"/>
  <c r="AK1072" i="2" s="1"/>
  <c r="AK1073" i="2" a="1"/>
  <c r="AK1073" i="2" s="1"/>
  <c r="AK1074" i="2" a="1"/>
  <c r="AK1074" i="2"/>
  <c r="AK1075" i="2" a="1"/>
  <c r="AK1075" i="2" s="1"/>
  <c r="AK1076" i="2" a="1"/>
  <c r="AK1076" i="2" s="1"/>
  <c r="AK1077" i="2" a="1"/>
  <c r="AK1077" i="2"/>
  <c r="AK1078" i="2" a="1"/>
  <c r="AK1078" i="2" s="1"/>
  <c r="AK1079" i="2" a="1"/>
  <c r="AK1079" i="2"/>
  <c r="AK1080" i="2" a="1"/>
  <c r="AK1080" i="2" s="1"/>
  <c r="AK1081" i="2" a="1"/>
  <c r="AK1081" i="2" s="1"/>
  <c r="AK1082" i="2" a="1"/>
  <c r="AK1082" i="2" s="1"/>
  <c r="AK1083" i="2" a="1"/>
  <c r="AK1083" i="2" s="1"/>
  <c r="AK1084" i="2" a="1"/>
  <c r="AK1084" i="2" s="1"/>
  <c r="AK1085" i="2" a="1"/>
  <c r="AK1085" i="2" s="1"/>
  <c r="AK1086" i="2" a="1"/>
  <c r="AK1086" i="2" s="1"/>
  <c r="AK1087" i="2" a="1"/>
  <c r="AK1087" i="2" s="1"/>
  <c r="AK1088" i="2" a="1"/>
  <c r="AK1088" i="2" s="1"/>
  <c r="AK1089" i="2" a="1"/>
  <c r="AK1089" i="2"/>
  <c r="AK1090" i="2" a="1"/>
  <c r="AK1090" i="2" s="1"/>
  <c r="AK1091" i="2" a="1"/>
  <c r="AK1091" i="2" s="1"/>
  <c r="AK1092" i="2" a="1"/>
  <c r="AK1092" i="2" s="1"/>
  <c r="AK1093" i="2" a="1"/>
  <c r="AK1093" i="2" s="1"/>
  <c r="AK1094" i="2" a="1"/>
  <c r="AK1094" i="2" s="1"/>
  <c r="AK1095" i="2" a="1"/>
  <c r="AK1095" i="2"/>
  <c r="AK1096" i="2" a="1"/>
  <c r="AK1096" i="2" s="1"/>
  <c r="AK1097" i="2" a="1"/>
  <c r="AK1097" i="2" s="1"/>
  <c r="AK1098" i="2" a="1"/>
  <c r="AK1098" i="2"/>
  <c r="AK1099" i="2" a="1"/>
  <c r="AK1099" i="2" s="1"/>
  <c r="AK1100" i="2" a="1"/>
  <c r="AK1100" i="2" s="1"/>
  <c r="AK1101" i="2" a="1"/>
  <c r="AK1101" i="2" s="1"/>
  <c r="AK1102" i="2" a="1"/>
  <c r="AK1102" i="2" s="1"/>
  <c r="AK1103" i="2" a="1"/>
  <c r="AK1103" i="2" s="1"/>
  <c r="AK1104" i="2" a="1"/>
  <c r="AK1104" i="2" s="1"/>
  <c r="AK1105" i="2" a="1"/>
  <c r="AK1105" i="2" s="1"/>
  <c r="AK1106" i="2" a="1"/>
  <c r="AK1106" i="2" s="1"/>
  <c r="AK1107" i="2" a="1"/>
  <c r="AK1107" i="2"/>
  <c r="AK1108" i="2" a="1"/>
  <c r="AK1108" i="2" s="1"/>
  <c r="AK1109" i="2" a="1"/>
  <c r="AK1109" i="2" s="1"/>
  <c r="AK1110" i="2" a="1"/>
  <c r="AK1110" i="2" s="1"/>
  <c r="AK1111" i="2" a="1"/>
  <c r="AK1111" i="2" s="1"/>
  <c r="AK1112" i="2" a="1"/>
  <c r="AK1112" i="2" s="1"/>
  <c r="AK1113" i="2" a="1"/>
  <c r="AK1113" i="2" s="1"/>
  <c r="AK1114" i="2" a="1"/>
  <c r="AK1114" i="2" s="1"/>
  <c r="AK1115" i="2" a="1"/>
  <c r="AK1115" i="2" s="1"/>
  <c r="AK1116" i="2" a="1"/>
  <c r="AK1116" i="2" s="1"/>
  <c r="AK1117" i="2" a="1"/>
  <c r="AK1117" i="2" s="1"/>
  <c r="AK1118" i="2" a="1"/>
  <c r="AK1118" i="2" s="1"/>
  <c r="AK1119" i="2" a="1"/>
  <c r="AK1119" i="2"/>
  <c r="AK1120" i="2" a="1"/>
  <c r="AK1120" i="2" s="1"/>
  <c r="AK1121" i="2" a="1"/>
  <c r="AK1121" i="2"/>
  <c r="AK1122" i="2" a="1"/>
  <c r="AK1122" i="2" s="1"/>
  <c r="AK1123" i="2" a="1"/>
  <c r="AK1123" i="2" s="1"/>
  <c r="AK1124" i="2" a="1"/>
  <c r="AK1124" i="2" s="1"/>
  <c r="AK1125" i="2" a="1"/>
  <c r="AK1125" i="2" s="1"/>
  <c r="AK1126" i="2" a="1"/>
  <c r="AK1126" i="2"/>
  <c r="AK1127" i="2" a="1"/>
  <c r="AK1127" i="2" s="1"/>
  <c r="AK1128" i="2" a="1"/>
  <c r="AK1128" i="2" s="1"/>
  <c r="AK1129" i="2" a="1"/>
  <c r="AK1129" i="2" s="1"/>
  <c r="AK1130" i="2" a="1"/>
  <c r="AK1130" i="2" s="1"/>
  <c r="AK1131" i="2" a="1"/>
  <c r="AK1131" i="2"/>
  <c r="AK1132" i="2" a="1"/>
  <c r="AK1132" i="2"/>
  <c r="AK1133" i="2" a="1"/>
  <c r="AK1133" i="2" s="1"/>
  <c r="AK1134" i="2" a="1"/>
  <c r="AK1134" i="2"/>
  <c r="AK1135" i="2" a="1"/>
  <c r="AK1135" i="2" s="1"/>
  <c r="AK1136" i="2" a="1"/>
  <c r="AK1136" i="2" s="1"/>
  <c r="AK1137" i="2" a="1"/>
  <c r="AK1137" i="2"/>
  <c r="AK1138" i="2" a="1"/>
  <c r="AK1138" i="2" s="1"/>
  <c r="AK1139" i="2" a="1"/>
  <c r="AK1139" i="2" s="1"/>
  <c r="AK1140" i="2" a="1"/>
  <c r="AK1140" i="2" s="1"/>
  <c r="AK1141" i="2" a="1"/>
  <c r="AK1141" i="2"/>
  <c r="AK1142" i="2" a="1"/>
  <c r="AK1142" i="2" s="1"/>
  <c r="AK1143" i="2" a="1"/>
  <c r="AK1143" i="2"/>
  <c r="AK1144" i="2" a="1"/>
  <c r="AK1144" i="2" s="1"/>
  <c r="AK1145" i="2" a="1"/>
  <c r="AK1145" i="2"/>
  <c r="AK1146" i="2" a="1"/>
  <c r="AK1146" i="2" s="1"/>
  <c r="AK1147" i="2" a="1"/>
  <c r="AK1147" i="2" s="1"/>
  <c r="AK1148" i="2" a="1"/>
  <c r="AK1148" i="2" s="1"/>
  <c r="AK1149" i="2" a="1"/>
  <c r="AK1149" i="2" s="1"/>
  <c r="AK1150" i="2" a="1"/>
  <c r="AK1150" i="2"/>
  <c r="AK1151" i="2" a="1"/>
  <c r="AK1151" i="2" s="1"/>
  <c r="AK1152" i="2" a="1"/>
  <c r="AK1152" i="2" s="1"/>
  <c r="AK1153" i="2" a="1"/>
  <c r="AK1153" i="2" s="1"/>
  <c r="AK1154" i="2" a="1"/>
  <c r="AK1154" i="2" s="1"/>
  <c r="AK1155" i="2" a="1"/>
  <c r="AK1155" i="2" s="1"/>
  <c r="AK1156" i="2" a="1"/>
  <c r="AK1156" i="2" s="1"/>
  <c r="AK1157" i="2" a="1"/>
  <c r="AK1157" i="2"/>
  <c r="AK1158" i="2" a="1"/>
  <c r="AK1158" i="2"/>
  <c r="AK1159" i="2" a="1"/>
  <c r="AK1159" i="2" s="1"/>
  <c r="AK1160" i="2" a="1"/>
  <c r="AK1160" i="2" s="1"/>
  <c r="AK1161" i="2" a="1"/>
  <c r="AK1161" i="2" s="1"/>
  <c r="AK1162" i="2" a="1"/>
  <c r="AK1162" i="2" s="1"/>
  <c r="AK1163" i="2" a="1"/>
  <c r="AK1163" i="2"/>
  <c r="AK1164" i="2" a="1"/>
  <c r="AK1164" i="2" s="1"/>
  <c r="AK1165" i="2" a="1"/>
  <c r="AK1165" i="2" s="1"/>
  <c r="AK1166" i="2" a="1"/>
  <c r="AK1166" i="2" s="1"/>
  <c r="AK1167" i="2" a="1"/>
  <c r="AK1167" i="2"/>
  <c r="AK1168" i="2" a="1"/>
  <c r="AK1168" i="2" s="1"/>
  <c r="AK1169" i="2" a="1"/>
  <c r="AK1169" i="2" s="1"/>
  <c r="AK1170" i="2" a="1"/>
  <c r="AK1170" i="2" s="1"/>
  <c r="AK1171" i="2" a="1"/>
  <c r="AK1171" i="2" s="1"/>
  <c r="AK1172" i="2" a="1"/>
  <c r="AK1172" i="2" s="1"/>
  <c r="AK1173" i="2" a="1"/>
  <c r="AK1173" i="2" s="1"/>
  <c r="AK1174" i="2" a="1"/>
  <c r="AK1174" i="2"/>
  <c r="AK1175" i="2" a="1"/>
  <c r="AK1175" i="2" s="1"/>
  <c r="AK1176" i="2" a="1"/>
  <c r="AK1176" i="2" s="1"/>
  <c r="AK1177" i="2" a="1"/>
  <c r="AK1177" i="2" s="1"/>
  <c r="AK1178" i="2" a="1"/>
  <c r="AK1178" i="2" s="1"/>
  <c r="AK1179" i="2" a="1"/>
  <c r="AK1179" i="2" s="1"/>
  <c r="AK1180" i="2" a="1"/>
  <c r="AK1180" i="2"/>
  <c r="AK1181" i="2" a="1"/>
  <c r="AK1181" i="2" s="1"/>
  <c r="AK1182" i="2" a="1"/>
  <c r="AK1182" i="2"/>
  <c r="AK1183" i="2" a="1"/>
  <c r="AK1183" i="2" s="1"/>
  <c r="AK1184" i="2" a="1"/>
  <c r="AK1184" i="2" s="1"/>
  <c r="AK1185" i="2" a="1"/>
  <c r="AK1185" i="2" s="1"/>
  <c r="AK1186" i="2" a="1"/>
  <c r="AK1186" i="2" s="1"/>
  <c r="AK1187" i="2" a="1"/>
  <c r="AK1187" i="2"/>
  <c r="AK1188" i="2" a="1"/>
  <c r="AK1188" i="2" s="1"/>
  <c r="AK1189" i="2" a="1"/>
  <c r="AK1189" i="2" s="1"/>
  <c r="AK1190" i="2" a="1"/>
  <c r="AK1190" i="2" s="1"/>
  <c r="AK1191" i="2" a="1"/>
  <c r="AK1191" i="2"/>
  <c r="AK1192" i="2" a="1"/>
  <c r="AK1192" i="2" s="1"/>
  <c r="AK1193" i="2" a="1"/>
  <c r="AK1193" i="2"/>
  <c r="AK1194" i="2" a="1"/>
  <c r="AK1194" i="2" s="1"/>
  <c r="AK1195" i="2" a="1"/>
  <c r="AK1195" i="2" s="1"/>
  <c r="AK1196" i="2" a="1"/>
  <c r="AK1196" i="2" s="1"/>
  <c r="AK1197" i="2" a="1"/>
  <c r="AK1197" i="2" s="1"/>
  <c r="AK1198" i="2" a="1"/>
  <c r="AK1198" i="2" s="1"/>
  <c r="AK1199" i="2" a="1"/>
  <c r="AK1199" i="2" s="1"/>
  <c r="AK1200" i="2" a="1"/>
  <c r="AK1200" i="2"/>
  <c r="AK1201" i="2" a="1"/>
  <c r="AK1201" i="2" s="1"/>
  <c r="AK1202" i="2" a="1"/>
  <c r="AK1202" i="2" s="1"/>
  <c r="AK1203" i="2" a="1"/>
  <c r="AK1203" i="2" s="1"/>
  <c r="AK1204" i="2" a="1"/>
  <c r="AK1204" i="2" s="1"/>
  <c r="AK1205" i="2" a="1"/>
  <c r="AK1205" i="2" s="1"/>
  <c r="AK1206" i="2" a="1"/>
  <c r="AK1206" i="2" s="1"/>
  <c r="AK1207" i="2" a="1"/>
  <c r="AK1207" i="2" s="1"/>
  <c r="AK1208" i="2" a="1"/>
  <c r="AK1208" i="2" s="1"/>
  <c r="AK1209" i="2" a="1"/>
  <c r="AK1209" i="2"/>
  <c r="AK1210" i="2" a="1"/>
  <c r="AK1210" i="2" s="1"/>
  <c r="AK1211" i="2" a="1"/>
  <c r="AK1211" i="2" s="1"/>
  <c r="AK1212" i="2" a="1"/>
  <c r="AK1212" i="2" s="1"/>
  <c r="AK1213" i="2" a="1"/>
  <c r="AK1213" i="2" s="1"/>
  <c r="AK1214" i="2" a="1"/>
  <c r="AK1214" i="2" s="1"/>
  <c r="AK1215" i="2" a="1"/>
  <c r="AK1215" i="2"/>
  <c r="AK1216" i="2" a="1"/>
  <c r="AK1216" i="2"/>
  <c r="AK1217" i="2" a="1"/>
  <c r="AK1217" i="2"/>
  <c r="AK1218" i="2" a="1"/>
  <c r="AK1218" i="2"/>
  <c r="AK1219" i="2" a="1"/>
  <c r="AK1219" i="2" s="1"/>
  <c r="AK1220" i="2" a="1"/>
  <c r="AK1220" i="2" s="1"/>
  <c r="AK1221" i="2" a="1"/>
  <c r="AK1221" i="2" s="1"/>
  <c r="AK1222" i="2" a="1"/>
  <c r="AK1222" i="2"/>
  <c r="AK1223" i="2" a="1"/>
  <c r="AK1223" i="2" s="1"/>
  <c r="AK1224" i="2" a="1"/>
  <c r="AK1224" i="2" s="1"/>
  <c r="AK1225" i="2" a="1"/>
  <c r="AK1225" i="2" s="1"/>
  <c r="AK1226" i="2" a="1"/>
  <c r="AK1226" i="2" s="1"/>
  <c r="AK1227" i="2" a="1"/>
  <c r="AK1227" i="2"/>
  <c r="AK1228" i="2" a="1"/>
  <c r="AK1228" i="2" s="1"/>
  <c r="AK1229" i="2" a="1"/>
  <c r="AK1229" i="2" s="1"/>
  <c r="AK1230" i="2" a="1"/>
  <c r="AK1230" i="2" s="1"/>
  <c r="AK1231" i="2" a="1"/>
  <c r="AK1231" i="2" s="1"/>
  <c r="AK1232" i="2" a="1"/>
  <c r="AK1232" i="2" s="1"/>
  <c r="AK1233" i="2" a="1"/>
  <c r="AK1233" i="2" s="1"/>
  <c r="AK1234" i="2" a="1"/>
  <c r="AK1234" i="2" s="1"/>
  <c r="AK1235" i="2" a="1"/>
  <c r="AK1235" i="2" s="1"/>
  <c r="AK1236" i="2" a="1"/>
  <c r="AK1236" i="2" s="1"/>
  <c r="AK1237" i="2" a="1"/>
  <c r="AK1237" i="2" s="1"/>
  <c r="AK1238" i="2" a="1"/>
  <c r="AK1238" i="2" s="1"/>
  <c r="AK1239" i="2" a="1"/>
  <c r="AK1239" i="2" s="1"/>
  <c r="AK1240" i="2" a="1"/>
  <c r="AK1240" i="2" s="1"/>
  <c r="AK1241" i="2" a="1"/>
  <c r="AK1241" i="2"/>
  <c r="AK1242" i="2" a="1"/>
  <c r="AK1242" i="2" s="1"/>
  <c r="AK1243" i="2" a="1"/>
  <c r="AK1243" i="2"/>
  <c r="AK1244" i="2" a="1"/>
  <c r="AK1244" i="2" s="1"/>
  <c r="AK1245" i="2" a="1"/>
  <c r="AK1245" i="2" s="1"/>
  <c r="AK1246" i="2" a="1"/>
  <c r="AK1246" i="2" s="1"/>
  <c r="AK1247" i="2" a="1"/>
  <c r="AK1247" i="2" s="1"/>
  <c r="AK1248" i="2" a="1"/>
  <c r="AK1248" i="2" s="1"/>
  <c r="AK1249" i="2" a="1"/>
  <c r="AK1249" i="2" s="1"/>
  <c r="AK1250" i="2" a="1"/>
  <c r="AK1250" i="2" s="1"/>
  <c r="AK1251" i="2" a="1"/>
  <c r="AK1251" i="2" s="1"/>
  <c r="AK1252" i="2" a="1"/>
  <c r="AK1252" i="2"/>
  <c r="AK1253" i="2" a="1"/>
  <c r="AK1253" i="2"/>
  <c r="AK1254" i="2" a="1"/>
  <c r="AK1254" i="2" s="1"/>
  <c r="AK1255" i="2" a="1"/>
  <c r="AK1255" i="2" s="1"/>
  <c r="AK1256" i="2" a="1"/>
  <c r="AK1256" i="2" s="1"/>
  <c r="AK1257" i="2" a="1"/>
  <c r="AK1257" i="2" s="1"/>
  <c r="AK1258" i="2" a="1"/>
  <c r="AK1258" i="2" s="1"/>
  <c r="AK1259" i="2" a="1"/>
  <c r="AK1259" i="2"/>
  <c r="AK1260" i="2" a="1"/>
  <c r="AK1260" i="2" s="1"/>
  <c r="AK1261" i="2" a="1"/>
  <c r="AK1261" i="2"/>
  <c r="AK1262" i="2" a="1"/>
  <c r="AK1262" i="2" s="1"/>
  <c r="AK1263" i="2" a="1"/>
  <c r="AK1263" i="2" s="1"/>
  <c r="AK1264" i="2" a="1"/>
  <c r="AK1264" i="2" s="1"/>
  <c r="AK1265" i="2" a="1"/>
  <c r="AK1265" i="2" s="1"/>
  <c r="AK1266" i="2" a="1"/>
  <c r="AK1266" i="2" s="1"/>
  <c r="AK1267" i="2" a="1"/>
  <c r="AK1267" i="2"/>
  <c r="AK1268" i="2" a="1"/>
  <c r="AK1268" i="2" s="1"/>
  <c r="AK1269" i="2" a="1"/>
  <c r="AK1269" i="2" s="1"/>
  <c r="AK1270" i="2" a="1"/>
  <c r="AK1270" i="2" s="1"/>
  <c r="AK1271" i="2" a="1"/>
  <c r="AK1271" i="2" s="1"/>
  <c r="AK1272" i="2" a="1"/>
  <c r="AK1272" i="2" s="1"/>
  <c r="AK1273" i="2" a="1"/>
  <c r="AK1273" i="2" s="1"/>
  <c r="AK1274" i="2" a="1"/>
  <c r="AK1274" i="2" s="1"/>
  <c r="AK1275" i="2" a="1"/>
  <c r="AK1275" i="2"/>
  <c r="AK1276" i="2" a="1"/>
  <c r="AK1276" i="2"/>
  <c r="AK1277" i="2" a="1"/>
  <c r="AK1277" i="2"/>
  <c r="AK1278" i="2" a="1"/>
  <c r="AK1278" i="2"/>
  <c r="AK1279" i="2" a="1"/>
  <c r="AK1279" i="2" s="1"/>
  <c r="AK1280" i="2" a="1"/>
  <c r="AK1280" i="2" s="1"/>
  <c r="AK1281" i="2" a="1"/>
  <c r="AK1281" i="2" s="1"/>
  <c r="AK1282" i="2" a="1"/>
  <c r="AK1282" i="2" s="1"/>
  <c r="AK1283" i="2" a="1"/>
  <c r="AK1283" i="2"/>
  <c r="AK1284" i="2" a="1"/>
  <c r="AK1284" i="2"/>
  <c r="AK1285" i="2" a="1"/>
  <c r="AK1285" i="2"/>
  <c r="AK1286" i="2" a="1"/>
  <c r="AK1286" i="2" s="1"/>
  <c r="AK1287" i="2" a="1"/>
  <c r="AK1287" i="2" s="1"/>
  <c r="AK1288" i="2" a="1"/>
  <c r="AK1288" i="2" s="1"/>
  <c r="AK1289" i="2" a="1"/>
  <c r="AK1289" i="2" s="1"/>
  <c r="AK1290" i="2" a="1"/>
  <c r="AK1290" i="2" s="1"/>
  <c r="AK1291" i="2" a="1"/>
  <c r="AK1291" i="2" s="1"/>
  <c r="AK1292" i="2" a="1"/>
  <c r="AK1292" i="2" s="1"/>
  <c r="AK1293" i="2" a="1"/>
  <c r="AK1293" i="2"/>
  <c r="AK1294" i="2" a="1"/>
  <c r="AK1294" i="2" s="1"/>
  <c r="AK1295" i="2" a="1"/>
  <c r="AK1295" i="2" s="1"/>
  <c r="AK1296" i="2" a="1"/>
  <c r="AK1296" i="2" s="1"/>
  <c r="AK1297" i="2" a="1"/>
  <c r="AK1297" i="2" s="1"/>
  <c r="AK1298" i="2" a="1"/>
  <c r="AK1298" i="2" s="1"/>
  <c r="AK1299" i="2" a="1"/>
  <c r="AK1299" i="2" s="1"/>
  <c r="AK1300" i="2" a="1"/>
  <c r="AK1300" i="2" s="1"/>
  <c r="AK1301" i="2" a="1"/>
  <c r="AK1301" i="2"/>
  <c r="AK1302" i="2" a="1"/>
  <c r="AK1302" i="2"/>
  <c r="AK1303" i="2" a="1"/>
  <c r="AK1303" i="2"/>
  <c r="AK1304" i="2" a="1"/>
  <c r="AK1304" i="2" s="1"/>
  <c r="AK1305" i="2" a="1"/>
  <c r="AK1305" i="2" s="1"/>
  <c r="AK1306" i="2" a="1"/>
  <c r="AK1306" i="2" s="1"/>
  <c r="AK1307" i="2" a="1"/>
  <c r="AK1307" i="2" s="1"/>
  <c r="AK1308" i="2" a="1"/>
  <c r="AK1308" i="2"/>
  <c r="AK1309" i="2" a="1"/>
  <c r="AK1309" i="2"/>
  <c r="AK1310" i="2" a="1"/>
  <c r="AK1310" i="2" s="1"/>
  <c r="AK1311" i="2" a="1"/>
  <c r="AK1311" i="2"/>
  <c r="AK1312" i="2" a="1"/>
  <c r="AK1312" i="2" s="1"/>
  <c r="AK1313" i="2" a="1"/>
  <c r="AK1313" i="2" s="1"/>
  <c r="AK1314" i="2" a="1"/>
  <c r="AK1314" i="2"/>
  <c r="AK1315" i="2" a="1"/>
  <c r="AK1315" i="2"/>
  <c r="AK1316" i="2" a="1"/>
  <c r="AK1316" i="2" s="1"/>
  <c r="AK1317" i="2" a="1"/>
  <c r="AK1317" i="2" s="1"/>
  <c r="AK1318" i="2" a="1"/>
  <c r="AK1318" i="2"/>
  <c r="AK1319" i="2" a="1"/>
  <c r="AK1319" i="2"/>
  <c r="AK1320" i="2" a="1"/>
  <c r="AK1320" i="2" s="1"/>
  <c r="AK1321" i="2" a="1"/>
  <c r="AK1321" i="2" s="1"/>
  <c r="AK1322" i="2" a="1"/>
  <c r="AK1322" i="2" s="1"/>
  <c r="AK1323" i="2" a="1"/>
  <c r="AK1323" i="2" s="1"/>
  <c r="AK1324" i="2" a="1"/>
  <c r="AK1324" i="2" s="1"/>
  <c r="AK1325" i="2" a="1"/>
  <c r="AK1325" i="2" s="1"/>
  <c r="AK1326" i="2" a="1"/>
  <c r="AK1326" i="2" s="1"/>
  <c r="AK1327" i="2" a="1"/>
  <c r="AK1327" i="2"/>
  <c r="AK1328" i="2" a="1"/>
  <c r="AK1328" i="2" s="1"/>
  <c r="AK1329" i="2" a="1"/>
  <c r="AK1329" i="2" s="1"/>
  <c r="AK1330" i="2" a="1"/>
  <c r="AK1330" i="2" s="1"/>
  <c r="AK1331" i="2" a="1"/>
  <c r="AK1331" i="2"/>
  <c r="AK1332" i="2" a="1"/>
  <c r="AK1332" i="2"/>
  <c r="AK1333" i="2" a="1"/>
  <c r="AK1333" i="2" s="1"/>
  <c r="AK1334" i="2" a="1"/>
  <c r="AK1334" i="2" s="1"/>
  <c r="AK1335" i="2" a="1"/>
  <c r="AK1335" i="2" s="1"/>
  <c r="AK1336" i="2" a="1"/>
  <c r="AK1336" i="2"/>
  <c r="AK1337" i="2" a="1"/>
  <c r="AK1337" i="2" s="1"/>
  <c r="AK1338" i="2" a="1"/>
  <c r="AK1338" i="2" s="1"/>
  <c r="AK1339" i="2" a="1"/>
  <c r="AK1339" i="2" s="1"/>
  <c r="AK1340" i="2" a="1"/>
  <c r="AK1340" i="2" s="1"/>
  <c r="AK1341" i="2" a="1"/>
  <c r="AK1341" i="2" s="1"/>
  <c r="AK1342" i="2" a="1"/>
  <c r="AK1342" i="2" s="1"/>
  <c r="AK1343" i="2" a="1"/>
  <c r="AK1343" i="2" s="1"/>
  <c r="AK1344" i="2" a="1"/>
  <c r="AK1344" i="2" s="1"/>
  <c r="AK1345" i="2" a="1"/>
  <c r="AK1345" i="2"/>
  <c r="AK1346" i="2" a="1"/>
  <c r="AK1346" i="2" s="1"/>
  <c r="AK1347" i="2" a="1"/>
  <c r="AK1347" i="2"/>
  <c r="AK1348" i="2" a="1"/>
  <c r="AK1348" i="2" s="1"/>
  <c r="AK1349" i="2" a="1"/>
  <c r="AK1349" i="2" s="1"/>
  <c r="AK1350" i="2" a="1"/>
  <c r="AK1350" i="2" s="1"/>
  <c r="AK1351" i="2" a="1"/>
  <c r="AK1351" i="2"/>
  <c r="AK1352" i="2" a="1"/>
  <c r="AK1352" i="2" s="1"/>
  <c r="AK1353" i="2" a="1"/>
  <c r="AK1353" i="2" s="1"/>
  <c r="AK1354" i="2" a="1"/>
  <c r="AK1354" i="2"/>
  <c r="AK1355" i="2" a="1"/>
  <c r="AK1355" i="2" s="1"/>
  <c r="AK1356" i="2" a="1"/>
  <c r="AK1356" i="2" s="1"/>
  <c r="AK1357" i="2" a="1"/>
  <c r="AK1357" i="2" s="1"/>
  <c r="AK1358" i="2" a="1"/>
  <c r="AK1358" i="2" s="1"/>
  <c r="AK1359" i="2" a="1"/>
  <c r="AK1359" i="2" s="1"/>
  <c r="AK1360" i="2" a="1"/>
  <c r="AK1360" i="2"/>
  <c r="AK1361" i="2" a="1"/>
  <c r="AK1361" i="2"/>
  <c r="AK1362" i="2" a="1"/>
  <c r="AK1362" i="2" s="1"/>
  <c r="AK1363" i="2" a="1"/>
  <c r="AK1363" i="2"/>
  <c r="AK1364" i="2" a="1"/>
  <c r="AK1364" i="2" s="1"/>
  <c r="AK1365" i="2" a="1"/>
  <c r="AK1365" i="2" s="1"/>
  <c r="AK1366" i="2" a="1"/>
  <c r="AK1366" i="2" s="1"/>
  <c r="AK1367" i="2" a="1"/>
  <c r="AK1367" i="2"/>
  <c r="AK1368" i="2" a="1"/>
  <c r="AK1368" i="2"/>
  <c r="AK1369" i="2" a="1"/>
  <c r="AK1369" i="2"/>
  <c r="AK1370" i="2" a="1"/>
  <c r="AK1370" i="2" s="1"/>
  <c r="AK1371" i="2" a="1"/>
  <c r="AK1371" i="2" s="1"/>
  <c r="AK1372" i="2" a="1"/>
  <c r="AK1372" i="2" s="1"/>
  <c r="AK1373" i="2" a="1"/>
  <c r="AK1373" i="2" s="1"/>
  <c r="AK1374" i="2" a="1"/>
  <c r="AK1374" i="2" s="1"/>
  <c r="AK1375" i="2" a="1"/>
  <c r="AK1375" i="2" s="1"/>
  <c r="AK1376" i="2" a="1"/>
  <c r="AK1376" i="2" s="1"/>
  <c r="AK1377" i="2" a="1"/>
  <c r="AK1377" i="2" s="1"/>
  <c r="AK1378" i="2" a="1"/>
  <c r="AK1378" i="2" s="1"/>
  <c r="AK1379" i="2" a="1"/>
  <c r="AK1379" i="2" s="1"/>
  <c r="AK1380" i="2" a="1"/>
  <c r="AK1380" i="2"/>
  <c r="AK1381" i="2" a="1"/>
  <c r="AK1381" i="2" s="1"/>
  <c r="AK1382" i="2" a="1"/>
  <c r="AK1382" i="2" s="1"/>
  <c r="AK1383" i="2" a="1"/>
  <c r="AK1383" i="2" s="1"/>
  <c r="AK1384" i="2" a="1"/>
  <c r="AK1384" i="2" s="1"/>
  <c r="AK1385" i="2" a="1"/>
  <c r="AK1385" i="2" s="1"/>
  <c r="AK1386" i="2" a="1"/>
  <c r="AK1386" i="2"/>
  <c r="AK1387" i="2" a="1"/>
  <c r="AK1387" i="2"/>
  <c r="AK1388" i="2" a="1"/>
  <c r="AK1388" i="2" s="1"/>
  <c r="AK1389" i="2" a="1"/>
  <c r="AK1389" i="2" s="1"/>
  <c r="AK1390" i="2" a="1"/>
  <c r="AK1390" i="2"/>
  <c r="AK1391" i="2" a="1"/>
  <c r="AK1391" i="2" s="1"/>
  <c r="AK1392" i="2" a="1"/>
  <c r="AK1392" i="2" s="1"/>
  <c r="AK1393" i="2" a="1"/>
  <c r="AK1393" i="2" s="1"/>
  <c r="AK1394" i="2" a="1"/>
  <c r="AK1394" i="2" s="1"/>
  <c r="AK1395" i="2" a="1"/>
  <c r="AK1395" i="2"/>
  <c r="AK1396" i="2" a="1"/>
  <c r="AK1396" i="2"/>
  <c r="AK1397" i="2" a="1"/>
  <c r="AK1397" i="2" s="1"/>
  <c r="AK1398" i="2" a="1"/>
  <c r="AK1398" i="2" s="1"/>
  <c r="AK1399" i="2" a="1"/>
  <c r="AK1399" i="2"/>
  <c r="AK1400" i="2" a="1"/>
  <c r="AK1400" i="2" s="1"/>
  <c r="AK1401" i="2" a="1"/>
  <c r="AK1401" i="2" s="1"/>
  <c r="AK1402" i="2" a="1"/>
  <c r="AK1402" i="2" s="1"/>
  <c r="AK1403" i="2" a="1"/>
  <c r="AK1403" i="2" s="1"/>
  <c r="AK1404" i="2" a="1"/>
  <c r="AK1404" i="2"/>
  <c r="AK1405" i="2" a="1"/>
  <c r="AK1405" i="2" s="1"/>
  <c r="AK1406" i="2" a="1"/>
  <c r="AK1406" i="2" s="1"/>
  <c r="AK1407" i="2" a="1"/>
  <c r="AK1407" i="2"/>
  <c r="AK1408" i="2" a="1"/>
  <c r="AK1408" i="2" s="1"/>
  <c r="AK1409" i="2" a="1"/>
  <c r="AK1409" i="2" s="1"/>
  <c r="AK1410" i="2" a="1"/>
  <c r="AK1410" i="2" s="1"/>
  <c r="AK1411" i="2" a="1"/>
  <c r="AK1411" i="2" s="1"/>
  <c r="AK1412" i="2" a="1"/>
  <c r="AK1412" i="2" s="1"/>
  <c r="AK1413" i="2" a="1"/>
  <c r="AK1413" i="2" s="1"/>
  <c r="AK1414" i="2" a="1"/>
  <c r="AK1414" i="2" s="1"/>
  <c r="AK1415" i="2" a="1"/>
  <c r="AK1415" i="2" s="1"/>
  <c r="AK1416" i="2" a="1"/>
  <c r="AK1416" i="2"/>
  <c r="AK1417" i="2" a="1"/>
  <c r="AK1417" i="2" s="1"/>
  <c r="AK1418" i="2" a="1"/>
  <c r="AK1418" i="2" s="1"/>
  <c r="AK1419" i="2" a="1"/>
  <c r="AK1419" i="2" s="1"/>
  <c r="AK1420" i="2" a="1"/>
  <c r="AK1420" i="2" s="1"/>
  <c r="AK1421" i="2" a="1"/>
  <c r="AK1421" i="2" s="1"/>
  <c r="AK1422" i="2" a="1"/>
  <c r="AK1422" i="2" s="1"/>
  <c r="AK1423" i="2" a="1"/>
  <c r="AK1423" i="2" s="1"/>
  <c r="AK1424" i="2" a="1"/>
  <c r="AK1424" i="2" s="1"/>
  <c r="AK1425" i="2" a="1"/>
  <c r="AK1425" i="2" s="1"/>
  <c r="AK1426" i="2" a="1"/>
  <c r="AK1426" i="2" s="1"/>
  <c r="AK1427" i="2" a="1"/>
  <c r="AK1427" i="2" s="1"/>
  <c r="AK1428" i="2" a="1"/>
  <c r="AK1428" i="2" s="1"/>
  <c r="AK1429" i="2" a="1"/>
  <c r="AK1429" i="2" s="1"/>
  <c r="AK1430" i="2" a="1"/>
  <c r="AK1430" i="2" s="1"/>
  <c r="AK1431" i="2" a="1"/>
  <c r="AK1431" i="2" s="1"/>
  <c r="AK1432" i="2" a="1"/>
  <c r="AK1432" i="2"/>
  <c r="AK1433" i="2" a="1"/>
  <c r="AK1433" i="2" s="1"/>
  <c r="AK1434" i="2" a="1"/>
  <c r="AK1434" i="2"/>
  <c r="AK1435" i="2" a="1"/>
  <c r="AK1435" i="2" s="1"/>
  <c r="AK1436" i="2" a="1"/>
  <c r="AK1436" i="2" s="1"/>
  <c r="AK1437" i="2" a="1"/>
  <c r="AK1437" i="2"/>
  <c r="AK1438" i="2" a="1"/>
  <c r="AK1438" i="2" s="1"/>
  <c r="AK1439" i="2" a="1"/>
  <c r="AK1439" i="2" s="1"/>
  <c r="AK1440" i="2" a="1"/>
  <c r="AK1440" i="2" s="1"/>
  <c r="AK1441" i="2" a="1"/>
  <c r="AK1441" i="2"/>
  <c r="AK1442" i="2" a="1"/>
  <c r="AK1442" i="2" s="1"/>
  <c r="AK1443" i="2" a="1"/>
  <c r="AK1443" i="2" s="1"/>
  <c r="AK1444" i="2" a="1"/>
  <c r="AK1444" i="2" s="1"/>
  <c r="AK1445" i="2" a="1"/>
  <c r="AK1445" i="2" s="1"/>
  <c r="AK1446" i="2" a="1"/>
  <c r="AK1446" i="2" s="1"/>
  <c r="AK1447" i="2" a="1"/>
  <c r="AK1447" i="2" s="1"/>
  <c r="AK1448" i="2" a="1"/>
  <c r="AK1448" i="2" s="1"/>
  <c r="AK1449" i="2" a="1"/>
  <c r="AK1449" i="2"/>
  <c r="AK1450" i="2" a="1"/>
  <c r="AK1450" i="2" s="1"/>
  <c r="AK1451" i="2" a="1"/>
  <c r="AK1451" i="2" s="1"/>
  <c r="AK1452" i="2" a="1"/>
  <c r="AK1452" i="2"/>
  <c r="AK1453" i="2" a="1"/>
  <c r="AK1453" i="2" s="1"/>
  <c r="AK1454" i="2" a="1"/>
  <c r="AK1454" i="2" s="1"/>
  <c r="AK1455" i="2" a="1"/>
  <c r="AK1455" i="2" s="1"/>
  <c r="AK1456" i="2" a="1"/>
  <c r="AK1456" i="2" s="1"/>
  <c r="AK1457" i="2" a="1"/>
  <c r="AK1457" i="2" s="1"/>
  <c r="AK1458" i="2" a="1"/>
  <c r="AK1458" i="2" s="1"/>
  <c r="AK1459" i="2" a="1"/>
  <c r="AK1459" i="2"/>
  <c r="AK1460" i="2" a="1"/>
  <c r="AK1460" i="2" s="1"/>
  <c r="AK1461" i="2" a="1"/>
  <c r="AK1461" i="2" s="1"/>
  <c r="AK1462" i="2" a="1"/>
  <c r="AK1462" i="2" s="1"/>
  <c r="AK1463" i="2" a="1"/>
  <c r="AK1463" i="2" s="1"/>
  <c r="AK1464" i="2" a="1"/>
  <c r="AK1464" i="2" s="1"/>
  <c r="AK1465" i="2" a="1"/>
  <c r="AK1465" i="2" s="1"/>
  <c r="AK1466" i="2" a="1"/>
  <c r="AK1466" i="2" s="1"/>
  <c r="AK1467" i="2" a="1"/>
  <c r="AK1467" i="2"/>
  <c r="AK1468" i="2" a="1"/>
  <c r="AK1468" i="2" s="1"/>
  <c r="AK1469" i="2" a="1"/>
  <c r="AK1469" i="2" s="1"/>
  <c r="AK1470" i="2" a="1"/>
  <c r="AK1470" i="2" s="1"/>
  <c r="AK1471" i="2" a="1"/>
  <c r="AK1471" i="2" s="1"/>
  <c r="AL2" i="2" a="1"/>
  <c r="AL2" i="2" s="1"/>
  <c r="AL3" i="2" a="1"/>
  <c r="AL3" i="2" s="1"/>
  <c r="AL4" i="2" a="1"/>
  <c r="AL4" i="2" s="1"/>
  <c r="AL5" i="2" a="1"/>
  <c r="AL5" i="2"/>
  <c r="AL6" i="2" a="1"/>
  <c r="AL6" i="2" s="1"/>
  <c r="AL7" i="2" a="1"/>
  <c r="AL7" i="2" s="1"/>
  <c r="AL8" i="2" a="1"/>
  <c r="AL8" i="2" s="1"/>
  <c r="AL9" i="2" a="1"/>
  <c r="AL9" i="2" s="1"/>
  <c r="AL10" i="2" a="1"/>
  <c r="AL10" i="2" s="1"/>
  <c r="AL11" i="2" a="1"/>
  <c r="AL11" i="2" s="1"/>
  <c r="AL12" i="2" a="1"/>
  <c r="AL12" i="2" s="1"/>
  <c r="AL13" i="2" a="1"/>
  <c r="AL13" i="2" s="1"/>
  <c r="AL14" i="2" a="1"/>
  <c r="AL14" i="2" s="1"/>
  <c r="AL15" i="2" a="1"/>
  <c r="AL15" i="2" s="1"/>
  <c r="AL16" i="2" a="1"/>
  <c r="AL16" i="2" s="1"/>
  <c r="AL17" i="2" a="1"/>
  <c r="AL17" i="2"/>
  <c r="AL18" i="2" a="1"/>
  <c r="AL18" i="2"/>
  <c r="AL19" i="2" a="1"/>
  <c r="AL19" i="2" s="1"/>
  <c r="AL20" i="2" a="1"/>
  <c r="AL20" i="2" s="1"/>
  <c r="AL21" i="2" a="1"/>
  <c r="AL21" i="2" s="1"/>
  <c r="AL22" i="2" a="1"/>
  <c r="AL22" i="2" s="1"/>
  <c r="AL23" i="2" a="1"/>
  <c r="AL23" i="2" s="1"/>
  <c r="AL24" i="2" a="1"/>
  <c r="AL24" i="2" s="1"/>
  <c r="AL25" i="2" a="1"/>
  <c r="AL25" i="2" s="1"/>
  <c r="AL26" i="2" a="1"/>
  <c r="AL26" i="2" s="1"/>
  <c r="AL27" i="2" a="1"/>
  <c r="AL27" i="2" s="1"/>
  <c r="AL28" i="2" a="1"/>
  <c r="AL28" i="2"/>
  <c r="AL29" i="2" a="1"/>
  <c r="AL29" i="2" s="1"/>
  <c r="AL30" i="2" a="1"/>
  <c r="AL30" i="2" s="1"/>
  <c r="AL31" i="2" a="1"/>
  <c r="AL31" i="2" s="1"/>
  <c r="AL32" i="2" a="1"/>
  <c r="AL32" i="2"/>
  <c r="AL33" i="2" a="1"/>
  <c r="AL33" i="2"/>
  <c r="AL34" i="2" a="1"/>
  <c r="AL34" i="2" s="1"/>
  <c r="AL35" i="2" a="1"/>
  <c r="AL35" i="2"/>
  <c r="AL36" i="2" a="1"/>
  <c r="AL36" i="2" s="1"/>
  <c r="AL37" i="2" a="1"/>
  <c r="AL37" i="2" s="1"/>
  <c r="AL38" i="2" a="1"/>
  <c r="AL38" i="2" s="1"/>
  <c r="AL39" i="2" a="1"/>
  <c r="AL39" i="2" s="1"/>
  <c r="AL40" i="2" a="1"/>
  <c r="AL40" i="2" s="1"/>
  <c r="AL41" i="2" a="1"/>
  <c r="AL41" i="2" s="1"/>
  <c r="AL42" i="2" a="1"/>
  <c r="AL42" i="2"/>
  <c r="AL43" i="2" a="1"/>
  <c r="AL43" i="2" s="1"/>
  <c r="AL44" i="2" a="1"/>
  <c r="AL44" i="2" s="1"/>
  <c r="AL45" i="2" a="1"/>
  <c r="AL45" i="2" s="1"/>
  <c r="AL46" i="2" a="1"/>
  <c r="AL46" i="2" s="1"/>
  <c r="AL47" i="2" a="1"/>
  <c r="AL47" i="2" s="1"/>
  <c r="AL48" i="2" a="1"/>
  <c r="AL48" i="2" s="1"/>
  <c r="AL49" i="2" a="1"/>
  <c r="AL49" i="2" s="1"/>
  <c r="AL50" i="2" a="1"/>
  <c r="AL50" i="2" s="1"/>
  <c r="AL51" i="2" a="1"/>
  <c r="AL51" i="2" s="1"/>
  <c r="AL52" i="2" a="1"/>
  <c r="AL52" i="2" s="1"/>
  <c r="AL53" i="2" a="1"/>
  <c r="AL53" i="2" s="1"/>
  <c r="AL54" i="2" a="1"/>
  <c r="AL54" i="2"/>
  <c r="AL55" i="2" a="1"/>
  <c r="AL55" i="2" s="1"/>
  <c r="AL56" i="2" a="1"/>
  <c r="AL56" i="2" s="1"/>
  <c r="AL57" i="2" a="1"/>
  <c r="AL57" i="2" s="1"/>
  <c r="AL58" i="2" a="1"/>
  <c r="AL58" i="2" s="1"/>
  <c r="AL59" i="2" a="1"/>
  <c r="AL59" i="2" s="1"/>
  <c r="AL60" i="2" a="1"/>
  <c r="AL60" i="2" s="1"/>
  <c r="AL61" i="2" a="1"/>
  <c r="AL61" i="2" s="1"/>
  <c r="AL62" i="2" a="1"/>
  <c r="AL62" i="2" s="1"/>
  <c r="AL63" i="2" a="1"/>
  <c r="AL63" i="2" s="1"/>
  <c r="AL64" i="2" a="1"/>
  <c r="AL64" i="2" s="1"/>
  <c r="AL65" i="2" a="1"/>
  <c r="AL65" i="2" s="1"/>
  <c r="AL66" i="2" a="1"/>
  <c r="AL66" i="2" s="1"/>
  <c r="AL67" i="2" a="1"/>
  <c r="AL67" i="2" s="1"/>
  <c r="AL68" i="2" a="1"/>
  <c r="AL68" i="2" s="1"/>
  <c r="AL69" i="2" a="1"/>
  <c r="AL69" i="2" s="1"/>
  <c r="AL70" i="2" a="1"/>
  <c r="AL70" i="2" s="1"/>
  <c r="AL71" i="2" a="1"/>
  <c r="AL71" i="2"/>
  <c r="AL72" i="2" a="1"/>
  <c r="AL72" i="2"/>
  <c r="AL73" i="2" a="1"/>
  <c r="AL73" i="2" s="1"/>
  <c r="AL74" i="2" a="1"/>
  <c r="AL74" i="2" s="1"/>
  <c r="AL75" i="2" a="1"/>
  <c r="AL75" i="2" s="1"/>
  <c r="AL76" i="2" a="1"/>
  <c r="AL76" i="2" s="1"/>
  <c r="AL77" i="2" a="1"/>
  <c r="AL77" i="2" s="1"/>
  <c r="AL78" i="2" a="1"/>
  <c r="AL78" i="2" s="1"/>
  <c r="AL79" i="2" a="1"/>
  <c r="AL79" i="2" s="1"/>
  <c r="AL80" i="2" a="1"/>
  <c r="AL80" i="2" s="1"/>
  <c r="AL81" i="2" a="1"/>
  <c r="AL81" i="2" s="1"/>
  <c r="AL82" i="2" a="1"/>
  <c r="AL82" i="2" s="1"/>
  <c r="AL83" i="2" a="1"/>
  <c r="AL83" i="2" s="1"/>
  <c r="AL84" i="2" a="1"/>
  <c r="AL84" i="2" s="1"/>
  <c r="AL85" i="2" a="1"/>
  <c r="AL85" i="2" s="1"/>
  <c r="AL86" i="2" a="1"/>
  <c r="AL86" i="2" s="1"/>
  <c r="AL87" i="2" a="1"/>
  <c r="AL87" i="2"/>
  <c r="AL88" i="2" a="1"/>
  <c r="AL88" i="2" s="1"/>
  <c r="AL89" i="2" a="1"/>
  <c r="AL89" i="2" s="1"/>
  <c r="AL90" i="2" a="1"/>
  <c r="AL90" i="2"/>
  <c r="AL91" i="2" a="1"/>
  <c r="AL91" i="2" s="1"/>
  <c r="AL92" i="2" a="1"/>
  <c r="AL92" i="2" s="1"/>
  <c r="AL93" i="2" a="1"/>
  <c r="AL93" i="2"/>
  <c r="AL94" i="2" a="1"/>
  <c r="AL94" i="2" s="1"/>
  <c r="AL95" i="2" a="1"/>
  <c r="AL95" i="2"/>
  <c r="AL96" i="2" a="1"/>
  <c r="AL96" i="2" s="1"/>
  <c r="AL97" i="2" a="1"/>
  <c r="AL97" i="2" s="1"/>
  <c r="AL98" i="2" a="1"/>
  <c r="AL98" i="2" s="1"/>
  <c r="AL99" i="2" a="1"/>
  <c r="AL99" i="2" s="1"/>
  <c r="AL100" i="2" a="1"/>
  <c r="AL100" i="2"/>
  <c r="AL101" i="2" a="1"/>
  <c r="AL101" i="2" s="1"/>
  <c r="AL102" i="2" a="1"/>
  <c r="AL102" i="2" s="1"/>
  <c r="AL103" i="2" a="1"/>
  <c r="AL103" i="2" s="1"/>
  <c r="AL104" i="2" a="1"/>
  <c r="AL104" i="2" s="1"/>
  <c r="AL105" i="2" a="1"/>
  <c r="AL105" i="2"/>
  <c r="AL106" i="2" a="1"/>
  <c r="AL106" i="2" s="1"/>
  <c r="AL107" i="2" a="1"/>
  <c r="AL107" i="2" s="1"/>
  <c r="AL108" i="2" a="1"/>
  <c r="AL108" i="2" s="1"/>
  <c r="AL109" i="2" a="1"/>
  <c r="AL109" i="2" s="1"/>
  <c r="AL110" i="2" a="1"/>
  <c r="AL110" i="2"/>
  <c r="AL111" i="2" a="1"/>
  <c r="AL111" i="2" s="1"/>
  <c r="AL112" i="2" a="1"/>
  <c r="AL112" i="2" s="1"/>
  <c r="AL113" i="2" a="1"/>
  <c r="AL113" i="2" s="1"/>
  <c r="AL114" i="2" a="1"/>
  <c r="AL114" i="2" s="1"/>
  <c r="AL115" i="2" a="1"/>
  <c r="AL115" i="2" s="1"/>
  <c r="AL116" i="2" a="1"/>
  <c r="AL116" i="2" s="1"/>
  <c r="AL117" i="2" a="1"/>
  <c r="AL117" i="2" s="1"/>
  <c r="AL118" i="2" a="1"/>
  <c r="AL118" i="2"/>
  <c r="AL119" i="2" a="1"/>
  <c r="AL119" i="2"/>
  <c r="AL120" i="2" a="1"/>
  <c r="AL120" i="2" s="1"/>
  <c r="AL121" i="2" a="1"/>
  <c r="AL121" i="2" s="1"/>
  <c r="AL122" i="2" a="1"/>
  <c r="AL122" i="2" s="1"/>
  <c r="AL123" i="2" a="1"/>
  <c r="AL123" i="2" s="1"/>
  <c r="AL124" i="2" a="1"/>
  <c r="AL124" i="2" s="1"/>
  <c r="AL125" i="2" a="1"/>
  <c r="AL125" i="2" s="1"/>
  <c r="AL126" i="2" a="1"/>
  <c r="AL126" i="2" s="1"/>
  <c r="AL127" i="2" a="1"/>
  <c r="AL127" i="2" s="1"/>
  <c r="AL128" i="2" a="1"/>
  <c r="AL128" i="2" s="1"/>
  <c r="AL129" i="2" a="1"/>
  <c r="AL129" i="2"/>
  <c r="AL130" i="2" a="1"/>
  <c r="AL130" i="2" s="1"/>
  <c r="AL131" i="2" a="1"/>
  <c r="AL131" i="2"/>
  <c r="AL132" i="2" a="1"/>
  <c r="AL132" i="2"/>
  <c r="AL133" i="2" a="1"/>
  <c r="AL133" i="2" s="1"/>
  <c r="AL134" i="2" a="1"/>
  <c r="AL134" i="2"/>
  <c r="AL135" i="2" a="1"/>
  <c r="AL135" i="2" s="1"/>
  <c r="AL136" i="2" a="1"/>
  <c r="AL136" i="2"/>
  <c r="AL137" i="2" a="1"/>
  <c r="AL137" i="2" s="1"/>
  <c r="AL138" i="2" a="1"/>
  <c r="AL138" i="2" s="1"/>
  <c r="AL139" i="2" a="1"/>
  <c r="AL139" i="2" s="1"/>
  <c r="AL140" i="2" a="1"/>
  <c r="AL140" i="2" s="1"/>
  <c r="AL141" i="2" a="1"/>
  <c r="AL141" i="2" s="1"/>
  <c r="AL142" i="2" a="1"/>
  <c r="AL142" i="2" s="1"/>
  <c r="AL143" i="2" a="1"/>
  <c r="AL143" i="2"/>
  <c r="AL144" i="2" a="1"/>
  <c r="AL144" i="2"/>
  <c r="AL145" i="2" a="1"/>
  <c r="AL145" i="2" s="1"/>
  <c r="AL146" i="2" a="1"/>
  <c r="AL146" i="2" s="1"/>
  <c r="AL147" i="2" a="1"/>
  <c r="AL147" i="2" s="1"/>
  <c r="AL148" i="2" a="1"/>
  <c r="AL148" i="2" s="1"/>
  <c r="AL149" i="2" a="1"/>
  <c r="AL149" i="2" s="1"/>
  <c r="AL150" i="2" a="1"/>
  <c r="AL150" i="2" s="1"/>
  <c r="AL151" i="2" a="1"/>
  <c r="AL151" i="2" s="1"/>
  <c r="AL152" i="2" a="1"/>
  <c r="AL152" i="2"/>
  <c r="AL153" i="2" a="1"/>
  <c r="AL153" i="2"/>
  <c r="AL154" i="2" a="1"/>
  <c r="AL154" i="2" s="1"/>
  <c r="AL155" i="2" a="1"/>
  <c r="AL155" i="2" s="1"/>
  <c r="AL156" i="2" a="1"/>
  <c r="AL156" i="2" s="1"/>
  <c r="AL157" i="2" a="1"/>
  <c r="AL157" i="2" s="1"/>
  <c r="AL158" i="2" a="1"/>
  <c r="AL158" i="2" s="1"/>
  <c r="AL159" i="2" a="1"/>
  <c r="AL159" i="2" s="1"/>
  <c r="AL160" i="2" a="1"/>
  <c r="AL160" i="2"/>
  <c r="AL161" i="2" a="1"/>
  <c r="AL161" i="2" s="1"/>
  <c r="AL162" i="2" a="1"/>
  <c r="AL162" i="2"/>
  <c r="AL163" i="2" a="1"/>
  <c r="AL163" i="2" s="1"/>
  <c r="AL164" i="2" a="1"/>
  <c r="AL164" i="2" s="1"/>
  <c r="AL165" i="2" a="1"/>
  <c r="AL165" i="2"/>
  <c r="AL166" i="2" a="1"/>
  <c r="AL166" i="2" s="1"/>
  <c r="AL167" i="2" a="1"/>
  <c r="AL167" i="2" s="1"/>
  <c r="AL168" i="2" a="1"/>
  <c r="AL168" i="2" s="1"/>
  <c r="AL169" i="2" a="1"/>
  <c r="AL169" i="2" s="1"/>
  <c r="AL170" i="2" a="1"/>
  <c r="AL170" i="2" s="1"/>
  <c r="AL171" i="2" a="1"/>
  <c r="AL171" i="2" s="1"/>
  <c r="AL172" i="2" a="1"/>
  <c r="AL172" i="2" s="1"/>
  <c r="AL173" i="2" a="1"/>
  <c r="AL173" i="2" s="1"/>
  <c r="AL174" i="2" a="1"/>
  <c r="AL174" i="2" s="1"/>
  <c r="AL175" i="2" a="1"/>
  <c r="AL175" i="2" s="1"/>
  <c r="AL176" i="2" a="1"/>
  <c r="AL176" i="2" s="1"/>
  <c r="AL177" i="2" a="1"/>
  <c r="AL177" i="2" s="1"/>
  <c r="AL178" i="2" a="1"/>
  <c r="AL178" i="2" s="1"/>
  <c r="AL179" i="2" a="1"/>
  <c r="AL179" i="2" s="1"/>
  <c r="AL180" i="2" a="1"/>
  <c r="AL180" i="2"/>
  <c r="AL181" i="2" a="1"/>
  <c r="AL181" i="2" s="1"/>
  <c r="AL182" i="2" a="1"/>
  <c r="AL182" i="2"/>
  <c r="AL183" i="2" a="1"/>
  <c r="AL183" i="2" s="1"/>
  <c r="AL184" i="2" a="1"/>
  <c r="AL184" i="2" s="1"/>
  <c r="AL185" i="2" a="1"/>
  <c r="AL185" i="2" s="1"/>
  <c r="AL186" i="2" a="1"/>
  <c r="AL186" i="2" s="1"/>
  <c r="AL187" i="2" a="1"/>
  <c r="AL187" i="2" s="1"/>
  <c r="AL188" i="2" a="1"/>
  <c r="AL188" i="2"/>
  <c r="AL189" i="2" a="1"/>
  <c r="AL189" i="2"/>
  <c r="AL190" i="2" a="1"/>
  <c r="AL190" i="2" s="1"/>
  <c r="AL191" i="2" a="1"/>
  <c r="AL191" i="2" s="1"/>
  <c r="AL192" i="2" a="1"/>
  <c r="AL192" i="2" s="1"/>
  <c r="AL193" i="2" a="1"/>
  <c r="AL193" i="2" s="1"/>
  <c r="AL194" i="2" a="1"/>
  <c r="AL194" i="2" s="1"/>
  <c r="AL195" i="2" a="1"/>
  <c r="AL195" i="2"/>
  <c r="AL196" i="2" a="1"/>
  <c r="AL196" i="2" s="1"/>
  <c r="AL197" i="2" a="1"/>
  <c r="AL197" i="2" s="1"/>
  <c r="AL198" i="2" a="1"/>
  <c r="AL198" i="2"/>
  <c r="AL199" i="2" a="1"/>
  <c r="AL199" i="2" s="1"/>
  <c r="AL200" i="2" a="1"/>
  <c r="AL200" i="2" s="1"/>
  <c r="AL201" i="2" a="1"/>
  <c r="AL201" i="2" s="1"/>
  <c r="AL202" i="2" a="1"/>
  <c r="AL202" i="2" s="1"/>
  <c r="AL203" i="2" a="1"/>
  <c r="AL203" i="2" s="1"/>
  <c r="AL204" i="2" a="1"/>
  <c r="AL204" i="2"/>
  <c r="AL205" i="2" a="1"/>
  <c r="AL205" i="2" s="1"/>
  <c r="AL206" i="2" a="1"/>
  <c r="AL206" i="2"/>
  <c r="AL207" i="2" a="1"/>
  <c r="AL207" i="2" s="1"/>
  <c r="AL208" i="2" a="1"/>
  <c r="AL208" i="2" s="1"/>
  <c r="AL209" i="2" a="1"/>
  <c r="AL209" i="2" s="1"/>
  <c r="AL210" i="2" a="1"/>
  <c r="AL210" i="2" s="1"/>
  <c r="AL211" i="2" a="1"/>
  <c r="AL211" i="2" s="1"/>
  <c r="AL212" i="2" a="1"/>
  <c r="AL212" i="2" s="1"/>
  <c r="AL213" i="2" a="1"/>
  <c r="AL213" i="2"/>
  <c r="AL214" i="2" a="1"/>
  <c r="AL214" i="2"/>
  <c r="AL215" i="2" a="1"/>
  <c r="AL215" i="2" s="1"/>
  <c r="AL216" i="2" a="1"/>
  <c r="AL216" i="2" s="1"/>
  <c r="AL217" i="2" a="1"/>
  <c r="AL217" i="2" s="1"/>
  <c r="AL218" i="2" a="1"/>
  <c r="AL218" i="2" s="1"/>
  <c r="AL219" i="2" a="1"/>
  <c r="AL219" i="2" s="1"/>
  <c r="AL220" i="2" a="1"/>
  <c r="AL220" i="2" s="1"/>
  <c r="AL221" i="2" a="1"/>
  <c r="AL221" i="2"/>
  <c r="AL222" i="2" a="1"/>
  <c r="AL222" i="2" s="1"/>
  <c r="AL223" i="2" a="1"/>
  <c r="AL223" i="2" s="1"/>
  <c r="AL224" i="2" a="1"/>
  <c r="AL224" i="2" s="1"/>
  <c r="AL225" i="2" a="1"/>
  <c r="AL225" i="2" s="1"/>
  <c r="AL226" i="2" a="1"/>
  <c r="AL226" i="2" s="1"/>
  <c r="AL227" i="2" a="1"/>
  <c r="AL227" i="2" s="1"/>
  <c r="AL228" i="2" a="1"/>
  <c r="AL228" i="2"/>
  <c r="AL229" i="2" a="1"/>
  <c r="AL229" i="2" s="1"/>
  <c r="AL230" i="2" a="1"/>
  <c r="AL230" i="2" s="1"/>
  <c r="AL231" i="2" a="1"/>
  <c r="AL231" i="2" s="1"/>
  <c r="AL232" i="2" a="1"/>
  <c r="AL232" i="2" s="1"/>
  <c r="AL233" i="2" a="1"/>
  <c r="AL233" i="2" s="1"/>
  <c r="AL234" i="2" a="1"/>
  <c r="AL234" i="2" s="1"/>
  <c r="AL235" i="2" a="1"/>
  <c r="AL235" i="2" s="1"/>
  <c r="AL236" i="2" a="1"/>
  <c r="AL236" i="2"/>
  <c r="AL237" i="2" a="1"/>
  <c r="AL237" i="2"/>
  <c r="AL238" i="2" a="1"/>
  <c r="AL238" i="2"/>
  <c r="AL239" i="2" a="1"/>
  <c r="AL239" i="2" s="1"/>
  <c r="AL240" i="2" a="1"/>
  <c r="AL240" i="2"/>
  <c r="AL241" i="2" a="1"/>
  <c r="AL241" i="2" s="1"/>
  <c r="AL242" i="2" a="1"/>
  <c r="AL242" i="2" s="1"/>
  <c r="AL243" i="2" a="1"/>
  <c r="AL243" i="2" s="1"/>
  <c r="AL244" i="2" a="1"/>
  <c r="AL244" i="2"/>
  <c r="AL245" i="2" a="1"/>
  <c r="AL245" i="2" s="1"/>
  <c r="AL246" i="2" a="1"/>
  <c r="AL246" i="2" s="1"/>
  <c r="AL247" i="2" a="1"/>
  <c r="AL247" i="2" s="1"/>
  <c r="AL248" i="2" a="1"/>
  <c r="AL248" i="2" s="1"/>
  <c r="AL249" i="2" a="1"/>
  <c r="AL249" i="2"/>
  <c r="AL250" i="2" a="1"/>
  <c r="AL250" i="2" s="1"/>
  <c r="AL251" i="2" a="1"/>
  <c r="AL251" i="2" s="1"/>
  <c r="AL252" i="2" a="1"/>
  <c r="AL252" i="2" s="1"/>
  <c r="AL253" i="2" a="1"/>
  <c r="AL253" i="2" s="1"/>
  <c r="AL254" i="2" a="1"/>
  <c r="AL254" i="2" s="1"/>
  <c r="AL255" i="2" a="1"/>
  <c r="AL255" i="2" s="1"/>
  <c r="AL256" i="2" a="1"/>
  <c r="AL256" i="2" s="1"/>
  <c r="AL257" i="2" a="1"/>
  <c r="AL257" i="2" s="1"/>
  <c r="AL258" i="2" a="1"/>
  <c r="AL258" i="2" s="1"/>
  <c r="AL259" i="2" a="1"/>
  <c r="AL259" i="2" s="1"/>
  <c r="AL260" i="2" a="1"/>
  <c r="AL260" i="2" s="1"/>
  <c r="AL261" i="2" a="1"/>
  <c r="AL261" i="2" s="1"/>
  <c r="AL262" i="2" a="1"/>
  <c r="AL262" i="2" s="1"/>
  <c r="AL263" i="2" a="1"/>
  <c r="AL263" i="2" s="1"/>
  <c r="AL264" i="2" a="1"/>
  <c r="AL264" i="2" s="1"/>
  <c r="AL265" i="2" a="1"/>
  <c r="AL265" i="2" s="1"/>
  <c r="AL266" i="2" a="1"/>
  <c r="AL266" i="2" s="1"/>
  <c r="AL267" i="2" a="1"/>
  <c r="AL267" i="2" s="1"/>
  <c r="AL268" i="2" a="1"/>
  <c r="AL268" i="2" s="1"/>
  <c r="AL269" i="2" a="1"/>
  <c r="AL269" i="2" s="1"/>
  <c r="AL270" i="2" a="1"/>
  <c r="AL270" i="2" s="1"/>
  <c r="AL271" i="2" a="1"/>
  <c r="AL271" i="2" s="1"/>
  <c r="AL272" i="2" a="1"/>
  <c r="AL272" i="2" s="1"/>
  <c r="AL273" i="2" a="1"/>
  <c r="AL273" i="2"/>
  <c r="AL274" i="2" a="1"/>
  <c r="AL274" i="2"/>
  <c r="AL275" i="2" a="1"/>
  <c r="AL275" i="2" s="1"/>
  <c r="AL276" i="2" a="1"/>
  <c r="AL276" i="2" s="1"/>
  <c r="AL277" i="2" a="1"/>
  <c r="AL277" i="2" s="1"/>
  <c r="AL278" i="2" a="1"/>
  <c r="AL278" i="2" s="1"/>
  <c r="AL279" i="2" a="1"/>
  <c r="AL279" i="2" s="1"/>
  <c r="AL280" i="2" a="1"/>
  <c r="AL280" i="2"/>
  <c r="AL281" i="2" a="1"/>
  <c r="AL281" i="2" s="1"/>
  <c r="AL282" i="2" a="1"/>
  <c r="AL282" i="2" s="1"/>
  <c r="AL283" i="2" a="1"/>
  <c r="AL283" i="2" s="1"/>
  <c r="AL284" i="2" a="1"/>
  <c r="AL284" i="2" s="1"/>
  <c r="AL285" i="2" a="1"/>
  <c r="AL285" i="2" s="1"/>
  <c r="AL286" i="2" a="1"/>
  <c r="AL286" i="2" s="1"/>
  <c r="AL287" i="2" a="1"/>
  <c r="AL287" i="2" s="1"/>
  <c r="AL288" i="2" a="1"/>
  <c r="AL288" i="2" s="1"/>
  <c r="AL289" i="2" a="1"/>
  <c r="AL289" i="2" s="1"/>
  <c r="AL290" i="2" a="1"/>
  <c r="AL290" i="2"/>
  <c r="AL291" i="2" a="1"/>
  <c r="AL291" i="2"/>
  <c r="AL292" i="2" a="1"/>
  <c r="AL292" i="2" s="1"/>
  <c r="AL293" i="2" a="1"/>
  <c r="AL293" i="2" s="1"/>
  <c r="AL294" i="2" a="1"/>
  <c r="AL294" i="2" s="1"/>
  <c r="AL295" i="2" a="1"/>
  <c r="AL295" i="2" s="1"/>
  <c r="AL296" i="2" a="1"/>
  <c r="AL296" i="2" s="1"/>
  <c r="AL297" i="2" a="1"/>
  <c r="AL297" i="2" s="1"/>
  <c r="AL298" i="2" a="1"/>
  <c r="AL298" i="2"/>
  <c r="AL299" i="2" a="1"/>
  <c r="AL299" i="2"/>
  <c r="AL300" i="2" a="1"/>
  <c r="AL300" i="2" s="1"/>
  <c r="AL301" i="2" a="1"/>
  <c r="AL301" i="2" s="1"/>
  <c r="AL302" i="2" a="1"/>
  <c r="AL302" i="2" s="1"/>
  <c r="AL303" i="2" a="1"/>
  <c r="AL303" i="2" s="1"/>
  <c r="AL304" i="2" a="1"/>
  <c r="AL304" i="2" s="1"/>
  <c r="AL305" i="2" a="1"/>
  <c r="AL305" i="2" s="1"/>
  <c r="AL306" i="2" a="1"/>
  <c r="AL306" i="2"/>
  <c r="AL307" i="2" a="1"/>
  <c r="AL307" i="2" s="1"/>
  <c r="AL308" i="2" a="1"/>
  <c r="AL308" i="2"/>
  <c r="AL309" i="2" a="1"/>
  <c r="AL309" i="2" s="1"/>
  <c r="AL310" i="2" a="1"/>
  <c r="AL310" i="2" s="1"/>
  <c r="AL311" i="2" a="1"/>
  <c r="AL311" i="2" s="1"/>
  <c r="AL312" i="2" a="1"/>
  <c r="AL312" i="2"/>
  <c r="AL313" i="2" a="1"/>
  <c r="AL313" i="2" s="1"/>
  <c r="AL314" i="2" a="1"/>
  <c r="AL314" i="2" s="1"/>
  <c r="AL315" i="2" a="1"/>
  <c r="AL315" i="2" s="1"/>
  <c r="AL316" i="2" a="1"/>
  <c r="AL316" i="2"/>
  <c r="AL317" i="2" a="1"/>
  <c r="AL317" i="2"/>
  <c r="AL318" i="2" a="1"/>
  <c r="AL318" i="2" s="1"/>
  <c r="AL319" i="2" a="1"/>
  <c r="AL319" i="2" s="1"/>
  <c r="AL320" i="2" a="1"/>
  <c r="AL320" i="2" s="1"/>
  <c r="AL321" i="2" a="1"/>
  <c r="AL321" i="2" s="1"/>
  <c r="AL322" i="2" a="1"/>
  <c r="AL322" i="2" s="1"/>
  <c r="AL323" i="2" a="1"/>
  <c r="AL323" i="2" s="1"/>
  <c r="AL324" i="2" a="1"/>
  <c r="AL324" i="2"/>
  <c r="AL325" i="2" a="1"/>
  <c r="AL325" i="2" s="1"/>
  <c r="AL326" i="2" a="1"/>
  <c r="AL326" i="2" s="1"/>
  <c r="AL327" i="2" a="1"/>
  <c r="AL327" i="2" s="1"/>
  <c r="AL328" i="2" a="1"/>
  <c r="AL328" i="2" s="1"/>
  <c r="AL329" i="2" a="1"/>
  <c r="AL329" i="2" s="1"/>
  <c r="AL330" i="2" a="1"/>
  <c r="AL330" i="2"/>
  <c r="AL331" i="2" a="1"/>
  <c r="AL331" i="2" s="1"/>
  <c r="AL332" i="2" a="1"/>
  <c r="AL332" i="2" s="1"/>
  <c r="AL333" i="2" a="1"/>
  <c r="AL333" i="2"/>
  <c r="AL334" i="2" a="1"/>
  <c r="AL334" i="2"/>
  <c r="AL335" i="2" a="1"/>
  <c r="AL335" i="2" s="1"/>
  <c r="AL336" i="2" a="1"/>
  <c r="AL336" i="2" s="1"/>
  <c r="AL337" i="2" a="1"/>
  <c r="AL337" i="2" s="1"/>
  <c r="AL338" i="2" a="1"/>
  <c r="AL338" i="2" s="1"/>
  <c r="AL339" i="2" a="1"/>
  <c r="AL339" i="2" s="1"/>
  <c r="AL340" i="2" a="1"/>
  <c r="AL340" i="2" s="1"/>
  <c r="AL341" i="2" a="1"/>
  <c r="AL341" i="2" s="1"/>
  <c r="AL342" i="2" a="1"/>
  <c r="AL342" i="2"/>
  <c r="AL343" i="2" a="1"/>
  <c r="AL343" i="2" s="1"/>
  <c r="AL344" i="2" a="1"/>
  <c r="AL344" i="2" s="1"/>
  <c r="AL345" i="2" a="1"/>
  <c r="AL345" i="2" s="1"/>
  <c r="AL346" i="2" a="1"/>
  <c r="AL346" i="2" s="1"/>
  <c r="AL347" i="2" a="1"/>
  <c r="AL347" i="2"/>
  <c r="AL348" i="2" a="1"/>
  <c r="AL348" i="2" s="1"/>
  <c r="AL349" i="2" a="1"/>
  <c r="AL349" i="2" s="1"/>
  <c r="AL350" i="2" a="1"/>
  <c r="AL350" i="2"/>
  <c r="AL351" i="2" a="1"/>
  <c r="AL351" i="2" s="1"/>
  <c r="AL352" i="2" a="1"/>
  <c r="AL352" i="2" s="1"/>
  <c r="AL353" i="2" a="1"/>
  <c r="AL353" i="2" s="1"/>
  <c r="AL354" i="2" a="1"/>
  <c r="AL354" i="2" s="1"/>
  <c r="AL355" i="2" a="1"/>
  <c r="AL355" i="2" s="1"/>
  <c r="AL356" i="2" a="1"/>
  <c r="AL356" i="2" s="1"/>
  <c r="AL357" i="2" a="1"/>
  <c r="AL357" i="2"/>
  <c r="AL358" i="2" a="1"/>
  <c r="AL358" i="2"/>
  <c r="AL359" i="2" a="1"/>
  <c r="AL359" i="2"/>
  <c r="AL360" i="2" a="1"/>
  <c r="AL360" i="2"/>
  <c r="AL361" i="2" a="1"/>
  <c r="AL361" i="2" s="1"/>
  <c r="AL362" i="2" a="1"/>
  <c r="AL362" i="2" s="1"/>
  <c r="AL363" i="2" a="1"/>
  <c r="AL363" i="2" s="1"/>
  <c r="AL364" i="2" a="1"/>
  <c r="AL364" i="2" s="1"/>
  <c r="AL365" i="2" a="1"/>
  <c r="AL365" i="2" s="1"/>
  <c r="AL366" i="2" a="1"/>
  <c r="AL366" i="2" s="1"/>
  <c r="AL367" i="2" a="1"/>
  <c r="AL367" i="2" s="1"/>
  <c r="AL368" i="2" a="1"/>
  <c r="AL368" i="2"/>
  <c r="AL369" i="2" a="1"/>
  <c r="AL369" i="2" s="1"/>
  <c r="AL370" i="2" a="1"/>
  <c r="AL370" i="2" s="1"/>
  <c r="AL371" i="2" a="1"/>
  <c r="AL371" i="2" s="1"/>
  <c r="AL372" i="2" a="1"/>
  <c r="AL372" i="2" s="1"/>
  <c r="AL373" i="2" a="1"/>
  <c r="AL373" i="2" s="1"/>
  <c r="AL374" i="2" a="1"/>
  <c r="AL374" i="2" s="1"/>
  <c r="AL375" i="2" a="1"/>
  <c r="AL375" i="2"/>
  <c r="AL376" i="2" a="1"/>
  <c r="AL376" i="2"/>
  <c r="AL377" i="2" a="1"/>
  <c r="AL377" i="2" s="1"/>
  <c r="AL378" i="2" a="1"/>
  <c r="AL378" i="2" s="1"/>
  <c r="AL379" i="2" a="1"/>
  <c r="AL379" i="2" s="1"/>
  <c r="AL380" i="2" a="1"/>
  <c r="AL380" i="2" s="1"/>
  <c r="AL381" i="2" a="1"/>
  <c r="AL381" i="2" s="1"/>
  <c r="AL382" i="2" a="1"/>
  <c r="AL382" i="2"/>
  <c r="AL383" i="2" a="1"/>
  <c r="AL383" i="2"/>
  <c r="AL384" i="2" a="1"/>
  <c r="AL384" i="2" s="1"/>
  <c r="AL385" i="2" a="1"/>
  <c r="AL385" i="2" s="1"/>
  <c r="AL386" i="2" a="1"/>
  <c r="AL386" i="2" s="1"/>
  <c r="AL387" i="2" a="1"/>
  <c r="AL387" i="2" s="1"/>
  <c r="AL388" i="2" a="1"/>
  <c r="AL388" i="2" s="1"/>
  <c r="AL389" i="2" a="1"/>
  <c r="AL389" i="2" s="1"/>
  <c r="AL390" i="2" a="1"/>
  <c r="AL390" i="2" s="1"/>
  <c r="AL391" i="2" a="1"/>
  <c r="AL391" i="2" s="1"/>
  <c r="AL392" i="2" a="1"/>
  <c r="AL392" i="2"/>
  <c r="AL393" i="2" a="1"/>
  <c r="AL393" i="2"/>
  <c r="AL394" i="2" a="1"/>
  <c r="AL394" i="2" s="1"/>
  <c r="AL395" i="2" a="1"/>
  <c r="AL395" i="2" s="1"/>
  <c r="AL396" i="2" a="1"/>
  <c r="AL396" i="2" s="1"/>
  <c r="AL397" i="2" a="1"/>
  <c r="AL397" i="2" s="1"/>
  <c r="AL398" i="2" a="1"/>
  <c r="AL398" i="2" s="1"/>
  <c r="AL399" i="2" a="1"/>
  <c r="AL399" i="2" s="1"/>
  <c r="AL400" i="2" a="1"/>
  <c r="AL400" i="2" s="1"/>
  <c r="AL401" i="2" a="1"/>
  <c r="AL401" i="2"/>
  <c r="AL402" i="2" a="1"/>
  <c r="AL402" i="2" s="1"/>
  <c r="AL403" i="2" a="1"/>
  <c r="AL403" i="2" s="1"/>
  <c r="AL404" i="2" a="1"/>
  <c r="AL404" i="2" s="1"/>
  <c r="AL405" i="2" a="1"/>
  <c r="AL405" i="2" s="1"/>
  <c r="AL406" i="2" a="1"/>
  <c r="AL406" i="2" s="1"/>
  <c r="AL407" i="2" a="1"/>
  <c r="AL407" i="2" s="1"/>
  <c r="AL408" i="2" a="1"/>
  <c r="AL408" i="2" s="1"/>
  <c r="AL409" i="2" a="1"/>
  <c r="AL409" i="2" s="1"/>
  <c r="AL410" i="2" a="1"/>
  <c r="AL410" i="2" s="1"/>
  <c r="AL411" i="2" a="1"/>
  <c r="AL411" i="2"/>
  <c r="AL412" i="2" a="1"/>
  <c r="AL412" i="2" s="1"/>
  <c r="AL413" i="2" a="1"/>
  <c r="AL413" i="2" s="1"/>
  <c r="AL414" i="2" a="1"/>
  <c r="AL414" i="2" s="1"/>
  <c r="AL415" i="2" a="1"/>
  <c r="AL415" i="2" s="1"/>
  <c r="AL416" i="2" a="1"/>
  <c r="AL416" i="2"/>
  <c r="AL417" i="2" a="1"/>
  <c r="AL417" i="2" s="1"/>
  <c r="AL418" i="2" a="1"/>
  <c r="AL418" i="2" s="1"/>
  <c r="AL419" i="2" a="1"/>
  <c r="AL419" i="2" s="1"/>
  <c r="AL420" i="2" a="1"/>
  <c r="AL420" i="2"/>
  <c r="AL421" i="2" a="1"/>
  <c r="AL421" i="2" s="1"/>
  <c r="AL422" i="2" a="1"/>
  <c r="AL422" i="2" s="1"/>
  <c r="AL423" i="2" a="1"/>
  <c r="AL423" i="2" s="1"/>
  <c r="AL424" i="2" a="1"/>
  <c r="AL424" i="2" s="1"/>
  <c r="AL425" i="2" a="1"/>
  <c r="AL425" i="2" s="1"/>
  <c r="AL426" i="2" a="1"/>
  <c r="AL426" i="2" s="1"/>
  <c r="AL427" i="2" a="1"/>
  <c r="AL427" i="2" s="1"/>
  <c r="AL428" i="2" a="1"/>
  <c r="AL428" i="2" s="1"/>
  <c r="AL429" i="2" a="1"/>
  <c r="AL429" i="2" s="1"/>
  <c r="AL430" i="2" a="1"/>
  <c r="AL430" i="2" s="1"/>
  <c r="AL431" i="2" a="1"/>
  <c r="AL431" i="2"/>
  <c r="AL432" i="2" a="1"/>
  <c r="AL432" i="2" s="1"/>
  <c r="AL433" i="2" a="1"/>
  <c r="AL433" i="2" s="1"/>
  <c r="AL434" i="2" a="1"/>
  <c r="AL434" i="2"/>
  <c r="AL435" i="2" a="1"/>
  <c r="AL435" i="2"/>
  <c r="AL436" i="2" a="1"/>
  <c r="AL436" i="2" s="1"/>
  <c r="AL437" i="2" a="1"/>
  <c r="AL437" i="2"/>
  <c r="AL438" i="2" a="1"/>
  <c r="AL438" i="2" s="1"/>
  <c r="AL439" i="2" a="1"/>
  <c r="AL439" i="2" s="1"/>
  <c r="AL440" i="2" a="1"/>
  <c r="AL440" i="2" s="1"/>
  <c r="AL441" i="2" a="1"/>
  <c r="AL441" i="2" s="1"/>
  <c r="AL442" i="2" a="1"/>
  <c r="AL442" i="2" s="1"/>
  <c r="AL443" i="2" a="1"/>
  <c r="AL443" i="2"/>
  <c r="AL444" i="2" a="1"/>
  <c r="AL444" i="2"/>
  <c r="AL445" i="2" a="1"/>
  <c r="AL445" i="2" s="1"/>
  <c r="AL446" i="2" a="1"/>
  <c r="AL446" i="2" s="1"/>
  <c r="AL447" i="2" a="1"/>
  <c r="AL447" i="2" s="1"/>
  <c r="AL448" i="2" a="1"/>
  <c r="AL448" i="2"/>
  <c r="AL449" i="2" a="1"/>
  <c r="AL449" i="2" s="1"/>
  <c r="AL450" i="2" a="1"/>
  <c r="AL450" i="2" s="1"/>
  <c r="AL451" i="2" a="1"/>
  <c r="AL451" i="2" s="1"/>
  <c r="AL452" i="2" a="1"/>
  <c r="AL452" i="2" s="1"/>
  <c r="AL453" i="2" a="1"/>
  <c r="AL453" i="2" s="1"/>
  <c r="AL454" i="2" a="1"/>
  <c r="AL454" i="2" s="1"/>
  <c r="AL455" i="2" a="1"/>
  <c r="AL455" i="2"/>
  <c r="AL456" i="2" a="1"/>
  <c r="AL456" i="2" s="1"/>
  <c r="AL457" i="2" a="1"/>
  <c r="AL457" i="2" s="1"/>
  <c r="AL458" i="2" a="1"/>
  <c r="AL458" i="2" s="1"/>
  <c r="AL459" i="2" a="1"/>
  <c r="AL459" i="2" s="1"/>
  <c r="AL460" i="2" a="1"/>
  <c r="AL460" i="2" s="1"/>
  <c r="AL461" i="2" a="1"/>
  <c r="AL461" i="2" s="1"/>
  <c r="AL462" i="2" a="1"/>
  <c r="AL462" i="2" s="1"/>
  <c r="AL463" i="2" a="1"/>
  <c r="AL463" i="2" s="1"/>
  <c r="AL464" i="2" a="1"/>
  <c r="AL464" i="2" s="1"/>
  <c r="AL465" i="2" a="1"/>
  <c r="AL465" i="2"/>
  <c r="AL466" i="2" a="1"/>
  <c r="AL466" i="2"/>
  <c r="AL467" i="2" a="1"/>
  <c r="AL467" i="2" s="1"/>
  <c r="AL468" i="2" a="1"/>
  <c r="AL468" i="2" s="1"/>
  <c r="AL469" i="2" a="1"/>
  <c r="AL469" i="2" s="1"/>
  <c r="AL470" i="2" a="1"/>
  <c r="AL470" i="2" s="1"/>
  <c r="AL471" i="2" a="1"/>
  <c r="AL471" i="2" s="1"/>
  <c r="AL472" i="2" a="1"/>
  <c r="AL472" i="2" s="1"/>
  <c r="AL473" i="2" a="1"/>
  <c r="AL473" i="2" s="1"/>
  <c r="AL474" i="2" a="1"/>
  <c r="AL474" i="2"/>
  <c r="AL475" i="2" a="1"/>
  <c r="AL475" i="2" s="1"/>
  <c r="AL476" i="2" a="1"/>
  <c r="AL476" i="2" s="1"/>
  <c r="AL477" i="2" a="1"/>
  <c r="AL477" i="2" s="1"/>
  <c r="AL478" i="2" a="1"/>
  <c r="AL478" i="2" s="1"/>
  <c r="AL479" i="2" a="1"/>
  <c r="AL479" i="2"/>
  <c r="AL480" i="2" a="1"/>
  <c r="AL480" i="2"/>
  <c r="AL481" i="2" a="1"/>
  <c r="AL481" i="2" s="1"/>
  <c r="AL482" i="2" a="1"/>
  <c r="AL482" i="2" s="1"/>
  <c r="AL483" i="2" a="1"/>
  <c r="AL483" i="2"/>
  <c r="AL484" i="2" a="1"/>
  <c r="AL484" i="2" s="1"/>
  <c r="AL485" i="2" a="1"/>
  <c r="AL485" i="2" s="1"/>
  <c r="AL486" i="2" a="1"/>
  <c r="AL486" i="2" s="1"/>
  <c r="AL487" i="2" a="1"/>
  <c r="AL487" i="2" s="1"/>
  <c r="AL488" i="2" a="1"/>
  <c r="AL488" i="2" s="1"/>
  <c r="AL489" i="2" a="1"/>
  <c r="AL489" i="2" s="1"/>
  <c r="AL490" i="2" a="1"/>
  <c r="AL490" i="2" s="1"/>
  <c r="AL491" i="2" a="1"/>
  <c r="AL491" i="2"/>
  <c r="AL492" i="2" a="1"/>
  <c r="AL492" i="2" s="1"/>
  <c r="AL493" i="2" a="1"/>
  <c r="AL493" i="2" s="1"/>
  <c r="AL494" i="2" a="1"/>
  <c r="AL494" i="2" s="1"/>
  <c r="AL495" i="2" a="1"/>
  <c r="AL495" i="2" s="1"/>
  <c r="AL496" i="2" a="1"/>
  <c r="AL496" i="2" s="1"/>
  <c r="AL497" i="2" a="1"/>
  <c r="AL497" i="2" s="1"/>
  <c r="AL498" i="2" a="1"/>
  <c r="AL498" i="2" s="1"/>
  <c r="AL499" i="2" a="1"/>
  <c r="AL499" i="2" s="1"/>
  <c r="AL500" i="2" a="1"/>
  <c r="AL500" i="2"/>
  <c r="AL501" i="2" a="1"/>
  <c r="AL501" i="2" s="1"/>
  <c r="AL502" i="2" a="1"/>
  <c r="AL502" i="2"/>
  <c r="AL503" i="2" a="1"/>
  <c r="AL503" i="2" s="1"/>
  <c r="AL504" i="2" a="1"/>
  <c r="AL504" i="2" s="1"/>
  <c r="AL505" i="2" a="1"/>
  <c r="AL505" i="2" s="1"/>
  <c r="AL506" i="2" a="1"/>
  <c r="AL506" i="2" s="1"/>
  <c r="AL507" i="2" a="1"/>
  <c r="AL507" i="2" s="1"/>
  <c r="AL508" i="2" a="1"/>
  <c r="AL508" i="2" s="1"/>
  <c r="AL509" i="2" a="1"/>
  <c r="AL509" i="2"/>
  <c r="AL510" i="2" a="1"/>
  <c r="AL510" i="2" s="1"/>
  <c r="AL511" i="2" a="1"/>
  <c r="AL511" i="2" s="1"/>
  <c r="AL512" i="2" a="1"/>
  <c r="AL512" i="2" s="1"/>
  <c r="AL513" i="2" a="1"/>
  <c r="AL513" i="2" s="1"/>
  <c r="AL514" i="2" a="1"/>
  <c r="AL514" i="2" s="1"/>
  <c r="AL515" i="2" a="1"/>
  <c r="AL515" i="2" s="1"/>
  <c r="AL516" i="2" a="1"/>
  <c r="AL516" i="2"/>
  <c r="AL517" i="2" a="1"/>
  <c r="AL517" i="2" s="1"/>
  <c r="AL518" i="2" a="1"/>
  <c r="AL518" i="2" s="1"/>
  <c r="AL519" i="2" a="1"/>
  <c r="AL519" i="2" s="1"/>
  <c r="AL520" i="2" a="1"/>
  <c r="AL520" i="2" s="1"/>
  <c r="AL521" i="2" a="1"/>
  <c r="AL521" i="2" s="1"/>
  <c r="AL522" i="2" a="1"/>
  <c r="AL522" i="2" s="1"/>
  <c r="AL523" i="2" a="1"/>
  <c r="AL523" i="2" s="1"/>
  <c r="AL524" i="2" a="1"/>
  <c r="AL524" i="2" s="1"/>
  <c r="AL525" i="2" a="1"/>
  <c r="AL525" i="2" s="1"/>
  <c r="AL526" i="2" a="1"/>
  <c r="AL526" i="2"/>
  <c r="AL527" i="2" a="1"/>
  <c r="AL527" i="2"/>
  <c r="AL528" i="2" a="1"/>
  <c r="AL528" i="2" s="1"/>
  <c r="AL529" i="2" a="1"/>
  <c r="AL529" i="2" s="1"/>
  <c r="AL530" i="2" a="1"/>
  <c r="AL530" i="2"/>
  <c r="AL531" i="2" a="1"/>
  <c r="AL531" i="2"/>
  <c r="AL532" i="2" a="1"/>
  <c r="AL532" i="2"/>
  <c r="AL533" i="2" a="1"/>
  <c r="AL533" i="2" s="1"/>
  <c r="AL534" i="2" a="1"/>
  <c r="AL534" i="2" s="1"/>
  <c r="AL535" i="2" a="1"/>
  <c r="AL535" i="2" s="1"/>
  <c r="AL536" i="2" a="1"/>
  <c r="AL536" i="2" s="1"/>
  <c r="AL537" i="2" a="1"/>
  <c r="AL537" i="2" s="1"/>
  <c r="AL538" i="2" a="1"/>
  <c r="AL538" i="2" s="1"/>
  <c r="AL539" i="2" a="1"/>
  <c r="AL539" i="2" s="1"/>
  <c r="AL540" i="2" a="1"/>
  <c r="AL540" i="2"/>
  <c r="AL541" i="2" a="1"/>
  <c r="AL541" i="2" s="1"/>
  <c r="AL542" i="2" a="1"/>
  <c r="AL542" i="2"/>
  <c r="AL543" i="2" a="1"/>
  <c r="AL543" i="2" s="1"/>
  <c r="AL544" i="2" a="1"/>
  <c r="AL544" i="2"/>
  <c r="AL545" i="2" a="1"/>
  <c r="AL545" i="2"/>
  <c r="AL546" i="2" a="1"/>
  <c r="AL546" i="2" s="1"/>
  <c r="AL547" i="2" a="1"/>
  <c r="AL547" i="2" s="1"/>
  <c r="AL548" i="2" a="1"/>
  <c r="AL548" i="2"/>
  <c r="AL549" i="2" a="1"/>
  <c r="AL549" i="2"/>
  <c r="AL550" i="2" a="1"/>
  <c r="AL550" i="2" s="1"/>
  <c r="AL551" i="2" a="1"/>
  <c r="AL551" i="2" s="1"/>
  <c r="AL552" i="2" a="1"/>
  <c r="AL552" i="2" s="1"/>
  <c r="AL553" i="2" a="1"/>
  <c r="AL553" i="2" s="1"/>
  <c r="AL554" i="2" a="1"/>
  <c r="AL554" i="2"/>
  <c r="AL555" i="2" a="1"/>
  <c r="AL555" i="2"/>
  <c r="AL556" i="2" a="1"/>
  <c r="AL556" i="2"/>
  <c r="AL557" i="2" a="1"/>
  <c r="AL557" i="2" s="1"/>
  <c r="AL558" i="2" a="1"/>
  <c r="AL558" i="2"/>
  <c r="AL559" i="2" a="1"/>
  <c r="AL559" i="2" s="1"/>
  <c r="AL560" i="2" a="1"/>
  <c r="AL560" i="2" s="1"/>
  <c r="AL561" i="2" a="1"/>
  <c r="AL561" i="2"/>
  <c r="AL562" i="2" a="1"/>
  <c r="AL562" i="2" s="1"/>
  <c r="AL563" i="2" a="1"/>
  <c r="AL563" i="2" s="1"/>
  <c r="AL564" i="2" a="1"/>
  <c r="AL564" i="2" s="1"/>
  <c r="AL565" i="2" a="1"/>
  <c r="AL565" i="2" s="1"/>
  <c r="AL566" i="2" a="1"/>
  <c r="AL566" i="2"/>
  <c r="AL567" i="2" a="1"/>
  <c r="AL567" i="2"/>
  <c r="AL568" i="2" a="1"/>
  <c r="AL568" i="2"/>
  <c r="AL569" i="2" a="1"/>
  <c r="AL569" i="2"/>
  <c r="AL570" i="2" a="1"/>
  <c r="AL570" i="2"/>
  <c r="AL571" i="2" a="1"/>
  <c r="AL571" i="2" s="1"/>
  <c r="AL572" i="2" a="1"/>
  <c r="AL572" i="2" s="1"/>
  <c r="AL573" i="2" a="1"/>
  <c r="AL573" i="2" s="1"/>
  <c r="AL574" i="2" a="1"/>
  <c r="AL574" i="2" s="1"/>
  <c r="AL575" i="2" a="1"/>
  <c r="AL575" i="2" s="1"/>
  <c r="AL576" i="2" a="1"/>
  <c r="AL576" i="2" s="1"/>
  <c r="AL577" i="2" a="1"/>
  <c r="AL577" i="2" s="1"/>
  <c r="AL578" i="2" a="1"/>
  <c r="AL578" i="2"/>
  <c r="AL579" i="2" a="1"/>
  <c r="AL579" i="2" s="1"/>
  <c r="AL580" i="2" a="1"/>
  <c r="AL580" i="2" s="1"/>
  <c r="AL581" i="2" a="1"/>
  <c r="AL581" i="2" s="1"/>
  <c r="AL582" i="2" a="1"/>
  <c r="AL582" i="2" s="1"/>
  <c r="AL583" i="2" a="1"/>
  <c r="AL583" i="2" s="1"/>
  <c r="AL584" i="2" a="1"/>
  <c r="AL584" i="2"/>
  <c r="AL585" i="2" a="1"/>
  <c r="AL585" i="2"/>
  <c r="AL586" i="2" a="1"/>
  <c r="AL586" i="2" s="1"/>
  <c r="AL587" i="2" a="1"/>
  <c r="AL587" i="2" s="1"/>
  <c r="AL588" i="2" a="1"/>
  <c r="AL588" i="2" s="1"/>
  <c r="AL589" i="2" a="1"/>
  <c r="AL589" i="2" s="1"/>
  <c r="AL590" i="2" a="1"/>
  <c r="AL590" i="2" s="1"/>
  <c r="AL591" i="2" a="1"/>
  <c r="AL591" i="2"/>
  <c r="AL592" i="2" a="1"/>
  <c r="AL592" i="2" s="1"/>
  <c r="AL593" i="2" a="1"/>
  <c r="AL593" i="2" s="1"/>
  <c r="AL594" i="2" a="1"/>
  <c r="AL594" i="2" s="1"/>
  <c r="AL595" i="2" a="1"/>
  <c r="AL595" i="2" s="1"/>
  <c r="AL596" i="2" a="1"/>
  <c r="AL596" i="2"/>
  <c r="AL597" i="2" a="1"/>
  <c r="AL597" i="2"/>
  <c r="AL598" i="2" a="1"/>
  <c r="AL598" i="2"/>
  <c r="AL599" i="2" a="1"/>
  <c r="AL599" i="2"/>
  <c r="AL600" i="2" a="1"/>
  <c r="AL600" i="2"/>
  <c r="AL601" i="2" a="1"/>
  <c r="AL601" i="2" s="1"/>
  <c r="AL602" i="2" a="1"/>
  <c r="AL602" i="2" s="1"/>
  <c r="AL603" i="2" a="1"/>
  <c r="AL603" i="2" s="1"/>
  <c r="AL604" i="2" a="1"/>
  <c r="AL604" i="2" s="1"/>
  <c r="AL605" i="2" a="1"/>
  <c r="AL605" i="2" s="1"/>
  <c r="AL606" i="2" a="1"/>
  <c r="AL606" i="2" s="1"/>
  <c r="AL607" i="2" a="1"/>
  <c r="AL607" i="2" s="1"/>
  <c r="AL608" i="2" a="1"/>
  <c r="AL608" i="2"/>
  <c r="AL609" i="2" a="1"/>
  <c r="AL609" i="2" s="1"/>
  <c r="AL610" i="2" a="1"/>
  <c r="AL610" i="2" s="1"/>
  <c r="AL611" i="2" a="1"/>
  <c r="AL611" i="2"/>
  <c r="AL612" i="2" a="1"/>
  <c r="AL612" i="2"/>
  <c r="AL613" i="2" a="1"/>
  <c r="AL613" i="2" s="1"/>
  <c r="AL614" i="2" a="1"/>
  <c r="AL614" i="2"/>
  <c r="AL615" i="2" a="1"/>
  <c r="AL615" i="2"/>
  <c r="AL616" i="2" a="1"/>
  <c r="AL616" i="2" s="1"/>
  <c r="AL617" i="2" a="1"/>
  <c r="AL617" i="2" s="1"/>
  <c r="AL618" i="2" a="1"/>
  <c r="AL618" i="2" s="1"/>
  <c r="AL619" i="2" a="1"/>
  <c r="AL619" i="2" s="1"/>
  <c r="AL620" i="2" a="1"/>
  <c r="AL620" i="2"/>
  <c r="AL621" i="2" a="1"/>
  <c r="AL621" i="2"/>
  <c r="AL622" i="2" a="1"/>
  <c r="AL622" i="2"/>
  <c r="AL623" i="2" a="1"/>
  <c r="AL623" i="2"/>
  <c r="AL624" i="2" a="1"/>
  <c r="AL624" i="2" s="1"/>
  <c r="AL625" i="2" a="1"/>
  <c r="AL625" i="2" s="1"/>
  <c r="AL626" i="2" a="1"/>
  <c r="AL626" i="2"/>
  <c r="AL627" i="2" a="1"/>
  <c r="AL627" i="2"/>
  <c r="AL628" i="2" a="1"/>
  <c r="AL628" i="2"/>
  <c r="AL629" i="2" a="1"/>
  <c r="AL629" i="2"/>
  <c r="AL630" i="2" a="1"/>
  <c r="AL630" i="2" s="1"/>
  <c r="AL631" i="2" a="1"/>
  <c r="AL631" i="2" s="1"/>
  <c r="AL632" i="2" a="1"/>
  <c r="AL632" i="2" s="1"/>
  <c r="AL633" i="2" a="1"/>
  <c r="AL633" i="2"/>
  <c r="AL634" i="2" a="1"/>
  <c r="AL634" i="2"/>
  <c r="AL635" i="2" a="1"/>
  <c r="AL635" i="2"/>
  <c r="AL636" i="2" a="1"/>
  <c r="AL636" i="2"/>
  <c r="AL637" i="2" a="1"/>
  <c r="AL637" i="2" s="1"/>
  <c r="AL638" i="2" a="1"/>
  <c r="AL638" i="2" s="1"/>
  <c r="AL639" i="2" a="1"/>
  <c r="AL639" i="2" s="1"/>
  <c r="AL640" i="2" a="1"/>
  <c r="AL640" i="2" s="1"/>
  <c r="AL641" i="2" a="1"/>
  <c r="AL641" i="2" s="1"/>
  <c r="AL642" i="2" a="1"/>
  <c r="AL642" i="2" s="1"/>
  <c r="AL643" i="2" a="1"/>
  <c r="AL643" i="2" s="1"/>
  <c r="AL644" i="2" a="1"/>
  <c r="AL644" i="2"/>
  <c r="AL645" i="2" a="1"/>
  <c r="AL645" i="2"/>
  <c r="AL646" i="2" a="1"/>
  <c r="AL646" i="2" s="1"/>
  <c r="AL647" i="2" a="1"/>
  <c r="AL647" i="2"/>
  <c r="AL648" i="2" a="1"/>
  <c r="AL648" i="2"/>
  <c r="AL649" i="2" a="1"/>
  <c r="AL649" i="2" s="1"/>
  <c r="AL650" i="2" a="1"/>
  <c r="AL650" i="2"/>
  <c r="AL651" i="2" a="1"/>
  <c r="AL651" i="2" s="1"/>
  <c r="AL652" i="2" a="1"/>
  <c r="AL652" i="2" s="1"/>
  <c r="AL653" i="2" a="1"/>
  <c r="AL653" i="2" s="1"/>
  <c r="AL654" i="2" a="1"/>
  <c r="AL654" i="2" s="1"/>
  <c r="AL655" i="2" a="1"/>
  <c r="AL655" i="2" s="1"/>
  <c r="AL656" i="2" a="1"/>
  <c r="AL656" i="2"/>
  <c r="AL657" i="2" a="1"/>
  <c r="AL657" i="2"/>
  <c r="AL658" i="2" a="1"/>
  <c r="AL658" i="2"/>
  <c r="AL659" i="2" a="1"/>
  <c r="AL659" i="2"/>
  <c r="AL660" i="2" a="1"/>
  <c r="AL660" i="2" s="1"/>
  <c r="AL661" i="2" a="1"/>
  <c r="AL661" i="2" s="1"/>
  <c r="AL662" i="2" a="1"/>
  <c r="AL662" i="2"/>
  <c r="AL663" i="2" a="1"/>
  <c r="AL663" i="2"/>
  <c r="AL664" i="2" a="1"/>
  <c r="AL664" i="2" s="1"/>
  <c r="AL665" i="2" a="1"/>
  <c r="AL665" i="2" s="1"/>
  <c r="AL666" i="2" a="1"/>
  <c r="AL666" i="2"/>
  <c r="AL667" i="2" a="1"/>
  <c r="AL667" i="2" s="1"/>
  <c r="AL668" i="2" a="1"/>
  <c r="AL668" i="2" s="1"/>
  <c r="AL669" i="2" a="1"/>
  <c r="AL669" i="2" s="1"/>
  <c r="AL670" i="2" a="1"/>
  <c r="AL670" i="2"/>
  <c r="AL671" i="2" a="1"/>
  <c r="AL671" i="2"/>
  <c r="AL672" i="2" a="1"/>
  <c r="AL672" i="2"/>
  <c r="AL673" i="2" a="1"/>
  <c r="AL673" i="2" s="1"/>
  <c r="AL674" i="2" a="1"/>
  <c r="AL674" i="2"/>
  <c r="AL675" i="2" a="1"/>
  <c r="AL675" i="2" s="1"/>
  <c r="AL676" i="2" a="1"/>
  <c r="AL676" i="2" s="1"/>
  <c r="AL677" i="2" a="1"/>
  <c r="AL677" i="2" s="1"/>
  <c r="AL678" i="2" a="1"/>
  <c r="AL678" i="2" s="1"/>
  <c r="AL679" i="2" a="1"/>
  <c r="AL679" i="2" s="1"/>
  <c r="AL680" i="2" a="1"/>
  <c r="AL680" i="2"/>
  <c r="AL681" i="2" a="1"/>
  <c r="AL681" i="2" s="1"/>
  <c r="AL682" i="2" a="1"/>
  <c r="AL682" i="2" s="1"/>
  <c r="AL683" i="2" a="1"/>
  <c r="AL683" i="2"/>
  <c r="AL684" i="2" a="1"/>
  <c r="AL684" i="2" s="1"/>
  <c r="AL685" i="2" a="1"/>
  <c r="AL685" i="2" s="1"/>
  <c r="AL686" i="2" a="1"/>
  <c r="AL686" i="2" s="1"/>
  <c r="AL687" i="2" a="1"/>
  <c r="AL687" i="2" s="1"/>
  <c r="AL688" i="2" a="1"/>
  <c r="AL688" i="2"/>
  <c r="AL689" i="2" a="1"/>
  <c r="AL689" i="2"/>
  <c r="AL690" i="2" a="1"/>
  <c r="AL690" i="2" s="1"/>
  <c r="AL691" i="2" a="1"/>
  <c r="AL691" i="2" s="1"/>
  <c r="AL692" i="2" a="1"/>
  <c r="AL692" i="2" s="1"/>
  <c r="AL693" i="2" a="1"/>
  <c r="AL693" i="2"/>
  <c r="AL694" i="2" a="1"/>
  <c r="AL694" i="2" s="1"/>
  <c r="AL695" i="2" a="1"/>
  <c r="AL695" i="2" s="1"/>
  <c r="AL696" i="2" a="1"/>
  <c r="AL696" i="2"/>
  <c r="AL697" i="2" a="1"/>
  <c r="AL697" i="2" s="1"/>
  <c r="AL698" i="2" a="1"/>
  <c r="AL698" i="2" s="1"/>
  <c r="AL699" i="2" a="1"/>
  <c r="AL699" i="2" s="1"/>
  <c r="AL700" i="2" a="1"/>
  <c r="AL700" i="2" s="1"/>
  <c r="AL701" i="2" a="1"/>
  <c r="AL701" i="2" s="1"/>
  <c r="AL702" i="2" a="1"/>
  <c r="AL702" i="2"/>
  <c r="AL703" i="2" a="1"/>
  <c r="AL703" i="2" s="1"/>
  <c r="AL704" i="2" a="1"/>
  <c r="AL704" i="2"/>
  <c r="AL705" i="2" a="1"/>
  <c r="AL705" i="2"/>
  <c r="AL706" i="2" a="1"/>
  <c r="AL706" i="2" s="1"/>
  <c r="AL707" i="2" a="1"/>
  <c r="AL707" i="2" s="1"/>
  <c r="AL708" i="2" a="1"/>
  <c r="AL708" i="2" s="1"/>
  <c r="AL709" i="2" a="1"/>
  <c r="AL709" i="2" s="1"/>
  <c r="AL710" i="2" a="1"/>
  <c r="AL710" i="2" s="1"/>
  <c r="AL711" i="2" a="1"/>
  <c r="AL711" i="2" s="1"/>
  <c r="AL712" i="2" a="1"/>
  <c r="AL712" i="2"/>
  <c r="AL713" i="2" a="1"/>
  <c r="AL713" i="2"/>
  <c r="AL714" i="2" a="1"/>
  <c r="AL714" i="2" s="1"/>
  <c r="AL715" i="2" a="1"/>
  <c r="AL715" i="2" s="1"/>
  <c r="AL716" i="2" a="1"/>
  <c r="AL716" i="2" s="1"/>
  <c r="AL717" i="2" a="1"/>
  <c r="AL717" i="2" s="1"/>
  <c r="AL718" i="2" a="1"/>
  <c r="AL718" i="2" s="1"/>
  <c r="AL719" i="2" a="1"/>
  <c r="AL719" i="2"/>
  <c r="AL720" i="2" a="1"/>
  <c r="AL720" i="2"/>
  <c r="AL721" i="2" a="1"/>
  <c r="AL721" i="2" s="1"/>
  <c r="AL722" i="2" a="1"/>
  <c r="AL722" i="2" s="1"/>
  <c r="AL723" i="2" a="1"/>
  <c r="AL723" i="2" s="1"/>
  <c r="AL724" i="2" a="1"/>
  <c r="AL724" i="2" s="1"/>
  <c r="AL725" i="2" a="1"/>
  <c r="AL725" i="2" s="1"/>
  <c r="AL726" i="2" a="1"/>
  <c r="AL726" i="2" s="1"/>
  <c r="AL727" i="2" a="1"/>
  <c r="AL727" i="2" s="1"/>
  <c r="AL728" i="2" a="1"/>
  <c r="AL728" i="2"/>
  <c r="AL729" i="2" a="1"/>
  <c r="AL729" i="2"/>
  <c r="AL730" i="2" a="1"/>
  <c r="AL730" i="2" s="1"/>
  <c r="AL731" i="2" a="1"/>
  <c r="AL731" i="2"/>
  <c r="AL732" i="2" a="1"/>
  <c r="AL732" i="2"/>
  <c r="AL733" i="2" a="1"/>
  <c r="AL733" i="2" s="1"/>
  <c r="AL734" i="2" a="1"/>
  <c r="AL734" i="2"/>
  <c r="AL735" i="2" a="1"/>
  <c r="AL735" i="2"/>
  <c r="AL736" i="2" a="1"/>
  <c r="AL736" i="2" s="1"/>
  <c r="AL737" i="2" a="1"/>
  <c r="AL737" i="2" s="1"/>
  <c r="AL738" i="2" a="1"/>
  <c r="AL738" i="2" s="1"/>
  <c r="AL739" i="2" a="1"/>
  <c r="AL739" i="2" s="1"/>
  <c r="AL740" i="2" a="1"/>
  <c r="AL740" i="2"/>
  <c r="AL741" i="2" a="1"/>
  <c r="AL741" i="2"/>
  <c r="AL742" i="2" a="1"/>
  <c r="AL742" i="2"/>
  <c r="AL743" i="2" a="1"/>
  <c r="AL743" i="2"/>
  <c r="AL744" i="2" a="1"/>
  <c r="AL744" i="2" s="1"/>
  <c r="AL745" i="2" a="1"/>
  <c r="AL745" i="2" s="1"/>
  <c r="AL746" i="2" a="1"/>
  <c r="AL746" i="2" s="1"/>
  <c r="AL747" i="2" a="1"/>
  <c r="AL747" i="2" s="1"/>
  <c r="AL748" i="2" a="1"/>
  <c r="AL748" i="2"/>
  <c r="AL749" i="2" a="1"/>
  <c r="AL749" i="2" s="1"/>
  <c r="AL750" i="2" a="1"/>
  <c r="AL750" i="2" s="1"/>
  <c r="AL751" i="2" a="1"/>
  <c r="AL751" i="2" s="1"/>
  <c r="AL752" i="2" a="1"/>
  <c r="AL752" i="2" s="1"/>
  <c r="AL753" i="2" a="1"/>
  <c r="AL753" i="2" s="1"/>
  <c r="AL754" i="2" a="1"/>
  <c r="AL754" i="2"/>
  <c r="AL755" i="2" a="1"/>
  <c r="AL755" i="2"/>
  <c r="AL756" i="2" a="1"/>
  <c r="AL756" i="2"/>
  <c r="AL757" i="2" a="1"/>
  <c r="AL757" i="2" s="1"/>
  <c r="AL758" i="2" a="1"/>
  <c r="AL758" i="2" s="1"/>
  <c r="AL759" i="2" a="1"/>
  <c r="AL759" i="2"/>
  <c r="AL760" i="2" a="1"/>
  <c r="AL760" i="2" s="1"/>
  <c r="AL761" i="2" a="1"/>
  <c r="AL761" i="2"/>
  <c r="AL762" i="2" a="1"/>
  <c r="AL762" i="2" s="1"/>
  <c r="AL763" i="2" a="1"/>
  <c r="AL763" i="2" s="1"/>
  <c r="AL764" i="2" a="1"/>
  <c r="AL764" i="2"/>
  <c r="AL765" i="2" a="1"/>
  <c r="AL765" i="2" s="1"/>
  <c r="AL766" i="2" a="1"/>
  <c r="AL766" i="2"/>
  <c r="AL767" i="2" a="1"/>
  <c r="AL767" i="2" s="1"/>
  <c r="AL768" i="2" a="1"/>
  <c r="AL768" i="2" s="1"/>
  <c r="AL769" i="2" a="1"/>
  <c r="AL769" i="2" s="1"/>
  <c r="AL770" i="2" a="1"/>
  <c r="AL770" i="2" s="1"/>
  <c r="AL771" i="2" a="1"/>
  <c r="AL771" i="2" s="1"/>
  <c r="AL772" i="2" a="1"/>
  <c r="AL772" i="2" s="1"/>
  <c r="AL773" i="2" a="1"/>
  <c r="AL773" i="2"/>
  <c r="AL774" i="2" a="1"/>
  <c r="AL774" i="2"/>
  <c r="AL775" i="2" a="1"/>
  <c r="AL775" i="2" s="1"/>
  <c r="AL776" i="2" a="1"/>
  <c r="AL776" i="2" s="1"/>
  <c r="AL777" i="2" a="1"/>
  <c r="AL777" i="2" s="1"/>
  <c r="AL778" i="2" a="1"/>
  <c r="AL778" i="2" s="1"/>
  <c r="AL779" i="2" a="1"/>
  <c r="AL779" i="2" s="1"/>
  <c r="AL780" i="2" a="1"/>
  <c r="AL780" i="2" s="1"/>
  <c r="AL781" i="2" a="1"/>
  <c r="AL781" i="2" s="1"/>
  <c r="AL782" i="2" a="1"/>
  <c r="AL782" i="2" s="1"/>
  <c r="AL783" i="2" a="1"/>
  <c r="AL783" i="2" s="1"/>
  <c r="AL784" i="2" a="1"/>
  <c r="AL784" i="2" s="1"/>
  <c r="AL785" i="2" a="1"/>
  <c r="AL785" i="2"/>
  <c r="AL786" i="2" a="1"/>
  <c r="AL786" i="2" s="1"/>
  <c r="AL787" i="2" a="1"/>
  <c r="AL787" i="2" s="1"/>
  <c r="AL788" i="2" a="1"/>
  <c r="AL788" i="2" s="1"/>
  <c r="AL789" i="2" a="1"/>
  <c r="AL789" i="2"/>
  <c r="AL790" i="2" a="1"/>
  <c r="AL790" i="2"/>
  <c r="AL791" i="2" a="1"/>
  <c r="AL791" i="2" s="1"/>
  <c r="AL792" i="2" a="1"/>
  <c r="AL792" i="2" s="1"/>
  <c r="AL793" i="2" a="1"/>
  <c r="AL793" i="2" s="1"/>
  <c r="AL794" i="2" a="1"/>
  <c r="AL794" i="2"/>
  <c r="AL795" i="2" a="1"/>
  <c r="AL795" i="2" s="1"/>
  <c r="AL796" i="2" a="1"/>
  <c r="AL796" i="2" s="1"/>
  <c r="AL797" i="2" a="1"/>
  <c r="AL797" i="2"/>
  <c r="AL798" i="2" a="1"/>
  <c r="AL798" i="2"/>
  <c r="AL799" i="2" a="1"/>
  <c r="AL799" i="2" s="1"/>
  <c r="AL800" i="2" a="1"/>
  <c r="AL800" i="2" s="1"/>
  <c r="AL801" i="2" a="1"/>
  <c r="AL801" i="2" s="1"/>
  <c r="AL802" i="2" a="1"/>
  <c r="AL802" i="2"/>
  <c r="AL803" i="2" a="1"/>
  <c r="AL803" i="2"/>
  <c r="AL804" i="2" a="1"/>
  <c r="AL804" i="2"/>
  <c r="AL805" i="2" a="1"/>
  <c r="AL805" i="2" s="1"/>
  <c r="AL806" i="2" a="1"/>
  <c r="AL806" i="2" s="1"/>
  <c r="AL807" i="2" a="1"/>
  <c r="AL807" i="2" s="1"/>
  <c r="AL808" i="2" a="1"/>
  <c r="AL808" i="2" s="1"/>
  <c r="AL809" i="2" a="1"/>
  <c r="AL809" i="2" s="1"/>
  <c r="AL810" i="2" a="1"/>
  <c r="AL810" i="2"/>
  <c r="AL811" i="2" a="1"/>
  <c r="AL811" i="2" s="1"/>
  <c r="AL812" i="2" a="1"/>
  <c r="AL812" i="2"/>
  <c r="AL813" i="2" a="1"/>
  <c r="AL813" i="2"/>
  <c r="AL814" i="2" a="1"/>
  <c r="AL814" i="2" s="1"/>
  <c r="AL815" i="2" a="1"/>
  <c r="AL815" i="2" s="1"/>
  <c r="AL816" i="2" a="1"/>
  <c r="AL816" i="2" s="1"/>
  <c r="AL817" i="2" a="1"/>
  <c r="AL817" i="2" s="1"/>
  <c r="AL818" i="2" a="1"/>
  <c r="AL818" i="2"/>
  <c r="AL819" i="2" a="1"/>
  <c r="AL819" i="2"/>
  <c r="AL820" i="2" a="1"/>
  <c r="AL820" i="2"/>
  <c r="AL821" i="2" a="1"/>
  <c r="AL821" i="2" s="1"/>
  <c r="AL822" i="2" a="1"/>
  <c r="AL822" i="2" s="1"/>
  <c r="AL823" i="2" a="1"/>
  <c r="AL823" i="2" s="1"/>
  <c r="AL824" i="2" a="1"/>
  <c r="AL824" i="2" s="1"/>
  <c r="AL825" i="2" a="1"/>
  <c r="AL825" i="2"/>
  <c r="AL826" i="2" a="1"/>
  <c r="AL826" i="2"/>
  <c r="AL827" i="2" a="1"/>
  <c r="AL827" i="2"/>
  <c r="AL828" i="2" a="1"/>
  <c r="AL828" i="2"/>
  <c r="AL829" i="2" a="1"/>
  <c r="AL829" i="2" s="1"/>
  <c r="AL830" i="2" a="1"/>
  <c r="AL830" i="2" s="1"/>
  <c r="AL831" i="2" a="1"/>
  <c r="AL831" i="2" s="1"/>
  <c r="AL832" i="2" a="1"/>
  <c r="AL832" i="2" s="1"/>
  <c r="AL833" i="2" a="1"/>
  <c r="AL833" i="2"/>
  <c r="AL834" i="2" a="1"/>
  <c r="AL834" i="2" s="1"/>
  <c r="AL835" i="2" a="1"/>
  <c r="AL835" i="2" s="1"/>
  <c r="AL836" i="2" a="1"/>
  <c r="AL836" i="2" s="1"/>
  <c r="AL837" i="2" a="1"/>
  <c r="AL837" i="2" s="1"/>
  <c r="AL838" i="2" a="1"/>
  <c r="AL838" i="2" s="1"/>
  <c r="AL839" i="2" a="1"/>
  <c r="AL839" i="2" s="1"/>
  <c r="AL840" i="2" a="1"/>
  <c r="AL840" i="2"/>
  <c r="AL841" i="2" a="1"/>
  <c r="AL841" i="2" s="1"/>
  <c r="AL842" i="2" a="1"/>
  <c r="AL842" i="2" s="1"/>
  <c r="AL843" i="2" a="1"/>
  <c r="AL843" i="2" s="1"/>
  <c r="AL844" i="2" a="1"/>
  <c r="AL844" i="2" s="1"/>
  <c r="AL845" i="2" a="1"/>
  <c r="AL845" i="2"/>
  <c r="AL846" i="2" a="1"/>
  <c r="AL846" i="2" s="1"/>
  <c r="AL847" i="2" a="1"/>
  <c r="AL847" i="2" s="1"/>
  <c r="AL848" i="2" a="1"/>
  <c r="AL848" i="2" s="1"/>
  <c r="AL849" i="2" a="1"/>
  <c r="AL849" i="2"/>
  <c r="AL850" i="2" a="1"/>
  <c r="AL850" i="2" s="1"/>
  <c r="AL851" i="2" a="1"/>
  <c r="AL851" i="2" s="1"/>
  <c r="AL852" i="2" a="1"/>
  <c r="AL852" i="2" s="1"/>
  <c r="AL853" i="2" a="1"/>
  <c r="AL853" i="2" s="1"/>
  <c r="AL854" i="2" a="1"/>
  <c r="AL854" i="2" s="1"/>
  <c r="AL855" i="2" a="1"/>
  <c r="AL855" i="2" s="1"/>
  <c r="AL856" i="2" a="1"/>
  <c r="AL856" i="2"/>
  <c r="AL857" i="2" a="1"/>
  <c r="AL857" i="2" s="1"/>
  <c r="AL858" i="2" a="1"/>
  <c r="AL858" i="2"/>
  <c r="AL859" i="2" a="1"/>
  <c r="AL859" i="2" s="1"/>
  <c r="AL860" i="2" a="1"/>
  <c r="AL860" i="2" s="1"/>
  <c r="AL861" i="2" a="1"/>
  <c r="AL861" i="2"/>
  <c r="AL862" i="2" a="1"/>
  <c r="AL862" i="2" s="1"/>
  <c r="AL863" i="2" a="1"/>
  <c r="AL863" i="2"/>
  <c r="AL864" i="2" a="1"/>
  <c r="AL864" i="2" s="1"/>
  <c r="AL865" i="2" a="1"/>
  <c r="AL865" i="2" s="1"/>
  <c r="AL866" i="2" a="1"/>
  <c r="AL866" i="2" s="1"/>
  <c r="AL867" i="2" a="1"/>
  <c r="AL867" i="2" s="1"/>
  <c r="AL868" i="2" a="1"/>
  <c r="AL868" i="2" s="1"/>
  <c r="AL869" i="2" a="1"/>
  <c r="AL869" i="2"/>
  <c r="AL870" i="2" a="1"/>
  <c r="AL870" i="2" s="1"/>
  <c r="AL871" i="2" a="1"/>
  <c r="AL871" i="2" s="1"/>
  <c r="AL872" i="2" a="1"/>
  <c r="AL872" i="2" s="1"/>
  <c r="AL873" i="2" a="1"/>
  <c r="AL873" i="2"/>
  <c r="AL874" i="2" a="1"/>
  <c r="AL874" i="2" s="1"/>
  <c r="AL875" i="2" a="1"/>
  <c r="AL875" i="2" s="1"/>
  <c r="AL876" i="2" a="1"/>
  <c r="AL876" i="2"/>
  <c r="AL877" i="2" a="1"/>
  <c r="AL877" i="2" s="1"/>
  <c r="AL878" i="2" a="1"/>
  <c r="AL878" i="2" s="1"/>
  <c r="AL879" i="2" a="1"/>
  <c r="AL879" i="2" s="1"/>
  <c r="AL880" i="2" a="1"/>
  <c r="AL880" i="2"/>
  <c r="AL881" i="2" a="1"/>
  <c r="AL881" i="2"/>
  <c r="AL882" i="2" a="1"/>
  <c r="AL882" i="2" s="1"/>
  <c r="AL883" i="2" a="1"/>
  <c r="AL883" i="2" s="1"/>
  <c r="AL884" i="2" a="1"/>
  <c r="AL884" i="2" s="1"/>
  <c r="AL885" i="2" a="1"/>
  <c r="AL885" i="2" s="1"/>
  <c r="AL886" i="2" a="1"/>
  <c r="AL886" i="2" s="1"/>
  <c r="AL887" i="2" a="1"/>
  <c r="AL887" i="2"/>
  <c r="AL888" i="2" a="1"/>
  <c r="AL888" i="2"/>
  <c r="AL889" i="2" a="1"/>
  <c r="AL889" i="2" s="1"/>
  <c r="AL890" i="2" a="1"/>
  <c r="AL890" i="2" s="1"/>
  <c r="AL891" i="2" a="1"/>
  <c r="AL891" i="2" s="1"/>
  <c r="AL892" i="2" a="1"/>
  <c r="AL892" i="2"/>
  <c r="AL893" i="2" a="1"/>
  <c r="AL893" i="2" s="1"/>
  <c r="AL894" i="2" a="1"/>
  <c r="AL894" i="2"/>
  <c r="AL895" i="2" a="1"/>
  <c r="AL895" i="2" s="1"/>
  <c r="AL896" i="2" a="1"/>
  <c r="AL896" i="2" s="1"/>
  <c r="AL897" i="2" a="1"/>
  <c r="AL897" i="2"/>
  <c r="AL898" i="2" a="1"/>
  <c r="AL898" i="2" s="1"/>
  <c r="AL899" i="2" a="1"/>
  <c r="AL899" i="2"/>
  <c r="AL900" i="2" a="1"/>
  <c r="AL900" i="2" s="1"/>
  <c r="AL901" i="2" a="1"/>
  <c r="AL901" i="2" s="1"/>
  <c r="AL902" i="2" a="1"/>
  <c r="AL902" i="2" s="1"/>
  <c r="AL903" i="2" a="1"/>
  <c r="AL903" i="2"/>
  <c r="AL904" i="2" a="1"/>
  <c r="AL904" i="2"/>
  <c r="AL905" i="2" a="1"/>
  <c r="AL905" i="2" s="1"/>
  <c r="AL906" i="2" a="1"/>
  <c r="AL906" i="2" s="1"/>
  <c r="AL907" i="2" a="1"/>
  <c r="AL907" i="2" s="1"/>
  <c r="AL908" i="2" a="1"/>
  <c r="AL908" i="2" s="1"/>
  <c r="AL909" i="2" a="1"/>
  <c r="AL909" i="2" s="1"/>
  <c r="AL910" i="2" a="1"/>
  <c r="AL910" i="2"/>
  <c r="AL911" i="2" a="1"/>
  <c r="AL911" i="2"/>
  <c r="AL912" i="2" a="1"/>
  <c r="AL912" i="2"/>
  <c r="AL913" i="2" a="1"/>
  <c r="AL913" i="2" s="1"/>
  <c r="AL914" i="2" a="1"/>
  <c r="AL914" i="2" s="1"/>
  <c r="AL915" i="2" a="1"/>
  <c r="AL915" i="2" s="1"/>
  <c r="AL916" i="2" a="1"/>
  <c r="AL916" i="2" s="1"/>
  <c r="AL917" i="2" a="1"/>
  <c r="AL917" i="2"/>
  <c r="AL918" i="2" a="1"/>
  <c r="AL918" i="2"/>
  <c r="AL919" i="2" a="1"/>
  <c r="AL919" i="2" s="1"/>
  <c r="AL920" i="2" a="1"/>
  <c r="AL920" i="2" s="1"/>
  <c r="AL921" i="2" a="1"/>
  <c r="AL921" i="2" s="1"/>
  <c r="AL922" i="2" a="1"/>
  <c r="AL922" i="2" s="1"/>
  <c r="AL923" i="2" a="1"/>
  <c r="AL923" i="2"/>
  <c r="AL924" i="2" a="1"/>
  <c r="AL924" i="2" s="1"/>
  <c r="AL925" i="2" a="1"/>
  <c r="AL925" i="2" s="1"/>
  <c r="AL926" i="2" a="1"/>
  <c r="AL926" i="2" s="1"/>
  <c r="AL927" i="2" a="1"/>
  <c r="AL927" i="2"/>
  <c r="AL928" i="2" a="1"/>
  <c r="AL928" i="2"/>
  <c r="AL929" i="2" a="1"/>
  <c r="AL929" i="2" s="1"/>
  <c r="AL930" i="2" a="1"/>
  <c r="AL930" i="2"/>
  <c r="AL931" i="2" a="1"/>
  <c r="AL931" i="2" s="1"/>
  <c r="AL932" i="2" a="1"/>
  <c r="AL932" i="2" s="1"/>
  <c r="AL933" i="2" a="1"/>
  <c r="AL933" i="2" s="1"/>
  <c r="AL934" i="2" a="1"/>
  <c r="AL934" i="2"/>
  <c r="AL935" i="2" a="1"/>
  <c r="AL935" i="2"/>
  <c r="AL936" i="2" a="1"/>
  <c r="AL936" i="2" s="1"/>
  <c r="AL937" i="2" a="1"/>
  <c r="AL937" i="2" s="1"/>
  <c r="AL938" i="2" a="1"/>
  <c r="AL938" i="2" s="1"/>
  <c r="AL939" i="2" a="1"/>
  <c r="AL939" i="2"/>
  <c r="AL940" i="2" a="1"/>
  <c r="AL940" i="2"/>
  <c r="AL941" i="2" a="1"/>
  <c r="AL941" i="2"/>
  <c r="AL942" i="2" a="1"/>
  <c r="AL942" i="2"/>
  <c r="AL943" i="2" a="1"/>
  <c r="AL943" i="2" s="1"/>
  <c r="AL944" i="2" a="1"/>
  <c r="AL944" i="2" s="1"/>
  <c r="AL945" i="2" a="1"/>
  <c r="AL945" i="2" s="1"/>
  <c r="AL946" i="2" a="1"/>
  <c r="AL946" i="2"/>
  <c r="AL947" i="2" a="1"/>
  <c r="AL947" i="2"/>
  <c r="AL948" i="2" a="1"/>
  <c r="AL948" i="2"/>
  <c r="AL949" i="2" a="1"/>
  <c r="AL949" i="2" s="1"/>
  <c r="AL950" i="2" a="1"/>
  <c r="AL950" i="2" s="1"/>
  <c r="AL951" i="2" a="1"/>
  <c r="AL951" i="2" s="1"/>
  <c r="AL952" i="2" a="1"/>
  <c r="AL952" i="2" s="1"/>
  <c r="AL953" i="2" a="1"/>
  <c r="AL953" i="2"/>
  <c r="AL954" i="2" a="1"/>
  <c r="AL954" i="2" s="1"/>
  <c r="AL955" i="2" a="1"/>
  <c r="AL955" i="2" s="1"/>
  <c r="AL956" i="2" a="1"/>
  <c r="AL956" i="2" s="1"/>
  <c r="AL957" i="2" a="1"/>
  <c r="AL957" i="2"/>
  <c r="AL958" i="2" a="1"/>
  <c r="AL958" i="2" s="1"/>
  <c r="AL959" i="2" a="1"/>
  <c r="AL959" i="2" s="1"/>
  <c r="AL960" i="2" a="1"/>
  <c r="AL960" i="2" s="1"/>
  <c r="AL961" i="2" a="1"/>
  <c r="AL961" i="2" s="1"/>
  <c r="AL962" i="2" a="1"/>
  <c r="AL962" i="2" s="1"/>
  <c r="AL963" i="2" a="1"/>
  <c r="AL963" i="2" s="1"/>
  <c r="AL964" i="2" a="1"/>
  <c r="AL964" i="2" s="1"/>
  <c r="AL965" i="2" a="1"/>
  <c r="AL965" i="2" s="1"/>
  <c r="AL966" i="2" a="1"/>
  <c r="AL966" i="2" s="1"/>
  <c r="AL967" i="2" a="1"/>
  <c r="AL967" i="2" s="1"/>
  <c r="AL968" i="2" a="1"/>
  <c r="AL968" i="2" s="1"/>
  <c r="AL969" i="2" a="1"/>
  <c r="AL969" i="2" s="1"/>
  <c r="AL970" i="2" a="1"/>
  <c r="AL970" i="2"/>
  <c r="AL971" i="2" a="1"/>
  <c r="AL971" i="2" s="1"/>
  <c r="AL972" i="2" a="1"/>
  <c r="AL972" i="2" s="1"/>
  <c r="AL973" i="2" a="1"/>
  <c r="AL973" i="2" s="1"/>
  <c r="AL974" i="2" a="1"/>
  <c r="AL974" i="2" s="1"/>
  <c r="AL975" i="2" a="1"/>
  <c r="AL975" i="2"/>
  <c r="AL976" i="2" a="1"/>
  <c r="AL976" i="2"/>
  <c r="AL977" i="2" a="1"/>
  <c r="AL977" i="2" s="1"/>
  <c r="AL978" i="2" a="1"/>
  <c r="AL978" i="2"/>
  <c r="AL979" i="2" a="1"/>
  <c r="AL979" i="2" s="1"/>
  <c r="AL980" i="2" a="1"/>
  <c r="AL980" i="2" s="1"/>
  <c r="AL981" i="2" a="1"/>
  <c r="AL981" i="2" s="1"/>
  <c r="AL982" i="2" a="1"/>
  <c r="AL982" i="2"/>
  <c r="AL983" i="2" a="1"/>
  <c r="AL983" i="2"/>
  <c r="AL984" i="2" a="1"/>
  <c r="AL984" i="2" s="1"/>
  <c r="AL985" i="2" a="1"/>
  <c r="AL985" i="2" s="1"/>
  <c r="AL986" i="2" a="1"/>
  <c r="AL986" i="2" s="1"/>
  <c r="AL987" i="2" a="1"/>
  <c r="AL987" i="2" s="1"/>
  <c r="AL988" i="2" a="1"/>
  <c r="AL988" i="2" s="1"/>
  <c r="AL989" i="2" a="1"/>
  <c r="AL989" i="2" s="1"/>
  <c r="AL990" i="2" a="1"/>
  <c r="AL990" i="2"/>
  <c r="AL991" i="2" a="1"/>
  <c r="AL991" i="2" s="1"/>
  <c r="AL992" i="2" a="1"/>
  <c r="AL992" i="2" s="1"/>
  <c r="AL993" i="2" a="1"/>
  <c r="AL993" i="2" s="1"/>
  <c r="AL994" i="2" a="1"/>
  <c r="AL994" i="2" s="1"/>
  <c r="AL995" i="2" a="1"/>
  <c r="AL995" i="2" s="1"/>
  <c r="AL996" i="2" a="1"/>
  <c r="AL996" i="2" s="1"/>
  <c r="AL997" i="2" a="1"/>
  <c r="AL997" i="2" s="1"/>
  <c r="AL998" i="2" a="1"/>
  <c r="AL998" i="2" s="1"/>
  <c r="AL999" i="2" a="1"/>
  <c r="AL999" i="2"/>
  <c r="AL1000" i="2" a="1"/>
  <c r="AL1000" i="2"/>
  <c r="AL1001" i="2" a="1"/>
  <c r="AL1001" i="2" s="1"/>
  <c r="AL1002" i="2" a="1"/>
  <c r="AL1002" i="2" s="1"/>
  <c r="AL1003" i="2" a="1"/>
  <c r="AL1003" i="2" s="1"/>
  <c r="AL1004" i="2" a="1"/>
  <c r="AL1004" i="2" s="1"/>
  <c r="AL1005" i="2" a="1"/>
  <c r="AL1005" i="2" s="1"/>
  <c r="AL1006" i="2" a="1"/>
  <c r="AL1006" i="2" s="1"/>
  <c r="AL1007" i="2" a="1"/>
  <c r="AL1007" i="2"/>
  <c r="AL1008" i="2" a="1"/>
  <c r="AL1008" i="2" s="1"/>
  <c r="AL1009" i="2" a="1"/>
  <c r="AL1009" i="2" s="1"/>
  <c r="AL1010" i="2" a="1"/>
  <c r="AL1010" i="2" s="1"/>
  <c r="AL1011" i="2" a="1"/>
  <c r="AL1011" i="2" s="1"/>
  <c r="AL1012" i="2" a="1"/>
  <c r="AL1012" i="2"/>
  <c r="AL1013" i="2" a="1"/>
  <c r="AL1013" i="2"/>
  <c r="AL1014" i="2" a="1"/>
  <c r="AL1014" i="2"/>
  <c r="AL1015" i="2" a="1"/>
  <c r="AL1015" i="2" s="1"/>
  <c r="AL1016" i="2" a="1"/>
  <c r="AL1016" i="2" s="1"/>
  <c r="AL1017" i="2" a="1"/>
  <c r="AL1017" i="2" s="1"/>
  <c r="AL1018" i="2" a="1"/>
  <c r="AL1018" i="2" s="1"/>
  <c r="AL1019" i="2" a="1"/>
  <c r="AL1019" i="2"/>
  <c r="AL1020" i="2" a="1"/>
  <c r="AL1020" i="2" s="1"/>
  <c r="AL1021" i="2" a="1"/>
  <c r="AL1021" i="2" s="1"/>
  <c r="AL1022" i="2" a="1"/>
  <c r="AL1022" i="2" s="1"/>
  <c r="AL1023" i="2" a="1"/>
  <c r="AL1023" i="2" s="1"/>
  <c r="AL1024" i="2" a="1"/>
  <c r="AL1024" i="2" s="1"/>
  <c r="AL1025" i="2" a="1"/>
  <c r="AL1025" i="2"/>
  <c r="AL1026" i="2" a="1"/>
  <c r="AL1026" i="2" s="1"/>
  <c r="AL1027" i="2" a="1"/>
  <c r="AL1027" i="2" s="1"/>
  <c r="AL1028" i="2" a="1"/>
  <c r="AL1028" i="2" s="1"/>
  <c r="AL1029" i="2" a="1"/>
  <c r="AL1029" i="2" s="1"/>
  <c r="AL1030" i="2" a="1"/>
  <c r="AL1030" i="2" s="1"/>
  <c r="AL1031" i="2" a="1"/>
  <c r="AL1031" i="2" s="1"/>
  <c r="AL1032" i="2" a="1"/>
  <c r="AL1032" i="2"/>
  <c r="AL1033" i="2" a="1"/>
  <c r="AL1033" i="2" s="1"/>
  <c r="AL1034" i="2" a="1"/>
  <c r="AL1034" i="2" s="1"/>
  <c r="AL1035" i="2" a="1"/>
  <c r="AL1035" i="2" s="1"/>
  <c r="AL1036" i="2" a="1"/>
  <c r="AL1036" i="2"/>
  <c r="AL1037" i="2" a="1"/>
  <c r="AL1037" i="2" s="1"/>
  <c r="AL1038" i="2" a="1"/>
  <c r="AL1038" i="2" s="1"/>
  <c r="AL1039" i="2" a="1"/>
  <c r="AL1039" i="2" s="1"/>
  <c r="AL1040" i="2" a="1"/>
  <c r="AL1040" i="2" s="1"/>
  <c r="AL1041" i="2" a="1"/>
  <c r="AL1041" i="2"/>
  <c r="AL1042" i="2" a="1"/>
  <c r="AL1042" i="2"/>
  <c r="AL1043" i="2" a="1"/>
  <c r="AL1043" i="2" s="1"/>
  <c r="AL1044" i="2" a="1"/>
  <c r="AL1044" i="2" s="1"/>
  <c r="AL1045" i="2" a="1"/>
  <c r="AL1045" i="2" s="1"/>
  <c r="AL1046" i="2" a="1"/>
  <c r="AL1046" i="2" s="1"/>
  <c r="AL1047" i="2" a="1"/>
  <c r="AL1047" i="2"/>
  <c r="AL1048" i="2" a="1"/>
  <c r="AL1048" i="2"/>
  <c r="AL1049" i="2" a="1"/>
  <c r="AL1049" i="2"/>
  <c r="AL1050" i="2" a="1"/>
  <c r="AL1050" i="2"/>
  <c r="AL1051" i="2" a="1"/>
  <c r="AL1051" i="2" s="1"/>
  <c r="AL1052" i="2" a="1"/>
  <c r="AL1052" i="2" s="1"/>
  <c r="AL1053" i="2" a="1"/>
  <c r="AL1053" i="2" s="1"/>
  <c r="AL1054" i="2" a="1"/>
  <c r="AL1054" i="2" s="1"/>
  <c r="AL1055" i="2" a="1"/>
  <c r="AL1055" i="2" s="1"/>
  <c r="AL1056" i="2" a="1"/>
  <c r="AL1056" i="2"/>
  <c r="AL1057" i="2" a="1"/>
  <c r="AL1057" i="2" s="1"/>
  <c r="AL1058" i="2" a="1"/>
  <c r="AL1058" i="2" s="1"/>
  <c r="AL1059" i="2" a="1"/>
  <c r="AL1059" i="2" s="1"/>
  <c r="AL1060" i="2" a="1"/>
  <c r="AL1060" i="2" s="1"/>
  <c r="AL1061" i="2" a="1"/>
  <c r="AL1061" i="2"/>
  <c r="AL1062" i="2" a="1"/>
  <c r="AL1062" i="2" s="1"/>
  <c r="AL1063" i="2" a="1"/>
  <c r="AL1063" i="2"/>
  <c r="AL1064" i="2" a="1"/>
  <c r="AL1064" i="2"/>
  <c r="AL1065" i="2" a="1"/>
  <c r="AL1065" i="2"/>
  <c r="AL1066" i="2" a="1"/>
  <c r="AL1066" i="2"/>
  <c r="AL1067" i="2" a="1"/>
  <c r="AL1067" i="2" s="1"/>
  <c r="AL1068" i="2" a="1"/>
  <c r="AL1068" i="2" s="1"/>
  <c r="AL1069" i="2" a="1"/>
  <c r="AL1069" i="2" s="1"/>
  <c r="AL1070" i="2" a="1"/>
  <c r="AL1070" i="2" s="1"/>
  <c r="AL1071" i="2" a="1"/>
  <c r="AL1071" i="2"/>
  <c r="AL1072" i="2" a="1"/>
  <c r="AL1072" i="2" s="1"/>
  <c r="AL1073" i="2" a="1"/>
  <c r="AL1073" i="2" s="1"/>
  <c r="AL1074" i="2" a="1"/>
  <c r="AL1074" i="2" s="1"/>
  <c r="AL1075" i="2" a="1"/>
  <c r="AL1075" i="2" s="1"/>
  <c r="AL1076" i="2" a="1"/>
  <c r="AL1076" i="2"/>
  <c r="AL1077" i="2" a="1"/>
  <c r="AL1077" i="2"/>
  <c r="AL1078" i="2" a="1"/>
  <c r="AL1078" i="2"/>
  <c r="AL1079" i="2" a="1"/>
  <c r="AL1079" i="2"/>
  <c r="AL1080" i="2" a="1"/>
  <c r="AL1080" i="2" s="1"/>
  <c r="AL1081" i="2" a="1"/>
  <c r="AL1081" i="2" s="1"/>
  <c r="AL1082" i="2" a="1"/>
  <c r="AL1082" i="2" s="1"/>
  <c r="AL1083" i="2" a="1"/>
  <c r="AL1083" i="2" s="1"/>
  <c r="AL1084" i="2" a="1"/>
  <c r="AL1084" i="2" s="1"/>
  <c r="AL1085" i="2" a="1"/>
  <c r="AL1085" i="2" s="1"/>
  <c r="AL1086" i="2" a="1"/>
  <c r="AL1086" i="2" s="1"/>
  <c r="AL1087" i="2" a="1"/>
  <c r="AL1087" i="2"/>
  <c r="AL1088" i="2" a="1"/>
  <c r="AL1088" i="2" s="1"/>
  <c r="AL1089" i="2" a="1"/>
  <c r="AL1089" i="2" s="1"/>
  <c r="AL1090" i="2" a="1"/>
  <c r="AL1090" i="2" s="1"/>
  <c r="AL1091" i="2" a="1"/>
  <c r="AL1091" i="2" s="1"/>
  <c r="AL1092" i="2" a="1"/>
  <c r="AL1092" i="2" s="1"/>
  <c r="AL1093" i="2" a="1"/>
  <c r="AL1093" i="2" s="1"/>
  <c r="AL1094" i="2" a="1"/>
  <c r="AL1094" i="2" s="1"/>
  <c r="AL1095" i="2" a="1"/>
  <c r="AL1095" i="2"/>
  <c r="AL1096" i="2" a="1"/>
  <c r="AL1096" i="2"/>
  <c r="AL1097" i="2" a="1"/>
  <c r="AL1097" i="2"/>
  <c r="AL1098" i="2" a="1"/>
  <c r="AL1098" i="2" s="1"/>
  <c r="AL1099" i="2" a="1"/>
  <c r="AL1099" i="2" s="1"/>
  <c r="AL1100" i="2" a="1"/>
  <c r="AL1100" i="2" s="1"/>
  <c r="AL1101" i="2" a="1"/>
  <c r="AL1101" i="2"/>
  <c r="AL1102" i="2" a="1"/>
  <c r="AL1102" i="2"/>
  <c r="AL1103" i="2" a="1"/>
  <c r="AL1103" i="2" s="1"/>
  <c r="AL1104" i="2" a="1"/>
  <c r="AL1104" i="2" s="1"/>
  <c r="AL1105" i="2" a="1"/>
  <c r="AL1105" i="2"/>
  <c r="AL1106" i="2" a="1"/>
  <c r="AL1106" i="2" s="1"/>
  <c r="AL1107" i="2" a="1"/>
  <c r="AL1107" i="2" s="1"/>
  <c r="AL1108" i="2" a="1"/>
  <c r="AL1108" i="2"/>
  <c r="AL1109" i="2" a="1"/>
  <c r="AL1109" i="2"/>
  <c r="AL1110" i="2" a="1"/>
  <c r="AL1110" i="2" s="1"/>
  <c r="AL1111" i="2" a="1"/>
  <c r="AL1111" i="2"/>
  <c r="AL1112" i="2" a="1"/>
  <c r="AL1112" i="2" s="1"/>
  <c r="AL1113" i="2" a="1"/>
  <c r="AL1113" i="2" s="1"/>
  <c r="AL1114" i="2" a="1"/>
  <c r="AL1114" i="2" s="1"/>
  <c r="AL1115" i="2" a="1"/>
  <c r="AL1115" i="2"/>
  <c r="AL1116" i="2" a="1"/>
  <c r="AL1116" i="2" s="1"/>
  <c r="AL1117" i="2" a="1"/>
  <c r="AL1117" i="2"/>
  <c r="AL1118" i="2" a="1"/>
  <c r="AL1118" i="2" s="1"/>
  <c r="AL1119" i="2" a="1"/>
  <c r="AL1119" i="2" s="1"/>
  <c r="AL1120" i="2" a="1"/>
  <c r="AL1120" i="2" s="1"/>
  <c r="AL1121" i="2" a="1"/>
  <c r="AL1121" i="2" s="1"/>
  <c r="AL1122" i="2" a="1"/>
  <c r="AL1122" i="2" s="1"/>
  <c r="AL1123" i="2" a="1"/>
  <c r="AL1123" i="2"/>
  <c r="AL1124" i="2" a="1"/>
  <c r="AL1124" i="2" s="1"/>
  <c r="AL1125" i="2" a="1"/>
  <c r="AL1125" i="2" s="1"/>
  <c r="AL1126" i="2" a="1"/>
  <c r="AL1126" i="2" s="1"/>
  <c r="AL1127" i="2" a="1"/>
  <c r="AL1127" i="2" s="1"/>
  <c r="AL1128" i="2" a="1"/>
  <c r="AL1128" i="2" s="1"/>
  <c r="AL1129" i="2" a="1"/>
  <c r="AL1129" i="2" s="1"/>
  <c r="AL1130" i="2" a="1"/>
  <c r="AL1130" i="2" s="1"/>
  <c r="AL1131" i="2" a="1"/>
  <c r="AL1131" i="2"/>
  <c r="AL1132" i="2" a="1"/>
  <c r="AL1132" i="2"/>
  <c r="AL1133" i="2" a="1"/>
  <c r="AL1133" i="2"/>
  <c r="AL1134" i="2" a="1"/>
  <c r="AL1134" i="2" s="1"/>
  <c r="AL1135" i="2" a="1"/>
  <c r="AL1135" i="2" s="1"/>
  <c r="AL1136" i="2" a="1"/>
  <c r="AL1136" i="2" s="1"/>
  <c r="AL1137" i="2" a="1"/>
  <c r="AL1137" i="2" s="1"/>
  <c r="AL1138" i="2" a="1"/>
  <c r="AL1138" i="2"/>
  <c r="AL1139" i="2" a="1"/>
  <c r="AL1139" i="2"/>
  <c r="AL1140" i="2" a="1"/>
  <c r="AL1140" i="2" s="1"/>
  <c r="AL1141" i="2" a="1"/>
  <c r="AL1141" i="2"/>
  <c r="AL1142" i="2" a="1"/>
  <c r="AL1142" i="2" s="1"/>
  <c r="AL1143" i="2" a="1"/>
  <c r="AL1143" i="2" s="1"/>
  <c r="AL1144" i="2" a="1"/>
  <c r="AL1144" i="2" s="1"/>
  <c r="AL1145" i="2" a="1"/>
  <c r="AL1145" i="2"/>
  <c r="AL1146" i="2" a="1"/>
  <c r="AL1146" i="2" s="1"/>
  <c r="AL1147" i="2" a="1"/>
  <c r="AL1147" i="2"/>
  <c r="AL1148" i="2" a="1"/>
  <c r="AL1148" i="2" s="1"/>
  <c r="AL1149" i="2" a="1"/>
  <c r="AL1149" i="2" s="1"/>
  <c r="AL1150" i="2" a="1"/>
  <c r="AL1150" i="2" s="1"/>
  <c r="AL1151" i="2" a="1"/>
  <c r="AL1151" i="2" s="1"/>
  <c r="AL1152" i="2" a="1"/>
  <c r="AL1152" i="2" s="1"/>
  <c r="AL1153" i="2" a="1"/>
  <c r="AL1153" i="2"/>
  <c r="AL1154" i="2" a="1"/>
  <c r="AL1154" i="2" s="1"/>
  <c r="AL1155" i="2" a="1"/>
  <c r="AL1155" i="2" s="1"/>
  <c r="AL1156" i="2" a="1"/>
  <c r="AL1156" i="2" s="1"/>
  <c r="AL1157" i="2" a="1"/>
  <c r="AL1157" i="2" s="1"/>
  <c r="AL1158" i="2" a="1"/>
  <c r="AL1158" i="2" s="1"/>
  <c r="AL1159" i="2" a="1"/>
  <c r="AL1159" i="2"/>
  <c r="AL1160" i="2" a="1"/>
  <c r="AL1160" i="2" s="1"/>
  <c r="AL1161" i="2" a="1"/>
  <c r="AL1161" i="2"/>
  <c r="AL1162" i="2" a="1"/>
  <c r="AL1162" i="2" s="1"/>
  <c r="AL1163" i="2" a="1"/>
  <c r="AL1163" i="2" s="1"/>
  <c r="AL1164" i="2" a="1"/>
  <c r="AL1164" i="2" s="1"/>
  <c r="AL1165" i="2" a="1"/>
  <c r="AL1165" i="2" s="1"/>
  <c r="AL1166" i="2" a="1"/>
  <c r="AL1166" i="2" s="1"/>
  <c r="AL1167" i="2" a="1"/>
  <c r="AL1167" i="2"/>
  <c r="AL1168" i="2" a="1"/>
  <c r="AL1168" i="2"/>
  <c r="AL1169" i="2" a="1"/>
  <c r="AL1169" i="2"/>
  <c r="AL1170" i="2" a="1"/>
  <c r="AL1170" i="2" s="1"/>
  <c r="AL1171" i="2" a="1"/>
  <c r="AL1171" i="2" s="1"/>
  <c r="AL1172" i="2" a="1"/>
  <c r="AL1172" i="2" s="1"/>
  <c r="AL1173" i="2" a="1"/>
  <c r="AL1173" i="2" s="1"/>
  <c r="AL1174" i="2" a="1"/>
  <c r="AL1174" i="2" s="1"/>
  <c r="AL1175" i="2" a="1"/>
  <c r="AL1175" i="2"/>
  <c r="AL1176" i="2" a="1"/>
  <c r="AL1176" i="2" s="1"/>
  <c r="AL1177" i="2" a="1"/>
  <c r="AL1177" i="2"/>
  <c r="AL1178" i="2" a="1"/>
  <c r="AL1178" i="2" s="1"/>
  <c r="AL1179" i="2" a="1"/>
  <c r="AL1179" i="2" s="1"/>
  <c r="AL1180" i="2" a="1"/>
  <c r="AL1180" i="2" s="1"/>
  <c r="AL1181" i="2" a="1"/>
  <c r="AL1181" i="2"/>
  <c r="AL1182" i="2" a="1"/>
  <c r="AL1182" i="2" s="1"/>
  <c r="AL1183" i="2" a="1"/>
  <c r="AL1183" i="2"/>
  <c r="AL1184" i="2" a="1"/>
  <c r="AL1184" i="2" s="1"/>
  <c r="AL1185" i="2" a="1"/>
  <c r="AL1185" i="2"/>
  <c r="AL1186" i="2" a="1"/>
  <c r="AL1186" i="2"/>
  <c r="AL1187" i="2" a="1"/>
  <c r="AL1187" i="2" s="1"/>
  <c r="AL1188" i="2" a="1"/>
  <c r="AL1188" i="2" s="1"/>
  <c r="AL1189" i="2" a="1"/>
  <c r="AL1189" i="2"/>
  <c r="AL1190" i="2" a="1"/>
  <c r="AL1190" i="2" s="1"/>
  <c r="AL1191" i="2" a="1"/>
  <c r="AL1191" i="2"/>
  <c r="AL1192" i="2" a="1"/>
  <c r="AL1192" i="2"/>
  <c r="AL1193" i="2" a="1"/>
  <c r="AL1193" i="2" s="1"/>
  <c r="AL1194" i="2" a="1"/>
  <c r="AL1194" i="2" s="1"/>
  <c r="AL1195" i="2" a="1"/>
  <c r="AL1195" i="2" s="1"/>
  <c r="AL1196" i="2" a="1"/>
  <c r="AL1196" i="2" s="1"/>
  <c r="AL1197" i="2" a="1"/>
  <c r="AL1197" i="2"/>
  <c r="AL1198" i="2" a="1"/>
  <c r="AL1198" i="2"/>
  <c r="AL1199" i="2" a="1"/>
  <c r="AL1199" i="2"/>
  <c r="AL1200" i="2" a="1"/>
  <c r="AL1200" i="2" s="1"/>
  <c r="AL1201" i="2" a="1"/>
  <c r="AL1201" i="2" s="1"/>
  <c r="AL1202" i="2" a="1"/>
  <c r="AL1202" i="2" s="1"/>
  <c r="AL1203" i="2" a="1"/>
  <c r="AL1203" i="2" s="1"/>
  <c r="AL1204" i="2" a="1"/>
  <c r="AL1204" i="2" s="1"/>
  <c r="AL1205" i="2" a="1"/>
  <c r="AL1205" i="2" s="1"/>
  <c r="AL1206" i="2" a="1"/>
  <c r="AL1206" i="2" s="1"/>
  <c r="AL1207" i="2" a="1"/>
  <c r="AL1207" i="2" s="1"/>
  <c r="AL1208" i="2" a="1"/>
  <c r="AL1208" i="2" s="1"/>
  <c r="AL1209" i="2" a="1"/>
  <c r="AL1209" i="2" s="1"/>
  <c r="AL1210" i="2" a="1"/>
  <c r="AL1210" i="2" s="1"/>
  <c r="AL1211" i="2" a="1"/>
  <c r="AL1211" i="2" s="1"/>
  <c r="AL1212" i="2" a="1"/>
  <c r="AL1212" i="2" s="1"/>
  <c r="AL1213" i="2" a="1"/>
  <c r="AL1213" i="2"/>
  <c r="AL1214" i="2" a="1"/>
  <c r="AL1214" i="2" s="1"/>
  <c r="AL1215" i="2" a="1"/>
  <c r="AL1215" i="2" s="1"/>
  <c r="AL1216" i="2" a="1"/>
  <c r="AL1216" i="2" s="1"/>
  <c r="AL1217" i="2" a="1"/>
  <c r="AL1217" i="2"/>
  <c r="AL1218" i="2" a="1"/>
  <c r="AL1218" i="2" s="1"/>
  <c r="AL1219" i="2" a="1"/>
  <c r="AL1219" i="2"/>
  <c r="AL1220" i="2" a="1"/>
  <c r="AL1220" i="2" s="1"/>
  <c r="AL1221" i="2" a="1"/>
  <c r="AL1221" i="2" s="1"/>
  <c r="AL1222" i="2" a="1"/>
  <c r="AL1222" i="2" s="1"/>
  <c r="AL1223" i="2" a="1"/>
  <c r="AL1223" i="2" s="1"/>
  <c r="AL1224" i="2" a="1"/>
  <c r="AL1224" i="2" s="1"/>
  <c r="AL1225" i="2" a="1"/>
  <c r="AL1225" i="2"/>
  <c r="AL1226" i="2" a="1"/>
  <c r="AL1226" i="2" s="1"/>
  <c r="AL1227" i="2" a="1"/>
  <c r="AL1227" i="2" s="1"/>
  <c r="AL1228" i="2" a="1"/>
  <c r="AL1228" i="2" s="1"/>
  <c r="AL1229" i="2" a="1"/>
  <c r="AL1229" i="2" s="1"/>
  <c r="AL1230" i="2" a="1"/>
  <c r="AL1230" i="2" s="1"/>
  <c r="AL1231" i="2" a="1"/>
  <c r="AL1231" i="2" s="1"/>
  <c r="AL1232" i="2" a="1"/>
  <c r="AL1232" i="2" s="1"/>
  <c r="AL1233" i="2" a="1"/>
  <c r="AL1233" i="2"/>
  <c r="AL1234" i="2" a="1"/>
  <c r="AL1234" i="2"/>
  <c r="AL1235" i="2" a="1"/>
  <c r="AL1235" i="2"/>
  <c r="AL1236" i="2" a="1"/>
  <c r="AL1236" i="2" s="1"/>
  <c r="AL1237" i="2" a="1"/>
  <c r="AL1237" i="2" s="1"/>
  <c r="AL1238" i="2" a="1"/>
  <c r="AL1238" i="2" s="1"/>
  <c r="AL1239" i="2" a="1"/>
  <c r="AL1239" i="2"/>
  <c r="AL1240" i="2" a="1"/>
  <c r="AL1240" i="2"/>
  <c r="AL1241" i="2" a="1"/>
  <c r="AL1241" i="2"/>
  <c r="AL1242" i="2" a="1"/>
  <c r="AL1242" i="2" s="1"/>
  <c r="AL1243" i="2" a="1"/>
  <c r="AL1243" i="2" s="1"/>
  <c r="AL1244" i="2" a="1"/>
  <c r="AL1244" i="2" s="1"/>
  <c r="AL1245" i="2" a="1"/>
  <c r="AL1245" i="2" s="1"/>
  <c r="AL1246" i="2" a="1"/>
  <c r="AL1246" i="2"/>
  <c r="AL1247" i="2" a="1"/>
  <c r="AL1247" i="2"/>
  <c r="AL1248" i="2" a="1"/>
  <c r="AL1248" i="2" s="1"/>
  <c r="AL1249" i="2" a="1"/>
  <c r="AL1249" i="2"/>
  <c r="AL1250" i="2" a="1"/>
  <c r="AL1250" i="2" s="1"/>
  <c r="AL1251" i="2" a="1"/>
  <c r="AL1251" i="2" s="1"/>
  <c r="AL1252" i="2" a="1"/>
  <c r="AL1252" i="2" s="1"/>
  <c r="AL1253" i="2" a="1"/>
  <c r="AL1253" i="2"/>
  <c r="AL1254" i="2" a="1"/>
  <c r="AL1254" i="2" s="1"/>
  <c r="AL1255" i="2" a="1"/>
  <c r="AL1255" i="2" s="1"/>
  <c r="AL1256" i="2" a="1"/>
  <c r="AL1256" i="2" s="1"/>
  <c r="AL1257" i="2" a="1"/>
  <c r="AL1257" i="2"/>
  <c r="AL1258" i="2" a="1"/>
  <c r="AL1258" i="2" s="1"/>
  <c r="AL1259" i="2" a="1"/>
  <c r="AL1259" i="2" s="1"/>
  <c r="AL1260" i="2" a="1"/>
  <c r="AL1260" i="2" s="1"/>
  <c r="AL1261" i="2" a="1"/>
  <c r="AL1261" i="2" s="1"/>
  <c r="AL1262" i="2" a="1"/>
  <c r="AL1262" i="2" s="1"/>
  <c r="AL1263" i="2" a="1"/>
  <c r="AL1263" i="2"/>
  <c r="AL1264" i="2" a="1"/>
  <c r="AL1264" i="2"/>
  <c r="AL1265" i="2" a="1"/>
  <c r="AL1265" i="2" s="1"/>
  <c r="AL1266" i="2" a="1"/>
  <c r="AL1266" i="2" s="1"/>
  <c r="AL1267" i="2" a="1"/>
  <c r="AL1267" i="2"/>
  <c r="AL1268" i="2" a="1"/>
  <c r="AL1268" i="2" s="1"/>
  <c r="AL1269" i="2" a="1"/>
  <c r="AL1269" i="2" s="1"/>
  <c r="AL1270" i="2" a="1"/>
  <c r="AL1270" i="2" s="1"/>
  <c r="AL1271" i="2" a="1"/>
  <c r="AL1271" i="2" s="1"/>
  <c r="AL1272" i="2" a="1"/>
  <c r="AL1272" i="2" s="1"/>
  <c r="AL1273" i="2" a="1"/>
  <c r="AL1273" i="2"/>
  <c r="AL1274" i="2" a="1"/>
  <c r="AL1274" i="2" s="1"/>
  <c r="AL1275" i="2" a="1"/>
  <c r="AL1275" i="2" s="1"/>
  <c r="AL1276" i="2" a="1"/>
  <c r="AL1276" i="2" s="1"/>
  <c r="AL1277" i="2" a="1"/>
  <c r="AL1277" i="2" s="1"/>
  <c r="AL1278" i="2" a="1"/>
  <c r="AL1278" i="2" s="1"/>
  <c r="AL1279" i="2" a="1"/>
  <c r="AL1279" i="2" s="1"/>
  <c r="AL1280" i="2" a="1"/>
  <c r="AL1280" i="2" s="1"/>
  <c r="AL1281" i="2" a="1"/>
  <c r="AL1281" i="2" s="1"/>
  <c r="AL1282" i="2" a="1"/>
  <c r="AL1282" i="2"/>
  <c r="AL1283" i="2" a="1"/>
  <c r="AL1283" i="2" s="1"/>
  <c r="AL1284" i="2" a="1"/>
  <c r="AL1284" i="2" s="1"/>
  <c r="AL1285" i="2" a="1"/>
  <c r="AL1285" i="2"/>
  <c r="AL1286" i="2" a="1"/>
  <c r="AL1286" i="2" s="1"/>
  <c r="AL1287" i="2" a="1"/>
  <c r="AL1287" i="2" s="1"/>
  <c r="AL1288" i="2" a="1"/>
  <c r="AL1288" i="2" s="1"/>
  <c r="AL1289" i="2" a="1"/>
  <c r="AL1289" i="2"/>
  <c r="AL1290" i="2" a="1"/>
  <c r="AL1290" i="2" s="1"/>
  <c r="AL1291" i="2" a="1"/>
  <c r="AL1291" i="2"/>
  <c r="AL1292" i="2" a="1"/>
  <c r="AL1292" i="2" s="1"/>
  <c r="AL1293" i="2" a="1"/>
  <c r="AL1293" i="2" s="1"/>
  <c r="AL1294" i="2" a="1"/>
  <c r="AL1294" i="2" s="1"/>
  <c r="AL1295" i="2" a="1"/>
  <c r="AL1295" i="2" s="1"/>
  <c r="AL1296" i="2" a="1"/>
  <c r="AL1296" i="2" s="1"/>
  <c r="AL1297" i="2" a="1"/>
  <c r="AL1297" i="2"/>
  <c r="AL1298" i="2" a="1"/>
  <c r="AL1298" i="2" s="1"/>
  <c r="AL1299" i="2" a="1"/>
  <c r="AL1299" i="2"/>
  <c r="AL1300" i="2" a="1"/>
  <c r="AL1300" i="2"/>
  <c r="AL1301" i="2" a="1"/>
  <c r="AL1301" i="2" s="1"/>
  <c r="AL1302" i="2" a="1"/>
  <c r="AL1302" i="2" s="1"/>
  <c r="AL1303" i="2" a="1"/>
  <c r="AL1303" i="2" s="1"/>
  <c r="AL1304" i="2" a="1"/>
  <c r="AL1304" i="2" s="1"/>
  <c r="AL1305" i="2" a="1"/>
  <c r="AL1305" i="2"/>
  <c r="AL1306" i="2" a="1"/>
  <c r="AL1306" i="2"/>
  <c r="AL1307" i="2" a="1"/>
  <c r="AL1307" i="2"/>
  <c r="AL1308" i="2" a="1"/>
  <c r="AL1308" i="2" s="1"/>
  <c r="AL1309" i="2" a="1"/>
  <c r="AL1309" i="2" s="1"/>
  <c r="AL1310" i="2" a="1"/>
  <c r="AL1310" i="2" s="1"/>
  <c r="AL1311" i="2" a="1"/>
  <c r="AL1311" i="2"/>
  <c r="AL1312" i="2" a="1"/>
  <c r="AL1312" i="2"/>
  <c r="AL1313" i="2" a="1"/>
  <c r="AL1313" i="2"/>
  <c r="AL1314" i="2" a="1"/>
  <c r="AL1314" i="2" s="1"/>
  <c r="AL1315" i="2" a="1"/>
  <c r="AL1315" i="2" s="1"/>
  <c r="AL1316" i="2" a="1"/>
  <c r="AL1316" i="2" s="1"/>
  <c r="AL1317" i="2" a="1"/>
  <c r="AL1317" i="2" s="1"/>
  <c r="AL1318" i="2" a="1"/>
  <c r="AL1318" i="2"/>
  <c r="AL1319" i="2" a="1"/>
  <c r="AL1319" i="2"/>
  <c r="AL1320" i="2" a="1"/>
  <c r="AL1320" i="2" s="1"/>
  <c r="AL1321" i="2" a="1"/>
  <c r="AL1321" i="2"/>
  <c r="AL1322" i="2" a="1"/>
  <c r="AL1322" i="2" s="1"/>
  <c r="AL1323" i="2" a="1"/>
  <c r="AL1323" i="2" s="1"/>
  <c r="AL1324" i="2" a="1"/>
  <c r="AL1324" i="2" s="1"/>
  <c r="AL1325" i="2" a="1"/>
  <c r="AL1325" i="2"/>
  <c r="AL1326" i="2" a="1"/>
  <c r="AL1326" i="2" s="1"/>
  <c r="AL1327" i="2" a="1"/>
  <c r="AL1327" i="2" s="1"/>
  <c r="AL1328" i="2" a="1"/>
  <c r="AL1328" i="2" s="1"/>
  <c r="AL1329" i="2" a="1"/>
  <c r="AL1329" i="2"/>
  <c r="AL1330" i="2" a="1"/>
  <c r="AL1330" i="2" s="1"/>
  <c r="AL1331" i="2" a="1"/>
  <c r="AL1331" i="2" s="1"/>
  <c r="AL1332" i="2" a="1"/>
  <c r="AL1332" i="2" s="1"/>
  <c r="AL1333" i="2" a="1"/>
  <c r="AL1333" i="2"/>
  <c r="AL1334" i="2" a="1"/>
  <c r="AL1334" i="2" s="1"/>
  <c r="AL1335" i="2" a="1"/>
  <c r="AL1335" i="2"/>
  <c r="AL1336" i="2" a="1"/>
  <c r="AL1336" i="2"/>
  <c r="AL1337" i="2" a="1"/>
  <c r="AL1337" i="2" s="1"/>
  <c r="AL1338" i="2" a="1"/>
  <c r="AL1338" i="2" s="1"/>
  <c r="AL1339" i="2" a="1"/>
  <c r="AL1339" i="2"/>
  <c r="AL1340" i="2" a="1"/>
  <c r="AL1340" i="2" s="1"/>
  <c r="AL1341" i="2" a="1"/>
  <c r="AL1341" i="2"/>
  <c r="AL1342" i="2" a="1"/>
  <c r="AL1342" i="2" s="1"/>
  <c r="AL1343" i="2" a="1"/>
  <c r="AL1343" i="2" s="1"/>
  <c r="AL1344" i="2" a="1"/>
  <c r="AL1344" i="2" s="1"/>
  <c r="AL1345" i="2" a="1"/>
  <c r="AL1345" i="2"/>
  <c r="AL1346" i="2" a="1"/>
  <c r="AL1346" i="2" s="1"/>
  <c r="AL1347" i="2" a="1"/>
  <c r="AL1347" i="2"/>
  <c r="AL1348" i="2" a="1"/>
  <c r="AL1348" i="2"/>
  <c r="AL1349" i="2" a="1"/>
  <c r="AL1349" i="2" s="1"/>
  <c r="AL1350" i="2" a="1"/>
  <c r="AL1350" i="2" s="1"/>
  <c r="AL1351" i="2" a="1"/>
  <c r="AL1351" i="2" s="1"/>
  <c r="AL1352" i="2" a="1"/>
  <c r="AL1352" i="2" s="1"/>
  <c r="AL1353" i="2" a="1"/>
  <c r="AL1353" i="2" s="1"/>
  <c r="AL1354" i="2" a="1"/>
  <c r="AL1354" i="2"/>
  <c r="AL1355" i="2" a="1"/>
  <c r="AL1355" i="2"/>
  <c r="AL1356" i="2" a="1"/>
  <c r="AL1356" i="2" s="1"/>
  <c r="AL1357" i="2" a="1"/>
  <c r="AL1357" i="2"/>
  <c r="AL1358" i="2" a="1"/>
  <c r="AL1358" i="2" s="1"/>
  <c r="AL1359" i="2" a="1"/>
  <c r="AL1359" i="2" s="1"/>
  <c r="AL1360" i="2" a="1"/>
  <c r="AL1360" i="2" s="1"/>
  <c r="AL1361" i="2" a="1"/>
  <c r="AL1361" i="2" s="1"/>
  <c r="AL1362" i="2" a="1"/>
  <c r="AL1362" i="2" s="1"/>
  <c r="AL1363" i="2" a="1"/>
  <c r="AL1363" i="2"/>
  <c r="AL1364" i="2" a="1"/>
  <c r="AL1364" i="2" s="1"/>
  <c r="AL1365" i="2" a="1"/>
  <c r="AL1365" i="2"/>
  <c r="AL1366" i="2" a="1"/>
  <c r="AL1366" i="2" s="1"/>
  <c r="AL1367" i="2" a="1"/>
  <c r="AL1367" i="2" s="1"/>
  <c r="AL1368" i="2" a="1"/>
  <c r="AL1368" i="2" s="1"/>
  <c r="AL1369" i="2" a="1"/>
  <c r="AL1369" i="2"/>
  <c r="AL1370" i="2" a="1"/>
  <c r="AL1370" i="2" s="1"/>
  <c r="AL1371" i="2" a="1"/>
  <c r="AL1371" i="2"/>
  <c r="AL1372" i="2" a="1"/>
  <c r="AL1372" i="2"/>
  <c r="AL1373" i="2" a="1"/>
  <c r="AL1373" i="2" s="1"/>
  <c r="AL1374" i="2" a="1"/>
  <c r="AL1374" i="2" s="1"/>
  <c r="AL1375" i="2" a="1"/>
  <c r="AL1375" i="2" s="1"/>
  <c r="AL1376" i="2" a="1"/>
  <c r="AL1376" i="2" s="1"/>
  <c r="AL1377" i="2" a="1"/>
  <c r="AL1377" i="2"/>
  <c r="AL1378" i="2" a="1"/>
  <c r="AL1378" i="2"/>
  <c r="AL1379" i="2" a="1"/>
  <c r="AL1379" i="2"/>
  <c r="AL1380" i="2" a="1"/>
  <c r="AL1380" i="2" s="1"/>
  <c r="AL1381" i="2" a="1"/>
  <c r="AL1381" i="2"/>
  <c r="AL1382" i="2" a="1"/>
  <c r="AL1382" i="2" s="1"/>
  <c r="AL1383" i="2" a="1"/>
  <c r="AL1383" i="2"/>
  <c r="AL1384" i="2" a="1"/>
  <c r="AL1384" i="2"/>
  <c r="AL1385" i="2" a="1"/>
  <c r="AL1385" i="2"/>
  <c r="AL1386" i="2" a="1"/>
  <c r="AL1386" i="2" s="1"/>
  <c r="AL1387" i="2" a="1"/>
  <c r="AL1387" i="2" s="1"/>
  <c r="AL1388" i="2" a="1"/>
  <c r="AL1388" i="2" s="1"/>
  <c r="AL1389" i="2" a="1"/>
  <c r="AL1389" i="2" s="1"/>
  <c r="AL1390" i="2" a="1"/>
  <c r="AL1390" i="2"/>
  <c r="AL1391" i="2" a="1"/>
  <c r="AL1391" i="2"/>
  <c r="AL1392" i="2" a="1"/>
  <c r="AL1392" i="2" s="1"/>
  <c r="AL1393" i="2" a="1"/>
  <c r="AL1393" i="2" s="1"/>
  <c r="AL1394" i="2" a="1"/>
  <c r="AL1394" i="2" s="1"/>
  <c r="AL1395" i="2" a="1"/>
  <c r="AL1395" i="2" s="1"/>
  <c r="AL1396" i="2" a="1"/>
  <c r="AL1396" i="2" s="1"/>
  <c r="AL1397" i="2" a="1"/>
  <c r="AL1397" i="2"/>
  <c r="AL1398" i="2" a="1"/>
  <c r="AL1398" i="2" s="1"/>
  <c r="AL1399" i="2" a="1"/>
  <c r="AL1399" i="2" s="1"/>
  <c r="AL1400" i="2" a="1"/>
  <c r="AL1400" i="2" s="1"/>
  <c r="AL1401" i="2" a="1"/>
  <c r="AL1401" i="2"/>
  <c r="AL1402" i="2" a="1"/>
  <c r="AL1402" i="2" s="1"/>
  <c r="AL1403" i="2" a="1"/>
  <c r="AL1403" i="2" s="1"/>
  <c r="AL1404" i="2" a="1"/>
  <c r="AL1404" i="2" s="1"/>
  <c r="AL1405" i="2" a="1"/>
  <c r="AL1405" i="2"/>
  <c r="AL1406" i="2" a="1"/>
  <c r="AL1406" i="2" s="1"/>
  <c r="AL1407" i="2" a="1"/>
  <c r="AL1407" i="2"/>
  <c r="AL1408" i="2" a="1"/>
  <c r="AL1408" i="2"/>
  <c r="AL1409" i="2" a="1"/>
  <c r="AL1409" i="2" s="1"/>
  <c r="AL1410" i="2" a="1"/>
  <c r="AL1410" i="2" s="1"/>
  <c r="AL1411" i="2" a="1"/>
  <c r="AL1411" i="2"/>
  <c r="AL1412" i="2" a="1"/>
  <c r="AL1412" i="2" s="1"/>
  <c r="AL1413" i="2" a="1"/>
  <c r="AL1413" i="2"/>
  <c r="AL1414" i="2" a="1"/>
  <c r="AL1414" i="2"/>
  <c r="AL1415" i="2" a="1"/>
  <c r="AL1415" i="2" s="1"/>
  <c r="AL1416" i="2" a="1"/>
  <c r="AL1416" i="2" s="1"/>
  <c r="AL1417" i="2" a="1"/>
  <c r="AL1417" i="2"/>
  <c r="AL1418" i="2" a="1"/>
  <c r="AL1418" i="2" s="1"/>
  <c r="AL1419" i="2" a="1"/>
  <c r="AL1419" i="2"/>
  <c r="AL1420" i="2" a="1"/>
  <c r="AL1420" i="2"/>
  <c r="AL1421" i="2" a="1"/>
  <c r="AL1421" i="2"/>
  <c r="AL1422" i="2" a="1"/>
  <c r="AL1422" i="2" s="1"/>
  <c r="AL1423" i="2" a="1"/>
  <c r="AL1423" i="2" s="1"/>
  <c r="AL1424" i="2" a="1"/>
  <c r="AL1424" i="2" s="1"/>
  <c r="AL1425" i="2" a="1"/>
  <c r="AL1425" i="2" s="1"/>
  <c r="AL1426" i="2" a="1"/>
  <c r="AL1426" i="2" s="1"/>
  <c r="AL1427" i="2" a="1"/>
  <c r="AL1427" i="2"/>
  <c r="AL1428" i="2" a="1"/>
  <c r="AL1428" i="2" s="1"/>
  <c r="AL1429" i="2" a="1"/>
  <c r="AL1429" i="2"/>
  <c r="AL1430" i="2" a="1"/>
  <c r="AL1430" i="2" s="1"/>
  <c r="AL1431" i="2" a="1"/>
  <c r="AL1431" i="2" s="1"/>
  <c r="AL1432" i="2" a="1"/>
  <c r="AL1432" i="2" s="1"/>
  <c r="AL1433" i="2" a="1"/>
  <c r="AL1433" i="2" s="1"/>
  <c r="AL1434" i="2" a="1"/>
  <c r="AL1434" i="2" s="1"/>
  <c r="AL1435" i="2" a="1"/>
  <c r="AL1435" i="2"/>
  <c r="AL1436" i="2" a="1"/>
  <c r="AL1436" i="2" s="1"/>
  <c r="AL1437" i="2" a="1"/>
  <c r="AL1437" i="2"/>
  <c r="AL1438" i="2" a="1"/>
  <c r="AL1438" i="2" s="1"/>
  <c r="AL1439" i="2" a="1"/>
  <c r="AL1439" i="2" s="1"/>
  <c r="AL1440" i="2" a="1"/>
  <c r="AL1440" i="2" s="1"/>
  <c r="AL1441" i="2" a="1"/>
  <c r="AL1441" i="2"/>
  <c r="AL1442" i="2" a="1"/>
  <c r="AL1442" i="2" s="1"/>
  <c r="AL1443" i="2" a="1"/>
  <c r="AL1443" i="2" s="1"/>
  <c r="AL1444" i="2" a="1"/>
  <c r="AL1444" i="2"/>
  <c r="AL1445" i="2" a="1"/>
  <c r="AL1445" i="2" s="1"/>
  <c r="AL1446" i="2" a="1"/>
  <c r="AL1446" i="2" s="1"/>
  <c r="AL1447" i="2" a="1"/>
  <c r="AL1447" i="2"/>
  <c r="AL1448" i="2" a="1"/>
  <c r="AL1448" i="2" s="1"/>
  <c r="AL1449" i="2" a="1"/>
  <c r="AL1449" i="2"/>
  <c r="AL1450" i="2" a="1"/>
  <c r="AL1450" i="2"/>
  <c r="AL1451" i="2" a="1"/>
  <c r="AL1451" i="2"/>
  <c r="AL1452" i="2" a="1"/>
  <c r="AL1452" i="2" s="1"/>
  <c r="AL1453" i="2" a="1"/>
  <c r="AL1453" i="2"/>
  <c r="AL1454" i="2" a="1"/>
  <c r="AL1454" i="2" s="1"/>
  <c r="AL1455" i="2" a="1"/>
  <c r="AL1455" i="2"/>
  <c r="AL1456" i="2" a="1"/>
  <c r="AL1456" i="2"/>
  <c r="AL1457" i="2" a="1"/>
  <c r="AL1457" i="2"/>
  <c r="AL1458" i="2" a="1"/>
  <c r="AL1458" i="2" s="1"/>
  <c r="AL1459" i="2" a="1"/>
  <c r="AL1459" i="2" s="1"/>
  <c r="AL1460" i="2" a="1"/>
  <c r="AL1460" i="2" s="1"/>
  <c r="AL1461" i="2" a="1"/>
  <c r="AL1461" i="2" s="1"/>
  <c r="AL1462" i="2" a="1"/>
  <c r="AL1462" i="2"/>
  <c r="AL1463" i="2" a="1"/>
  <c r="AL1463" i="2"/>
  <c r="AL1464" i="2" a="1"/>
  <c r="AL1464" i="2" s="1"/>
  <c r="AL1465" i="2" a="1"/>
  <c r="AL1465" i="2" s="1"/>
  <c r="AL1466" i="2" a="1"/>
  <c r="AL1466" i="2" s="1"/>
  <c r="AL1467" i="2" a="1"/>
  <c r="AL1467" i="2" s="1"/>
  <c r="AL1468" i="2" a="1"/>
  <c r="AL1468" i="2" s="1"/>
  <c r="AL1469" i="2" a="1"/>
  <c r="AL1469" i="2"/>
  <c r="AL1470" i="2" a="1"/>
  <c r="AL1470" i="2" s="1"/>
  <c r="AL1471" i="2" a="1"/>
  <c r="AL1471" i="2"/>
  <c r="F54" i="1" a="1"/>
  <c r="F54" i="1"/>
  <c r="O7" i="1"/>
  <c r="E22" i="1"/>
  <c r="D8" i="1"/>
  <c r="BY282" i="1" s="1"/>
  <c r="AC24" i="1"/>
  <c r="H33" i="1"/>
  <c r="H32" i="1"/>
  <c r="H31" i="1"/>
  <c r="D10" i="1"/>
  <c r="D13" i="1" s="1"/>
  <c r="BZ262" i="1"/>
  <c r="S13" i="1"/>
  <c r="BZ263" i="1"/>
  <c r="BZ264" i="1"/>
  <c r="BZ261" i="1"/>
  <c r="S14" i="1"/>
  <c r="T14" i="1"/>
  <c r="S15" i="1"/>
  <c r="T13" i="1"/>
  <c r="T15" i="1"/>
  <c r="B84" i="1"/>
  <c r="B83" i="1"/>
  <c r="BY28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5B3645-96B9-482E-8736-3DD9CCF6A8F4}" keepAlive="1" name="Query - HR-Employee-Attrition" description="Connection to the 'HR-Employee-Attrition' query in the workbook." type="5" refreshedVersion="8" background="1" saveData="1">
    <dbPr connection="Provider=Microsoft.Mashup.OleDb.1;Data Source=$Workbook$;Location=HR-Employee-Attrition;Extended Properties=&quot;&quot;" command="SELECT * FROM [HR-Employee-Attritio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<sst xmlns="http://schemas.openxmlformats.org/spreadsheetml/2006/main" count="14239" uniqueCount="123">
  <si>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</si>
  <si>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</si>
  <si>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</si>
  <si>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</si>
  <si>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</si>
  <si>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</si>
  <si>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</si>
  <si>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</si>
  <si>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</si>
  <si>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</si>
  <si>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</si>
  <si>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</si>
  <si>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</si>
  <si>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</si>
  <si>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</si>
  <si>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</si>
  <si>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</si>
  <si>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</si>
  <si>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</si>
  <si>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</si>
  <si>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</si>
  <si>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</si>
  <si>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</si>
  <si>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</si>
  <si>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</si>
  <si>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</si>
  <si>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</si>
  <si>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</si>
  <si>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</si>
  <si>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</si>
  <si>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</si>
  <si>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</si>
  <si>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</si>
  <si>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</si>
  <si>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</si>
  <si>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</si>
  <si>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</si>
  <si>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</si>
  <si>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</si>
  <si>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</si>
  <si>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</si>
  <si>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</si>
  <si>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</si>
  <si>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</si>
  <si>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</si>
  <si>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</si>
  <si>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</si>
  <si>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</si>
  <si>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</si>
  <si>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</si>
  <si>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</si>
  <si>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</si>
  <si>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</si>
  <si>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</si>
  <si>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</si>
  <si>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</si>
  <si>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</si>
  <si>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</si>
  <si>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</si>
  <si>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</si>
  <si>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</si>
  <si>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</si>
  <si>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employees</t>
  </si>
  <si>
    <t>attritioncount</t>
  </si>
  <si>
    <t>rate</t>
  </si>
  <si>
    <t>(All)</t>
  </si>
  <si>
    <t>Row Labels</t>
  </si>
  <si>
    <t>Grand Total</t>
  </si>
  <si>
    <t>Sum of EmployeeCount</t>
  </si>
  <si>
    <t>Column Labels</t>
  </si>
  <si>
    <t>HR</t>
  </si>
  <si>
    <t>RESEARCH</t>
  </si>
  <si>
    <t>SALES</t>
  </si>
  <si>
    <t>Details for Sum of EmployeeCount - Department: Human Resources</t>
  </si>
  <si>
    <t>Sales Total</t>
  </si>
  <si>
    <t>count employee</t>
  </si>
  <si>
    <t>Average of EnvironmentSatisfaction</t>
  </si>
  <si>
    <t>Count of OverTime</t>
  </si>
  <si>
    <t>Average of MonthlyIncome</t>
  </si>
  <si>
    <t>Total Average of MonthlyIncome</t>
  </si>
  <si>
    <t>Total Sum of EmployeeCount</t>
  </si>
  <si>
    <t>Sum of JobSatisfaction</t>
  </si>
  <si>
    <t>Total Sum of JobSatisfaction</t>
  </si>
  <si>
    <t>Average of Age</t>
  </si>
  <si>
    <t>Age group</t>
  </si>
  <si>
    <t>18-20</t>
  </si>
  <si>
    <t>20-29</t>
  </si>
  <si>
    <t>30-39</t>
  </si>
  <si>
    <t>40-49</t>
  </si>
  <si>
    <t>50-59</t>
  </si>
  <si>
    <t>avg age</t>
  </si>
  <si>
    <t>AVG MONTHLY INCOME</t>
  </si>
  <si>
    <t>Sum of EmployeeNumber</t>
  </si>
  <si>
    <t xml:space="preserve"> </t>
  </si>
  <si>
    <t>worked years</t>
  </si>
  <si>
    <t>s</t>
  </si>
  <si>
    <t>0-2</t>
  </si>
  <si>
    <t>10+</t>
  </si>
  <si>
    <t>3-5</t>
  </si>
  <si>
    <t>6-10</t>
  </si>
  <si>
    <t>monthly incomerange\</t>
  </si>
  <si>
    <t>10001-15000</t>
  </si>
  <si>
    <t>1000-5000</t>
  </si>
  <si>
    <t>15001-20000</t>
  </si>
  <si>
    <t>5001-10000</t>
  </si>
  <si>
    <t>job</t>
  </si>
  <si>
    <t>ssatsfaction</t>
  </si>
  <si>
    <t>enjoyment</t>
  </si>
  <si>
    <t>workload</t>
  </si>
  <si>
    <t>helper table</t>
  </si>
  <si>
    <t>dummy</t>
  </si>
  <si>
    <t>## &amp;#x20;Retained vs Left</t>
  </si>
  <si>
    <t>### Chart type:-how to make this chart</t>
  </si>
  <si>
    <t>Left</t>
  </si>
  <si>
    <t>Retained</t>
  </si>
  <si>
    <t>Attrition_flag</t>
  </si>
  <si>
    <t>Average of Attrition_flag</t>
  </si>
  <si>
    <t>Research &amp; Development Total</t>
  </si>
  <si>
    <t>Human Resources Total</t>
  </si>
  <si>
    <t>No Total</t>
  </si>
  <si>
    <t>Sum of Attrition_flag</t>
  </si>
  <si>
    <t>Sum of YearsAtCompany</t>
  </si>
  <si>
    <t>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</si>
</sst>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0"/>
      <name val="Calibri"/>
      <family val="2"/>
      <scheme val="minor"/>
    </font>
    <font>
      <sz val="11"/>
      <color theme="9" tint="0.79998168889431442"/>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9" tint="0.7999816888943144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0" fontId="1" fillId="0" borderId="0" xfId="0" applyFont="1"/>
    <xf numFmtId="0" fontId="0" fillId="0" borderId="0" xfId="0" applyAlignment="1">
      <alignment horizontal="left" indent="1"/>
    </xf>
    <xf numFmtId="0" fontId="2" fillId="0" borderId="0" xfId="0" applyFont="1"/>
    <xf numFmtId="0" fontId="1" fillId="2" borderId="1" xfId="0" applyFont="1" applyFill="1" applyBorder="1"/>
    <xf numFmtId="0" fontId="1" fillId="2" borderId="2" xfId="0" applyFont="1" applyFill="1" applyBorder="1" applyAlignment="1">
      <alignment horizontal="left"/>
    </xf>
    <xf numFmtId="0" fontId="1" fillId="2" borderId="2" xfId="0" applyFont="1" applyFill="1" applyBorder="1"/>
    <xf numFmtId="0" fontId="0" fillId="3" borderId="0" xfId="0" applyFill="1"/>
    <xf numFmtId="0" fontId="3" fillId="3" borderId="0" xfId="0" applyFont="1" applyFill="1"/>
    <xf numFmtId="0" fontId="3" fillId="4" borderId="0" xfId="0" applyFont="1" applyFill="1"/>
    <xf numFmtId="0" fontId="0" fillId="4" borderId="0" xfId="0" applyFill="1"/>
    <xf numFmtId="0" fontId="3" fillId="4" borderId="0" xfId="0" applyFont="1" applyFill="1" applyAlignment="1">
      <alignment wrapText="1"/>
    </xf>
    <xf numFmtId="10" fontId="0" fillId="0" borderId="0" xfId="0" applyNumberFormat="1"/>
    <xf numFmtId="9"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E5F44"/>
      <color rgb="FFDCCFC0"/>
      <color rgb="FF93DA97"/>
      <color rgb="FF000000"/>
      <color rgb="FFF7F7F7"/>
      <color rgb="FF467235"/>
      <color rgb="FF3AA83F"/>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6.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0.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1.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2.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3.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4.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5.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6.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7.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8.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Segoe UI" panose="020B0502040204020203" pitchFamily="34" charset="0"/>
                <a:cs typeface="Segoe UI" panose="020B0502040204020203" pitchFamily="34" charset="0"/>
              </a:rPr>
              <a:t>ATTRITION</a:t>
            </a:r>
            <a:r>
              <a:rPr lang="en-IN" b="1" baseline="0">
                <a:solidFill>
                  <a:schemeClr val="tx1"/>
                </a:solidFill>
                <a:latin typeface="Segoe UI" panose="020B0502040204020203" pitchFamily="34" charset="0"/>
                <a:cs typeface="Segoe UI" panose="020B0502040204020203" pitchFamily="34" charset="0"/>
              </a:rPr>
              <a:t> VS DEPARTMENT</a:t>
            </a:r>
            <a:endParaRPr lang="en-IN" b="1">
              <a:solidFill>
                <a:schemeClr val="tx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DDD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Sheet1!$H$8:$H$9</c:f>
              <c:strCache>
                <c:ptCount val="1"/>
                <c:pt idx="0">
                  <c:v>No</c:v>
                </c:pt>
              </c:strCache>
            </c:strRef>
          </c:tx>
          <c:spPr>
            <a:solidFill>
              <a:srgbClr val="3E5F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Sheet1!$G$10:$G$13</c:f>
              <c:strCache>
                <c:ptCount val="3"/>
                <c:pt idx="0">
                  <c:v>Human Resources</c:v>
                </c:pt>
                <c:pt idx="1">
                  <c:v>Research &amp; Development</c:v>
                </c:pt>
                <c:pt idx="2">
                  <c:v>Sales</c:v>
                </c:pt>
              </c:strCache>
            </c:strRef>
          </c:cat>
          <c:val>
            <c:numRef>
              <c:f>Sheet1!$H$10:$H$13</c:f>
              <c:numCache>
                <c:formatCode>General</c:formatCode>
                <c:ptCount val="3"/>
                <c:pt idx="0">
                  <c:v>51</c:v>
                </c:pt>
                <c:pt idx="1">
                  <c:v>828</c:v>
                </c:pt>
                <c:pt idx="2">
                  <c:v>354</c:v>
                </c:pt>
              </c:numCache>
            </c:numRef>
          </c:val>
          <c:extLst>
            <c:ext xmlns:c16="http://schemas.microsoft.com/office/drawing/2014/chart" uri="{C3380CC4-5D6E-409C-BE32-E72D297353CC}">
              <c16:uniqueId val="{00000000-C0E4-40AB-8B4E-C0F140B73319}"/>
            </c:ext>
          </c:extLst>
        </c:ser>
        <c:dLbls>
          <c:dLblPos val="outEnd"/>
          <c:showLegendKey val="0"/>
          <c:showVal val="1"/>
          <c:showCatName val="0"/>
          <c:showSerName val="0"/>
          <c:showPercent val="0"/>
          <c:showBubbleSize val="0"/>
        </c:dLbls>
        <c:gapWidth val="219"/>
        <c:overlap val="-27"/>
        <c:axId val="938236048"/>
        <c:axId val="422202704"/>
      </c:barChart>
      <c:catAx>
        <c:axId val="93823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202704"/>
        <c:crosses val="autoZero"/>
        <c:auto val="1"/>
        <c:lblAlgn val="ctr"/>
        <c:lblOffset val="100"/>
        <c:noMultiLvlLbl val="0"/>
      </c:catAx>
      <c:valAx>
        <c:axId val="422202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3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Sheet1!$G$31</c:f>
              <c:strCache>
                <c:ptCount val="1"/>
                <c:pt idx="0">
                  <c:v>HR</c:v>
                </c:pt>
              </c:strCache>
            </c:strRef>
          </c:tx>
          <c:spPr>
            <a:solidFill>
              <a:schemeClr val="accent1"/>
            </a:solidFill>
            <a:ln>
              <a:noFill/>
            </a:ln>
            <a:effectLst/>
          </c:spPr>
          <c:invertIfNegative val="0"/>
          <c:dPt>
            <c:idx val="0"/>
            <c:invertIfNegative val="0"/>
            <c:bubble3D val="0"/>
            <c:spPr>
              <a:solidFill>
                <a:srgbClr val="93DA97"/>
              </a:solidFill>
              <a:ln>
                <a:noFill/>
              </a:ln>
              <a:effectLst/>
            </c:spPr>
            <c:extLst>
              <c:ext xmlns:c16="http://schemas.microsoft.com/office/drawing/2014/chart" uri="{C3380CC4-5D6E-409C-BE32-E72D297353CC}">
                <c16:uniqueId val="{00000004-09EE-46CE-887E-9220B1C50726}"/>
              </c:ext>
            </c:extLst>
          </c:dPt>
          <c:val>
            <c:numRef>
              <c:f>Sheet1!$H$31</c:f>
              <c:numCache>
                <c:formatCode>General</c:formatCode>
                <c:ptCount val="1"/>
                <c:pt idx="0">
                  <c:v>19.047619047619047</c:v>
                </c:pt>
              </c:numCache>
            </c:numRef>
          </c:val>
          <c:extLst>
            <c:ext xmlns:c16="http://schemas.microsoft.com/office/drawing/2014/chart" uri="{C3380CC4-5D6E-409C-BE32-E72D297353CC}">
              <c16:uniqueId val="{00000000-09EE-46CE-887E-9220B1C50726}"/>
            </c:ext>
          </c:extLst>
        </c:ser>
        <c:ser>
          <c:idx val="1"/>
          <c:order val="1"/>
          <c:tx>
            <c:strRef>
              <c:f>Sheet1!$G$32</c:f>
              <c:strCache>
                <c:ptCount val="1"/>
                <c:pt idx="0">
                  <c:v>RESEARCH</c:v>
                </c:pt>
              </c:strCache>
            </c:strRef>
          </c:tx>
          <c:spPr>
            <a:solidFill>
              <a:srgbClr val="DDDDDD"/>
            </a:solidFill>
            <a:ln>
              <a:noFill/>
            </a:ln>
            <a:effectLst/>
          </c:spPr>
          <c:invertIfNegative val="0"/>
          <c:val>
            <c:numRef>
              <c:f>Sheet1!$H$32</c:f>
              <c:numCache>
                <c:formatCode>General</c:formatCode>
                <c:ptCount val="1"/>
                <c:pt idx="0">
                  <c:v>13.839750260145681</c:v>
                </c:pt>
              </c:numCache>
            </c:numRef>
          </c:val>
          <c:extLst>
            <c:ext xmlns:c16="http://schemas.microsoft.com/office/drawing/2014/chart" uri="{C3380CC4-5D6E-409C-BE32-E72D297353CC}">
              <c16:uniqueId val="{00000001-09EE-46CE-887E-9220B1C50726}"/>
            </c:ext>
          </c:extLst>
        </c:ser>
        <c:ser>
          <c:idx val="2"/>
          <c:order val="2"/>
          <c:tx>
            <c:strRef>
              <c:f>Sheet1!$G$33</c:f>
              <c:strCache>
                <c:ptCount val="1"/>
                <c:pt idx="0">
                  <c:v>SALES</c:v>
                </c:pt>
              </c:strCache>
            </c:strRef>
          </c:tx>
          <c:spPr>
            <a:solidFill>
              <a:srgbClr val="3E5F44"/>
            </a:solidFill>
            <a:ln>
              <a:noFill/>
            </a:ln>
            <a:effectLst/>
          </c:spPr>
          <c:invertIfNegative val="0"/>
          <c:val>
            <c:numRef>
              <c:f>Sheet1!$H$33</c:f>
              <c:numCache>
                <c:formatCode>General</c:formatCode>
                <c:ptCount val="1"/>
                <c:pt idx="0">
                  <c:v>20.627802690582961</c:v>
                </c:pt>
              </c:numCache>
            </c:numRef>
          </c:val>
          <c:extLst>
            <c:ext xmlns:c16="http://schemas.microsoft.com/office/drawing/2014/chart" uri="{C3380CC4-5D6E-409C-BE32-E72D297353CC}">
              <c16:uniqueId val="{00000002-09EE-46CE-887E-9220B1C50726}"/>
            </c:ext>
          </c:extLst>
        </c:ser>
        <c:dLbls>
          <c:showLegendKey val="0"/>
          <c:showVal val="0"/>
          <c:showCatName val="0"/>
          <c:showSerName val="0"/>
          <c:showPercent val="0"/>
          <c:showBubbleSize val="0"/>
        </c:dLbls>
        <c:gapWidth val="182"/>
        <c:axId val="938201712"/>
        <c:axId val="939396048"/>
      </c:barChart>
      <c:catAx>
        <c:axId val="93820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396048"/>
        <c:crosses val="autoZero"/>
        <c:auto val="1"/>
        <c:lblAlgn val="ctr"/>
        <c:lblOffset val="100"/>
        <c:noMultiLvlLbl val="0"/>
      </c:catAx>
      <c:valAx>
        <c:axId val="939396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01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[EXCELPROJECT.xlsx]Sheet1!PivotTable2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Sheet1!$AR$13:$AR$14</c:f>
              <c:strCache>
                <c:ptCount val="1"/>
                <c:pt idx="0">
                  <c:v>Human Resources</c:v>
                </c:pt>
              </c:strCache>
            </c:strRef>
          </c:tx>
          <c:spPr>
            <a:ln w="28575" cap="rnd">
              <a:solidFill>
                <a:schemeClr val="accent6">
                  <a:tint val="65000"/>
                </a:schemeClr>
              </a:solidFill>
              <a:round/>
            </a:ln>
            <a:effectLst/>
          </c:spPr>
          <c:marker>
            <c:symbol val="none"/>
          </c:marker>
          <c:cat>
            <c:strRef>
              <c:f>Sheet1!$AQ$15:$AQ$18</c:f>
              <c:strCache>
                <c:ptCount val="3"/>
                <c:pt idx="0">
                  <c:v>Non-Travel</c:v>
                </c:pt>
                <c:pt idx="1">
                  <c:v>Travel_Frequently</c:v>
                </c:pt>
                <c:pt idx="2">
                  <c:v>Travel_Rarely</c:v>
                </c:pt>
              </c:strCache>
            </c:strRef>
          </c:cat>
          <c:val>
            <c:numRef>
              <c:f>Sheet1!$AR$15:$AR$18</c:f>
              <c:numCache>
                <c:formatCode>General</c:formatCode>
                <c:ptCount val="3"/>
                <c:pt idx="0">
                  <c:v>6</c:v>
                </c:pt>
                <c:pt idx="1">
                  <c:v>11</c:v>
                </c:pt>
                <c:pt idx="2">
                  <c:v>46</c:v>
                </c:pt>
              </c:numCache>
            </c:numRef>
          </c:val>
          <c:smooth val="0"/>
          <c:extLst>
            <c:ext xmlns:c16="http://schemas.microsoft.com/office/drawing/2014/chart" uri="{C3380CC4-5D6E-409C-BE32-E72D297353CC}">
              <c16:uniqueId val="{00000000-8CB1-4052-94CC-A670AA4BD3EA}"/>
            </c:ext>
          </c:extLst>
        </c:ser>
        <c:ser>
          <c:idx val="1"/>
          <c:order val="1"/>
          <c:tx>
            <c:strRef>
              <c:f>Sheet1!$AS$13:$AS$14</c:f>
              <c:strCache>
                <c:ptCount val="1"/>
                <c:pt idx="0">
                  <c:v>Research &amp; Development</c:v>
                </c:pt>
              </c:strCache>
            </c:strRef>
          </c:tx>
          <c:spPr>
            <a:ln w="28575" cap="rnd">
              <a:solidFill>
                <a:schemeClr val="accent6"/>
              </a:solidFill>
              <a:round/>
            </a:ln>
            <a:effectLst/>
          </c:spPr>
          <c:marker>
            <c:symbol val="none"/>
          </c:marker>
          <c:cat>
            <c:strRef>
              <c:f>Sheet1!$AQ$15:$AQ$18</c:f>
              <c:strCache>
                <c:ptCount val="3"/>
                <c:pt idx="0">
                  <c:v>Non-Travel</c:v>
                </c:pt>
                <c:pt idx="1">
                  <c:v>Travel_Frequently</c:v>
                </c:pt>
                <c:pt idx="2">
                  <c:v>Travel_Rarely</c:v>
                </c:pt>
              </c:strCache>
            </c:strRef>
          </c:cat>
          <c:val>
            <c:numRef>
              <c:f>Sheet1!$AS$15:$AS$18</c:f>
              <c:numCache>
                <c:formatCode>General</c:formatCode>
                <c:ptCount val="3"/>
                <c:pt idx="0">
                  <c:v>97</c:v>
                </c:pt>
                <c:pt idx="1">
                  <c:v>182</c:v>
                </c:pt>
                <c:pt idx="2">
                  <c:v>682</c:v>
                </c:pt>
              </c:numCache>
            </c:numRef>
          </c:val>
          <c:smooth val="0"/>
          <c:extLst>
            <c:ext xmlns:c16="http://schemas.microsoft.com/office/drawing/2014/chart" uri="{C3380CC4-5D6E-409C-BE32-E72D297353CC}">
              <c16:uniqueId val="{00000001-2057-4495-99FC-07DCF575C15C}"/>
            </c:ext>
          </c:extLst>
        </c:ser>
        <c:ser>
          <c:idx val="2"/>
          <c:order val="2"/>
          <c:tx>
            <c:strRef>
              <c:f>Sheet1!$AT$13:$AT$14</c:f>
              <c:strCache>
                <c:ptCount val="1"/>
                <c:pt idx="0">
                  <c:v>Sales</c:v>
                </c:pt>
              </c:strCache>
            </c:strRef>
          </c:tx>
          <c:spPr>
            <a:ln w="28575" cap="rnd">
              <a:solidFill>
                <a:schemeClr val="accent6">
                  <a:shade val="65000"/>
                </a:schemeClr>
              </a:solidFill>
              <a:round/>
            </a:ln>
            <a:effectLst/>
          </c:spPr>
          <c:marker>
            <c:symbol val="none"/>
          </c:marker>
          <c:cat>
            <c:strRef>
              <c:f>Sheet1!$AQ$15:$AQ$18</c:f>
              <c:strCache>
                <c:ptCount val="3"/>
                <c:pt idx="0">
                  <c:v>Non-Travel</c:v>
                </c:pt>
                <c:pt idx="1">
                  <c:v>Travel_Frequently</c:v>
                </c:pt>
                <c:pt idx="2">
                  <c:v>Travel_Rarely</c:v>
                </c:pt>
              </c:strCache>
            </c:strRef>
          </c:cat>
          <c:val>
            <c:numRef>
              <c:f>Sheet1!$AT$15:$AT$18</c:f>
              <c:numCache>
                <c:formatCode>General</c:formatCode>
                <c:ptCount val="3"/>
                <c:pt idx="0">
                  <c:v>47</c:v>
                </c:pt>
                <c:pt idx="1">
                  <c:v>84</c:v>
                </c:pt>
                <c:pt idx="2">
                  <c:v>315</c:v>
                </c:pt>
              </c:numCache>
            </c:numRef>
          </c:val>
          <c:smooth val="0"/>
          <c:extLst>
            <c:ext xmlns:c16="http://schemas.microsoft.com/office/drawing/2014/chart" uri="{C3380CC4-5D6E-409C-BE32-E72D297353CC}">
              <c16:uniqueId val="{00000002-2057-4495-99FC-07DCF575C15C}"/>
            </c:ext>
          </c:extLst>
        </c:ser>
        <c:dLbls>
          <c:showLegendKey val="0"/>
          <c:showVal val="0"/>
          <c:showCatName val="0"/>
          <c:showSerName val="0"/>
          <c:showPercent val="0"/>
          <c:showBubbleSize val="0"/>
        </c:dLbls>
        <c:smooth val="0"/>
        <c:axId val="984594208"/>
        <c:axId val="977748144"/>
      </c:lineChart>
      <c:catAx>
        <c:axId val="98459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748144"/>
        <c:crosses val="autoZero"/>
        <c:auto val="1"/>
        <c:lblAlgn val="ctr"/>
        <c:lblOffset val="100"/>
        <c:noMultiLvlLbl val="0"/>
      </c:catAx>
      <c:valAx>
        <c:axId val="97774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59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[EXCELPROJECT.xlsx]Sheet1!PivotTable3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hade val="65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tint val="65000"/>
            </a:schemeClr>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tint val="65000"/>
            </a:schemeClr>
          </a:solidFill>
          <a:ln w="19050">
            <a:solidFill>
              <a:schemeClr val="lt1"/>
            </a:solidFill>
          </a:ln>
          <a:effectLst/>
        </c:spPr>
      </c:pivotFmt>
    </c:pivotFmts>
    <c:plotArea>
      <c:layout/>
      <c:doughnutChart>
        <c:varyColors val="1"/>
        <c:ser>
          <c:idx val="0"/>
          <c:order val="0"/>
          <c:tx>
            <c:strRef>
              <c:f>Sheet1!$X$33</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01DA-4990-9F50-358971E4CA8A}"/>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1DA-4990-9F50-358971E4CA8A}"/>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01DA-4990-9F50-358971E4CA8A}"/>
              </c:ext>
            </c:extLst>
          </c:dPt>
          <c:cat>
            <c:strRef>
              <c:f>Sheet1!$W$34:$W$37</c:f>
              <c:strCache>
                <c:ptCount val="3"/>
                <c:pt idx="0">
                  <c:v>Human Resources</c:v>
                </c:pt>
                <c:pt idx="1">
                  <c:v>Research &amp; Development</c:v>
                </c:pt>
                <c:pt idx="2">
                  <c:v>Sales</c:v>
                </c:pt>
              </c:strCache>
            </c:strRef>
          </c:cat>
          <c:val>
            <c:numRef>
              <c:f>Sheet1!$X$34:$X$37</c:f>
              <c:numCache>
                <c:formatCode>General</c:formatCode>
                <c:ptCount val="3"/>
                <c:pt idx="0">
                  <c:v>51</c:v>
                </c:pt>
                <c:pt idx="1">
                  <c:v>828</c:v>
                </c:pt>
                <c:pt idx="2">
                  <c:v>354</c:v>
                </c:pt>
              </c:numCache>
            </c:numRef>
          </c:val>
          <c:extLst>
            <c:ext xmlns:c16="http://schemas.microsoft.com/office/drawing/2014/chart" uri="{C3380CC4-5D6E-409C-BE32-E72D297353CC}">
              <c16:uniqueId val="{00000000-E0EA-4DDC-82DF-03EA973615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Segoe UI" panose="020B0502040204020203" pitchFamily="34" charset="0"/>
                <a:cs typeface="Segoe UI" panose="020B0502040204020203" pitchFamily="34" charset="0"/>
              </a:rPr>
              <a:t>Department</a:t>
            </a:r>
            <a:r>
              <a:rPr lang="en-US" sz="1400" b="1" baseline="0">
                <a:latin typeface="Segoe UI" panose="020B0502040204020203" pitchFamily="34" charset="0"/>
                <a:cs typeface="Segoe UI" panose="020B0502040204020203" pitchFamily="34" charset="0"/>
              </a:rPr>
              <a:t> vs Satisfaction</a:t>
            </a:r>
            <a:endParaRPr lang="en-US" sz="14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Sheet1!$AE$31</c:f>
              <c:strCache>
                <c:ptCount val="1"/>
                <c:pt idx="0">
                  <c:v>Total</c:v>
                </c:pt>
              </c:strCache>
            </c:strRef>
          </c:tx>
          <c:spPr>
            <a:solidFill>
              <a:srgbClr val="3E5F44"/>
            </a:solidFill>
            <a:ln>
              <a:noFill/>
            </a:ln>
            <a:effectLst/>
          </c:spPr>
          <c:invertIfNegative val="0"/>
          <c:cat>
            <c:strRef>
              <c:f>Sheet1!$AD$32:$AD$35</c:f>
              <c:strCache>
                <c:ptCount val="3"/>
                <c:pt idx="0">
                  <c:v>Human Resources</c:v>
                </c:pt>
                <c:pt idx="1">
                  <c:v>Research &amp; Development</c:v>
                </c:pt>
                <c:pt idx="2">
                  <c:v>Sales</c:v>
                </c:pt>
              </c:strCache>
            </c:strRef>
          </c:cat>
          <c:val>
            <c:numRef>
              <c:f>Sheet1!$AE$32:$AE$35</c:f>
              <c:numCache>
                <c:formatCode>General</c:formatCode>
                <c:ptCount val="3"/>
                <c:pt idx="0">
                  <c:v>2.7647058823529411</c:v>
                </c:pt>
                <c:pt idx="1">
                  <c:v>2.78743961352657</c:v>
                </c:pt>
                <c:pt idx="2">
                  <c:v>2.7344632768361583</c:v>
                </c:pt>
              </c:numCache>
            </c:numRef>
          </c:val>
          <c:extLst>
            <c:ext xmlns:c16="http://schemas.microsoft.com/office/drawing/2014/chart" uri="{C3380CC4-5D6E-409C-BE32-E72D297353CC}">
              <c16:uniqueId val="{00000000-4525-48E3-9FEC-5FA5650CB70A}"/>
            </c:ext>
          </c:extLst>
        </c:ser>
        <c:dLbls>
          <c:showLegendKey val="0"/>
          <c:showVal val="0"/>
          <c:showCatName val="0"/>
          <c:showSerName val="0"/>
          <c:showPercent val="0"/>
          <c:showBubbleSize val="0"/>
        </c:dLbls>
        <c:gapWidth val="182"/>
        <c:axId val="1262971856"/>
        <c:axId val="1044161776"/>
      </c:barChart>
      <c:catAx>
        <c:axId val="126297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161776"/>
        <c:crosses val="autoZero"/>
        <c:auto val="1"/>
        <c:lblAlgn val="ctr"/>
        <c:lblOffset val="100"/>
        <c:noMultiLvlLbl val="0"/>
      </c:catAx>
      <c:valAx>
        <c:axId val="104416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7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Sheet1!$AO$73</c:f>
              <c:strCache>
                <c:ptCount val="1"/>
                <c:pt idx="0">
                  <c:v>Total</c:v>
                </c:pt>
              </c:strCache>
            </c:strRef>
          </c:tx>
          <c:spPr>
            <a:solidFill>
              <a:schemeClr val="accent1"/>
            </a:solidFill>
            <a:ln>
              <a:noFill/>
            </a:ln>
            <a:effectLst/>
          </c:spPr>
          <c:invertIfNegative val="0"/>
          <c:cat>
            <c:strRef>
              <c:f>Sheet1!$AN$74:$AN$78</c:f>
              <c:strCache>
                <c:ptCount val="4"/>
                <c:pt idx="0">
                  <c:v>1</c:v>
                </c:pt>
                <c:pt idx="1">
                  <c:v>2</c:v>
                </c:pt>
                <c:pt idx="2">
                  <c:v>3</c:v>
                </c:pt>
                <c:pt idx="3">
                  <c:v>4</c:v>
                </c:pt>
              </c:strCache>
            </c:strRef>
          </c:cat>
          <c:val>
            <c:numRef>
              <c:f>Sheet1!$AO$74:$AO$78</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0-FD67-4C5E-85CD-6AB9301C5959}"/>
            </c:ext>
          </c:extLst>
        </c:ser>
        <c:dLbls>
          <c:showLegendKey val="0"/>
          <c:showVal val="0"/>
          <c:showCatName val="0"/>
          <c:showSerName val="0"/>
          <c:showPercent val="0"/>
          <c:showBubbleSize val="0"/>
        </c:dLbls>
        <c:gapWidth val="219"/>
        <c:overlap val="-27"/>
        <c:axId val="875450528"/>
        <c:axId val="1226132944"/>
      </c:barChart>
      <c:catAx>
        <c:axId val="87545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32944"/>
        <c:crosses val="autoZero"/>
        <c:auto val="1"/>
        <c:lblAlgn val="ctr"/>
        <c:lblOffset val="100"/>
        <c:noMultiLvlLbl val="0"/>
      </c:catAx>
      <c:valAx>
        <c:axId val="122613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45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Sheet1!$BN$30</c:f>
              <c:strCache>
                <c:ptCount val="1"/>
                <c:pt idx="0">
                  <c:v>Total</c:v>
                </c:pt>
              </c:strCache>
            </c:strRef>
          </c:tx>
          <c:spPr>
            <a:solidFill>
              <a:schemeClr val="accent1"/>
            </a:solidFill>
            <a:ln>
              <a:noFill/>
            </a:ln>
            <a:effectLst/>
          </c:spPr>
          <c:invertIfNegative val="0"/>
          <c:cat>
            <c:strRef>
              <c:f>Sheet1!$BM$31:$BM$40</c:f>
              <c:strCache>
                <c:ptCount val="9"/>
                <c:pt idx="0">
                  <c:v>Human Resources</c:v>
                </c:pt>
                <c:pt idx="1">
                  <c:v>Sales Representative</c:v>
                </c:pt>
                <c:pt idx="2">
                  <c:v>Research Director</c:v>
                </c:pt>
                <c:pt idx="3">
                  <c:v>Manager</c:v>
                </c:pt>
                <c:pt idx="4">
                  <c:v>Healthcare Representative</c:v>
                </c:pt>
                <c:pt idx="5">
                  <c:v>Manufacturing Director</c:v>
                </c:pt>
                <c:pt idx="6">
                  <c:v>Laboratory Technician</c:v>
                </c:pt>
                <c:pt idx="7">
                  <c:v>Research Scientist</c:v>
                </c:pt>
                <c:pt idx="8">
                  <c:v>Sales Executive</c:v>
                </c:pt>
              </c:strCache>
            </c:strRef>
          </c:cat>
          <c:val>
            <c:numRef>
              <c:f>Sheet1!$BN$31:$BN$40</c:f>
              <c:numCache>
                <c:formatCode>General</c:formatCode>
                <c:ptCount val="9"/>
                <c:pt idx="0">
                  <c:v>40</c:v>
                </c:pt>
                <c:pt idx="1">
                  <c:v>50</c:v>
                </c:pt>
                <c:pt idx="2">
                  <c:v>78</c:v>
                </c:pt>
                <c:pt idx="3">
                  <c:v>97</c:v>
                </c:pt>
                <c:pt idx="4">
                  <c:v>122</c:v>
                </c:pt>
                <c:pt idx="5">
                  <c:v>135</c:v>
                </c:pt>
                <c:pt idx="6">
                  <c:v>197</c:v>
                </c:pt>
                <c:pt idx="7">
                  <c:v>245</c:v>
                </c:pt>
                <c:pt idx="8">
                  <c:v>269</c:v>
                </c:pt>
              </c:numCache>
            </c:numRef>
          </c:val>
          <c:extLst>
            <c:ext xmlns:c16="http://schemas.microsoft.com/office/drawing/2014/chart" uri="{C3380CC4-5D6E-409C-BE32-E72D297353CC}">
              <c16:uniqueId val="{00000000-1BF6-476B-9841-720951792189}"/>
            </c:ext>
          </c:extLst>
        </c:ser>
        <c:dLbls>
          <c:showLegendKey val="0"/>
          <c:showVal val="0"/>
          <c:showCatName val="0"/>
          <c:showSerName val="0"/>
          <c:showPercent val="0"/>
          <c:showBubbleSize val="0"/>
        </c:dLbls>
        <c:gapWidth val="219"/>
        <c:overlap val="-27"/>
        <c:axId val="1023894928"/>
        <c:axId val="1044163696"/>
      </c:barChart>
      <c:catAx>
        <c:axId val="102389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163696"/>
        <c:crosses val="autoZero"/>
        <c:auto val="1"/>
        <c:lblAlgn val="ctr"/>
        <c:lblOffset val="100"/>
        <c:noMultiLvlLbl val="0"/>
      </c:catAx>
      <c:valAx>
        <c:axId val="104416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89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[EXCELPROJECT.xlsx]Sheet1!PivotTable14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E5F44"/>
          </a:solidFill>
          <a:ln w="19050">
            <a:solidFill>
              <a:schemeClr val="lt1"/>
            </a:solidFill>
          </a:ln>
          <a:effectLst/>
        </c:spPr>
      </c:pivotFmt>
      <c:pivotFmt>
        <c:idx val="2"/>
        <c:spPr>
          <a:solidFill>
            <a:srgbClr val="DDDDDD"/>
          </a:solidFill>
          <a:ln w="19050">
            <a:solidFill>
              <a:schemeClr val="lt1"/>
            </a:solidFill>
          </a:ln>
          <a:effectLst/>
        </c:spPr>
      </c:pivotFmt>
    </c:pivotFmts>
    <c:plotArea>
      <c:layout/>
      <c:doughnutChart>
        <c:varyColors val="1"/>
        <c:ser>
          <c:idx val="0"/>
          <c:order val="0"/>
          <c:tx>
            <c:strRef>
              <c:f>Sheet1!$D$57</c:f>
              <c:strCache>
                <c:ptCount val="1"/>
                <c:pt idx="0">
                  <c:v>Total</c:v>
                </c:pt>
              </c:strCache>
            </c:strRef>
          </c:tx>
          <c:dPt>
            <c:idx val="0"/>
            <c:bubble3D val="0"/>
            <c:spPr>
              <a:solidFill>
                <a:srgbClr val="3E5F44"/>
              </a:solidFill>
              <a:ln w="19050">
                <a:solidFill>
                  <a:schemeClr val="lt1"/>
                </a:solidFill>
              </a:ln>
              <a:effectLst/>
            </c:spPr>
            <c:extLst>
              <c:ext xmlns:c16="http://schemas.microsoft.com/office/drawing/2014/chart" uri="{C3380CC4-5D6E-409C-BE32-E72D297353CC}">
                <c16:uniqueId val="{00000002-7FDE-4F7A-B733-8A5EF7993322}"/>
              </c:ext>
            </c:extLst>
          </c:dPt>
          <c:dPt>
            <c:idx val="1"/>
            <c:bubble3D val="0"/>
            <c:spPr>
              <a:solidFill>
                <a:srgbClr val="DDDDDD"/>
              </a:solidFill>
              <a:ln w="19050">
                <a:solidFill>
                  <a:schemeClr val="lt1"/>
                </a:solidFill>
              </a:ln>
              <a:effectLst/>
            </c:spPr>
            <c:extLst>
              <c:ext xmlns:c16="http://schemas.microsoft.com/office/drawing/2014/chart" uri="{C3380CC4-5D6E-409C-BE32-E72D297353CC}">
                <c16:uniqueId val="{00000003-7FDE-4F7A-B733-8A5EF7993322}"/>
              </c:ext>
            </c:extLst>
          </c:dPt>
          <c:cat>
            <c:strRef>
              <c:f>Sheet1!$C$58:$C$60</c:f>
              <c:strCache>
                <c:ptCount val="2"/>
                <c:pt idx="0">
                  <c:v>Female</c:v>
                </c:pt>
                <c:pt idx="1">
                  <c:v>Male</c:v>
                </c:pt>
              </c:strCache>
            </c:strRef>
          </c:cat>
          <c:val>
            <c:numRef>
              <c:f>Sheet1!$D$58:$D$60</c:f>
              <c:numCache>
                <c:formatCode>General</c:formatCode>
                <c:ptCount val="2"/>
                <c:pt idx="0">
                  <c:v>504544</c:v>
                </c:pt>
                <c:pt idx="1">
                  <c:v>762556</c:v>
                </c:pt>
              </c:numCache>
            </c:numRef>
          </c:val>
          <c:extLst>
            <c:ext xmlns:c16="http://schemas.microsoft.com/office/drawing/2014/chart" uri="{C3380CC4-5D6E-409C-BE32-E72D297353CC}">
              <c16:uniqueId val="{00000000-7FDE-4F7A-B733-8A5EF79933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[EXCELPROJECT.xlsx]Sheet1!PivotTable15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3E5F44"/>
                </a:solidFill>
                <a:latin typeface="Segoe UI" panose="020B0502040204020203" pitchFamily="34" charset="0"/>
                <a:cs typeface="Segoe UI" panose="020B0502040204020203" pitchFamily="34" charset="0"/>
              </a:rPr>
              <a:t>Attrition by overtime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E5F44"/>
          </a:solidFill>
          <a:ln w="25400">
            <a:solidFill>
              <a:schemeClr val="lt1"/>
            </a:solidFill>
          </a:ln>
          <a:effectLst/>
          <a:sp3d contourW="25400">
            <a:contourClr>
              <a:schemeClr val="lt1"/>
            </a:contourClr>
          </a:sp3d>
        </c:spPr>
      </c:pivotFmt>
      <c:pivotFmt>
        <c:idx val="2"/>
        <c:spPr>
          <a:solidFill>
            <a:srgbClr val="DDDDDD"/>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Sheet1!$AO$105</c:f>
              <c:strCache>
                <c:ptCount val="1"/>
                <c:pt idx="0">
                  <c:v>Total</c:v>
                </c:pt>
              </c:strCache>
            </c:strRef>
          </c:tx>
          <c:dPt>
            <c:idx val="0"/>
            <c:bubble3D val="0"/>
            <c:spPr>
              <a:solidFill>
                <a:srgbClr val="3E5F44"/>
              </a:solidFill>
              <a:ln w="25400">
                <a:solidFill>
                  <a:schemeClr val="lt1"/>
                </a:solidFill>
              </a:ln>
              <a:effectLst/>
              <a:sp3d contourW="25400">
                <a:contourClr>
                  <a:schemeClr val="lt1"/>
                </a:contourClr>
              </a:sp3d>
            </c:spPr>
            <c:extLst>
              <c:ext xmlns:c16="http://schemas.microsoft.com/office/drawing/2014/chart" uri="{C3380CC4-5D6E-409C-BE32-E72D297353CC}">
                <c16:uniqueId val="{00000002-EB73-4A94-8C2B-0AD2835215E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B73-4A94-8C2B-0AD2835215EF}"/>
              </c:ext>
            </c:extLst>
          </c:dPt>
          <c:cat>
            <c:strRef>
              <c:f>Sheet1!$AN$106:$AN$107</c:f>
              <c:strCache>
                <c:ptCount val="1"/>
                <c:pt idx="0">
                  <c:v>No</c:v>
                </c:pt>
              </c:strCache>
            </c:strRef>
          </c:cat>
          <c:val>
            <c:numRef>
              <c:f>Sheet1!$AO$106:$AO$107</c:f>
              <c:numCache>
                <c:formatCode>General</c:formatCode>
                <c:ptCount val="1"/>
                <c:pt idx="0">
                  <c:v>944</c:v>
                </c:pt>
              </c:numCache>
            </c:numRef>
          </c:val>
          <c:extLst>
            <c:ext xmlns:c16="http://schemas.microsoft.com/office/drawing/2014/chart" uri="{C3380CC4-5D6E-409C-BE32-E72D297353CC}">
              <c16:uniqueId val="{00000000-EB73-4A94-8C2B-0AD2835215E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A83F"/>
          </a:solidFill>
          <a:ln>
            <a:solidFill>
              <a:srgbClr val="93DA9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Sheet1!$AT$111:$AT$112</c:f>
              <c:strCache>
                <c:ptCount val="1"/>
                <c:pt idx="0">
                  <c:v>No</c:v>
                </c:pt>
              </c:strCache>
            </c:strRef>
          </c:tx>
          <c:spPr>
            <a:solidFill>
              <a:srgbClr val="3AA83F"/>
            </a:solidFill>
            <a:ln>
              <a:solidFill>
                <a:srgbClr val="93DA97"/>
              </a:solidFill>
            </a:ln>
            <a:effectLst/>
          </c:spPr>
          <c:invertIfNegative val="0"/>
          <c:cat>
            <c:strRef>
              <c:f>Sheet1!$AS$113:$AS$116</c:f>
              <c:strCache>
                <c:ptCount val="3"/>
                <c:pt idx="0">
                  <c:v>Human Resources</c:v>
                </c:pt>
                <c:pt idx="1">
                  <c:v>Research &amp; Development</c:v>
                </c:pt>
                <c:pt idx="2">
                  <c:v>Sales</c:v>
                </c:pt>
              </c:strCache>
            </c:strRef>
          </c:cat>
          <c:val>
            <c:numRef>
              <c:f>Sheet1!$AT$113:$AT$116</c:f>
              <c:numCache>
                <c:formatCode>General</c:formatCode>
                <c:ptCount val="3"/>
                <c:pt idx="0">
                  <c:v>51</c:v>
                </c:pt>
                <c:pt idx="1">
                  <c:v>828</c:v>
                </c:pt>
                <c:pt idx="2">
                  <c:v>354</c:v>
                </c:pt>
              </c:numCache>
            </c:numRef>
          </c:val>
          <c:extLst>
            <c:ext xmlns:c16="http://schemas.microsoft.com/office/drawing/2014/chart" uri="{C3380CC4-5D6E-409C-BE32-E72D297353CC}">
              <c16:uniqueId val="{00000000-761D-41AB-BD19-4508A2C39EBE}"/>
            </c:ext>
          </c:extLst>
        </c:ser>
        <c:dLbls>
          <c:showLegendKey val="0"/>
          <c:showVal val="0"/>
          <c:showCatName val="0"/>
          <c:showSerName val="0"/>
          <c:showPercent val="0"/>
          <c:showBubbleSize val="0"/>
        </c:dLbls>
        <c:gapWidth val="150"/>
        <c:overlap val="100"/>
        <c:axId val="453225071"/>
        <c:axId val="453225551"/>
      </c:barChart>
      <c:catAx>
        <c:axId val="45322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225551"/>
        <c:crosses val="autoZero"/>
        <c:auto val="1"/>
        <c:lblAlgn val="ctr"/>
        <c:lblOffset val="100"/>
        <c:noMultiLvlLbl val="0"/>
      </c:catAx>
      <c:valAx>
        <c:axId val="45322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22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[EXCELPROJECT.xlsx]Sheet1!PivotTable19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E5F44"/>
                </a:solidFill>
                <a:latin typeface="Segoe UI" panose="020B0502040204020203" pitchFamily="34" charset="0"/>
                <a:cs typeface="Segoe UI" panose="020B0502040204020203" pitchFamily="34" charset="0"/>
              </a:rPr>
              <a:t>Attrition</a:t>
            </a:r>
            <a:r>
              <a:rPr lang="en-US" b="1" baseline="0">
                <a:solidFill>
                  <a:srgbClr val="3E5F44"/>
                </a:solidFill>
                <a:latin typeface="Segoe UI" panose="020B0502040204020203" pitchFamily="34" charset="0"/>
                <a:cs typeface="Segoe UI" panose="020B0502040204020203" pitchFamily="34" charset="0"/>
              </a:rPr>
              <a:t> vs Year at Company</a:t>
            </a:r>
            <a:endParaRPr lang="en-US" b="1">
              <a:solidFill>
                <a:srgbClr val="3E5F44"/>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Sheet1!$BB$114:$BB$115</c:f>
              <c:strCache>
                <c:ptCount val="1"/>
                <c:pt idx="0">
                  <c:v>Human Resources</c:v>
                </c:pt>
              </c:strCache>
            </c:strRef>
          </c:tx>
          <c:spPr>
            <a:solidFill>
              <a:schemeClr val="accent1"/>
            </a:solidFill>
            <a:ln>
              <a:noFill/>
            </a:ln>
            <a:effectLst/>
          </c:spPr>
          <c:invertIfNegative val="0"/>
          <c:cat>
            <c:strRef>
              <c:f>Sheet1!$BA$116:$BA$120</c:f>
              <c:strCache>
                <c:ptCount val="4"/>
                <c:pt idx="0">
                  <c:v>0-2</c:v>
                </c:pt>
                <c:pt idx="1">
                  <c:v>10+</c:v>
                </c:pt>
                <c:pt idx="2">
                  <c:v>3-5</c:v>
                </c:pt>
                <c:pt idx="3">
                  <c:v>6-10</c:v>
                </c:pt>
              </c:strCache>
            </c:strRef>
          </c:cat>
          <c:val>
            <c:numRef>
              <c:f>Sheet1!$BB$116:$BB$120</c:f>
              <c:numCache>
                <c:formatCode>General</c:formatCode>
                <c:ptCount val="4"/>
                <c:pt idx="0">
                  <c:v>7</c:v>
                </c:pt>
                <c:pt idx="1">
                  <c:v>8</c:v>
                </c:pt>
                <c:pt idx="2">
                  <c:v>19</c:v>
                </c:pt>
                <c:pt idx="3">
                  <c:v>17</c:v>
                </c:pt>
              </c:numCache>
            </c:numRef>
          </c:val>
          <c:extLst>
            <c:ext xmlns:c16="http://schemas.microsoft.com/office/drawing/2014/chart" uri="{C3380CC4-5D6E-409C-BE32-E72D297353CC}">
              <c16:uniqueId val="{00000000-FCBA-49B6-98A3-D3A897D74DFB}"/>
            </c:ext>
          </c:extLst>
        </c:ser>
        <c:ser>
          <c:idx val="1"/>
          <c:order val="1"/>
          <c:tx>
            <c:strRef>
              <c:f>Sheet1!$BC$114:$BC$115</c:f>
              <c:strCache>
                <c:ptCount val="1"/>
                <c:pt idx="0">
                  <c:v>Research &amp; Development</c:v>
                </c:pt>
              </c:strCache>
            </c:strRef>
          </c:tx>
          <c:spPr>
            <a:solidFill>
              <a:schemeClr val="accent2"/>
            </a:solidFill>
            <a:ln>
              <a:noFill/>
            </a:ln>
            <a:effectLst/>
          </c:spPr>
          <c:invertIfNegative val="0"/>
          <c:cat>
            <c:strRef>
              <c:f>Sheet1!$BA$116:$BA$120</c:f>
              <c:strCache>
                <c:ptCount val="4"/>
                <c:pt idx="0">
                  <c:v>0-2</c:v>
                </c:pt>
                <c:pt idx="1">
                  <c:v>10+</c:v>
                </c:pt>
                <c:pt idx="2">
                  <c:v>3-5</c:v>
                </c:pt>
                <c:pt idx="3">
                  <c:v>6-10</c:v>
                </c:pt>
              </c:strCache>
            </c:strRef>
          </c:cat>
          <c:val>
            <c:numRef>
              <c:f>Sheet1!$BC$116:$BC$120</c:f>
              <c:numCache>
                <c:formatCode>General</c:formatCode>
                <c:ptCount val="4"/>
                <c:pt idx="0">
                  <c:v>166</c:v>
                </c:pt>
                <c:pt idx="1">
                  <c:v>148</c:v>
                </c:pt>
                <c:pt idx="2">
                  <c:v>262</c:v>
                </c:pt>
                <c:pt idx="3">
                  <c:v>252</c:v>
                </c:pt>
              </c:numCache>
            </c:numRef>
          </c:val>
          <c:extLst>
            <c:ext xmlns:c16="http://schemas.microsoft.com/office/drawing/2014/chart" uri="{C3380CC4-5D6E-409C-BE32-E72D297353CC}">
              <c16:uniqueId val="{00000000-8522-4883-9D44-32526F696303}"/>
            </c:ext>
          </c:extLst>
        </c:ser>
        <c:ser>
          <c:idx val="2"/>
          <c:order val="2"/>
          <c:tx>
            <c:strRef>
              <c:f>Sheet1!$BD$114:$BD$115</c:f>
              <c:strCache>
                <c:ptCount val="1"/>
                <c:pt idx="0">
                  <c:v>Sales</c:v>
                </c:pt>
              </c:strCache>
            </c:strRef>
          </c:tx>
          <c:spPr>
            <a:solidFill>
              <a:schemeClr val="accent3"/>
            </a:solidFill>
            <a:ln>
              <a:noFill/>
            </a:ln>
            <a:effectLst/>
          </c:spPr>
          <c:invertIfNegative val="0"/>
          <c:cat>
            <c:strRef>
              <c:f>Sheet1!$BA$116:$BA$120</c:f>
              <c:strCache>
                <c:ptCount val="4"/>
                <c:pt idx="0">
                  <c:v>0-2</c:v>
                </c:pt>
                <c:pt idx="1">
                  <c:v>10+</c:v>
                </c:pt>
                <c:pt idx="2">
                  <c:v>3-5</c:v>
                </c:pt>
                <c:pt idx="3">
                  <c:v>6-10</c:v>
                </c:pt>
              </c:strCache>
            </c:strRef>
          </c:cat>
          <c:val>
            <c:numRef>
              <c:f>Sheet1!$BD$116:$BD$120</c:f>
              <c:numCache>
                <c:formatCode>General</c:formatCode>
                <c:ptCount val="4"/>
                <c:pt idx="0">
                  <c:v>67</c:v>
                </c:pt>
                <c:pt idx="1">
                  <c:v>70</c:v>
                </c:pt>
                <c:pt idx="2">
                  <c:v>93</c:v>
                </c:pt>
                <c:pt idx="3">
                  <c:v>124</c:v>
                </c:pt>
              </c:numCache>
            </c:numRef>
          </c:val>
          <c:extLst>
            <c:ext xmlns:c16="http://schemas.microsoft.com/office/drawing/2014/chart" uri="{C3380CC4-5D6E-409C-BE32-E72D297353CC}">
              <c16:uniqueId val="{00000001-8522-4883-9D44-32526F696303}"/>
            </c:ext>
          </c:extLst>
        </c:ser>
        <c:dLbls>
          <c:showLegendKey val="0"/>
          <c:showVal val="0"/>
          <c:showCatName val="0"/>
          <c:showSerName val="0"/>
          <c:showPercent val="0"/>
          <c:showBubbleSize val="0"/>
        </c:dLbls>
        <c:gapWidth val="182"/>
        <c:axId val="685516511"/>
        <c:axId val="685514111"/>
      </c:barChart>
      <c:catAx>
        <c:axId val="68551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14111"/>
        <c:crosses val="autoZero"/>
        <c:auto val="1"/>
        <c:lblAlgn val="ctr"/>
        <c:lblOffset val="100"/>
        <c:noMultiLvlLbl val="0"/>
      </c:catAx>
      <c:valAx>
        <c:axId val="685514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1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3E5F44"/>
                </a:solidFill>
                <a:latin typeface="Segoe UI" panose="020B0502040204020203" pitchFamily="34" charset="0"/>
                <a:cs typeface="Segoe UI" panose="020B0502040204020203" pitchFamily="34" charset="0"/>
              </a:rPr>
              <a:t>Attrition by worklife-Balance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Sheet1!$H$85</c:f>
              <c:strCache>
                <c:ptCount val="1"/>
                <c:pt idx="0">
                  <c:v>Total</c:v>
                </c:pt>
              </c:strCache>
            </c:strRef>
          </c:tx>
          <c:spPr>
            <a:solidFill>
              <a:srgbClr val="3E5F44"/>
            </a:solidFill>
            <a:ln>
              <a:noFill/>
            </a:ln>
            <a:effectLst/>
          </c:spPr>
          <c:cat>
            <c:strRef>
              <c:f>Sheet1!$G$86:$G$90</c:f>
              <c:strCache>
                <c:ptCount val="4"/>
                <c:pt idx="0">
                  <c:v>1</c:v>
                </c:pt>
                <c:pt idx="1">
                  <c:v>2</c:v>
                </c:pt>
                <c:pt idx="2">
                  <c:v>3</c:v>
                </c:pt>
                <c:pt idx="3">
                  <c:v>4</c:v>
                </c:pt>
              </c:strCache>
            </c:strRef>
          </c:cat>
          <c:val>
            <c:numRef>
              <c:f>Sheet1!$H$86:$H$90</c:f>
              <c:numCache>
                <c:formatCode>General</c:formatCode>
                <c:ptCount val="4"/>
                <c:pt idx="0">
                  <c:v>55</c:v>
                </c:pt>
                <c:pt idx="1">
                  <c:v>286</c:v>
                </c:pt>
                <c:pt idx="2">
                  <c:v>766</c:v>
                </c:pt>
                <c:pt idx="3">
                  <c:v>126</c:v>
                </c:pt>
              </c:numCache>
            </c:numRef>
          </c:val>
          <c:extLst>
            <c:ext xmlns:c16="http://schemas.microsoft.com/office/drawing/2014/chart" uri="{C3380CC4-5D6E-409C-BE32-E72D297353CC}">
              <c16:uniqueId val="{00000000-0229-4DB2-B579-9D6CA70F6532}"/>
            </c:ext>
          </c:extLst>
        </c:ser>
        <c:dLbls>
          <c:showLegendKey val="0"/>
          <c:showVal val="0"/>
          <c:showCatName val="0"/>
          <c:showSerName val="0"/>
          <c:showPercent val="0"/>
          <c:showBubbleSize val="0"/>
        </c:dLbls>
        <c:axId val="1872504463"/>
        <c:axId val="1872488623"/>
      </c:areaChart>
      <c:catAx>
        <c:axId val="187250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488623"/>
        <c:crosses val="autoZero"/>
        <c:auto val="1"/>
        <c:lblAlgn val="ctr"/>
        <c:lblOffset val="100"/>
        <c:noMultiLvlLbl val="0"/>
      </c:catAx>
      <c:valAx>
        <c:axId val="187248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5044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E5F44"/>
                </a:solidFill>
                <a:latin typeface="Segoe UI" panose="020B0502040204020203" pitchFamily="34" charset="0"/>
                <a:cs typeface="Segoe UI" panose="020B0502040204020203" pitchFamily="34" charset="0"/>
              </a:rPr>
              <a:t>Attrition</a:t>
            </a:r>
            <a:r>
              <a:rPr lang="en-US" b="1" baseline="0">
                <a:solidFill>
                  <a:srgbClr val="3E5F44"/>
                </a:solidFill>
                <a:latin typeface="Segoe UI" panose="020B0502040204020203" pitchFamily="34" charset="0"/>
                <a:cs typeface="Segoe UI" panose="020B0502040204020203" pitchFamily="34" charset="0"/>
              </a:rPr>
              <a:t> by Monthly Income</a:t>
            </a:r>
            <a:endParaRPr lang="en-US" b="1">
              <a:solidFill>
                <a:srgbClr val="3E5F44"/>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Sheet1!$BF$159</c:f>
              <c:strCache>
                <c:ptCount val="1"/>
                <c:pt idx="0">
                  <c:v>Total</c:v>
                </c:pt>
              </c:strCache>
            </c:strRef>
          </c:tx>
          <c:spPr>
            <a:solidFill>
              <a:srgbClr val="3E5F44"/>
            </a:solidFill>
            <a:ln>
              <a:noFill/>
            </a:ln>
            <a:effectLst/>
          </c:spPr>
          <c:invertIfNegative val="0"/>
          <c:cat>
            <c:strRef>
              <c:f>Sheet1!$BE$160:$BE$164</c:f>
              <c:strCache>
                <c:ptCount val="4"/>
                <c:pt idx="0">
                  <c:v>10001-15000</c:v>
                </c:pt>
                <c:pt idx="1">
                  <c:v>1000-5000</c:v>
                </c:pt>
                <c:pt idx="2">
                  <c:v>5001-10000</c:v>
                </c:pt>
                <c:pt idx="3">
                  <c:v>15001-20000</c:v>
                </c:pt>
              </c:strCache>
            </c:strRef>
          </c:cat>
          <c:val>
            <c:numRef>
              <c:f>Sheet1!$BF$160:$BF$164</c:f>
              <c:numCache>
                <c:formatCode>General</c:formatCode>
                <c:ptCount val="4"/>
                <c:pt idx="0">
                  <c:v>128</c:v>
                </c:pt>
                <c:pt idx="1">
                  <c:v>586</c:v>
                </c:pt>
                <c:pt idx="2">
                  <c:v>391</c:v>
                </c:pt>
                <c:pt idx="3">
                  <c:v>128</c:v>
                </c:pt>
              </c:numCache>
            </c:numRef>
          </c:val>
          <c:extLst>
            <c:ext xmlns:c16="http://schemas.microsoft.com/office/drawing/2014/chart" uri="{C3380CC4-5D6E-409C-BE32-E72D297353CC}">
              <c16:uniqueId val="{00000000-B404-46C4-B17D-AA1B3ECBC9FA}"/>
            </c:ext>
          </c:extLst>
        </c:ser>
        <c:dLbls>
          <c:showLegendKey val="0"/>
          <c:showVal val="0"/>
          <c:showCatName val="0"/>
          <c:showSerName val="0"/>
          <c:showPercent val="0"/>
          <c:showBubbleSize val="0"/>
        </c:dLbls>
        <c:gapWidth val="219"/>
        <c:overlap val="-27"/>
        <c:axId val="2066846783"/>
        <c:axId val="2066846303"/>
      </c:barChart>
      <c:catAx>
        <c:axId val="206684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846303"/>
        <c:crosses val="autoZero"/>
        <c:auto val="1"/>
        <c:lblAlgn val="ctr"/>
        <c:lblOffset val="100"/>
        <c:noMultiLvlLbl val="0"/>
      </c:catAx>
      <c:valAx>
        <c:axId val="206684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84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3E5F44"/>
                </a:solidFill>
                <a:latin typeface="Segoe UI" panose="020B0502040204020203" pitchFamily="34" charset="0"/>
                <a:cs typeface="Segoe UI" panose="020B0502040204020203" pitchFamily="34" charset="0"/>
              </a:rPr>
              <a:t>Attrition by Relationshipsatisfaction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Sheet1!$BJ$143</c:f>
              <c:strCache>
                <c:ptCount val="1"/>
                <c:pt idx="0">
                  <c:v>Total</c:v>
                </c:pt>
              </c:strCache>
            </c:strRef>
          </c:tx>
          <c:spPr>
            <a:solidFill>
              <a:srgbClr val="3E5F44"/>
            </a:solidFill>
            <a:ln>
              <a:noFill/>
            </a:ln>
            <a:effectLst/>
          </c:spPr>
          <c:invertIfNegative val="0"/>
          <c:cat>
            <c:strRef>
              <c:f>Sheet1!$BI$144:$BI$148</c:f>
              <c:strCache>
                <c:ptCount val="4"/>
                <c:pt idx="0">
                  <c:v>1</c:v>
                </c:pt>
                <c:pt idx="1">
                  <c:v>2</c:v>
                </c:pt>
                <c:pt idx="2">
                  <c:v>3</c:v>
                </c:pt>
                <c:pt idx="3">
                  <c:v>4</c:v>
                </c:pt>
              </c:strCache>
            </c:strRef>
          </c:cat>
          <c:val>
            <c:numRef>
              <c:f>Sheet1!$BJ$144:$BJ$148</c:f>
              <c:numCache>
                <c:formatCode>General</c:formatCode>
                <c:ptCount val="4"/>
                <c:pt idx="0">
                  <c:v>219</c:v>
                </c:pt>
                <c:pt idx="1">
                  <c:v>258</c:v>
                </c:pt>
                <c:pt idx="2">
                  <c:v>388</c:v>
                </c:pt>
                <c:pt idx="3">
                  <c:v>368</c:v>
                </c:pt>
              </c:numCache>
            </c:numRef>
          </c:val>
          <c:extLst>
            <c:ext xmlns:c16="http://schemas.microsoft.com/office/drawing/2014/chart" uri="{C3380CC4-5D6E-409C-BE32-E72D297353CC}">
              <c16:uniqueId val="{00000000-1E1C-43AD-8337-A731CDD17FA5}"/>
            </c:ext>
          </c:extLst>
        </c:ser>
        <c:dLbls>
          <c:showLegendKey val="0"/>
          <c:showVal val="0"/>
          <c:showCatName val="0"/>
          <c:showSerName val="0"/>
          <c:showPercent val="0"/>
          <c:showBubbleSize val="0"/>
        </c:dLbls>
        <c:gapWidth val="219"/>
        <c:overlap val="-27"/>
        <c:axId val="1655421119"/>
        <c:axId val="1655404799"/>
      </c:barChart>
      <c:catAx>
        <c:axId val="165542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404799"/>
        <c:crosses val="autoZero"/>
        <c:auto val="1"/>
        <c:lblAlgn val="ctr"/>
        <c:lblOffset val="100"/>
        <c:noMultiLvlLbl val="0"/>
      </c:catAx>
      <c:valAx>
        <c:axId val="165540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42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[EXCELPROJECT.xlsx]Sheet1!PivotTable25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E5F44"/>
                </a:solidFill>
                <a:latin typeface="Segoe UI" panose="020B0502040204020203" pitchFamily="34" charset="0"/>
                <a:cs typeface="Segoe UI" panose="020B0502040204020203" pitchFamily="34" charset="0"/>
              </a:rPr>
              <a:t>Attrition by Environmentsatisfaction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Sheet1!$BO$143</c:f>
              <c:strCache>
                <c:ptCount val="1"/>
                <c:pt idx="0">
                  <c:v>Total</c:v>
                </c:pt>
              </c:strCache>
            </c:strRef>
          </c:tx>
          <c:spPr>
            <a:solidFill>
              <a:srgbClr val="3E5F44"/>
            </a:solidFill>
            <a:ln>
              <a:noFill/>
            </a:ln>
            <a:effectLst/>
          </c:spPr>
          <c:invertIfNegative val="0"/>
          <c:cat>
            <c:strRef>
              <c:f>Sheet1!$BN$144:$BN$148</c:f>
              <c:strCache>
                <c:ptCount val="4"/>
                <c:pt idx="0">
                  <c:v>1</c:v>
                </c:pt>
                <c:pt idx="1">
                  <c:v>2</c:v>
                </c:pt>
                <c:pt idx="2">
                  <c:v>3</c:v>
                </c:pt>
                <c:pt idx="3">
                  <c:v>4</c:v>
                </c:pt>
              </c:strCache>
            </c:strRef>
          </c:cat>
          <c:val>
            <c:numRef>
              <c:f>Sheet1!$BO$144:$BO$148</c:f>
              <c:numCache>
                <c:formatCode>General</c:formatCode>
                <c:ptCount val="4"/>
                <c:pt idx="0">
                  <c:v>212</c:v>
                </c:pt>
                <c:pt idx="1">
                  <c:v>244</c:v>
                </c:pt>
                <c:pt idx="2">
                  <c:v>391</c:v>
                </c:pt>
                <c:pt idx="3">
                  <c:v>386</c:v>
                </c:pt>
              </c:numCache>
            </c:numRef>
          </c:val>
          <c:extLst>
            <c:ext xmlns:c16="http://schemas.microsoft.com/office/drawing/2014/chart" uri="{C3380CC4-5D6E-409C-BE32-E72D297353CC}">
              <c16:uniqueId val="{00000000-FF6B-45EC-9644-716CE24DB087}"/>
            </c:ext>
          </c:extLst>
        </c:ser>
        <c:dLbls>
          <c:showLegendKey val="0"/>
          <c:showVal val="0"/>
          <c:showCatName val="0"/>
          <c:showSerName val="0"/>
          <c:showPercent val="0"/>
          <c:showBubbleSize val="0"/>
        </c:dLbls>
        <c:gapWidth val="219"/>
        <c:overlap val="-27"/>
        <c:axId val="1655413919"/>
        <c:axId val="1655417759"/>
      </c:barChart>
      <c:catAx>
        <c:axId val="16554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417759"/>
        <c:crosses val="autoZero"/>
        <c:auto val="1"/>
        <c:lblAlgn val="ctr"/>
        <c:lblOffset val="100"/>
        <c:noMultiLvlLbl val="0"/>
      </c:catAx>
      <c:valAx>
        <c:axId val="165541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41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[EXCELPROJECT.xlsx]Sheet1!PivotTable9</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3E5F44"/>
                </a:solidFill>
                <a:latin typeface="Segoe UI" panose="020B0502040204020203" pitchFamily="34" charset="0"/>
                <a:cs typeface="Segoe UI" panose="020B0502040204020203" pitchFamily="34" charset="0"/>
              </a:rPr>
              <a:t>JOBSATISFACTION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circle"/>
          <c:size val="5"/>
          <c:spPr>
            <a:solidFill>
              <a:schemeClr val="accent6">
                <a:tint val="58000"/>
              </a:schemeClr>
            </a:solidFill>
            <a:ln w="9525">
              <a:solidFill>
                <a:schemeClr val="accent6">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circle"/>
          <c:size val="5"/>
          <c:spPr>
            <a:solidFill>
              <a:schemeClr val="accent6">
                <a:tint val="86000"/>
              </a:schemeClr>
            </a:solidFill>
            <a:ln w="9525">
              <a:solidFill>
                <a:schemeClr val="accent6">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circle"/>
          <c:size val="5"/>
          <c:spPr>
            <a:solidFill>
              <a:schemeClr val="accent6">
                <a:shade val="86000"/>
              </a:schemeClr>
            </a:solidFill>
            <a:ln w="9525">
              <a:solidFill>
                <a:schemeClr val="accent6">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circle"/>
          <c:size val="5"/>
          <c:spPr>
            <a:solidFill>
              <a:schemeClr val="accent6">
                <a:shade val="58000"/>
              </a:schemeClr>
            </a:solidFill>
            <a:ln w="9525">
              <a:solidFill>
                <a:schemeClr val="accent6">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Sheet1!$AO$73</c:f>
              <c:strCache>
                <c:ptCount val="1"/>
                <c:pt idx="0">
                  <c:v>Total</c:v>
                </c:pt>
              </c:strCache>
            </c:strRef>
          </c:tx>
          <c:spPr>
            <a:solidFill>
              <a:schemeClr val="accent6"/>
            </a:solidFill>
            <a:ln>
              <a:noFill/>
            </a:ln>
            <a:effectLst/>
          </c:spPr>
          <c:invertIfNegative val="0"/>
          <c:cat>
            <c:strRef>
              <c:f>Sheet1!$AN$74:$AN$78</c:f>
              <c:strCache>
                <c:ptCount val="4"/>
                <c:pt idx="0">
                  <c:v>1</c:v>
                </c:pt>
                <c:pt idx="1">
                  <c:v>2</c:v>
                </c:pt>
                <c:pt idx="2">
                  <c:v>3</c:v>
                </c:pt>
                <c:pt idx="3">
                  <c:v>4</c:v>
                </c:pt>
              </c:strCache>
            </c:strRef>
          </c:cat>
          <c:val>
            <c:numRef>
              <c:f>Sheet1!$AO$74:$AO$78</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0-1196-4C32-B4B4-1025B19258D4}"/>
            </c:ext>
          </c:extLst>
        </c:ser>
        <c:dLbls>
          <c:showLegendKey val="0"/>
          <c:showVal val="0"/>
          <c:showCatName val="0"/>
          <c:showSerName val="0"/>
          <c:showPercent val="0"/>
          <c:showBubbleSize val="0"/>
        </c:dLbls>
        <c:gapWidth val="500"/>
        <c:axId val="875450528"/>
        <c:axId val="1226132944"/>
      </c:barChart>
      <c:catAx>
        <c:axId val="875450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32944"/>
        <c:crosses val="autoZero"/>
        <c:auto val="1"/>
        <c:lblAlgn val="ctr"/>
        <c:lblOffset val="100"/>
        <c:noMultiLvlLbl val="0"/>
      </c:catAx>
      <c:valAx>
        <c:axId val="1226132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45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Segoe UI" panose="020B0502040204020203" pitchFamily="34" charset="0"/>
                <a:cs typeface="Segoe UI" panose="020B0502040204020203" pitchFamily="34" charset="0"/>
              </a:rPr>
              <a:t>Attrition by Joblevel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Sheet1!$BO$175</c:f>
              <c:strCache>
                <c:ptCount val="1"/>
                <c:pt idx="0">
                  <c:v>Total</c:v>
                </c:pt>
              </c:strCache>
            </c:strRef>
          </c:tx>
          <c:spPr>
            <a:solidFill>
              <a:schemeClr val="accent1"/>
            </a:solidFill>
            <a:ln>
              <a:noFill/>
            </a:ln>
            <a:effectLst/>
          </c:spPr>
          <c:invertIfNegative val="0"/>
          <c:cat>
            <c:strRef>
              <c:f>Sheet1!$BN$176:$BN$181</c:f>
              <c:strCache>
                <c:ptCount val="5"/>
                <c:pt idx="0">
                  <c:v>1</c:v>
                </c:pt>
                <c:pt idx="1">
                  <c:v>2</c:v>
                </c:pt>
                <c:pt idx="2">
                  <c:v>3</c:v>
                </c:pt>
                <c:pt idx="3">
                  <c:v>4</c:v>
                </c:pt>
                <c:pt idx="4">
                  <c:v>5</c:v>
                </c:pt>
              </c:strCache>
            </c:strRef>
          </c:cat>
          <c:val>
            <c:numRef>
              <c:f>Sheet1!$BO$176:$BO$181</c:f>
              <c:numCache>
                <c:formatCode>General</c:formatCode>
                <c:ptCount val="5"/>
                <c:pt idx="0">
                  <c:v>400</c:v>
                </c:pt>
                <c:pt idx="1">
                  <c:v>482</c:v>
                </c:pt>
                <c:pt idx="2">
                  <c:v>186</c:v>
                </c:pt>
                <c:pt idx="3">
                  <c:v>101</c:v>
                </c:pt>
                <c:pt idx="4">
                  <c:v>64</c:v>
                </c:pt>
              </c:numCache>
            </c:numRef>
          </c:val>
          <c:extLst>
            <c:ext xmlns:c16="http://schemas.microsoft.com/office/drawing/2014/chart" uri="{C3380CC4-5D6E-409C-BE32-E72D297353CC}">
              <c16:uniqueId val="{00000000-CCAF-42FF-A94E-BCB00D0FA9C1}"/>
            </c:ext>
          </c:extLst>
        </c:ser>
        <c:dLbls>
          <c:showLegendKey val="0"/>
          <c:showVal val="0"/>
          <c:showCatName val="0"/>
          <c:showSerName val="0"/>
          <c:showPercent val="0"/>
          <c:showBubbleSize val="0"/>
        </c:dLbls>
        <c:gapWidth val="219"/>
        <c:overlap val="-27"/>
        <c:axId val="1358091855"/>
        <c:axId val="1358077455"/>
      </c:barChart>
      <c:catAx>
        <c:axId val="135809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077455"/>
        <c:crosses val="autoZero"/>
        <c:auto val="1"/>
        <c:lblAlgn val="ctr"/>
        <c:lblOffset val="100"/>
        <c:noMultiLvlLbl val="0"/>
      </c:catAx>
      <c:valAx>
        <c:axId val="135807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09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[EXCELPROJECT.xlsx]Sheet1!PivotTable15</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3E5F44"/>
                </a:solidFill>
                <a:latin typeface="Segoe UI" panose="020B0502040204020203" pitchFamily="34" charset="0"/>
                <a:cs typeface="Segoe UI" panose="020B0502040204020203" pitchFamily="34" charset="0"/>
              </a:rPr>
              <a:t>Attrition by overtime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E5F44"/>
          </a:solidFill>
          <a:ln w="25400">
            <a:solidFill>
              <a:schemeClr val="lt1"/>
            </a:solidFill>
          </a:ln>
          <a:effectLst/>
          <a:sp3d contourW="25400">
            <a:contourClr>
              <a:schemeClr val="lt1"/>
            </a:contourClr>
          </a:sp3d>
        </c:spPr>
      </c:pivotFmt>
      <c:pivotFmt>
        <c:idx val="2"/>
        <c:spPr>
          <a:solidFill>
            <a:srgbClr val="DDDDDD"/>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E5F44"/>
          </a:solidFill>
          <a:ln w="25400">
            <a:solidFill>
              <a:schemeClr val="lt1"/>
            </a:solidFill>
          </a:ln>
          <a:effectLst/>
          <a:sp3d contourW="25400">
            <a:contourClr>
              <a:schemeClr val="lt1"/>
            </a:contourClr>
          </a:sp3d>
        </c:spPr>
      </c:pivotFmt>
      <c:pivotFmt>
        <c:idx val="5"/>
        <c:spPr>
          <a:solidFill>
            <a:srgbClr val="DDDDDD"/>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E5F44"/>
          </a:solidFill>
          <a:ln w="25400">
            <a:solidFill>
              <a:schemeClr val="lt1"/>
            </a:solidFill>
          </a:ln>
          <a:effectLst/>
          <a:sp3d contourW="25400">
            <a:contourClr>
              <a:schemeClr val="lt1"/>
            </a:contourClr>
          </a:sp3d>
        </c:spPr>
      </c:pivotFmt>
      <c:pivotFmt>
        <c:idx val="8"/>
        <c:spPr>
          <a:solidFill>
            <a:srgbClr val="DDDDDD"/>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Sheet1!$AO$105</c:f>
              <c:strCache>
                <c:ptCount val="1"/>
                <c:pt idx="0">
                  <c:v>Total</c:v>
                </c:pt>
              </c:strCache>
            </c:strRef>
          </c:tx>
          <c:dPt>
            <c:idx val="0"/>
            <c:bubble3D val="0"/>
            <c:spPr>
              <a:solidFill>
                <a:srgbClr val="3E5F44"/>
              </a:solidFill>
              <a:ln w="25400">
                <a:solidFill>
                  <a:schemeClr val="lt1"/>
                </a:solidFill>
              </a:ln>
              <a:effectLst/>
              <a:sp3d contourW="25400">
                <a:contourClr>
                  <a:schemeClr val="lt1"/>
                </a:contourClr>
              </a:sp3d>
            </c:spPr>
            <c:extLst>
              <c:ext xmlns:c16="http://schemas.microsoft.com/office/drawing/2014/chart" uri="{C3380CC4-5D6E-409C-BE32-E72D297353CC}">
                <c16:uniqueId val="{00000001-175A-4B7D-846D-27BF36E6BB4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75A-4B7D-846D-27BF36E6BB4A}"/>
              </c:ext>
            </c:extLst>
          </c:dPt>
          <c:cat>
            <c:strRef>
              <c:f>Sheet1!$AN$106:$AN$107</c:f>
              <c:strCache>
                <c:ptCount val="1"/>
                <c:pt idx="0">
                  <c:v>No</c:v>
                </c:pt>
              </c:strCache>
            </c:strRef>
          </c:cat>
          <c:val>
            <c:numRef>
              <c:f>Sheet1!$AO$106:$AO$107</c:f>
              <c:numCache>
                <c:formatCode>General</c:formatCode>
                <c:ptCount val="1"/>
                <c:pt idx="0">
                  <c:v>944</c:v>
                </c:pt>
              </c:numCache>
            </c:numRef>
          </c:val>
          <c:extLst>
            <c:ext xmlns:c16="http://schemas.microsoft.com/office/drawing/2014/chart" uri="{C3380CC4-5D6E-409C-BE32-E72D297353CC}">
              <c16:uniqueId val="{00000004-175A-4B7D-846D-27BF36E6BB4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[EXCELPROJECT.xlsx]Sheet1!PivotTable31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Sheet1!$Z$98</c:f>
              <c:strCache>
                <c:ptCount val="1"/>
                <c:pt idx="0">
                  <c:v>Total</c:v>
                </c:pt>
              </c:strCache>
            </c:strRef>
          </c:tx>
          <c:spPr>
            <a:solidFill>
              <a:schemeClr val="accent1"/>
            </a:solidFill>
            <a:ln>
              <a:noFill/>
            </a:ln>
            <a:effectLst/>
          </c:spPr>
          <c:invertIfNegative val="0"/>
          <c:cat>
            <c:strRef>
              <c:f>Sheet1!$Y$99:$Y$104</c:f>
              <c:strCache>
                <c:ptCount val="5"/>
                <c:pt idx="0">
                  <c:v>18-20</c:v>
                </c:pt>
                <c:pt idx="1">
                  <c:v>20-29</c:v>
                </c:pt>
                <c:pt idx="2">
                  <c:v>30-39</c:v>
                </c:pt>
                <c:pt idx="3">
                  <c:v>40-49</c:v>
                </c:pt>
                <c:pt idx="4">
                  <c:v>50-59</c:v>
                </c:pt>
              </c:strCache>
            </c:strRef>
          </c:cat>
          <c:val>
            <c:numRef>
              <c:f>Sheet1!$Z$99:$Z$104</c:f>
              <c:numCache>
                <c:formatCode>General</c:formatCode>
                <c:ptCount val="5"/>
                <c:pt idx="0">
                  <c:v>7</c:v>
                </c:pt>
                <c:pt idx="1">
                  <c:v>228</c:v>
                </c:pt>
                <c:pt idx="2">
                  <c:v>533</c:v>
                </c:pt>
                <c:pt idx="3">
                  <c:v>315</c:v>
                </c:pt>
                <c:pt idx="4">
                  <c:v>150</c:v>
                </c:pt>
              </c:numCache>
            </c:numRef>
          </c:val>
          <c:extLst>
            <c:ext xmlns:c16="http://schemas.microsoft.com/office/drawing/2014/chart" uri="{C3380CC4-5D6E-409C-BE32-E72D297353CC}">
              <c16:uniqueId val="{00000000-93A3-42E0-BC15-7578871A501C}"/>
            </c:ext>
          </c:extLst>
        </c:ser>
        <c:dLbls>
          <c:showLegendKey val="0"/>
          <c:showVal val="0"/>
          <c:showCatName val="0"/>
          <c:showSerName val="0"/>
          <c:showPercent val="0"/>
          <c:showBubbleSize val="0"/>
        </c:dLbls>
        <c:gapWidth val="219"/>
        <c:overlap val="-27"/>
        <c:axId val="1000418352"/>
        <c:axId val="1000418832"/>
      </c:barChart>
      <c:catAx>
        <c:axId val="100041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418832"/>
        <c:crosses val="autoZero"/>
        <c:auto val="1"/>
        <c:lblAlgn val="ctr"/>
        <c:lblOffset val="100"/>
        <c:noMultiLvlLbl val="0"/>
      </c:catAx>
      <c:valAx>
        <c:axId val="100041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41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[EXCELPROJECT.xlsx]Sheet1!PivotTable32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Sheet1!$BF$177</c:f>
              <c:strCache>
                <c:ptCount val="1"/>
                <c:pt idx="0">
                  <c:v>Total</c:v>
                </c:pt>
              </c:strCache>
            </c:strRef>
          </c:tx>
          <c:spPr>
            <a:solidFill>
              <a:schemeClr val="accent1"/>
            </a:solidFill>
            <a:ln>
              <a:noFill/>
            </a:ln>
            <a:effectLst/>
          </c:spPr>
          <c:invertIfNegative val="0"/>
          <c:cat>
            <c:strRef>
              <c:f>Sheet1!$BE$178:$BE$181</c:f>
              <c:strCache>
                <c:ptCount val="3"/>
                <c:pt idx="0">
                  <c:v>Divorced</c:v>
                </c:pt>
                <c:pt idx="1">
                  <c:v>Married</c:v>
                </c:pt>
                <c:pt idx="2">
                  <c:v>Single</c:v>
                </c:pt>
              </c:strCache>
            </c:strRef>
          </c:cat>
          <c:val>
            <c:numRef>
              <c:f>Sheet1!$BF$178:$BF$181</c:f>
              <c:numCache>
                <c:formatCode>General</c:formatCode>
                <c:ptCount val="3"/>
                <c:pt idx="0">
                  <c:v>294</c:v>
                </c:pt>
                <c:pt idx="1">
                  <c:v>589</c:v>
                </c:pt>
                <c:pt idx="2">
                  <c:v>350</c:v>
                </c:pt>
              </c:numCache>
            </c:numRef>
          </c:val>
          <c:extLst>
            <c:ext xmlns:c16="http://schemas.microsoft.com/office/drawing/2014/chart" uri="{C3380CC4-5D6E-409C-BE32-E72D297353CC}">
              <c16:uniqueId val="{00000000-7216-47A0-9056-E59804ACCB90}"/>
            </c:ext>
          </c:extLst>
        </c:ser>
        <c:dLbls>
          <c:showLegendKey val="0"/>
          <c:showVal val="0"/>
          <c:showCatName val="0"/>
          <c:showSerName val="0"/>
          <c:showPercent val="0"/>
          <c:showBubbleSize val="0"/>
        </c:dLbls>
        <c:gapWidth val="219"/>
        <c:overlap val="-27"/>
        <c:axId val="496079952"/>
        <c:axId val="496073232"/>
      </c:barChart>
      <c:catAx>
        <c:axId val="49607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73232"/>
        <c:crosses val="autoZero"/>
        <c:auto val="1"/>
        <c:lblAlgn val="ctr"/>
        <c:lblOffset val="100"/>
        <c:noMultiLvlLbl val="0"/>
      </c:catAx>
      <c:valAx>
        <c:axId val="49607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7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[EXCELPROJECT.xlsx]Sheet1!PivotTable33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Sheet1!$BF$189</c:f>
              <c:strCache>
                <c:ptCount val="1"/>
                <c:pt idx="0">
                  <c:v>Total</c:v>
                </c:pt>
              </c:strCache>
            </c:strRef>
          </c:tx>
          <c:spPr>
            <a:solidFill>
              <a:schemeClr val="accent1"/>
            </a:solidFill>
            <a:ln>
              <a:noFill/>
            </a:ln>
            <a:effectLst/>
          </c:spPr>
          <c:invertIfNegative val="0"/>
          <c:cat>
            <c:strRef>
              <c:f>Sheet1!$BE$190:$BE$196</c:f>
              <c:strCache>
                <c:ptCount val="6"/>
                <c:pt idx="0">
                  <c:v>Human Resources</c:v>
                </c:pt>
                <c:pt idx="1">
                  <c:v>Life Sciences</c:v>
                </c:pt>
                <c:pt idx="2">
                  <c:v>Marketing</c:v>
                </c:pt>
                <c:pt idx="3">
                  <c:v>Medical</c:v>
                </c:pt>
                <c:pt idx="4">
                  <c:v>Other</c:v>
                </c:pt>
                <c:pt idx="5">
                  <c:v>Technical Degree</c:v>
                </c:pt>
              </c:strCache>
            </c:strRef>
          </c:cat>
          <c:val>
            <c:numRef>
              <c:f>Sheet1!$BF$190:$BF$196</c:f>
              <c:numCache>
                <c:formatCode>General</c:formatCode>
                <c:ptCount val="6"/>
                <c:pt idx="0">
                  <c:v>20</c:v>
                </c:pt>
                <c:pt idx="1">
                  <c:v>517</c:v>
                </c:pt>
                <c:pt idx="2">
                  <c:v>124</c:v>
                </c:pt>
                <c:pt idx="3">
                  <c:v>401</c:v>
                </c:pt>
                <c:pt idx="4">
                  <c:v>71</c:v>
                </c:pt>
                <c:pt idx="5">
                  <c:v>100</c:v>
                </c:pt>
              </c:numCache>
            </c:numRef>
          </c:val>
          <c:extLst>
            <c:ext xmlns:c16="http://schemas.microsoft.com/office/drawing/2014/chart" uri="{C3380CC4-5D6E-409C-BE32-E72D297353CC}">
              <c16:uniqueId val="{00000000-681D-4047-8D9B-904CDBB96ABB}"/>
            </c:ext>
          </c:extLst>
        </c:ser>
        <c:dLbls>
          <c:showLegendKey val="0"/>
          <c:showVal val="0"/>
          <c:showCatName val="0"/>
          <c:showSerName val="0"/>
          <c:showPercent val="0"/>
          <c:showBubbleSize val="0"/>
        </c:dLbls>
        <c:gapWidth val="219"/>
        <c:overlap val="-27"/>
        <c:axId val="916950752"/>
        <c:axId val="916958432"/>
      </c:barChart>
      <c:catAx>
        <c:axId val="91695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958432"/>
        <c:crosses val="autoZero"/>
        <c:auto val="1"/>
        <c:lblAlgn val="ctr"/>
        <c:lblOffset val="100"/>
        <c:noMultiLvlLbl val="0"/>
      </c:catAx>
      <c:valAx>
        <c:axId val="91695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95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3E5F44"/>
                </a:solidFill>
                <a:latin typeface="Segoe UI" panose="020B0502040204020203" pitchFamily="34" charset="0"/>
                <a:cs typeface="Segoe UI" panose="020B0502040204020203" pitchFamily="34" charset="0"/>
              </a:rPr>
              <a:t>Attrition</a:t>
            </a:r>
            <a:r>
              <a:rPr lang="en-IN" b="1" baseline="0">
                <a:solidFill>
                  <a:srgbClr val="3E5F44"/>
                </a:solidFill>
                <a:latin typeface="Segoe UI" panose="020B0502040204020203" pitchFamily="34" charset="0"/>
                <a:cs typeface="Segoe UI" panose="020B0502040204020203" pitchFamily="34" charset="0"/>
              </a:rPr>
              <a:t> Rate</a:t>
            </a:r>
            <a:endParaRPr lang="en-IN" b="1">
              <a:solidFill>
                <a:srgbClr val="3E5F44"/>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dLbls>
          <c:showLegendKey val="0"/>
          <c:showVal val="0"/>
          <c:showCatName val="0"/>
          <c:showSerName val="0"/>
          <c:showPercent val="0"/>
          <c:showBubbleSize val="0"/>
          <c:showLeaderLines val="0"/>
        </c:dLbls>
        <c:firstSliceAng val="9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Sheet1!$BX$260</c:f>
              <c:strCache>
                <c:ptCount val="1"/>
                <c:pt idx="0">
                  <c:v>Row Labels</c:v>
                </c:pt>
              </c:strCache>
            </c:strRef>
          </c:tx>
          <c:spPr>
            <a:solidFill>
              <a:schemeClr val="accent1"/>
            </a:solidFill>
            <a:ln>
              <a:noFill/>
            </a:ln>
            <a:effectLst/>
          </c:spPr>
          <c:invertIfNegative val="0"/>
          <c:val>
            <c:numRef>
              <c:f>Sheet1!$BX$261:$BX$264</c:f>
              <c:numCache>
                <c:formatCode>General</c:formatCode>
                <c:ptCount val="4"/>
                <c:pt idx="0">
                  <c:v>1</c:v>
                </c:pt>
                <c:pt idx="1">
                  <c:v>2</c:v>
                </c:pt>
                <c:pt idx="2">
                  <c:v>3</c:v>
                </c:pt>
                <c:pt idx="3">
                  <c:v>4</c:v>
                </c:pt>
              </c:numCache>
            </c:numRef>
          </c:val>
          <c:extLst>
            <c:ext xmlns:c16="http://schemas.microsoft.com/office/drawing/2014/chart" uri="{C3380CC4-5D6E-409C-BE32-E72D297353CC}">
              <c16:uniqueId val="{00000000-66C0-4FD4-A821-2632A4A730A2}"/>
            </c:ext>
          </c:extLst>
        </c:ser>
        <c:ser>
          <c:idx val="1"/>
          <c:order val="1"/>
          <c:tx>
            <c:strRef>
              <c:f>Sheet1!$BY$260</c:f>
              <c:strCache>
                <c:ptCount val="1"/>
                <c:pt idx="0">
                  <c:v>Sum of EmployeeCount</c:v>
                </c:pt>
              </c:strCache>
            </c:strRef>
          </c:tx>
          <c:spPr>
            <a:solidFill>
              <a:schemeClr val="accent2"/>
            </a:solidFill>
            <a:ln>
              <a:noFill/>
            </a:ln>
            <a:effectLst/>
          </c:spPr>
          <c:invertIfNegative val="0"/>
          <c:val>
            <c:numRef>
              <c:f>Sheet1!$BY$261:$BY$264</c:f>
              <c:numCache>
                <c:formatCode>General</c:formatCode>
                <c:ptCount val="4"/>
                <c:pt idx="0">
                  <c:v>289</c:v>
                </c:pt>
                <c:pt idx="1">
                  <c:v>280</c:v>
                </c:pt>
                <c:pt idx="2">
                  <c:v>442</c:v>
                </c:pt>
                <c:pt idx="3">
                  <c:v>459</c:v>
                </c:pt>
              </c:numCache>
            </c:numRef>
          </c:val>
          <c:extLst>
            <c:ext xmlns:c16="http://schemas.microsoft.com/office/drawing/2014/chart" uri="{C3380CC4-5D6E-409C-BE32-E72D297353CC}">
              <c16:uniqueId val="{00000001-66C0-4FD4-A821-2632A4A730A2}"/>
            </c:ext>
          </c:extLst>
        </c:ser>
        <c:dLbls>
          <c:showLegendKey val="0"/>
          <c:showVal val="0"/>
          <c:showCatName val="0"/>
          <c:showSerName val="0"/>
          <c:showPercent val="0"/>
          <c:showBubbleSize val="0"/>
        </c:dLbls>
        <c:gapWidth val="500"/>
        <c:overlap val="100"/>
        <c:axId val="1704971487"/>
        <c:axId val="1704976767"/>
      </c:barChart>
      <c:lineChart>
        <c:grouping val="standard"/>
        <c:varyColors val="0"/>
        <c:ser>
          <c:idx val="2"/>
          <c:order val="2"/>
          <c:tx>
            <c:strRef>
              <c:f>Sheet1!$BZ$260</c:f>
              <c:strCache>
                <c:ptCount val="1"/>
                <c:pt idx="0">
                  <c:v>dummy</c:v>
                </c:pt>
              </c:strCache>
            </c:strRef>
          </c:tx>
          <c:spPr>
            <a:ln w="28575" cap="rnd">
              <a:noFill/>
              <a:round/>
            </a:ln>
            <a:effectLst/>
          </c:spPr>
          <c:marker>
            <c:symbol val="circle"/>
            <c:size val="8"/>
            <c:spPr>
              <a:solidFill>
                <a:schemeClr val="accent3"/>
              </a:solidFill>
              <a:ln w="9525">
                <a:solidFill>
                  <a:schemeClr val="accent3"/>
                </a:solidFill>
              </a:ln>
              <a:effectLst/>
            </c:spPr>
          </c:marker>
          <c:val>
            <c:numRef>
              <c:f>Sheet1!$BZ$261:$BZ$264</c:f>
              <c:numCache>
                <c:formatCode>General</c:formatCode>
                <c:ptCount val="4"/>
                <c:pt idx="0">
                  <c:v>289</c:v>
                </c:pt>
                <c:pt idx="1">
                  <c:v>280</c:v>
                </c:pt>
                <c:pt idx="2">
                  <c:v>442</c:v>
                </c:pt>
                <c:pt idx="3">
                  <c:v>459</c:v>
                </c:pt>
              </c:numCache>
            </c:numRef>
          </c:val>
          <c:smooth val="0"/>
          <c:extLst>
            <c:ext xmlns:c16="http://schemas.microsoft.com/office/drawing/2014/chart" uri="{C3380CC4-5D6E-409C-BE32-E72D297353CC}">
              <c16:uniqueId val="{00000002-66C0-4FD4-A821-2632A4A730A2}"/>
            </c:ext>
          </c:extLst>
        </c:ser>
        <c:dLbls>
          <c:showLegendKey val="0"/>
          <c:showVal val="0"/>
          <c:showCatName val="0"/>
          <c:showSerName val="0"/>
          <c:showPercent val="0"/>
          <c:showBubbleSize val="0"/>
        </c:dLbls>
        <c:marker val="1"/>
        <c:smooth val="0"/>
        <c:axId val="1704971487"/>
        <c:axId val="1704976767"/>
      </c:lineChart>
      <c:catAx>
        <c:axId val="17049714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76767"/>
        <c:crosses val="autoZero"/>
        <c:auto val="1"/>
        <c:lblAlgn val="ctr"/>
        <c:lblOffset val="100"/>
        <c:noMultiLvlLbl val="0"/>
      </c:catAx>
      <c:valAx>
        <c:axId val="170497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71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296640380843616E-2"/>
          <c:y val="7.0407907565690028E-2"/>
          <c:w val="0.86956959289243596"/>
          <c:h val="0.83947810184716343"/>
        </c:manualLayout>
      </c:layout>
      <c:barChart>
        <c:barDir val="bar"/>
        <c:grouping val="percentStacked"/>
        <c:varyColors val="0"/>
        <c:ser>
          <c:idx val="0"/>
          <c:order val="0"/>
          <c:tx>
            <c:strRef>
              <c:f>Sheet1!$C$34</c:f>
              <c:strCache>
                <c:ptCount val="1"/>
                <c:pt idx="0">
                  <c:v>Left</c:v>
                </c:pt>
              </c:strCache>
            </c:strRef>
          </c:tx>
          <c:spPr>
            <a:solidFill>
              <a:schemeClr val="accent1"/>
            </a:solidFill>
            <a:ln>
              <a:noFill/>
            </a:ln>
            <a:effectLst/>
          </c:spPr>
          <c:invertIfNegative val="0"/>
          <c:cat>
            <c:numRef>
              <c:f>Sheet1!$D$33</c:f>
              <c:numCache>
                <c:formatCode>General</c:formatCode>
                <c:ptCount val="1"/>
              </c:numCache>
            </c:numRef>
          </c:cat>
          <c:val>
            <c:numRef>
              <c:f>Sheet1!$D$34</c:f>
              <c:numCache>
                <c:formatCode>General</c:formatCode>
                <c:ptCount val="1"/>
                <c:pt idx="0">
                  <c:v>237</c:v>
                </c:pt>
              </c:numCache>
            </c:numRef>
          </c:val>
          <c:extLst>
            <c:ext xmlns:c16="http://schemas.microsoft.com/office/drawing/2014/chart" uri="{C3380CC4-5D6E-409C-BE32-E72D297353CC}">
              <c16:uniqueId val="{00000000-D8BB-4B5D-80AF-3EADAEEAB0A7}"/>
            </c:ext>
          </c:extLst>
        </c:ser>
        <c:ser>
          <c:idx val="1"/>
          <c:order val="1"/>
          <c:tx>
            <c:strRef>
              <c:f>Sheet1!$C$35</c:f>
              <c:strCache>
                <c:ptCount val="1"/>
                <c:pt idx="0">
                  <c:v>Retained</c:v>
                </c:pt>
              </c:strCache>
            </c:strRef>
          </c:tx>
          <c:spPr>
            <a:solidFill>
              <a:schemeClr val="accent2"/>
            </a:solidFill>
            <a:ln>
              <a:noFill/>
            </a:ln>
            <a:effectLst/>
          </c:spPr>
          <c:invertIfNegative val="0"/>
          <c:cat>
            <c:numRef>
              <c:f>Sheet1!$D$33</c:f>
              <c:numCache>
                <c:formatCode>General</c:formatCode>
                <c:ptCount val="1"/>
              </c:numCache>
            </c:numRef>
          </c:cat>
          <c:val>
            <c:numRef>
              <c:f>Sheet1!$D$35</c:f>
              <c:numCache>
                <c:formatCode>General</c:formatCode>
                <c:ptCount val="1"/>
                <c:pt idx="0">
                  <c:v>1233</c:v>
                </c:pt>
              </c:numCache>
            </c:numRef>
          </c:val>
          <c:extLst>
            <c:ext xmlns:c16="http://schemas.microsoft.com/office/drawing/2014/chart" uri="{C3380CC4-5D6E-409C-BE32-E72D297353CC}">
              <c16:uniqueId val="{00000001-D8BB-4B5D-80AF-3EADAEEAB0A7}"/>
            </c:ext>
          </c:extLst>
        </c:ser>
        <c:dLbls>
          <c:showLegendKey val="0"/>
          <c:showVal val="0"/>
          <c:showCatName val="0"/>
          <c:showSerName val="0"/>
          <c:showPercent val="0"/>
          <c:showBubbleSize val="0"/>
        </c:dLbls>
        <c:gapWidth val="150"/>
        <c:overlap val="100"/>
        <c:axId val="1040270160"/>
        <c:axId val="800722416"/>
      </c:barChart>
      <c:catAx>
        <c:axId val="104027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722416"/>
        <c:crosses val="autoZero"/>
        <c:auto val="1"/>
        <c:lblAlgn val="ctr"/>
        <c:lblOffset val="100"/>
        <c:noMultiLvlLbl val="0"/>
      </c:catAx>
      <c:valAx>
        <c:axId val="8007224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27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[EXCELPROJECT.xlsx]Sheet1!PivotTable36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Sheet1!$I$47</c:f>
              <c:strCache>
                <c:ptCount val="1"/>
                <c:pt idx="0">
                  <c:v>Total</c:v>
                </c:pt>
              </c:strCache>
            </c:strRef>
          </c:tx>
          <c:spPr>
            <a:solidFill>
              <a:schemeClr val="accent1"/>
            </a:solidFill>
            <a:ln>
              <a:noFill/>
            </a:ln>
            <a:effectLst/>
          </c:spPr>
          <c:invertIfNegative val="0"/>
          <c:cat>
            <c:strRef>
              <c:f>Sheet1!$H$48:$H$53</c:f>
              <c:strCache>
                <c:ptCount val="5"/>
                <c:pt idx="0">
                  <c:v>18-20</c:v>
                </c:pt>
                <c:pt idx="1">
                  <c:v>20-29</c:v>
                </c:pt>
                <c:pt idx="2">
                  <c:v>30-39</c:v>
                </c:pt>
                <c:pt idx="3">
                  <c:v>40-49</c:v>
                </c:pt>
                <c:pt idx="4">
                  <c:v>50-59</c:v>
                </c:pt>
              </c:strCache>
            </c:strRef>
          </c:cat>
          <c:val>
            <c:numRef>
              <c:f>Sheet1!$I$48:$I$53</c:f>
              <c:numCache>
                <c:formatCode>0.00%</c:formatCode>
                <c:ptCount val="5"/>
                <c:pt idx="0">
                  <c:v>0.58823529411764708</c:v>
                </c:pt>
                <c:pt idx="1">
                  <c:v>0.26213592233009708</c:v>
                </c:pt>
                <c:pt idx="2">
                  <c:v>0.14308681672025725</c:v>
                </c:pt>
                <c:pt idx="3">
                  <c:v>9.7421203438395415E-2</c:v>
                </c:pt>
                <c:pt idx="4">
                  <c:v>0.13294797687861271</c:v>
                </c:pt>
              </c:numCache>
            </c:numRef>
          </c:val>
          <c:extLst>
            <c:ext xmlns:c16="http://schemas.microsoft.com/office/drawing/2014/chart" uri="{C3380CC4-5D6E-409C-BE32-E72D297353CC}">
              <c16:uniqueId val="{00000000-4AF5-4600-9621-96518F6BFB69}"/>
            </c:ext>
          </c:extLst>
        </c:ser>
        <c:dLbls>
          <c:showLegendKey val="0"/>
          <c:showVal val="0"/>
          <c:showCatName val="0"/>
          <c:showSerName val="0"/>
          <c:showPercent val="0"/>
          <c:showBubbleSize val="0"/>
        </c:dLbls>
        <c:gapWidth val="219"/>
        <c:overlap val="-27"/>
        <c:axId val="737416368"/>
        <c:axId val="957381936"/>
      </c:barChart>
      <c:catAx>
        <c:axId val="73741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81936"/>
        <c:crosses val="autoZero"/>
        <c:auto val="1"/>
        <c:lblAlgn val="ctr"/>
        <c:lblOffset val="100"/>
        <c:noMultiLvlLbl val="0"/>
      </c:catAx>
      <c:valAx>
        <c:axId val="957381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1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[EXCELPROJECT.xlsx]Sheet1!PivotTable37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Sheet1!$H$73:$H$76</c:f>
              <c:strCache>
                <c:ptCount val="3"/>
                <c:pt idx="0">
                  <c:v>Human Resources</c:v>
                </c:pt>
                <c:pt idx="1">
                  <c:v>Research &amp; Development</c:v>
                </c:pt>
                <c:pt idx="2">
                  <c:v>Sales</c:v>
                </c:pt>
              </c:strCache>
            </c:strRef>
          </c:cat>
          <c:val>
            <c:numRef>
              <c:f>Sheet1!$I$73:$I$76</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0582-47FE-A883-A7AFCC9EFD21}"/>
            </c:ext>
          </c:extLst>
        </c:ser>
        <c:dLbls>
          <c:dLblPos val="outEnd"/>
          <c:showLegendKey val="0"/>
          <c:showVal val="1"/>
          <c:showCatName val="0"/>
          <c:showSerName val="0"/>
          <c:showPercent val="0"/>
          <c:showBubbleSize val="0"/>
        </c:dLbls>
        <c:gapWidth val="182"/>
        <c:axId val="910329328"/>
        <c:axId val="1128700944"/>
      </c:barChart>
      <c:catAx>
        <c:axId val="91032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700944"/>
        <c:crosses val="autoZero"/>
        <c:auto val="1"/>
        <c:lblAlgn val="ctr"/>
        <c:lblOffset val="100"/>
        <c:noMultiLvlLbl val="0"/>
      </c:catAx>
      <c:valAx>
        <c:axId val="11287009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32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3E5F44"/>
                </a:solidFill>
                <a:latin typeface="Segoe UI" panose="020B0502040204020203" pitchFamily="34" charset="0"/>
                <a:cs typeface="Segoe UI" panose="020B0502040204020203" pitchFamily="34" charset="0"/>
              </a:rPr>
              <a:t>Attrition Rate by Department</a:t>
            </a: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3E5F44"/>
          </a:solidFill>
          <a:ln>
            <a:noFill/>
          </a:ln>
          <a:effectLst/>
        </c:spPr>
        <c:marker>
          <c:symbol val="none"/>
        </c:marker>
      </c:pivotFmt>
      <c:pivotFmt>
        <c:idx val="4"/>
        <c:spPr>
          <a:solidFill>
            <a:srgbClr val="3E5F44"/>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E5F44"/>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Sheet1!$H$8:$H$9</c:f>
              <c:strCache>
                <c:ptCount val="1"/>
                <c:pt idx="0">
                  <c:v>No</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Sheet1!$G$10:$G$13</c:f>
              <c:strCache>
                <c:ptCount val="3"/>
                <c:pt idx="0">
                  <c:v>Human Resources</c:v>
                </c:pt>
                <c:pt idx="1">
                  <c:v>Research &amp; Development</c:v>
                </c:pt>
                <c:pt idx="2">
                  <c:v>Sales</c:v>
                </c:pt>
              </c:strCache>
            </c:strRef>
          </c:cat>
          <c:val>
            <c:numRef>
              <c:f>Sheet1!$H$10:$H$13</c:f>
              <c:numCache>
                <c:formatCode>General</c:formatCode>
                <c:ptCount val="3"/>
                <c:pt idx="0">
                  <c:v>51</c:v>
                </c:pt>
                <c:pt idx="1">
                  <c:v>828</c:v>
                </c:pt>
                <c:pt idx="2">
                  <c:v>354</c:v>
                </c:pt>
              </c:numCache>
            </c:numRef>
          </c:val>
          <c:extLst>
            <c:ext xmlns:c16="http://schemas.microsoft.com/office/drawing/2014/chart" uri="{C3380CC4-5D6E-409C-BE32-E72D297353CC}">
              <c16:uniqueId val="{00000000-4FC3-4395-9386-DE6CF261B1A3}"/>
            </c:ext>
          </c:extLst>
        </c:ser>
        <c:dLbls>
          <c:dLblPos val="outEnd"/>
          <c:showLegendKey val="0"/>
          <c:showVal val="1"/>
          <c:showCatName val="0"/>
          <c:showSerName val="0"/>
          <c:showPercent val="0"/>
          <c:showBubbleSize val="0"/>
        </c:dLbls>
        <c:gapWidth val="182"/>
        <c:axId val="910329328"/>
        <c:axId val="1128700944"/>
      </c:barChart>
      <c:catAx>
        <c:axId val="91032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700944"/>
        <c:crosses val="autoZero"/>
        <c:auto val="1"/>
        <c:lblAlgn val="ctr"/>
        <c:lblOffset val="100"/>
        <c:noMultiLvlLbl val="0"/>
      </c:catAx>
      <c:valAx>
        <c:axId val="1128700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32932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[EXCELPROJECT.xlsx]Sheet1!PivotTable38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Sheet1!$E$97</c:f>
              <c:strCache>
                <c:ptCount val="1"/>
                <c:pt idx="0">
                  <c:v>Total</c:v>
                </c:pt>
              </c:strCache>
            </c:strRef>
          </c:tx>
          <c:spPr>
            <a:solidFill>
              <a:schemeClr val="accent1"/>
            </a:solidFill>
            <a:ln>
              <a:noFill/>
            </a:ln>
            <a:effectLst/>
          </c:spPr>
          <c:invertIfNegative val="0"/>
          <c:cat>
            <c:strRef>
              <c:f>Sheet1!$D$98:$D$103</c:f>
              <c:strCache>
                <c:ptCount val="5"/>
                <c:pt idx="0">
                  <c:v>1</c:v>
                </c:pt>
                <c:pt idx="1">
                  <c:v>3</c:v>
                </c:pt>
                <c:pt idx="2">
                  <c:v>2</c:v>
                </c:pt>
                <c:pt idx="3">
                  <c:v>5</c:v>
                </c:pt>
                <c:pt idx="4">
                  <c:v>4</c:v>
                </c:pt>
              </c:strCache>
            </c:strRef>
          </c:cat>
          <c:val>
            <c:numRef>
              <c:f>Sheet1!$E$98:$E$103</c:f>
              <c:numCache>
                <c:formatCode>0.00%</c:formatCode>
                <c:ptCount val="5"/>
                <c:pt idx="0">
                  <c:v>0.26335174953959484</c:v>
                </c:pt>
                <c:pt idx="1">
                  <c:v>0.14678899082568808</c:v>
                </c:pt>
                <c:pt idx="2">
                  <c:v>9.7378277153558054E-2</c:v>
                </c:pt>
                <c:pt idx="3">
                  <c:v>7.2463768115942032E-2</c:v>
                </c:pt>
                <c:pt idx="4">
                  <c:v>4.716981132075472E-2</c:v>
                </c:pt>
              </c:numCache>
            </c:numRef>
          </c:val>
          <c:extLst>
            <c:ext xmlns:c16="http://schemas.microsoft.com/office/drawing/2014/chart" uri="{C3380CC4-5D6E-409C-BE32-E72D297353CC}">
              <c16:uniqueId val="{00000000-1891-485A-84FF-9F026B2268D2}"/>
            </c:ext>
          </c:extLst>
        </c:ser>
        <c:dLbls>
          <c:showLegendKey val="0"/>
          <c:showVal val="0"/>
          <c:showCatName val="0"/>
          <c:showSerName val="0"/>
          <c:showPercent val="0"/>
          <c:showBubbleSize val="0"/>
        </c:dLbls>
        <c:gapWidth val="150"/>
        <c:axId val="910376192"/>
        <c:axId val="957488976"/>
      </c:barChart>
      <c:catAx>
        <c:axId val="910376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488976"/>
        <c:crosses val="autoZero"/>
        <c:auto val="1"/>
        <c:lblAlgn val="ctr"/>
        <c:lblOffset val="100"/>
        <c:noMultiLvlLbl val="0"/>
      </c:catAx>
      <c:valAx>
        <c:axId val="9574889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37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[EXCELPROJECT.xlsx]Sheet1!PivotTable39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Sheet1!$E$108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D1-403B-8295-72960AC01E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D1-403B-8295-72960AC01ECC}"/>
              </c:ext>
            </c:extLst>
          </c:dPt>
          <c:cat>
            <c:strRef>
              <c:f>Sheet1!$D$109:$D$111</c:f>
              <c:strCache>
                <c:ptCount val="2"/>
                <c:pt idx="0">
                  <c:v>No</c:v>
                </c:pt>
                <c:pt idx="1">
                  <c:v>Yes</c:v>
                </c:pt>
              </c:strCache>
            </c:strRef>
          </c:cat>
          <c:val>
            <c:numRef>
              <c:f>Sheet1!$E$109:$E$111</c:f>
              <c:numCache>
                <c:formatCode>General</c:formatCode>
                <c:ptCount val="2"/>
                <c:pt idx="0">
                  <c:v>110</c:v>
                </c:pt>
                <c:pt idx="1">
                  <c:v>127</c:v>
                </c:pt>
              </c:numCache>
            </c:numRef>
          </c:val>
          <c:extLst>
            <c:ext xmlns:c16="http://schemas.microsoft.com/office/drawing/2014/chart" uri="{C3380CC4-5D6E-409C-BE32-E72D297353CC}">
              <c16:uniqueId val="{00000000-A844-4338-9653-89566477812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[EXCELPROJECT.xlsx]Sheet1!PivotTable40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Sheet1!$D$120</c:f>
              <c:strCache>
                <c:ptCount val="1"/>
                <c:pt idx="0">
                  <c:v>Total</c:v>
                </c:pt>
              </c:strCache>
            </c:strRef>
          </c:tx>
          <c:spPr>
            <a:ln w="28575" cap="rnd">
              <a:solidFill>
                <a:schemeClr val="accent1"/>
              </a:solidFill>
              <a:round/>
            </a:ln>
            <a:effectLst/>
          </c:spPr>
          <c:marker>
            <c:symbol val="none"/>
          </c:marker>
          <c:cat>
            <c:strRef>
              <c:f>Sheet1!$C$121:$C$125</c:f>
              <c:strCache>
                <c:ptCount val="4"/>
                <c:pt idx="0">
                  <c:v>0-2</c:v>
                </c:pt>
                <c:pt idx="1">
                  <c:v>3-5</c:v>
                </c:pt>
                <c:pt idx="2">
                  <c:v>6-10</c:v>
                </c:pt>
                <c:pt idx="3">
                  <c:v>10+</c:v>
                </c:pt>
              </c:strCache>
            </c:strRef>
          </c:cat>
          <c:val>
            <c:numRef>
              <c:f>Sheet1!$D$121:$D$125</c:f>
              <c:numCache>
                <c:formatCode>0%</c:formatCode>
                <c:ptCount val="4"/>
                <c:pt idx="0">
                  <c:v>0.2982456140350877</c:v>
                </c:pt>
                <c:pt idx="1">
                  <c:v>0.13824884792626729</c:v>
                </c:pt>
                <c:pt idx="2">
                  <c:v>0.12276785714285714</c:v>
                </c:pt>
                <c:pt idx="3">
                  <c:v>8.1300813008130079E-2</c:v>
                </c:pt>
              </c:numCache>
            </c:numRef>
          </c:val>
          <c:smooth val="0"/>
          <c:extLst>
            <c:ext xmlns:c16="http://schemas.microsoft.com/office/drawing/2014/chart" uri="{C3380CC4-5D6E-409C-BE32-E72D297353CC}">
              <c16:uniqueId val="{00000000-7442-473A-A9A8-2876739076E3}"/>
            </c:ext>
          </c:extLst>
        </c:ser>
        <c:dLbls>
          <c:showLegendKey val="0"/>
          <c:showVal val="0"/>
          <c:showCatName val="0"/>
          <c:showSerName val="0"/>
          <c:showPercent val="0"/>
          <c:showBubbleSize val="0"/>
        </c:dLbls>
        <c:smooth val="0"/>
        <c:axId val="1130298479"/>
        <c:axId val="169755887"/>
      </c:lineChart>
      <c:catAx>
        <c:axId val="113029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55887"/>
        <c:crosses val="autoZero"/>
        <c:auto val="1"/>
        <c:lblAlgn val="ctr"/>
        <c:lblOffset val="100"/>
        <c:noMultiLvlLbl val="0"/>
      </c:catAx>
      <c:valAx>
        <c:axId val="169755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9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[EXCELPROJECT.xlsx]Sheet1!PivotTable41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Sheet1!$D$131</c:f>
              <c:strCache>
                <c:ptCount val="1"/>
                <c:pt idx="0">
                  <c:v>Total</c:v>
                </c:pt>
              </c:strCache>
            </c:strRef>
          </c:tx>
          <c:spPr>
            <a:solidFill>
              <a:schemeClr val="accent1"/>
            </a:solidFill>
            <a:ln>
              <a:noFill/>
            </a:ln>
            <a:effectLst/>
          </c:spPr>
          <c:cat>
            <c:strRef>
              <c:f>Sheet1!$C$132:$C$135</c:f>
              <c:strCache>
                <c:ptCount val="3"/>
                <c:pt idx="0">
                  <c:v>Non-Travel</c:v>
                </c:pt>
                <c:pt idx="1">
                  <c:v>Travel_Frequently</c:v>
                </c:pt>
                <c:pt idx="2">
                  <c:v>Travel_Rarely</c:v>
                </c:pt>
              </c:strCache>
            </c:strRef>
          </c:cat>
          <c:val>
            <c:numRef>
              <c:f>Sheet1!$D$132:$D$135</c:f>
              <c:numCache>
                <c:formatCode>0.00%</c:formatCode>
                <c:ptCount val="3"/>
                <c:pt idx="0">
                  <c:v>0.08</c:v>
                </c:pt>
                <c:pt idx="1">
                  <c:v>0.24909747292418771</c:v>
                </c:pt>
                <c:pt idx="2">
                  <c:v>0.14956855225311602</c:v>
                </c:pt>
              </c:numCache>
            </c:numRef>
          </c:val>
          <c:extLst>
            <c:ext xmlns:c16="http://schemas.microsoft.com/office/drawing/2014/chart" uri="{C3380CC4-5D6E-409C-BE32-E72D297353CC}">
              <c16:uniqueId val="{00000000-E2BE-4A1E-9490-A0EB935DF462}"/>
            </c:ext>
          </c:extLst>
        </c:ser>
        <c:dLbls>
          <c:showLegendKey val="0"/>
          <c:showVal val="0"/>
          <c:showCatName val="0"/>
          <c:showSerName val="0"/>
          <c:showPercent val="0"/>
          <c:showBubbleSize val="0"/>
        </c:dLbls>
        <c:axId val="1130303583"/>
        <c:axId val="1148045551"/>
      </c:areaChart>
      <c:catAx>
        <c:axId val="1130303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045551"/>
        <c:crosses val="autoZero"/>
        <c:auto val="1"/>
        <c:lblAlgn val="ctr"/>
        <c:lblOffset val="100"/>
        <c:noMultiLvlLbl val="0"/>
      </c:catAx>
      <c:valAx>
        <c:axId val="1148045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3035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[EXCELPROJECT.xlsx]Sheet1!PivotTable42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Sheet1!$D$141</c:f>
              <c:strCache>
                <c:ptCount val="1"/>
                <c:pt idx="0">
                  <c:v>Total</c:v>
                </c:pt>
              </c:strCache>
            </c:strRef>
          </c:tx>
          <c:spPr>
            <a:solidFill>
              <a:schemeClr val="accent1"/>
            </a:solidFill>
            <a:ln>
              <a:noFill/>
            </a:ln>
            <a:effectLst/>
          </c:spPr>
          <c:invertIfNegative val="0"/>
          <c:cat>
            <c:strRef>
              <c:f>Sheet1!$C$142:$C$146</c:f>
              <c:strCache>
                <c:ptCount val="4"/>
                <c:pt idx="0">
                  <c:v>1000-5000</c:v>
                </c:pt>
                <c:pt idx="1">
                  <c:v>5001-10000</c:v>
                </c:pt>
                <c:pt idx="2">
                  <c:v>10001-15000</c:v>
                </c:pt>
                <c:pt idx="3">
                  <c:v>15001-20000</c:v>
                </c:pt>
              </c:strCache>
            </c:strRef>
          </c:cat>
          <c:val>
            <c:numRef>
              <c:f>Sheet1!$D$142:$D$146</c:f>
              <c:numCache>
                <c:formatCode>0%</c:formatCode>
                <c:ptCount val="4"/>
                <c:pt idx="0">
                  <c:v>0.21762349799732977</c:v>
                </c:pt>
                <c:pt idx="1">
                  <c:v>0.11136363636363636</c:v>
                </c:pt>
                <c:pt idx="2">
                  <c:v>0.13513513513513514</c:v>
                </c:pt>
                <c:pt idx="3">
                  <c:v>3.7593984962406013E-2</c:v>
                </c:pt>
              </c:numCache>
            </c:numRef>
          </c:val>
          <c:extLst>
            <c:ext xmlns:c16="http://schemas.microsoft.com/office/drawing/2014/chart" uri="{C3380CC4-5D6E-409C-BE32-E72D297353CC}">
              <c16:uniqueId val="{00000000-BB2A-419B-84E8-C9198C24C1EB}"/>
            </c:ext>
          </c:extLst>
        </c:ser>
        <c:dLbls>
          <c:showLegendKey val="0"/>
          <c:showVal val="0"/>
          <c:showCatName val="0"/>
          <c:showSerName val="0"/>
          <c:showPercent val="0"/>
          <c:showBubbleSize val="0"/>
        </c:dLbls>
        <c:gapWidth val="219"/>
        <c:overlap val="-27"/>
        <c:axId val="1264159999"/>
        <c:axId val="758375823"/>
      </c:barChart>
      <c:catAx>
        <c:axId val="126415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375823"/>
        <c:crosses val="autoZero"/>
        <c:auto val="1"/>
        <c:lblAlgn val="ctr"/>
        <c:lblOffset val="100"/>
        <c:noMultiLvlLbl val="0"/>
      </c:catAx>
      <c:valAx>
        <c:axId val="758375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15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[EXCELPROJECT.xlsx]Sheet1!PivotTable43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Sheet1!$D$152</c:f>
              <c:strCache>
                <c:ptCount val="1"/>
                <c:pt idx="0">
                  <c:v>Total</c:v>
                </c:pt>
              </c:strCache>
            </c:strRef>
          </c:tx>
          <c:spPr>
            <a:solidFill>
              <a:schemeClr val="accent1"/>
            </a:solidFill>
            <a:ln>
              <a:noFill/>
            </a:ln>
            <a:effectLst/>
          </c:spPr>
          <c:invertIfNegative val="0"/>
          <c:cat>
            <c:strRef>
              <c:f>Sheet1!$C$153:$C$157</c:f>
              <c:strCache>
                <c:ptCount val="4"/>
                <c:pt idx="0">
                  <c:v>1</c:v>
                </c:pt>
                <c:pt idx="1">
                  <c:v>2</c:v>
                </c:pt>
                <c:pt idx="2">
                  <c:v>3</c:v>
                </c:pt>
                <c:pt idx="3">
                  <c:v>4</c:v>
                </c:pt>
              </c:strCache>
            </c:strRef>
          </c:cat>
          <c:val>
            <c:numRef>
              <c:f>Sheet1!$D$153:$D$157</c:f>
              <c:numCache>
                <c:formatCode>0.00%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0-2D26-45AF-A7BB-FFADDA6E9A19}"/>
            </c:ext>
          </c:extLst>
        </c:ser>
        <c:dLbls>
          <c:showLegendKey val="0"/>
          <c:showVal val="0"/>
          <c:showCatName val="0"/>
          <c:showSerName val="0"/>
          <c:showPercent val="0"/>
          <c:showBubbleSize val="0"/>
        </c:dLbls>
        <c:gapWidth val="182"/>
        <c:axId val="135977935"/>
        <c:axId val="1147996111"/>
      </c:barChart>
      <c:catAx>
        <c:axId val="13597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996111"/>
        <c:crosses val="autoZero"/>
        <c:auto val="1"/>
        <c:lblAlgn val="ctr"/>
        <c:lblOffset val="100"/>
        <c:noMultiLvlLbl val="0"/>
      </c:catAx>
      <c:valAx>
        <c:axId val="114799611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[EXCELPROJECT.xlsx]Sheet1!PivotTable44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Sheet1!$D$175</c:f>
              <c:strCache>
                <c:ptCount val="1"/>
                <c:pt idx="0">
                  <c:v>Total</c:v>
                </c:pt>
              </c:strCache>
            </c:strRef>
          </c:tx>
          <c:spPr>
            <a:solidFill>
              <a:schemeClr val="accent1"/>
            </a:solidFill>
            <a:ln>
              <a:noFill/>
            </a:ln>
            <a:effectLst/>
          </c:spPr>
          <c:invertIfNegative val="0"/>
          <c:cat>
            <c:strRef>
              <c:f>Sheet1!$C$176:$C$185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Sheet1!$D$176:$D$185</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0-05A0-4AF4-9777-2FE6010D7973}"/>
            </c:ext>
          </c:extLst>
        </c:ser>
        <c:dLbls>
          <c:showLegendKey val="0"/>
          <c:showVal val="0"/>
          <c:showCatName val="0"/>
          <c:showSerName val="0"/>
          <c:showPercent val="0"/>
          <c:showBubbleSize val="0"/>
        </c:dLbls>
        <c:gapWidth val="182"/>
        <c:axId val="136014127"/>
        <c:axId val="169562927"/>
      </c:barChart>
      <c:catAx>
        <c:axId val="13601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2927"/>
        <c:crosses val="autoZero"/>
        <c:auto val="1"/>
        <c:lblAlgn val="ctr"/>
        <c:lblOffset val="100"/>
        <c:noMultiLvlLbl val="0"/>
      </c:catAx>
      <c:valAx>
        <c:axId val="1695629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1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[EXCELPROJECT.xlsx]Sheet1!PivotTable15</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3E5F44"/>
                </a:solidFill>
                <a:latin typeface="Segoe UI" panose="020B0502040204020203" pitchFamily="34" charset="0"/>
                <a:cs typeface="Segoe UI" panose="020B0502040204020203" pitchFamily="34" charset="0"/>
              </a:rPr>
              <a:t>Attrition by overtime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E5F44"/>
          </a:solidFill>
          <a:ln w="25400">
            <a:solidFill>
              <a:schemeClr val="lt1"/>
            </a:solidFill>
          </a:ln>
          <a:effectLst/>
          <a:sp3d contourW="25400">
            <a:contourClr>
              <a:schemeClr val="lt1"/>
            </a:contourClr>
          </a:sp3d>
        </c:spPr>
      </c:pivotFmt>
      <c:pivotFmt>
        <c:idx val="2"/>
        <c:spPr>
          <a:solidFill>
            <a:srgbClr val="DDDDDD"/>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E5F44"/>
          </a:solidFill>
          <a:ln w="25400">
            <a:solidFill>
              <a:schemeClr val="lt1"/>
            </a:solidFill>
          </a:ln>
          <a:effectLst/>
          <a:sp3d contourW="25400">
            <a:contourClr>
              <a:schemeClr val="lt1"/>
            </a:contourClr>
          </a:sp3d>
        </c:spPr>
      </c:pivotFmt>
      <c:pivotFmt>
        <c:idx val="5"/>
        <c:spPr>
          <a:solidFill>
            <a:srgbClr val="DDDDDD"/>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E5F44"/>
          </a:solidFill>
          <a:ln w="25400">
            <a:solidFill>
              <a:schemeClr val="lt1"/>
            </a:solidFill>
          </a:ln>
          <a:effectLst/>
          <a:sp3d contourW="25400">
            <a:contourClr>
              <a:schemeClr val="lt1"/>
            </a:contourClr>
          </a:sp3d>
        </c:spPr>
      </c:pivotFmt>
      <c:pivotFmt>
        <c:idx val="8"/>
        <c:spPr>
          <a:solidFill>
            <a:srgbClr val="DDDDDD"/>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E5F44"/>
          </a:solidFill>
          <a:ln w="25400">
            <a:solidFill>
              <a:schemeClr val="lt1"/>
            </a:solidFill>
          </a:ln>
          <a:effectLst/>
          <a:sp3d contourW="25400">
            <a:contourClr>
              <a:schemeClr val="lt1"/>
            </a:contourClr>
          </a:sp3d>
        </c:spPr>
      </c:pivotFmt>
      <c:pivotFmt>
        <c:idx val="11"/>
        <c:spPr>
          <a:solidFill>
            <a:srgbClr val="DDDDDD"/>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3E5F44"/>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3E5F44"/>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Sheet1!$AO$105</c:f>
              <c:strCache>
                <c:ptCount val="1"/>
                <c:pt idx="0">
                  <c:v>Total</c:v>
                </c:pt>
              </c:strCache>
            </c:strRef>
          </c:tx>
          <c:dPt>
            <c:idx val="0"/>
            <c:bubble3D val="0"/>
            <c:spPr>
              <a:solidFill>
                <a:srgbClr val="3E5F44"/>
              </a:solidFill>
              <a:ln w="25400">
                <a:solidFill>
                  <a:schemeClr val="lt1"/>
                </a:solidFill>
              </a:ln>
              <a:effectLst/>
              <a:sp3d contourW="25400">
                <a:contourClr>
                  <a:schemeClr val="lt1"/>
                </a:contourClr>
              </a:sp3d>
            </c:spPr>
            <c:extLst>
              <c:ext xmlns:c16="http://schemas.microsoft.com/office/drawing/2014/chart" uri="{C3380CC4-5D6E-409C-BE32-E72D297353CC}">
                <c16:uniqueId val="{00000001-2493-42B0-B452-5EDC9837E6B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493-42B0-B452-5EDC9837E6B6}"/>
              </c:ext>
            </c:extLst>
          </c:dPt>
          <c:cat>
            <c:strRef>
              <c:f>Sheet1!$AN$106:$AN$107</c:f>
              <c:strCache>
                <c:ptCount val="1"/>
                <c:pt idx="0">
                  <c:v>No</c:v>
                </c:pt>
              </c:strCache>
            </c:strRef>
          </c:cat>
          <c:val>
            <c:numRef>
              <c:f>Sheet1!$AO$106:$AO$107</c:f>
              <c:numCache>
                <c:formatCode>General</c:formatCode>
                <c:ptCount val="1"/>
                <c:pt idx="0">
                  <c:v>944</c:v>
                </c:pt>
              </c:numCache>
            </c:numRef>
          </c:val>
          <c:extLst>
            <c:ext xmlns:c16="http://schemas.microsoft.com/office/drawing/2014/chart" uri="{C3380CC4-5D6E-409C-BE32-E72D297353CC}">
              <c16:uniqueId val="{00000004-2493-42B0-B452-5EDC9837E6B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latin typeface="Segoe UI" panose="020B0502040204020203" pitchFamily="34" charset="0"/>
                <a:cs typeface="Segoe UI" panose="020B0502040204020203" pitchFamily="34" charset="0"/>
              </a:rPr>
              <a:t>Employee Rentention &amp;Attrition</a:t>
            </a:r>
          </a:p>
        </c:rich>
      </c:tx>
      <c:layout>
        <c:manualLayout>
          <c:xMode val="edge"/>
          <c:yMode val="edge"/>
          <c:x val="0.15865139584824625"/>
          <c:y val="6.1728395061728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Sheet1!$C$34</c:f>
              <c:strCache>
                <c:ptCount val="1"/>
                <c:pt idx="0">
                  <c:v>Left</c:v>
                </c:pt>
              </c:strCache>
            </c:strRef>
          </c:tx>
          <c:spPr>
            <a:solidFill>
              <a:srgbClr val="93DA97"/>
            </a:solidFill>
            <a:ln>
              <a:noFill/>
            </a:ln>
            <a:effectLst/>
          </c:spPr>
          <c:invertIfNegative val="0"/>
          <c:cat>
            <c:numRef>
              <c:f>Sheet1!$D$33</c:f>
              <c:numCache>
                <c:formatCode>General</c:formatCode>
                <c:ptCount val="1"/>
              </c:numCache>
            </c:numRef>
          </c:cat>
          <c:val>
            <c:numRef>
              <c:f>Sheet1!$D$34</c:f>
              <c:numCache>
                <c:formatCode>General</c:formatCode>
                <c:ptCount val="1"/>
                <c:pt idx="0">
                  <c:v>237</c:v>
                </c:pt>
              </c:numCache>
            </c:numRef>
          </c:val>
          <c:extLst>
            <c:ext xmlns:c16="http://schemas.microsoft.com/office/drawing/2014/chart" uri="{C3380CC4-5D6E-409C-BE32-E72D297353CC}">
              <c16:uniqueId val="{00000000-50C1-4130-89CD-EB7932F98831}"/>
            </c:ext>
          </c:extLst>
        </c:ser>
        <c:ser>
          <c:idx val="1"/>
          <c:order val="1"/>
          <c:tx>
            <c:strRef>
              <c:f>Sheet1!$C$35</c:f>
              <c:strCache>
                <c:ptCount val="1"/>
                <c:pt idx="0">
                  <c:v>Retained</c:v>
                </c:pt>
              </c:strCache>
            </c:strRef>
          </c:tx>
          <c:spPr>
            <a:solidFill>
              <a:srgbClr val="3E5F44"/>
            </a:solidFill>
            <a:ln>
              <a:noFill/>
            </a:ln>
            <a:effectLst/>
          </c:spPr>
          <c:invertIfNegative val="0"/>
          <c:cat>
            <c:numRef>
              <c:f>Sheet1!$D$33</c:f>
              <c:numCache>
                <c:formatCode>General</c:formatCode>
                <c:ptCount val="1"/>
              </c:numCache>
            </c:numRef>
          </c:cat>
          <c:val>
            <c:numRef>
              <c:f>Sheet1!$D$35</c:f>
              <c:numCache>
                <c:formatCode>General</c:formatCode>
                <c:ptCount val="1"/>
                <c:pt idx="0">
                  <c:v>1233</c:v>
                </c:pt>
              </c:numCache>
            </c:numRef>
          </c:val>
          <c:extLst>
            <c:ext xmlns:c16="http://schemas.microsoft.com/office/drawing/2014/chart" uri="{C3380CC4-5D6E-409C-BE32-E72D297353CC}">
              <c16:uniqueId val="{00000001-50C1-4130-89CD-EB7932F98831}"/>
            </c:ext>
          </c:extLst>
        </c:ser>
        <c:dLbls>
          <c:showLegendKey val="0"/>
          <c:showVal val="0"/>
          <c:showCatName val="0"/>
          <c:showSerName val="0"/>
          <c:showPercent val="0"/>
          <c:showBubbleSize val="0"/>
        </c:dLbls>
        <c:gapWidth val="150"/>
        <c:overlap val="100"/>
        <c:axId val="1040270160"/>
        <c:axId val="800722416"/>
      </c:barChart>
      <c:catAx>
        <c:axId val="104027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722416"/>
        <c:crosses val="autoZero"/>
        <c:auto val="1"/>
        <c:lblAlgn val="ctr"/>
        <c:lblOffset val="100"/>
        <c:noMultiLvlLbl val="0"/>
      </c:catAx>
      <c:valAx>
        <c:axId val="8007224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27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[EXCELPROJECT.xlsx]Sheet1!PivotTable30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E5F44"/>
                </a:solidFill>
                <a:latin typeface="Segoe UI" panose="020B0502040204020203" pitchFamily="34" charset="0"/>
                <a:cs typeface="Segoe UI" panose="020B0502040204020203" pitchFamily="34" charset="0"/>
              </a:rPr>
              <a:t>Attrition by Bussiness Travell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Sheet1!$M$4</c:f>
              <c:strCache>
                <c:ptCount val="1"/>
                <c:pt idx="0">
                  <c:v>Total</c:v>
                </c:pt>
              </c:strCache>
            </c:strRef>
          </c:tx>
          <c:spPr>
            <a:solidFill>
              <a:srgbClr val="3E5F44"/>
            </a:solidFill>
            <a:ln>
              <a:noFill/>
            </a:ln>
            <a:effectLst/>
          </c:spPr>
          <c:invertIfNegative val="0"/>
          <c:cat>
            <c:strRef>
              <c:f>Sheet1!$L$5:$L$8</c:f>
              <c:strCache>
                <c:ptCount val="3"/>
                <c:pt idx="0">
                  <c:v>Non-Travel</c:v>
                </c:pt>
                <c:pt idx="1">
                  <c:v>Travel_Frequently</c:v>
                </c:pt>
                <c:pt idx="2">
                  <c:v>Travel_Rarely</c:v>
                </c:pt>
              </c:strCache>
            </c:strRef>
          </c:cat>
          <c:val>
            <c:numRef>
              <c:f>Sheet1!$M$5:$M$8</c:f>
              <c:numCache>
                <c:formatCode>General</c:formatCode>
                <c:ptCount val="3"/>
                <c:pt idx="0">
                  <c:v>138</c:v>
                </c:pt>
                <c:pt idx="1">
                  <c:v>208</c:v>
                </c:pt>
                <c:pt idx="2">
                  <c:v>887</c:v>
                </c:pt>
              </c:numCache>
            </c:numRef>
          </c:val>
          <c:extLst>
            <c:ext xmlns:c16="http://schemas.microsoft.com/office/drawing/2014/chart" uri="{C3380CC4-5D6E-409C-BE32-E72D297353CC}">
              <c16:uniqueId val="{00000000-98C6-47B3-82EA-B00C024E1721}"/>
            </c:ext>
          </c:extLst>
        </c:ser>
        <c:dLbls>
          <c:showLegendKey val="0"/>
          <c:showVal val="0"/>
          <c:showCatName val="0"/>
          <c:showSerName val="0"/>
          <c:showPercent val="0"/>
          <c:showBubbleSize val="0"/>
        </c:dLbls>
        <c:gapWidth val="219"/>
        <c:overlap val="-27"/>
        <c:axId val="1905401967"/>
        <c:axId val="1905405327"/>
      </c:barChart>
      <c:catAx>
        <c:axId val="190540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405327"/>
        <c:crosses val="autoZero"/>
        <c:auto val="1"/>
        <c:lblAlgn val="ctr"/>
        <c:lblOffset val="100"/>
        <c:noMultiLvlLbl val="0"/>
      </c:catAx>
      <c:valAx>
        <c:axId val="190540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40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[EXCELPROJECT.xlsx]Sheet1!PivotTable9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rgbClr val="3E5F44"/>
                </a:solidFill>
                <a:latin typeface="Segoe UI" panose="020B0502040204020203" pitchFamily="34" charset="0"/>
                <a:cs typeface="Segoe UI" panose="020B0502040204020203" pitchFamily="34" charset="0"/>
              </a:rPr>
              <a:t>Attrition By Jobsatsfaction</a:t>
            </a:r>
          </a:p>
        </c:rich>
      </c:tx>
      <c:layout>
        <c:manualLayout>
          <c:xMode val="edge"/>
          <c:yMode val="edge"/>
          <c:x val="0.24353236546228574"/>
          <c:y val="5.40540540540540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circle"/>
          <c:size val="5"/>
          <c:spPr>
            <a:solidFill>
              <a:schemeClr val="accent6">
                <a:tint val="58000"/>
              </a:schemeClr>
            </a:solidFill>
            <a:ln w="9525">
              <a:solidFill>
                <a:schemeClr val="accent6">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circle"/>
          <c:size val="5"/>
          <c:spPr>
            <a:solidFill>
              <a:schemeClr val="accent6">
                <a:tint val="86000"/>
              </a:schemeClr>
            </a:solidFill>
            <a:ln w="9525">
              <a:solidFill>
                <a:schemeClr val="accent6">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circle"/>
          <c:size val="5"/>
          <c:spPr>
            <a:solidFill>
              <a:schemeClr val="accent6">
                <a:shade val="86000"/>
              </a:schemeClr>
            </a:solidFill>
            <a:ln w="9525">
              <a:solidFill>
                <a:schemeClr val="accent6">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circle"/>
          <c:size val="5"/>
          <c:spPr>
            <a:solidFill>
              <a:schemeClr val="accent6">
                <a:shade val="58000"/>
              </a:schemeClr>
            </a:solidFill>
            <a:ln w="9525">
              <a:solidFill>
                <a:schemeClr val="accent6">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circle"/>
          <c:size val="5"/>
          <c:spPr>
            <a:solidFill>
              <a:srgbClr val="3E5F44"/>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Sheet1!$AO$73</c:f>
              <c:strCache>
                <c:ptCount val="1"/>
                <c:pt idx="0">
                  <c:v>Total</c:v>
                </c:pt>
              </c:strCache>
            </c:strRef>
          </c:tx>
          <c:spPr>
            <a:ln w="28575" cap="rnd">
              <a:solidFill>
                <a:schemeClr val="accent6"/>
              </a:solidFill>
              <a:round/>
            </a:ln>
            <a:effectLst/>
          </c:spPr>
          <c:marker>
            <c:symbol val="circle"/>
            <c:size val="5"/>
            <c:spPr>
              <a:solidFill>
                <a:srgbClr val="3E5F44"/>
              </a:solidFill>
              <a:ln w="9525">
                <a:solidFill>
                  <a:schemeClr val="accent6"/>
                </a:solidFill>
              </a:ln>
              <a:effectLst/>
            </c:spPr>
          </c:marker>
          <c:cat>
            <c:strRef>
              <c:f>Sheet1!$AN$74:$AN$78</c:f>
              <c:strCache>
                <c:ptCount val="4"/>
                <c:pt idx="0">
                  <c:v>1</c:v>
                </c:pt>
                <c:pt idx="1">
                  <c:v>2</c:v>
                </c:pt>
                <c:pt idx="2">
                  <c:v>3</c:v>
                </c:pt>
                <c:pt idx="3">
                  <c:v>4</c:v>
                </c:pt>
              </c:strCache>
            </c:strRef>
          </c:cat>
          <c:val>
            <c:numRef>
              <c:f>Sheet1!$AO$74:$AO$78</c:f>
              <c:numCache>
                <c:formatCode>General</c:formatCode>
                <c:ptCount val="4"/>
                <c:pt idx="0">
                  <c:v>223</c:v>
                </c:pt>
                <c:pt idx="1">
                  <c:v>234</c:v>
                </c:pt>
                <c:pt idx="2">
                  <c:v>369</c:v>
                </c:pt>
                <c:pt idx="3">
                  <c:v>407</c:v>
                </c:pt>
              </c:numCache>
            </c:numRef>
          </c:val>
          <c:smooth val="0"/>
          <c:extLst>
            <c:ext xmlns:c16="http://schemas.microsoft.com/office/drawing/2014/chart" uri="{C3380CC4-5D6E-409C-BE32-E72D297353CC}">
              <c16:uniqueId val="{00000000-DE4A-46D1-A8BC-A1CFDBA46CE2}"/>
            </c:ext>
          </c:extLst>
        </c:ser>
        <c:dLbls>
          <c:showLegendKey val="0"/>
          <c:showVal val="0"/>
          <c:showCatName val="0"/>
          <c:showSerName val="0"/>
          <c:showPercent val="0"/>
          <c:showBubbleSize val="0"/>
        </c:dLbls>
        <c:marker val="1"/>
        <c:smooth val="0"/>
        <c:axId val="875450528"/>
        <c:axId val="1226132944"/>
      </c:lineChart>
      <c:catAx>
        <c:axId val="87545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32944"/>
        <c:crosses val="autoZero"/>
        <c:auto val="1"/>
        <c:lblAlgn val="ctr"/>
        <c:lblOffset val="100"/>
        <c:noMultiLvlLbl val="0"/>
      </c:catAx>
      <c:valAx>
        <c:axId val="122613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45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latin typeface="Segoe UI" panose="020B0502040204020203" pitchFamily="34" charset="0"/>
                <a:cs typeface="Segoe UI" panose="020B0502040204020203" pitchFamily="34" charset="0"/>
              </a:rPr>
              <a:t>Employee Rentention &amp;Attrition</a:t>
            </a:r>
          </a:p>
        </c:rich>
      </c:tx>
      <c:layout>
        <c:manualLayout>
          <c:xMode val="edge"/>
          <c:yMode val="edge"/>
          <c:x val="0.15865139584824625"/>
          <c:y val="6.1728395061728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Sheet1!$C$34</c:f>
              <c:strCache>
                <c:ptCount val="1"/>
                <c:pt idx="0">
                  <c:v>Left</c:v>
                </c:pt>
              </c:strCache>
            </c:strRef>
          </c:tx>
          <c:spPr>
            <a:solidFill>
              <a:srgbClr val="93DA97"/>
            </a:solidFill>
            <a:ln>
              <a:noFill/>
            </a:ln>
            <a:effectLst/>
          </c:spPr>
          <c:invertIfNegative val="0"/>
          <c:cat>
            <c:numRef>
              <c:f>Sheet1!$D$33</c:f>
              <c:numCache>
                <c:formatCode>General</c:formatCode>
                <c:ptCount val="1"/>
              </c:numCache>
            </c:numRef>
          </c:cat>
          <c:val>
            <c:numRef>
              <c:f>Sheet1!$D$34</c:f>
              <c:numCache>
                <c:formatCode>General</c:formatCode>
                <c:ptCount val="1"/>
                <c:pt idx="0">
                  <c:v>237</c:v>
                </c:pt>
              </c:numCache>
            </c:numRef>
          </c:val>
          <c:extLst>
            <c:ext xmlns:c16="http://schemas.microsoft.com/office/drawing/2014/chart" uri="{C3380CC4-5D6E-409C-BE32-E72D297353CC}">
              <c16:uniqueId val="{00000000-CA92-4B45-8F85-A83E4E1BE197}"/>
            </c:ext>
          </c:extLst>
        </c:ser>
        <c:ser>
          <c:idx val="1"/>
          <c:order val="1"/>
          <c:tx>
            <c:strRef>
              <c:f>Sheet1!$C$35</c:f>
              <c:strCache>
                <c:ptCount val="1"/>
                <c:pt idx="0">
                  <c:v>Retained</c:v>
                </c:pt>
              </c:strCache>
            </c:strRef>
          </c:tx>
          <c:spPr>
            <a:solidFill>
              <a:srgbClr val="3E5F44"/>
            </a:solidFill>
            <a:ln>
              <a:noFill/>
            </a:ln>
            <a:effectLst/>
          </c:spPr>
          <c:invertIfNegative val="0"/>
          <c:cat>
            <c:numRef>
              <c:f>Sheet1!$D$33</c:f>
              <c:numCache>
                <c:formatCode>General</c:formatCode>
                <c:ptCount val="1"/>
              </c:numCache>
            </c:numRef>
          </c:cat>
          <c:val>
            <c:numRef>
              <c:f>Sheet1!$D$35</c:f>
              <c:numCache>
                <c:formatCode>General</c:formatCode>
                <c:ptCount val="1"/>
                <c:pt idx="0">
                  <c:v>1233</c:v>
                </c:pt>
              </c:numCache>
            </c:numRef>
          </c:val>
          <c:extLst>
            <c:ext xmlns:c16="http://schemas.microsoft.com/office/drawing/2014/chart" uri="{C3380CC4-5D6E-409C-BE32-E72D297353CC}">
              <c16:uniqueId val="{00000001-CA92-4B45-8F85-A83E4E1BE197}"/>
            </c:ext>
          </c:extLst>
        </c:ser>
        <c:dLbls>
          <c:showLegendKey val="0"/>
          <c:showVal val="0"/>
          <c:showCatName val="0"/>
          <c:showSerName val="0"/>
          <c:showPercent val="0"/>
          <c:showBubbleSize val="0"/>
        </c:dLbls>
        <c:gapWidth val="150"/>
        <c:overlap val="100"/>
        <c:axId val="1040270160"/>
        <c:axId val="800722416"/>
      </c:barChart>
      <c:catAx>
        <c:axId val="104027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722416"/>
        <c:crosses val="autoZero"/>
        <c:auto val="1"/>
        <c:lblAlgn val="ctr"/>
        <c:lblOffset val="100"/>
        <c:noMultiLvlLbl val="0"/>
      </c:catAx>
      <c:valAx>
        <c:axId val="8007224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27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[EXCELPROJECT.xlsx]Sheet1!PivotTable37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3E5F44"/>
                </a:solidFill>
                <a:latin typeface="Segoe UI" panose="020B0502040204020203" pitchFamily="34" charset="0"/>
                <a:cs typeface="Segoe UI" panose="020B0502040204020203" pitchFamily="34" charset="0"/>
              </a:rPr>
              <a:t>Attrition</a:t>
            </a:r>
            <a:r>
              <a:rPr lang="en-US" sz="1200" b="1" baseline="0">
                <a:solidFill>
                  <a:srgbClr val="3E5F44"/>
                </a:solidFill>
                <a:latin typeface="Segoe UI" panose="020B0502040204020203" pitchFamily="34" charset="0"/>
                <a:cs typeface="Segoe UI" panose="020B0502040204020203" pitchFamily="34" charset="0"/>
              </a:rPr>
              <a:t> Rate by Department</a:t>
            </a:r>
            <a:endParaRPr lang="en-US" sz="1200" b="1">
              <a:solidFill>
                <a:srgbClr val="3E5F44"/>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Sheet1!$I$72</c:f>
              <c:strCache>
                <c:ptCount val="1"/>
                <c:pt idx="0">
                  <c:v>Total</c:v>
                </c:pt>
              </c:strCache>
            </c:strRef>
          </c:tx>
          <c:spPr>
            <a:solidFill>
              <a:srgbClr val="3E5F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Sheet1!$H$73:$H$76</c:f>
              <c:strCache>
                <c:ptCount val="3"/>
                <c:pt idx="0">
                  <c:v>Human Resources</c:v>
                </c:pt>
                <c:pt idx="1">
                  <c:v>Research &amp; Development</c:v>
                </c:pt>
                <c:pt idx="2">
                  <c:v>Sales</c:v>
                </c:pt>
              </c:strCache>
            </c:strRef>
          </c:cat>
          <c:val>
            <c:numRef>
              <c:f>Sheet1!$I$73:$I$76</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AD13-4C09-9D39-89262400A6B3}"/>
            </c:ext>
          </c:extLst>
        </c:ser>
        <c:dLbls>
          <c:dLblPos val="outEnd"/>
          <c:showLegendKey val="0"/>
          <c:showVal val="1"/>
          <c:showCatName val="0"/>
          <c:showSerName val="0"/>
          <c:showPercent val="0"/>
          <c:showBubbleSize val="0"/>
        </c:dLbls>
        <c:gapWidth val="182"/>
        <c:axId val="910329328"/>
        <c:axId val="1128700944"/>
      </c:barChart>
      <c:catAx>
        <c:axId val="91032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700944"/>
        <c:crosses val="autoZero"/>
        <c:auto val="1"/>
        <c:lblAlgn val="ctr"/>
        <c:lblOffset val="100"/>
        <c:noMultiLvlLbl val="0"/>
      </c:catAx>
      <c:valAx>
        <c:axId val="11287009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32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[EXCELPROJECT.xlsx]Sheet1!PivotTable38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rgbClr val="3E5F44"/>
                </a:solidFill>
                <a:latin typeface="Segoe UI" panose="020B0502040204020203" pitchFamily="34" charset="0"/>
                <a:cs typeface="Segoe UI" panose="020B0502040204020203" pitchFamily="34" charset="0"/>
              </a:rPr>
              <a:t>Attrition</a:t>
            </a:r>
            <a:r>
              <a:rPr lang="en-US" sz="1100" b="1" baseline="0">
                <a:solidFill>
                  <a:srgbClr val="3E5F44"/>
                </a:solidFill>
                <a:latin typeface="Segoe UI" panose="020B0502040204020203" pitchFamily="34" charset="0"/>
                <a:cs typeface="Segoe UI" panose="020B0502040204020203" pitchFamily="34" charset="0"/>
              </a:rPr>
              <a:t> Rate by Job level</a:t>
            </a:r>
            <a:endParaRPr lang="en-US" sz="1100" b="1">
              <a:solidFill>
                <a:srgbClr val="3E5F44"/>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Sheet1!$E$97</c:f>
              <c:strCache>
                <c:ptCount val="1"/>
                <c:pt idx="0">
                  <c:v>Total</c:v>
                </c:pt>
              </c:strCache>
            </c:strRef>
          </c:tx>
          <c:spPr>
            <a:solidFill>
              <a:srgbClr val="3E5F44"/>
            </a:solidFill>
            <a:ln>
              <a:noFill/>
            </a:ln>
            <a:effectLst/>
          </c:spPr>
          <c:invertIfNegative val="0"/>
          <c:cat>
            <c:strRef>
              <c:f>Sheet1!$D$98:$D$103</c:f>
              <c:strCache>
                <c:ptCount val="5"/>
                <c:pt idx="0">
                  <c:v>1</c:v>
                </c:pt>
                <c:pt idx="1">
                  <c:v>3</c:v>
                </c:pt>
                <c:pt idx="2">
                  <c:v>2</c:v>
                </c:pt>
                <c:pt idx="3">
                  <c:v>5</c:v>
                </c:pt>
                <c:pt idx="4">
                  <c:v>4</c:v>
                </c:pt>
              </c:strCache>
            </c:strRef>
          </c:cat>
          <c:val>
            <c:numRef>
              <c:f>Sheet1!$E$98:$E$103</c:f>
              <c:numCache>
                <c:formatCode>0.00%</c:formatCode>
                <c:ptCount val="5"/>
                <c:pt idx="0">
                  <c:v>0.26335174953959484</c:v>
                </c:pt>
                <c:pt idx="1">
                  <c:v>0.14678899082568808</c:v>
                </c:pt>
                <c:pt idx="2">
                  <c:v>9.7378277153558054E-2</c:v>
                </c:pt>
                <c:pt idx="3">
                  <c:v>7.2463768115942032E-2</c:v>
                </c:pt>
                <c:pt idx="4">
                  <c:v>4.716981132075472E-2</c:v>
                </c:pt>
              </c:numCache>
            </c:numRef>
          </c:val>
          <c:extLst>
            <c:ext xmlns:c16="http://schemas.microsoft.com/office/drawing/2014/chart" uri="{C3380CC4-5D6E-409C-BE32-E72D297353CC}">
              <c16:uniqueId val="{00000000-AD42-4A42-BF38-A262779E753D}"/>
            </c:ext>
          </c:extLst>
        </c:ser>
        <c:dLbls>
          <c:showLegendKey val="0"/>
          <c:showVal val="0"/>
          <c:showCatName val="0"/>
          <c:showSerName val="0"/>
          <c:showPercent val="0"/>
          <c:showBubbleSize val="0"/>
        </c:dLbls>
        <c:gapWidth val="150"/>
        <c:axId val="910376192"/>
        <c:axId val="957488976"/>
      </c:barChart>
      <c:catAx>
        <c:axId val="910376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488976"/>
        <c:crosses val="autoZero"/>
        <c:auto val="1"/>
        <c:lblAlgn val="ctr"/>
        <c:lblOffset val="100"/>
        <c:noMultiLvlLbl val="0"/>
      </c:catAx>
      <c:valAx>
        <c:axId val="957488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37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[EXCELPROJECT.xlsx]Sheet1!PivotTable36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3E5F44"/>
                </a:solidFill>
                <a:latin typeface="Segoe UI" panose="020B0502040204020203" pitchFamily="34" charset="0"/>
                <a:cs typeface="Segoe UI" panose="020B0502040204020203" pitchFamily="34" charset="0"/>
              </a:rPr>
              <a:t>Attrition</a:t>
            </a:r>
            <a:r>
              <a:rPr lang="en-US" sz="1200" b="1" baseline="0">
                <a:solidFill>
                  <a:srgbClr val="3E5F44"/>
                </a:solidFill>
                <a:latin typeface="Segoe UI" panose="020B0502040204020203" pitchFamily="34" charset="0"/>
                <a:cs typeface="Segoe UI" panose="020B0502040204020203" pitchFamily="34" charset="0"/>
              </a:rPr>
              <a:t> Rate by Age Group</a:t>
            </a:r>
            <a:endParaRPr lang="en-US" sz="1200" b="1">
              <a:solidFill>
                <a:srgbClr val="3E5F44"/>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Sheet1!$I$47</c:f>
              <c:strCache>
                <c:ptCount val="1"/>
                <c:pt idx="0">
                  <c:v>Total</c:v>
                </c:pt>
              </c:strCache>
            </c:strRef>
          </c:tx>
          <c:spPr>
            <a:solidFill>
              <a:srgbClr val="3E5F44"/>
            </a:solidFill>
            <a:ln>
              <a:noFill/>
            </a:ln>
            <a:effectLst/>
          </c:spPr>
          <c:invertIfNegative val="0"/>
          <c:cat>
            <c:strRef>
              <c:f>Sheet1!$H$48:$H$53</c:f>
              <c:strCache>
                <c:ptCount val="5"/>
                <c:pt idx="0">
                  <c:v>18-20</c:v>
                </c:pt>
                <c:pt idx="1">
                  <c:v>20-29</c:v>
                </c:pt>
                <c:pt idx="2">
                  <c:v>30-39</c:v>
                </c:pt>
                <c:pt idx="3">
                  <c:v>40-49</c:v>
                </c:pt>
                <c:pt idx="4">
                  <c:v>50-59</c:v>
                </c:pt>
              </c:strCache>
            </c:strRef>
          </c:cat>
          <c:val>
            <c:numRef>
              <c:f>Sheet1!$I$48:$I$53</c:f>
              <c:numCache>
                <c:formatCode>0.00%</c:formatCode>
                <c:ptCount val="5"/>
                <c:pt idx="0">
                  <c:v>0.58823529411764708</c:v>
                </c:pt>
                <c:pt idx="1">
                  <c:v>0.26213592233009708</c:v>
                </c:pt>
                <c:pt idx="2">
                  <c:v>0.14308681672025725</c:v>
                </c:pt>
                <c:pt idx="3">
                  <c:v>9.7421203438395415E-2</c:v>
                </c:pt>
                <c:pt idx="4">
                  <c:v>0.13294797687861271</c:v>
                </c:pt>
              </c:numCache>
            </c:numRef>
          </c:val>
          <c:extLst>
            <c:ext xmlns:c16="http://schemas.microsoft.com/office/drawing/2014/chart" uri="{C3380CC4-5D6E-409C-BE32-E72D297353CC}">
              <c16:uniqueId val="{00000000-628C-486E-9F5A-BFDD8970AA78}"/>
            </c:ext>
          </c:extLst>
        </c:ser>
        <c:dLbls>
          <c:showLegendKey val="0"/>
          <c:showVal val="0"/>
          <c:showCatName val="0"/>
          <c:showSerName val="0"/>
          <c:showPercent val="0"/>
          <c:showBubbleSize val="0"/>
        </c:dLbls>
        <c:gapWidth val="219"/>
        <c:overlap val="-27"/>
        <c:axId val="737416368"/>
        <c:axId val="957381936"/>
      </c:barChart>
      <c:catAx>
        <c:axId val="73741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81936"/>
        <c:crosses val="autoZero"/>
        <c:auto val="1"/>
        <c:lblAlgn val="ctr"/>
        <c:lblOffset val="100"/>
        <c:noMultiLvlLbl val="0"/>
      </c:catAx>
      <c:valAx>
        <c:axId val="957381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1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[EXCELPROJECT.xlsx]Sheet1!PivotTable39</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rgbClr val="3E5F44"/>
                </a:solidFill>
                <a:latin typeface="Segoe UI" panose="020B0502040204020203" pitchFamily="34" charset="0"/>
                <a:cs typeface="Segoe UI" panose="020B0502040204020203" pitchFamily="34" charset="0"/>
              </a:rPr>
              <a:t>Attrition</a:t>
            </a:r>
            <a:r>
              <a:rPr lang="en-US" sz="1200" b="1" baseline="0">
                <a:solidFill>
                  <a:srgbClr val="3E5F44"/>
                </a:solidFill>
                <a:latin typeface="Segoe UI" panose="020B0502040204020203" pitchFamily="34" charset="0"/>
                <a:cs typeface="Segoe UI" panose="020B0502040204020203" pitchFamily="34" charset="0"/>
              </a:rPr>
              <a:t> Rate by Over Time</a:t>
            </a:r>
            <a:endParaRPr lang="en-US" sz="1200" b="1">
              <a:solidFill>
                <a:srgbClr val="3E5F44"/>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E5F44"/>
          </a:solidFill>
          <a:ln w="19050">
            <a:solidFill>
              <a:schemeClr val="lt1"/>
            </a:solidFill>
          </a:ln>
          <a:effectLst/>
        </c:spPr>
        <c:dLbl>
          <c:idx val="0"/>
          <c:layout>
            <c:manualLayout>
              <c:x val="0.11075949367088607"/>
              <c:y val="-0.120898100172711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DCCFC0"/>
          </a:solidFill>
          <a:ln w="19050">
            <a:solidFill>
              <a:schemeClr val="lt1"/>
            </a:solidFill>
          </a:ln>
          <a:effectLst/>
        </c:spPr>
        <c:dLbl>
          <c:idx val="0"/>
          <c:layout>
            <c:manualLayout>
              <c:x val="-7.223278993081815E-2"/>
              <c:y val="0.1639899164932804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854623116198576"/>
                  <c:h val="0.1205967532808505"/>
                </c:manualLayout>
              </c15:layout>
            </c:ext>
          </c:extLst>
        </c:dLbl>
      </c:pivotFmt>
    </c:pivotFmts>
    <c:plotArea>
      <c:layout/>
      <c:doughnutChart>
        <c:varyColors val="1"/>
        <c:ser>
          <c:idx val="0"/>
          <c:order val="0"/>
          <c:tx>
            <c:strRef>
              <c:f>Sheet1!$E$108</c:f>
              <c:strCache>
                <c:ptCount val="1"/>
                <c:pt idx="0">
                  <c:v>Total</c:v>
                </c:pt>
              </c:strCache>
            </c:strRef>
          </c:tx>
          <c:dPt>
            <c:idx val="0"/>
            <c:bubble3D val="0"/>
            <c:spPr>
              <a:solidFill>
                <a:srgbClr val="3E5F44"/>
              </a:solidFill>
              <a:ln w="19050">
                <a:solidFill>
                  <a:schemeClr val="lt1"/>
                </a:solidFill>
              </a:ln>
              <a:effectLst/>
            </c:spPr>
            <c:extLst>
              <c:ext xmlns:c16="http://schemas.microsoft.com/office/drawing/2014/chart" uri="{C3380CC4-5D6E-409C-BE32-E72D297353CC}">
                <c16:uniqueId val="{00000001-55B1-4D47-AFDA-471A594E7EE2}"/>
              </c:ext>
            </c:extLst>
          </c:dPt>
          <c:dPt>
            <c:idx val="1"/>
            <c:bubble3D val="0"/>
            <c:spPr>
              <a:solidFill>
                <a:srgbClr val="DCCFC0"/>
              </a:solidFill>
              <a:ln w="19050">
                <a:solidFill>
                  <a:schemeClr val="lt1"/>
                </a:solidFill>
              </a:ln>
              <a:effectLst/>
            </c:spPr>
            <c:extLst>
              <c:ext xmlns:c16="http://schemas.microsoft.com/office/drawing/2014/chart" uri="{C3380CC4-5D6E-409C-BE32-E72D297353CC}">
                <c16:uniqueId val="{00000003-55B1-4D47-AFDA-471A594E7EE2}"/>
              </c:ext>
            </c:extLst>
          </c:dPt>
          <c:dLbls>
            <c:dLbl>
              <c:idx val="0"/>
              <c:layout>
                <c:manualLayout>
                  <c:x val="0.11075949367088607"/>
                  <c:y val="-0.1208981001727116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B1-4D47-AFDA-471A594E7EE2}"/>
                </c:ext>
              </c:extLst>
            </c:dLbl>
            <c:dLbl>
              <c:idx val="1"/>
              <c:layout>
                <c:manualLayout>
                  <c:x val="-7.223278993081815E-2"/>
                  <c:y val="0.1639899164932804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854623116198576"/>
                      <c:h val="0.1205967532808505"/>
                    </c:manualLayout>
                  </c15:layout>
                </c:ext>
                <c:ext xmlns:c16="http://schemas.microsoft.com/office/drawing/2014/chart" uri="{C3380CC4-5D6E-409C-BE32-E72D297353CC}">
                  <c16:uniqueId val="{00000003-55B1-4D47-AFDA-471A594E7E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Sheet1!$D$109:$D$111</c:f>
              <c:strCache>
                <c:ptCount val="2"/>
                <c:pt idx="0">
                  <c:v>No</c:v>
                </c:pt>
                <c:pt idx="1">
                  <c:v>Yes</c:v>
                </c:pt>
              </c:strCache>
            </c:strRef>
          </c:cat>
          <c:val>
            <c:numRef>
              <c:f>Sheet1!$E$109:$E$111</c:f>
              <c:numCache>
                <c:formatCode>General</c:formatCode>
                <c:ptCount val="2"/>
                <c:pt idx="0">
                  <c:v>110</c:v>
                </c:pt>
                <c:pt idx="1">
                  <c:v>127</c:v>
                </c:pt>
              </c:numCache>
            </c:numRef>
          </c:val>
          <c:extLst>
            <c:ext xmlns:c16="http://schemas.microsoft.com/office/drawing/2014/chart" uri="{C3380CC4-5D6E-409C-BE32-E72D297353CC}">
              <c16:uniqueId val="{00000004-55B1-4D47-AFDA-471A594E7EE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[EXCELPROJECT.xlsx]Sheet1!PivotTable40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3E5F44"/>
                </a:solidFill>
                <a:latin typeface="Segoe UI" panose="020B0502040204020203" pitchFamily="34" charset="0"/>
                <a:cs typeface="Segoe UI" panose="020B0502040204020203" pitchFamily="34" charset="0"/>
              </a:rPr>
              <a:t>Attrition Rate vs Tensure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E5F4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Sheet1!$D$120</c:f>
              <c:strCache>
                <c:ptCount val="1"/>
                <c:pt idx="0">
                  <c:v>Total</c:v>
                </c:pt>
              </c:strCache>
            </c:strRef>
          </c:tx>
          <c:spPr>
            <a:ln w="28575" cap="rnd">
              <a:solidFill>
                <a:srgbClr val="3E5F44"/>
              </a:solidFill>
              <a:round/>
            </a:ln>
            <a:effectLst/>
          </c:spPr>
          <c:marker>
            <c:symbol val="none"/>
          </c:marker>
          <c:cat>
            <c:strRef>
              <c:f>Sheet1!$C$121:$C$125</c:f>
              <c:strCache>
                <c:ptCount val="4"/>
                <c:pt idx="0">
                  <c:v>0-2</c:v>
                </c:pt>
                <c:pt idx="1">
                  <c:v>3-5</c:v>
                </c:pt>
                <c:pt idx="2">
                  <c:v>6-10</c:v>
                </c:pt>
                <c:pt idx="3">
                  <c:v>10+</c:v>
                </c:pt>
              </c:strCache>
            </c:strRef>
          </c:cat>
          <c:val>
            <c:numRef>
              <c:f>Sheet1!$D$121:$D$125</c:f>
              <c:numCache>
                <c:formatCode>0%</c:formatCode>
                <c:ptCount val="4"/>
                <c:pt idx="0">
                  <c:v>0.2982456140350877</c:v>
                </c:pt>
                <c:pt idx="1">
                  <c:v>0.13824884792626729</c:v>
                </c:pt>
                <c:pt idx="2">
                  <c:v>0.12276785714285714</c:v>
                </c:pt>
                <c:pt idx="3">
                  <c:v>8.1300813008130079E-2</c:v>
                </c:pt>
              </c:numCache>
            </c:numRef>
          </c:val>
          <c:smooth val="0"/>
          <c:extLst>
            <c:ext xmlns:c16="http://schemas.microsoft.com/office/drawing/2014/chart" uri="{C3380CC4-5D6E-409C-BE32-E72D297353CC}">
              <c16:uniqueId val="{00000000-7442-473A-A9A8-2876739076E3}"/>
            </c:ext>
          </c:extLst>
        </c:ser>
        <c:dLbls>
          <c:showLegendKey val="0"/>
          <c:showVal val="0"/>
          <c:showCatName val="0"/>
          <c:showSerName val="0"/>
          <c:showPercent val="0"/>
          <c:showBubbleSize val="0"/>
        </c:dLbls>
        <c:smooth val="0"/>
        <c:axId val="1130298479"/>
        <c:axId val="169755887"/>
      </c:lineChart>
      <c:catAx>
        <c:axId val="113029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55887"/>
        <c:crosses val="autoZero"/>
        <c:auto val="1"/>
        <c:lblAlgn val="ctr"/>
        <c:lblOffset val="100"/>
        <c:noMultiLvlLbl val="0"/>
      </c:catAx>
      <c:valAx>
        <c:axId val="169755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9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[EXCELPROJECT.xlsx]Sheet1!PivotTable41</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100" b="1" i="0" u="none" strike="noStrike" kern="1200" spc="0" baseline="0">
                <a:solidFill>
                  <a:srgbClr val="3E5F44"/>
                </a:solidFill>
                <a:latin typeface="Segoe UI" panose="020B0502040204020203" pitchFamily="34" charset="0"/>
                <a:cs typeface="Segoe UI" panose="020B0502040204020203" pitchFamily="34" charset="0"/>
              </a:rPr>
              <a:t>Attrition Rate by Bussiness-Travel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Sheet1!$D$131</c:f>
              <c:strCache>
                <c:ptCount val="1"/>
                <c:pt idx="0">
                  <c:v>Total</c:v>
                </c:pt>
              </c:strCache>
            </c:strRef>
          </c:tx>
          <c:spPr>
            <a:solidFill>
              <a:srgbClr val="3E5F44"/>
            </a:solidFill>
            <a:ln>
              <a:noFill/>
            </a:ln>
            <a:effectLst/>
          </c:spPr>
          <c:cat>
            <c:strRef>
              <c:f>Sheet1!$C$132:$C$135</c:f>
              <c:strCache>
                <c:ptCount val="3"/>
                <c:pt idx="0">
                  <c:v>Non-Travel</c:v>
                </c:pt>
                <c:pt idx="1">
                  <c:v>Travel_Frequently</c:v>
                </c:pt>
                <c:pt idx="2">
                  <c:v>Travel_Rarely</c:v>
                </c:pt>
              </c:strCache>
            </c:strRef>
          </c:cat>
          <c:val>
            <c:numRef>
              <c:f>Sheet1!$D$132:$D$135</c:f>
              <c:numCache>
                <c:formatCode>0.00%</c:formatCode>
                <c:ptCount val="3"/>
                <c:pt idx="0">
                  <c:v>0.08</c:v>
                </c:pt>
                <c:pt idx="1">
                  <c:v>0.24909747292418771</c:v>
                </c:pt>
                <c:pt idx="2">
                  <c:v>0.14956855225311602</c:v>
                </c:pt>
              </c:numCache>
            </c:numRef>
          </c:val>
          <c:extLst>
            <c:ext xmlns:c16="http://schemas.microsoft.com/office/drawing/2014/chart" uri="{C3380CC4-5D6E-409C-BE32-E72D297353CC}">
              <c16:uniqueId val="{00000000-02A9-4DFD-8F5E-928140D00D69}"/>
            </c:ext>
          </c:extLst>
        </c:ser>
        <c:dLbls>
          <c:showLegendKey val="0"/>
          <c:showVal val="0"/>
          <c:showCatName val="0"/>
          <c:showSerName val="0"/>
          <c:showPercent val="0"/>
          <c:showBubbleSize val="0"/>
        </c:dLbls>
        <c:axId val="1130303583"/>
        <c:axId val="1148045551"/>
      </c:areaChart>
      <c:catAx>
        <c:axId val="1130303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045551"/>
        <c:crosses val="autoZero"/>
        <c:auto val="1"/>
        <c:lblAlgn val="ctr"/>
        <c:lblOffset val="100"/>
        <c:noMultiLvlLbl val="0"/>
      </c:catAx>
      <c:valAx>
        <c:axId val="1148045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3035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[EXCELPROJECT.xlsx]Sheet1!PivotTable42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rgbClr val="3E5F44"/>
                </a:solidFill>
                <a:latin typeface="Segoe UI" panose="020B0502040204020203" pitchFamily="34" charset="0"/>
                <a:cs typeface="Segoe UI" panose="020B0502040204020203" pitchFamily="34" charset="0"/>
              </a:rPr>
              <a:t>Attrtion Rate by Monthly income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Sheet1!$D$141</c:f>
              <c:strCache>
                <c:ptCount val="1"/>
                <c:pt idx="0">
                  <c:v>Total</c:v>
                </c:pt>
              </c:strCache>
            </c:strRef>
          </c:tx>
          <c:spPr>
            <a:solidFill>
              <a:srgbClr val="3E5F44"/>
            </a:solidFill>
            <a:ln>
              <a:noFill/>
            </a:ln>
            <a:effectLst/>
          </c:spPr>
          <c:invertIfNegative val="0"/>
          <c:cat>
            <c:strRef>
              <c:f>Sheet1!$C$142:$C$146</c:f>
              <c:strCache>
                <c:ptCount val="4"/>
                <c:pt idx="0">
                  <c:v>1000-5000</c:v>
                </c:pt>
                <c:pt idx="1">
                  <c:v>5001-10000</c:v>
                </c:pt>
                <c:pt idx="2">
                  <c:v>10001-15000</c:v>
                </c:pt>
                <c:pt idx="3">
                  <c:v>15001-20000</c:v>
                </c:pt>
              </c:strCache>
            </c:strRef>
          </c:cat>
          <c:val>
            <c:numRef>
              <c:f>Sheet1!$D$142:$D$146</c:f>
              <c:numCache>
                <c:formatCode>0%</c:formatCode>
                <c:ptCount val="4"/>
                <c:pt idx="0">
                  <c:v>0.21762349799732977</c:v>
                </c:pt>
                <c:pt idx="1">
                  <c:v>0.11136363636363636</c:v>
                </c:pt>
                <c:pt idx="2">
                  <c:v>0.13513513513513514</c:v>
                </c:pt>
                <c:pt idx="3">
                  <c:v>3.7593984962406013E-2</c:v>
                </c:pt>
              </c:numCache>
            </c:numRef>
          </c:val>
          <c:extLst>
            <c:ext xmlns:c16="http://schemas.microsoft.com/office/drawing/2014/chart" uri="{C3380CC4-5D6E-409C-BE32-E72D297353CC}">
              <c16:uniqueId val="{00000000-523B-4E0A-99DE-DE0D8D52A690}"/>
            </c:ext>
          </c:extLst>
        </c:ser>
        <c:dLbls>
          <c:showLegendKey val="0"/>
          <c:showVal val="0"/>
          <c:showCatName val="0"/>
          <c:showSerName val="0"/>
          <c:showPercent val="0"/>
          <c:showBubbleSize val="0"/>
        </c:dLbls>
        <c:gapWidth val="219"/>
        <c:overlap val="-27"/>
        <c:axId val="1264159999"/>
        <c:axId val="758375823"/>
      </c:barChart>
      <c:catAx>
        <c:axId val="126415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375823"/>
        <c:crosses val="autoZero"/>
        <c:auto val="1"/>
        <c:lblAlgn val="ctr"/>
        <c:lblOffset val="100"/>
        <c:noMultiLvlLbl val="0"/>
      </c:catAx>
      <c:valAx>
        <c:axId val="758375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15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[EXCELPROJECT.xlsx]Sheet1!PivotTable43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i="0" u="none" strike="noStrike" kern="1200" spc="0" baseline="0">
                <a:solidFill>
                  <a:srgbClr val="3E5F44"/>
                </a:solidFill>
                <a:latin typeface="Segoe UI" panose="020B0502040204020203" pitchFamily="34" charset="0"/>
                <a:cs typeface="Segoe UI" panose="020B0502040204020203" pitchFamily="34" charset="0"/>
              </a:rPr>
              <a:t>Attrition Rate by worklife balance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Sheet1!$D$152</c:f>
              <c:strCache>
                <c:ptCount val="1"/>
                <c:pt idx="0">
                  <c:v>Total</c:v>
                </c:pt>
              </c:strCache>
            </c:strRef>
          </c:tx>
          <c:spPr>
            <a:solidFill>
              <a:srgbClr val="3E5F44"/>
            </a:solidFill>
            <a:ln>
              <a:noFill/>
            </a:ln>
            <a:effectLst/>
          </c:spPr>
          <c:invertIfNegative val="0"/>
          <c:cat>
            <c:strRef>
              <c:f>Sheet1!$C$153:$C$157</c:f>
              <c:strCache>
                <c:ptCount val="4"/>
                <c:pt idx="0">
                  <c:v>1</c:v>
                </c:pt>
                <c:pt idx="1">
                  <c:v>2</c:v>
                </c:pt>
                <c:pt idx="2">
                  <c:v>3</c:v>
                </c:pt>
                <c:pt idx="3">
                  <c:v>4</c:v>
                </c:pt>
              </c:strCache>
            </c:strRef>
          </c:cat>
          <c:val>
            <c:numRef>
              <c:f>Sheet1!$D$153:$D$157</c:f>
              <c:numCache>
                <c:formatCode>0.00%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0-45DE-44A8-9C4E-DE3AD160B39F}"/>
            </c:ext>
          </c:extLst>
        </c:ser>
        <c:dLbls>
          <c:showLegendKey val="0"/>
          <c:showVal val="0"/>
          <c:showCatName val="0"/>
          <c:showSerName val="0"/>
          <c:showPercent val="0"/>
          <c:showBubbleSize val="0"/>
        </c:dLbls>
        <c:gapWidth val="182"/>
        <c:axId val="135977935"/>
        <c:axId val="1147996111"/>
      </c:barChart>
      <c:catAx>
        <c:axId val="13597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996111"/>
        <c:crosses val="autoZero"/>
        <c:auto val="1"/>
        <c:lblAlgn val="ctr"/>
        <c:lblOffset val="100"/>
        <c:noMultiLvlLbl val="0"/>
      </c:catAx>
      <c:valAx>
        <c:axId val="114799611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[EXCELPROJECT.xlsx]Sheet1!PivotTable44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rgbClr val="3E5F44"/>
                </a:solidFill>
                <a:latin typeface="Segoe UI" panose="020B0502040204020203" pitchFamily="34" charset="0"/>
                <a:cs typeface="Segoe UI" panose="020B0502040204020203" pitchFamily="34" charset="0"/>
              </a:rPr>
              <a:t>Attrition Rate by Job Role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5F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Sheet1!$D$175</c:f>
              <c:strCache>
                <c:ptCount val="1"/>
                <c:pt idx="0">
                  <c:v>Total</c:v>
                </c:pt>
              </c:strCache>
            </c:strRef>
          </c:tx>
          <c:spPr>
            <a:solidFill>
              <a:srgbClr val="3E5F44"/>
            </a:solidFill>
            <a:ln>
              <a:noFill/>
            </a:ln>
            <a:effectLst/>
          </c:spPr>
          <c:invertIfNegative val="0"/>
          <c:cat>
            <c:strRef>
              <c:f>Sheet1!$C$176:$C$185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Sheet1!$D$176:$D$185</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0-97DB-41E3-A757-D06819B5F627}"/>
            </c:ext>
          </c:extLst>
        </c:ser>
        <c:dLbls>
          <c:showLegendKey val="0"/>
          <c:showVal val="0"/>
          <c:showCatName val="0"/>
          <c:showSerName val="0"/>
          <c:showPercent val="0"/>
          <c:showBubbleSize val="0"/>
        </c:dLbls>
        <c:gapWidth val="182"/>
        <c:axId val="136014127"/>
        <c:axId val="169562927"/>
      </c:barChart>
      <c:catAx>
        <c:axId val="13601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2927"/>
        <c:crosses val="autoZero"/>
        <c:auto val="1"/>
        <c:lblAlgn val="ctr"/>
        <c:lblOffset val="100"/>
        <c:noMultiLvlLbl val="0"/>
      </c:catAx>
      <c:valAx>
        <c:axId val="1695629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1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DEPARTMENT VS OVERTIME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Segoe UI" panose="020B0502040204020203" pitchFamily="34" charset="0"/>
              <a:cs typeface="Segoe UI" panose="020B0502040204020203" pitchFamily="34" charset="0"/>
            </a:rPr>
            <a:t>DEPARTMENT VS OVERTIME</a:t>
          </a:r>
        </a:p>
      </cx:txPr>
    </cx:title>
    <cx:plotArea>
      <cx:plotAreaRegion>
        <cx:plotSurface>
          <cx:spPr>
            <a:ln>
              <a:noFill/>
            </a:ln>
          </cx:spPr>
        </cx:plotSurface>
        <cx:series layoutId="funnel" uniqueId="{00000000-D975-4D0D-B86C-126292C11934}">
          <cx:dataLabels>
            <cx:visibility seriesName="0" categoryName="0" value="1"/>
            <cx:separator>, </cx:separator>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DEPARTMENT VS OVERTIME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Segoe UI" panose="020B0502040204020203" pitchFamily="34" charset="0"/>
              <a:cs typeface="Segoe UI" panose="020B0502040204020203" pitchFamily="34" charset="0"/>
            </a:rPr>
            <a:t>DEPARTMENT VS OVERTIME</a:t>
          </a:r>
        </a:p>
      </cx:txPr>
    </cx:title>
    <cx:plotArea>
      <cx:plotAreaRegion>
        <cx:plotSurface>
          <cx:spPr>
            <a:ln>
              <a:noFill/>
            </a:ln>
          </cx:spPr>
        </cx:plotSurface>
        <cx:series layoutId="funnel" uniqueId="{00000000-D975-4D0D-B86C-126292C11934}">
          <cx:spPr>
            <a:solidFill>
              <a:srgbClr val="3E5F44"/>
            </a:solidFill>
            <a:effectLst>
              <a:glow>
                <a:schemeClr val="accent1">
                  <a:alpha val="40000"/>
                </a:schemeClr>
              </a:glow>
              <a:outerShdw blurRad="50800" dist="50800" dir="5400000" sx="1000" sy="1000" algn="ctr" rotWithShape="0">
                <a:schemeClr val="accent2">
                  <a:lumMod val="75000"/>
                </a:schemeClr>
              </a:outerShdw>
              <a:softEdge rad="38100"/>
            </a:effectLst>
          </cx:spPr>
          <cx:dataLabels>
            <cx:visibility seriesName="0" categoryName="0" value="1"/>
            <cx:separator>, </cx:separator>
          </cx:dataLabels>
          <cx:dataId val="0"/>
        </cx:series>
      </cx:plotAreaRegion>
      <cx:axis id="0">
        <cx:catScaling gapWidth="0.100000001"/>
        <cx:tickLabels/>
      </cx:axis>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withinLinearReversed" id="26">
  <a:schemeClr val="accent6"/>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microsoft.com/office/2014/relationships/chartEx" Target="../charts/chartEx2.xml"/><Relationship Id="rId18" Type="http://schemas.openxmlformats.org/officeDocument/2006/relationships/chart" Target="../charts/chart16.xml"/><Relationship Id="rId26" Type="http://schemas.openxmlformats.org/officeDocument/2006/relationships/chart" Target="../charts/chart24.xml"/><Relationship Id="rId39" Type="http://schemas.openxmlformats.org/officeDocument/2006/relationships/chart" Target="../charts/chart37.xml"/><Relationship Id="rId21" Type="http://schemas.openxmlformats.org/officeDocument/2006/relationships/chart" Target="../charts/chart19.xml"/><Relationship Id="rId34" Type="http://schemas.openxmlformats.org/officeDocument/2006/relationships/chart" Target="../charts/chart32.xml"/><Relationship Id="rId7" Type="http://schemas.openxmlformats.org/officeDocument/2006/relationships/chart" Target="../charts/chart6.xml"/><Relationship Id="rId12" Type="http://schemas.openxmlformats.org/officeDocument/2006/relationships/chart" Target="../charts/chart11.xml"/><Relationship Id="rId17" Type="http://schemas.openxmlformats.org/officeDocument/2006/relationships/chart" Target="../charts/chart15.xml"/><Relationship Id="rId25" Type="http://schemas.openxmlformats.org/officeDocument/2006/relationships/chart" Target="../charts/chart23.xml"/><Relationship Id="rId33" Type="http://schemas.openxmlformats.org/officeDocument/2006/relationships/chart" Target="../charts/chart31.xml"/><Relationship Id="rId38" Type="http://schemas.openxmlformats.org/officeDocument/2006/relationships/chart" Target="../charts/chart36.xml"/><Relationship Id="rId2" Type="http://schemas.openxmlformats.org/officeDocument/2006/relationships/chart" Target="../charts/chart2.xml"/><Relationship Id="rId16" Type="http://schemas.openxmlformats.org/officeDocument/2006/relationships/chart" Target="../charts/chart14.xml"/><Relationship Id="rId20" Type="http://schemas.openxmlformats.org/officeDocument/2006/relationships/chart" Target="../charts/chart18.xml"/><Relationship Id="rId29" Type="http://schemas.openxmlformats.org/officeDocument/2006/relationships/chart" Target="../charts/chart27.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24" Type="http://schemas.openxmlformats.org/officeDocument/2006/relationships/chart" Target="../charts/chart22.xml"/><Relationship Id="rId32" Type="http://schemas.openxmlformats.org/officeDocument/2006/relationships/chart" Target="../charts/chart30.xml"/><Relationship Id="rId37" Type="http://schemas.openxmlformats.org/officeDocument/2006/relationships/chart" Target="../charts/chart35.xml"/><Relationship Id="rId5" Type="http://schemas.openxmlformats.org/officeDocument/2006/relationships/chart" Target="../charts/chart4.xml"/><Relationship Id="rId15" Type="http://schemas.openxmlformats.org/officeDocument/2006/relationships/chart" Target="../charts/chart13.xml"/><Relationship Id="rId23" Type="http://schemas.openxmlformats.org/officeDocument/2006/relationships/chart" Target="../charts/chart21.xml"/><Relationship Id="rId28" Type="http://schemas.openxmlformats.org/officeDocument/2006/relationships/chart" Target="../charts/chart26.xml"/><Relationship Id="rId36" Type="http://schemas.openxmlformats.org/officeDocument/2006/relationships/chart" Target="../charts/chart34.xml"/><Relationship Id="rId10" Type="http://schemas.openxmlformats.org/officeDocument/2006/relationships/chart" Target="../charts/chart9.xml"/><Relationship Id="rId19" Type="http://schemas.openxmlformats.org/officeDocument/2006/relationships/chart" Target="../charts/chart17.xml"/><Relationship Id="rId31" Type="http://schemas.openxmlformats.org/officeDocument/2006/relationships/chart" Target="../charts/chart29.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2.xml"/><Relationship Id="rId22" Type="http://schemas.openxmlformats.org/officeDocument/2006/relationships/chart" Target="../charts/chart20.xml"/><Relationship Id="rId27" Type="http://schemas.openxmlformats.org/officeDocument/2006/relationships/chart" Target="../charts/chart25.xml"/><Relationship Id="rId30" Type="http://schemas.openxmlformats.org/officeDocument/2006/relationships/chart" Target="../charts/chart28.xml"/><Relationship Id="rId35" Type="http://schemas.openxmlformats.org/officeDocument/2006/relationships/chart" Target="../charts/chart33.xml"/><Relationship Id="rId8" Type="http://schemas.openxmlformats.org/officeDocument/2006/relationships/chart" Target="../charts/chart7.xml"/><Relationship Id="rId3"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5.xml"/><Relationship Id="rId3" Type="http://schemas.openxmlformats.org/officeDocument/2006/relationships/chart" Target="../charts/chart40.xml"/><Relationship Id="rId7" Type="http://schemas.openxmlformats.org/officeDocument/2006/relationships/chart" Target="../charts/chart44.xml"/><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chart" Target="../charts/chart43.xml"/><Relationship Id="rId11" Type="http://schemas.openxmlformats.org/officeDocument/2006/relationships/chart" Target="../charts/chart48.xml"/><Relationship Id="rId5" Type="http://schemas.openxmlformats.org/officeDocument/2006/relationships/chart" Target="../charts/chart42.xml"/><Relationship Id="rId10" Type="http://schemas.openxmlformats.org/officeDocument/2006/relationships/chart" Target="../charts/chart47.xml"/><Relationship Id="rId4" Type="http://schemas.openxmlformats.org/officeDocument/2006/relationships/chart" Target="../charts/chart41.xml"/><Relationship Id="rId9"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5</xdr:col>
      <xdr:colOff>121920</xdr:colOff>
      <xdr:row>13</xdr:row>
      <xdr:rowOff>171450</xdr:rowOff>
    </xdr:from>
    <xdr:to>
      <xdr:col>10</xdr:col>
      <xdr:colOff>502920</xdr:colOff>
      <xdr:row>28</xdr:row>
      <xdr:rowOff>171450</xdr:rowOff>
    </xdr:to>
    <xdr:graphicFrame macro="">
      <xdr:nvGraphicFramePr>
        <xdr:cNvPr id="2" name="Chart 1">
          <a:extLst>
            <a:ext uri="{FF2B5EF4-FFF2-40B4-BE49-F238E27FC236}">
              <a16:creationId xmlns:a16="http://schemas.microsoft.com/office/drawing/2014/main" id="{A0977B76-D39A-81BF-BA0A-7EA0F9EFE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26</xdr:row>
      <xdr:rowOff>163830</xdr:rowOff>
    </xdr:from>
    <xdr:to>
      <xdr:col>14</xdr:col>
      <xdr:colOff>487680</xdr:colOff>
      <xdr:row>36</xdr:row>
      <xdr:rowOff>0</xdr:rowOff>
    </xdr:to>
    <xdr:graphicFrame macro="">
      <xdr:nvGraphicFramePr>
        <xdr:cNvPr id="3" name="Chart 2">
          <a:extLst>
            <a:ext uri="{FF2B5EF4-FFF2-40B4-BE49-F238E27FC236}">
              <a16:creationId xmlns:a16="http://schemas.microsoft.com/office/drawing/2014/main" id="{42CBB283-E5B3-0A1E-F4CB-7E9291761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258894</xdr:colOff>
      <xdr:row>16</xdr:row>
      <xdr:rowOff>40979</xdr:rowOff>
    </xdr:from>
    <xdr:to>
      <xdr:col>19</xdr:col>
      <xdr:colOff>30294</xdr:colOff>
      <xdr:row>31</xdr:row>
      <xdr:rowOff>40980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316A4BAD-F2E3-69F6-3468-CCA8B9B2CE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970834" y="2967059"/>
              <a:ext cx="4625340" cy="27432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42</xdr:col>
      <xdr:colOff>0</xdr:colOff>
      <xdr:row>18</xdr:row>
      <xdr:rowOff>64770</xdr:rowOff>
    </xdr:from>
    <xdr:to>
      <xdr:col>46</xdr:col>
      <xdr:colOff>53340</xdr:colOff>
      <xdr:row>31</xdr:row>
      <xdr:rowOff>15240</xdr:rowOff>
    </xdr:to>
    <xdr:graphicFrame macro="">
      <xdr:nvGraphicFramePr>
        <xdr:cNvPr id="4" name="Chart 3">
          <a:extLst>
            <a:ext uri="{FF2B5EF4-FFF2-40B4-BE49-F238E27FC236}">
              <a16:creationId xmlns:a16="http://schemas.microsoft.com/office/drawing/2014/main" id="{06C6E5AC-20A9-1F4D-9DC6-62354EDE6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472440</xdr:colOff>
      <xdr:row>28</xdr:row>
      <xdr:rowOff>3810</xdr:rowOff>
    </xdr:from>
    <xdr:to>
      <xdr:col>24</xdr:col>
      <xdr:colOff>152400</xdr:colOff>
      <xdr:row>43</xdr:row>
      <xdr:rowOff>3810</xdr:rowOff>
    </xdr:to>
    <xdr:graphicFrame macro="">
      <xdr:nvGraphicFramePr>
        <xdr:cNvPr id="6" name="Chart 5">
          <a:extLst>
            <a:ext uri="{FF2B5EF4-FFF2-40B4-BE49-F238E27FC236}">
              <a16:creationId xmlns:a16="http://schemas.microsoft.com/office/drawing/2014/main" id="{EE5D23F8-3B40-BB16-CF3C-715ECADDB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952500</xdr:colOff>
      <xdr:row>26</xdr:row>
      <xdr:rowOff>171450</xdr:rowOff>
    </xdr:from>
    <xdr:to>
      <xdr:col>30</xdr:col>
      <xdr:colOff>571500</xdr:colOff>
      <xdr:row>41</xdr:row>
      <xdr:rowOff>171450</xdr:rowOff>
    </xdr:to>
    <xdr:graphicFrame macro="">
      <xdr:nvGraphicFramePr>
        <xdr:cNvPr id="7" name="Chart 6">
          <a:extLst>
            <a:ext uri="{FF2B5EF4-FFF2-40B4-BE49-F238E27FC236}">
              <a16:creationId xmlns:a16="http://schemas.microsoft.com/office/drawing/2014/main" id="{B7406649-6CED-D2EB-84E3-715372896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45</xdr:col>
      <xdr:colOff>33867</xdr:colOff>
      <xdr:row>72</xdr:row>
      <xdr:rowOff>1</xdr:rowOff>
    </xdr:from>
    <xdr:to>
      <xdr:col>52</xdr:col>
      <xdr:colOff>160867</xdr:colOff>
      <xdr:row>86</xdr:row>
      <xdr:rowOff>135468</xdr:rowOff>
    </xdr:to>
    <xdr:graphicFrame macro="">
      <xdr:nvGraphicFramePr>
        <xdr:cNvPr id="8" name="Chart 7">
          <a:extLst>
            <a:ext uri="{FF2B5EF4-FFF2-40B4-BE49-F238E27FC236}">
              <a16:creationId xmlns:a16="http://schemas.microsoft.com/office/drawing/2014/main" id="{33792B13-A0AC-A8F7-FB57-F7362B41D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63</xdr:col>
      <xdr:colOff>443204</xdr:colOff>
      <xdr:row>26</xdr:row>
      <xdr:rowOff>22808</xdr:rowOff>
    </xdr:from>
    <xdr:to>
      <xdr:col>69</xdr:col>
      <xdr:colOff>298061</xdr:colOff>
      <xdr:row>41</xdr:row>
      <xdr:rowOff>44580</xdr:rowOff>
    </xdr:to>
    <xdr:graphicFrame macro="">
      <xdr:nvGraphicFramePr>
        <xdr:cNvPr id="9" name="Chart 8">
          <a:extLst>
            <a:ext uri="{FF2B5EF4-FFF2-40B4-BE49-F238E27FC236}">
              <a16:creationId xmlns:a16="http://schemas.microsoft.com/office/drawing/2014/main" id="{D5685862-D47B-6D09-4DE4-CA6253E3E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940302</xdr:colOff>
      <xdr:row>16</xdr:row>
      <xdr:rowOff>24191</xdr:rowOff>
    </xdr:from>
    <xdr:to>
      <xdr:col>4</xdr:col>
      <xdr:colOff>1473444</xdr:colOff>
      <xdr:row>21</xdr:row>
      <xdr:rowOff>0</xdr:rowOff>
    </xdr:to>
    <xdr:sp macro="" textlink="">
      <xdr:nvSpPr>
        <xdr:cNvPr id="10" name="Rectangle: Rounded Corners 9">
          <a:extLst>
            <a:ext uri="{FF2B5EF4-FFF2-40B4-BE49-F238E27FC236}">
              <a16:creationId xmlns:a16="http://schemas.microsoft.com/office/drawing/2014/main" id="{8FA05B20-2869-930A-A9F0-DDB88A78F1B2}"/>
            </a:ext>
          </a:extLst>
        </xdr:cNvPr>
        <xdr:cNvSpPr/>
      </xdr:nvSpPr>
      <xdr:spPr>
        <a:xfrm>
          <a:off x="3153731" y="2927048"/>
          <a:ext cx="1537046" cy="882952"/>
        </a:xfrm>
        <a:prstGeom prst="roundRect">
          <a:avLst/>
        </a:prstGeom>
        <a:solidFill>
          <a:srgbClr val="3E5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b" latinLnBrk="0" hangingPunct="1">
            <a:lnSpc>
              <a:spcPct val="100000"/>
            </a:lnSpc>
            <a:spcBef>
              <a:spcPts val="0"/>
            </a:spcBef>
            <a:spcAft>
              <a:spcPts val="0"/>
            </a:spcAft>
            <a:buClrTx/>
            <a:buSzTx/>
            <a:buFontTx/>
            <a:buNone/>
            <a:tabLst/>
            <a:defRPr/>
          </a:pPr>
          <a:r>
            <a:rPr lang="en-IN" sz="1100" b="0" i="0" u="none" strike="noStrike">
              <a:solidFill>
                <a:schemeClr val="lt1"/>
              </a:solidFill>
              <a:effectLst/>
              <a:latin typeface="+mn-lt"/>
              <a:ea typeface="+mn-ea"/>
              <a:cs typeface="+mn-cs"/>
            </a:rPr>
            <a:t> </a:t>
          </a:r>
        </a:p>
        <a:p>
          <a:pPr algn="ctr" fontAlgn="b"/>
          <a:r>
            <a:rPr lang="en-IN" sz="1100" b="1" i="0" u="none" strike="noStrike">
              <a:solidFill>
                <a:schemeClr val="lt1"/>
              </a:solidFill>
              <a:effectLst/>
              <a:latin typeface="Segoe UI" panose="020B0502040204020203" pitchFamily="34" charset="0"/>
              <a:ea typeface="+mn-ea"/>
              <a:cs typeface="Segoe UI" panose="020B0502040204020203" pitchFamily="34" charset="0"/>
            </a:rPr>
            <a:t>AVERAGE AGE</a:t>
          </a:r>
        </a:p>
        <a:p>
          <a:pPr algn="ctr" fontAlgn="b"/>
          <a:r>
            <a:rPr lang="en-IN" sz="1600" b="1" i="0" u="none" strike="noStrike">
              <a:solidFill>
                <a:schemeClr val="lt1"/>
              </a:solidFill>
              <a:effectLst/>
              <a:latin typeface="Segoe UI" panose="020B0502040204020203" pitchFamily="34" charset="0"/>
              <a:ea typeface="+mn-ea"/>
              <a:cs typeface="Segoe UI" panose="020B0502040204020203" pitchFamily="34" charset="0"/>
            </a:rPr>
            <a:t>36.9</a:t>
          </a:r>
        </a:p>
      </xdr:txBody>
    </xdr:sp>
    <xdr:clientData/>
  </xdr:twoCellAnchor>
  <xdr:twoCellAnchor>
    <xdr:from>
      <xdr:col>3</xdr:col>
      <xdr:colOff>989228</xdr:colOff>
      <xdr:row>22</xdr:row>
      <xdr:rowOff>29219</xdr:rowOff>
    </xdr:from>
    <xdr:to>
      <xdr:col>5</xdr:col>
      <xdr:colOff>1</xdr:colOff>
      <xdr:row>26</xdr:row>
      <xdr:rowOff>174769</xdr:rowOff>
    </xdr:to>
    <xdr:sp macro="" textlink="">
      <xdr:nvSpPr>
        <xdr:cNvPr id="12" name="Rectangle: Rounded Corners 11">
          <a:extLst>
            <a:ext uri="{FF2B5EF4-FFF2-40B4-BE49-F238E27FC236}">
              <a16:creationId xmlns:a16="http://schemas.microsoft.com/office/drawing/2014/main" id="{1B45E848-24D2-B3CF-768D-A8AFB46B84EE}"/>
            </a:ext>
          </a:extLst>
        </xdr:cNvPr>
        <xdr:cNvSpPr/>
      </xdr:nvSpPr>
      <xdr:spPr>
        <a:xfrm>
          <a:off x="3202657" y="4020648"/>
          <a:ext cx="1623344" cy="871264"/>
        </a:xfrm>
        <a:prstGeom prst="roundRect">
          <a:avLst/>
        </a:prstGeom>
        <a:solidFill>
          <a:srgbClr val="3E5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Segoe UI" panose="020B0502040204020203" pitchFamily="34" charset="0"/>
              <a:cs typeface="Segoe UI" panose="020B0502040204020203" pitchFamily="34" charset="0"/>
            </a:rPr>
            <a:t>Average Monthly</a:t>
          </a:r>
          <a:r>
            <a:rPr lang="en-IN" sz="1200" b="1" baseline="0">
              <a:latin typeface="Segoe UI" panose="020B0502040204020203" pitchFamily="34" charset="0"/>
              <a:cs typeface="Segoe UI" panose="020B0502040204020203" pitchFamily="34" charset="0"/>
            </a:rPr>
            <a:t> Income                            </a:t>
          </a:r>
          <a:r>
            <a:rPr lang="en-IN" sz="1200" b="1" baseline="0">
              <a:effectLst/>
            </a:rPr>
            <a:t>  </a:t>
          </a:r>
          <a:r>
            <a:rPr lang="en-IN" sz="1600" b="1" i="0" u="none" strike="noStrike">
              <a:solidFill>
                <a:schemeClr val="lt1"/>
              </a:solidFill>
              <a:effectLst/>
              <a:latin typeface="+mn-lt"/>
              <a:ea typeface="+mn-ea"/>
              <a:cs typeface="+mn-cs"/>
            </a:rPr>
            <a:t>6502.93</a:t>
          </a:r>
          <a:endParaRPr lang="en-IN" sz="1600" b="1"/>
        </a:p>
      </xdr:txBody>
    </xdr:sp>
    <xdr:clientData/>
  </xdr:twoCellAnchor>
  <xdr:twoCellAnchor>
    <xdr:from>
      <xdr:col>0</xdr:col>
      <xdr:colOff>483810</xdr:colOff>
      <xdr:row>60</xdr:row>
      <xdr:rowOff>90972</xdr:rowOff>
    </xdr:from>
    <xdr:to>
      <xdr:col>4</xdr:col>
      <xdr:colOff>551769</xdr:colOff>
      <xdr:row>75</xdr:row>
      <xdr:rowOff>133048</xdr:rowOff>
    </xdr:to>
    <xdr:graphicFrame macro="">
      <xdr:nvGraphicFramePr>
        <xdr:cNvPr id="13" name="Chart 12">
          <a:extLst>
            <a:ext uri="{FF2B5EF4-FFF2-40B4-BE49-F238E27FC236}">
              <a16:creationId xmlns:a16="http://schemas.microsoft.com/office/drawing/2014/main" id="{AD3F5D58-9644-B3A2-C283-841555664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36</xdr:col>
      <xdr:colOff>80210</xdr:colOff>
      <xdr:row>90</xdr:row>
      <xdr:rowOff>142373</xdr:rowOff>
    </xdr:from>
    <xdr:to>
      <xdr:col>42</xdr:col>
      <xdr:colOff>812131</xdr:colOff>
      <xdr:row>105</xdr:row>
      <xdr:rowOff>178468</xdr:rowOff>
    </xdr:to>
    <xdr:graphicFrame macro="">
      <xdr:nvGraphicFramePr>
        <xdr:cNvPr id="14" name="Chart 13">
          <a:extLst>
            <a:ext uri="{FF2B5EF4-FFF2-40B4-BE49-F238E27FC236}">
              <a16:creationId xmlns:a16="http://schemas.microsoft.com/office/drawing/2014/main" id="{097EB866-DF0B-C0AF-56D6-3769FF21B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42</xdr:col>
      <xdr:colOff>1263316</xdr:colOff>
      <xdr:row>94</xdr:row>
      <xdr:rowOff>32085</xdr:rowOff>
    </xdr:from>
    <xdr:to>
      <xdr:col>47</xdr:col>
      <xdr:colOff>340895</xdr:colOff>
      <xdr:row>109</xdr:row>
      <xdr:rowOff>68179</xdr:rowOff>
    </xdr:to>
    <xdr:graphicFrame macro="">
      <xdr:nvGraphicFramePr>
        <xdr:cNvPr id="15" name="Chart 14">
          <a:extLst>
            <a:ext uri="{FF2B5EF4-FFF2-40B4-BE49-F238E27FC236}">
              <a16:creationId xmlns:a16="http://schemas.microsoft.com/office/drawing/2014/main" id="{3CD37E7D-CF51-FA01-9834-C0661FD08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50</xdr:col>
      <xdr:colOff>551447</xdr:colOff>
      <xdr:row>107</xdr:row>
      <xdr:rowOff>32084</xdr:rowOff>
    </xdr:from>
    <xdr:to>
      <xdr:col>57</xdr:col>
      <xdr:colOff>300789</xdr:colOff>
      <xdr:row>122</xdr:row>
      <xdr:rowOff>68179</xdr:rowOff>
    </xdr:to>
    <xdr:graphicFrame macro="">
      <xdr:nvGraphicFramePr>
        <xdr:cNvPr id="17" name="Chart 16">
          <a:extLst>
            <a:ext uri="{FF2B5EF4-FFF2-40B4-BE49-F238E27FC236}">
              <a16:creationId xmlns:a16="http://schemas.microsoft.com/office/drawing/2014/main" id="{7D587FC3-ACD9-A59A-3E4A-17E0F610A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53</xdr:col>
      <xdr:colOff>0</xdr:colOff>
      <xdr:row>127</xdr:row>
      <xdr:rowOff>0</xdr:rowOff>
    </xdr:from>
    <xdr:to>
      <xdr:col>58</xdr:col>
      <xdr:colOff>94340</xdr:colOff>
      <xdr:row>140</xdr:row>
      <xdr:rowOff>59695</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84610E77-6F8A-487A-B45B-A08D3BA04B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44683680" y="23225760"/>
              <a:ext cx="5557880" cy="24371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280737</xdr:colOff>
      <xdr:row>79</xdr:row>
      <xdr:rowOff>60158</xdr:rowOff>
    </xdr:from>
    <xdr:to>
      <xdr:col>8</xdr:col>
      <xdr:colOff>230605</xdr:colOff>
      <xdr:row>94</xdr:row>
      <xdr:rowOff>68179</xdr:rowOff>
    </xdr:to>
    <xdr:graphicFrame macro="">
      <xdr:nvGraphicFramePr>
        <xdr:cNvPr id="18" name="Chart 17">
          <a:extLst>
            <a:ext uri="{FF2B5EF4-FFF2-40B4-BE49-F238E27FC236}">
              <a16:creationId xmlns:a16="http://schemas.microsoft.com/office/drawing/2014/main" id="{D3E76C01-C1B4-F26D-2823-F33967D89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56</xdr:col>
      <xdr:colOff>630836</xdr:colOff>
      <xdr:row>142</xdr:row>
      <xdr:rowOff>46220</xdr:rowOff>
    </xdr:from>
    <xdr:to>
      <xdr:col>59</xdr:col>
      <xdr:colOff>1167984</xdr:colOff>
      <xdr:row>156</xdr:row>
      <xdr:rowOff>166141</xdr:rowOff>
    </xdr:to>
    <xdr:graphicFrame macro="">
      <xdr:nvGraphicFramePr>
        <xdr:cNvPr id="19" name="Chart 18">
          <a:extLst>
            <a:ext uri="{FF2B5EF4-FFF2-40B4-BE49-F238E27FC236}">
              <a16:creationId xmlns:a16="http://schemas.microsoft.com/office/drawing/2014/main" id="{7F8E7DE7-9DE8-EADE-B0FC-3EC4E3BFA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60</xdr:col>
      <xdr:colOff>68705</xdr:colOff>
      <xdr:row>148</xdr:row>
      <xdr:rowOff>8745</xdr:rowOff>
    </xdr:from>
    <xdr:to>
      <xdr:col>64</xdr:col>
      <xdr:colOff>112426</xdr:colOff>
      <xdr:row>162</xdr:row>
      <xdr:rowOff>128666</xdr:rowOff>
    </xdr:to>
    <xdr:graphicFrame macro="">
      <xdr:nvGraphicFramePr>
        <xdr:cNvPr id="20" name="Chart 19">
          <a:extLst>
            <a:ext uri="{FF2B5EF4-FFF2-40B4-BE49-F238E27FC236}">
              <a16:creationId xmlns:a16="http://schemas.microsoft.com/office/drawing/2014/main" id="{90687BF4-87A1-0C9A-70B4-1214E438D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64</xdr:col>
      <xdr:colOff>243590</xdr:colOff>
      <xdr:row>147</xdr:row>
      <xdr:rowOff>133663</xdr:rowOff>
    </xdr:from>
    <xdr:to>
      <xdr:col>66</xdr:col>
      <xdr:colOff>1542737</xdr:colOff>
      <xdr:row>162</xdr:row>
      <xdr:rowOff>66207</xdr:rowOff>
    </xdr:to>
    <xdr:graphicFrame macro="">
      <xdr:nvGraphicFramePr>
        <xdr:cNvPr id="21" name="Chart 20">
          <a:extLst>
            <a:ext uri="{FF2B5EF4-FFF2-40B4-BE49-F238E27FC236}">
              <a16:creationId xmlns:a16="http://schemas.microsoft.com/office/drawing/2014/main" id="{279FB9E0-16AA-1EC9-38A5-495822001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70</xdr:col>
      <xdr:colOff>580709</xdr:colOff>
      <xdr:row>139</xdr:row>
      <xdr:rowOff>73662</xdr:rowOff>
    </xdr:from>
    <xdr:to>
      <xdr:col>77</xdr:col>
      <xdr:colOff>82057</xdr:colOff>
      <xdr:row>153</xdr:row>
      <xdr:rowOff>44257</xdr:rowOff>
    </xdr:to>
    <xdr:graphicFrame macro="">
      <xdr:nvGraphicFramePr>
        <xdr:cNvPr id="22" name="Chart 21">
          <a:extLst>
            <a:ext uri="{FF2B5EF4-FFF2-40B4-BE49-F238E27FC236}">
              <a16:creationId xmlns:a16="http://schemas.microsoft.com/office/drawing/2014/main" id="{B7D1E183-DEC1-4950-804A-6A682C109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64</xdr:col>
      <xdr:colOff>972553</xdr:colOff>
      <xdr:row>180</xdr:row>
      <xdr:rowOff>112295</xdr:rowOff>
    </xdr:from>
    <xdr:to>
      <xdr:col>66</xdr:col>
      <xdr:colOff>2035342</xdr:colOff>
      <xdr:row>195</xdr:row>
      <xdr:rowOff>148390</xdr:rowOff>
    </xdr:to>
    <xdr:graphicFrame macro="">
      <xdr:nvGraphicFramePr>
        <xdr:cNvPr id="24" name="Chart 23">
          <a:extLst>
            <a:ext uri="{FF2B5EF4-FFF2-40B4-BE49-F238E27FC236}">
              <a16:creationId xmlns:a16="http://schemas.microsoft.com/office/drawing/2014/main" id="{5C139512-E08D-CC51-D3E0-CDB27F0CF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66</xdr:col>
      <xdr:colOff>1409881</xdr:colOff>
      <xdr:row>212</xdr:row>
      <xdr:rowOff>128897</xdr:rowOff>
    </xdr:from>
    <xdr:to>
      <xdr:col>78</xdr:col>
      <xdr:colOff>17895</xdr:colOff>
      <xdr:row>227</xdr:row>
      <xdr:rowOff>158934</xdr:rowOff>
    </xdr:to>
    <xdr:graphicFrame macro="">
      <xdr:nvGraphicFramePr>
        <xdr:cNvPr id="26" name="Chart 25">
          <a:extLst>
            <a:ext uri="{FF2B5EF4-FFF2-40B4-BE49-F238E27FC236}">
              <a16:creationId xmlns:a16="http://schemas.microsoft.com/office/drawing/2014/main" id="{7653E793-EA1E-45E5-ABE5-ADC62377A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23</xdr:col>
      <xdr:colOff>1398059</xdr:colOff>
      <xdr:row>94</xdr:row>
      <xdr:rowOff>91039</xdr:rowOff>
    </xdr:from>
    <xdr:to>
      <xdr:col>26</xdr:col>
      <xdr:colOff>609482</xdr:colOff>
      <xdr:row>109</xdr:row>
      <xdr:rowOff>46435</xdr:rowOff>
    </xdr:to>
    <xdr:graphicFrame macro="">
      <xdr:nvGraphicFramePr>
        <xdr:cNvPr id="29" name="Chart 28">
          <a:extLst>
            <a:ext uri="{FF2B5EF4-FFF2-40B4-BE49-F238E27FC236}">
              <a16:creationId xmlns:a16="http://schemas.microsoft.com/office/drawing/2014/main" id="{43A91955-768F-DBF3-04AD-D989D390F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57</xdr:col>
      <xdr:colOff>594731</xdr:colOff>
      <xdr:row>169</xdr:row>
      <xdr:rowOff>96644</xdr:rowOff>
    </xdr:from>
    <xdr:to>
      <xdr:col>60</xdr:col>
      <xdr:colOff>446048</xdr:colOff>
      <xdr:row>184</xdr:row>
      <xdr:rowOff>52039</xdr:rowOff>
    </xdr:to>
    <xdr:graphicFrame macro="">
      <xdr:nvGraphicFramePr>
        <xdr:cNvPr id="30" name="Chart 29">
          <a:extLst>
            <a:ext uri="{FF2B5EF4-FFF2-40B4-BE49-F238E27FC236}">
              <a16:creationId xmlns:a16="http://schemas.microsoft.com/office/drawing/2014/main" id="{DE726ED3-10A4-A1BA-EA21-204858835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57</xdr:col>
      <xdr:colOff>707916</xdr:colOff>
      <xdr:row>196</xdr:row>
      <xdr:rowOff>26206</xdr:rowOff>
    </xdr:from>
    <xdr:to>
      <xdr:col>60</xdr:col>
      <xdr:colOff>559233</xdr:colOff>
      <xdr:row>210</xdr:row>
      <xdr:rowOff>164481</xdr:rowOff>
    </xdr:to>
    <xdr:graphicFrame macro="">
      <xdr:nvGraphicFramePr>
        <xdr:cNvPr id="31" name="Chart 30">
          <a:extLst>
            <a:ext uri="{FF2B5EF4-FFF2-40B4-BE49-F238E27FC236}">
              <a16:creationId xmlns:a16="http://schemas.microsoft.com/office/drawing/2014/main" id="{154C0865-5398-69CF-6917-9C4AFD18A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62</xdr:col>
      <xdr:colOff>763327</xdr:colOff>
      <xdr:row>236</xdr:row>
      <xdr:rowOff>130662</xdr:rowOff>
    </xdr:from>
    <xdr:to>
      <xdr:col>64</xdr:col>
      <xdr:colOff>1359554</xdr:colOff>
      <xdr:row>247</xdr:row>
      <xdr:rowOff>145531</xdr:rowOff>
    </xdr:to>
    <xdr:graphicFrame macro="">
      <xdr:nvGraphicFramePr>
        <xdr:cNvPr id="33" name="Chart 32">
          <a:extLst>
            <a:ext uri="{FF2B5EF4-FFF2-40B4-BE49-F238E27FC236}">
              <a16:creationId xmlns:a16="http://schemas.microsoft.com/office/drawing/2014/main" id="{9297BD4C-B069-2B61-6137-D8571DF9F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77</xdr:col>
      <xdr:colOff>130162</xdr:colOff>
      <xdr:row>264</xdr:row>
      <xdr:rowOff>132693</xdr:rowOff>
    </xdr:from>
    <xdr:to>
      <xdr:col>80</xdr:col>
      <xdr:colOff>523327</xdr:colOff>
      <xdr:row>279</xdr:row>
      <xdr:rowOff>116928</xdr:rowOff>
    </xdr:to>
    <xdr:graphicFrame macro="">
      <xdr:nvGraphicFramePr>
        <xdr:cNvPr id="36" name="Chart 35">
          <a:extLst>
            <a:ext uri="{FF2B5EF4-FFF2-40B4-BE49-F238E27FC236}">
              <a16:creationId xmlns:a16="http://schemas.microsoft.com/office/drawing/2014/main" id="{C470148D-E215-1A09-74CD-DF9FFC1B5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xdr:col>
      <xdr:colOff>589227</xdr:colOff>
      <xdr:row>35</xdr:row>
      <xdr:rowOff>147917</xdr:rowOff>
    </xdr:from>
    <xdr:to>
      <xdr:col>5</xdr:col>
      <xdr:colOff>24713</xdr:colOff>
      <xdr:row>50</xdr:row>
      <xdr:rowOff>132150</xdr:rowOff>
    </xdr:to>
    <xdr:graphicFrame macro="">
      <xdr:nvGraphicFramePr>
        <xdr:cNvPr id="38" name="Chart 37">
          <a:extLst>
            <a:ext uri="{FF2B5EF4-FFF2-40B4-BE49-F238E27FC236}">
              <a16:creationId xmlns:a16="http://schemas.microsoft.com/office/drawing/2014/main" id="{42DB73B7-77CF-58E9-D22E-2A66C83A9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7</xdr:col>
      <xdr:colOff>247953</xdr:colOff>
      <xdr:row>50</xdr:row>
      <xdr:rowOff>25400</xdr:rowOff>
    </xdr:from>
    <xdr:to>
      <xdr:col>12</xdr:col>
      <xdr:colOff>322097</xdr:colOff>
      <xdr:row>65</xdr:row>
      <xdr:rowOff>47172</xdr:rowOff>
    </xdr:to>
    <xdr:graphicFrame macro="">
      <xdr:nvGraphicFramePr>
        <xdr:cNvPr id="39" name="Chart 38">
          <a:extLst>
            <a:ext uri="{FF2B5EF4-FFF2-40B4-BE49-F238E27FC236}">
              <a16:creationId xmlns:a16="http://schemas.microsoft.com/office/drawing/2014/main" id="{2809B61A-4DDD-6020-05FC-717C093B2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5</xdr:col>
      <xdr:colOff>332620</xdr:colOff>
      <xdr:row>63</xdr:row>
      <xdr:rowOff>158448</xdr:rowOff>
    </xdr:from>
    <xdr:to>
      <xdr:col>9</xdr:col>
      <xdr:colOff>598715</xdr:colOff>
      <xdr:row>78</xdr:row>
      <xdr:rowOff>180219</xdr:rowOff>
    </xdr:to>
    <xdr:graphicFrame macro="">
      <xdr:nvGraphicFramePr>
        <xdr:cNvPr id="40" name="Chart 39">
          <a:extLst>
            <a:ext uri="{FF2B5EF4-FFF2-40B4-BE49-F238E27FC236}">
              <a16:creationId xmlns:a16="http://schemas.microsoft.com/office/drawing/2014/main" id="{24E362FB-0C7E-62BE-0712-54BA5E043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4</xdr:col>
      <xdr:colOff>96762</xdr:colOff>
      <xdr:row>57</xdr:row>
      <xdr:rowOff>0</xdr:rowOff>
    </xdr:from>
    <xdr:to>
      <xdr:col>7</xdr:col>
      <xdr:colOff>196185</xdr:colOff>
      <xdr:row>64</xdr:row>
      <xdr:rowOff>139700</xdr:rowOff>
    </xdr:to>
    <xdr:graphicFrame macro="">
      <xdr:nvGraphicFramePr>
        <xdr:cNvPr id="41" name="Chart 40">
          <a:extLst>
            <a:ext uri="{FF2B5EF4-FFF2-40B4-BE49-F238E27FC236}">
              <a16:creationId xmlns:a16="http://schemas.microsoft.com/office/drawing/2014/main" id="{B6327367-D636-4139-BFBF-B337F297C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6</xdr:col>
      <xdr:colOff>417287</xdr:colOff>
      <xdr:row>94</xdr:row>
      <xdr:rowOff>97971</xdr:rowOff>
    </xdr:from>
    <xdr:to>
      <xdr:col>10</xdr:col>
      <xdr:colOff>393097</xdr:colOff>
      <xdr:row>109</xdr:row>
      <xdr:rowOff>119743</xdr:rowOff>
    </xdr:to>
    <xdr:graphicFrame macro="">
      <xdr:nvGraphicFramePr>
        <xdr:cNvPr id="42" name="Chart 41">
          <a:extLst>
            <a:ext uri="{FF2B5EF4-FFF2-40B4-BE49-F238E27FC236}">
              <a16:creationId xmlns:a16="http://schemas.microsoft.com/office/drawing/2014/main" id="{3622A147-8275-6C4B-5590-14251ABEE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4</xdr:col>
      <xdr:colOff>483810</xdr:colOff>
      <xdr:row>96</xdr:row>
      <xdr:rowOff>13305</xdr:rowOff>
    </xdr:from>
    <xdr:to>
      <xdr:col>8</xdr:col>
      <xdr:colOff>508000</xdr:colOff>
      <xdr:row>111</xdr:row>
      <xdr:rowOff>35077</xdr:rowOff>
    </xdr:to>
    <xdr:graphicFrame macro="">
      <xdr:nvGraphicFramePr>
        <xdr:cNvPr id="43" name="Chart 42">
          <a:extLst>
            <a:ext uri="{FF2B5EF4-FFF2-40B4-BE49-F238E27FC236}">
              <a16:creationId xmlns:a16="http://schemas.microsoft.com/office/drawing/2014/main" id="{EF0B269F-EF80-67A0-C23F-A6D0FA7DB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3</xdr:col>
      <xdr:colOff>1088571</xdr:colOff>
      <xdr:row>103</xdr:row>
      <xdr:rowOff>13305</xdr:rowOff>
    </xdr:from>
    <xdr:to>
      <xdr:col>7</xdr:col>
      <xdr:colOff>1233714</xdr:colOff>
      <xdr:row>118</xdr:row>
      <xdr:rowOff>35077</xdr:rowOff>
    </xdr:to>
    <xdr:graphicFrame macro="">
      <xdr:nvGraphicFramePr>
        <xdr:cNvPr id="44" name="Chart 43">
          <a:extLst>
            <a:ext uri="{FF2B5EF4-FFF2-40B4-BE49-F238E27FC236}">
              <a16:creationId xmlns:a16="http://schemas.microsoft.com/office/drawing/2014/main" id="{D53C903D-16AA-0B63-C8AB-DDE110C43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3</xdr:col>
      <xdr:colOff>508000</xdr:colOff>
      <xdr:row>118</xdr:row>
      <xdr:rowOff>13305</xdr:rowOff>
    </xdr:from>
    <xdr:to>
      <xdr:col>7</xdr:col>
      <xdr:colOff>411238</xdr:colOff>
      <xdr:row>133</xdr:row>
      <xdr:rowOff>35076</xdr:rowOff>
    </xdr:to>
    <xdr:graphicFrame macro="">
      <xdr:nvGraphicFramePr>
        <xdr:cNvPr id="45" name="Chart 44">
          <a:extLst>
            <a:ext uri="{FF2B5EF4-FFF2-40B4-BE49-F238E27FC236}">
              <a16:creationId xmlns:a16="http://schemas.microsoft.com/office/drawing/2014/main" id="{2EB50F9A-7022-8630-85B8-E1D2FC406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3</xdr:col>
      <xdr:colOff>931333</xdr:colOff>
      <xdr:row>133</xdr:row>
      <xdr:rowOff>158448</xdr:rowOff>
    </xdr:from>
    <xdr:to>
      <xdr:col>7</xdr:col>
      <xdr:colOff>834572</xdr:colOff>
      <xdr:row>148</xdr:row>
      <xdr:rowOff>180219</xdr:rowOff>
    </xdr:to>
    <xdr:graphicFrame macro="">
      <xdr:nvGraphicFramePr>
        <xdr:cNvPr id="46" name="Chart 45">
          <a:extLst>
            <a:ext uri="{FF2B5EF4-FFF2-40B4-BE49-F238E27FC236}">
              <a16:creationId xmlns:a16="http://schemas.microsoft.com/office/drawing/2014/main" id="{72AD8A46-2EED-E3AC-C603-EFE04DAD6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3</xdr:col>
      <xdr:colOff>459618</xdr:colOff>
      <xdr:row>156</xdr:row>
      <xdr:rowOff>61686</xdr:rowOff>
    </xdr:from>
    <xdr:to>
      <xdr:col>7</xdr:col>
      <xdr:colOff>604761</xdr:colOff>
      <xdr:row>171</xdr:row>
      <xdr:rowOff>83457</xdr:rowOff>
    </xdr:to>
    <xdr:graphicFrame macro="">
      <xdr:nvGraphicFramePr>
        <xdr:cNvPr id="47" name="Chart 46">
          <a:extLst>
            <a:ext uri="{FF2B5EF4-FFF2-40B4-BE49-F238E27FC236}">
              <a16:creationId xmlns:a16="http://schemas.microsoft.com/office/drawing/2014/main" id="{19D32C63-0DDA-B669-83AA-308C1B885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3</xdr:col>
      <xdr:colOff>1064382</xdr:colOff>
      <xdr:row>172</xdr:row>
      <xdr:rowOff>122162</xdr:rowOff>
    </xdr:from>
    <xdr:to>
      <xdr:col>7</xdr:col>
      <xdr:colOff>967620</xdr:colOff>
      <xdr:row>187</xdr:row>
      <xdr:rowOff>143933</xdr:rowOff>
    </xdr:to>
    <xdr:graphicFrame macro="">
      <xdr:nvGraphicFramePr>
        <xdr:cNvPr id="48" name="Chart 47">
          <a:extLst>
            <a:ext uri="{FF2B5EF4-FFF2-40B4-BE49-F238E27FC236}">
              <a16:creationId xmlns:a16="http://schemas.microsoft.com/office/drawing/2014/main" id="{A6F5FE9F-8E47-A2F2-860A-AB43E6D29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14</xdr:col>
      <xdr:colOff>302380</xdr:colOff>
      <xdr:row>63</xdr:row>
      <xdr:rowOff>96763</xdr:rowOff>
    </xdr:from>
    <xdr:to>
      <xdr:col>22</xdr:col>
      <xdr:colOff>320064</xdr:colOff>
      <xdr:row>78</xdr:row>
      <xdr:rowOff>129476</xdr:rowOff>
    </xdr:to>
    <xdr:graphicFrame macro="">
      <xdr:nvGraphicFramePr>
        <xdr:cNvPr id="50" name="Chart 49">
          <a:extLst>
            <a:ext uri="{FF2B5EF4-FFF2-40B4-BE49-F238E27FC236}">
              <a16:creationId xmlns:a16="http://schemas.microsoft.com/office/drawing/2014/main" id="{0A49696F-062F-4C0E-A3FA-EDE914FB3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4</xdr:col>
      <xdr:colOff>0</xdr:colOff>
      <xdr:row>4</xdr:row>
      <xdr:rowOff>0</xdr:rowOff>
    </xdr:from>
    <xdr:to>
      <xdr:col>5</xdr:col>
      <xdr:colOff>50541</xdr:colOff>
      <xdr:row>7</xdr:row>
      <xdr:rowOff>11190</xdr:rowOff>
    </xdr:to>
    <xdr:sp macro="" textlink="">
      <xdr:nvSpPr>
        <xdr:cNvPr id="51" name="Rectangle: Rounded Corners 50">
          <a:extLst>
            <a:ext uri="{FF2B5EF4-FFF2-40B4-BE49-F238E27FC236}">
              <a16:creationId xmlns:a16="http://schemas.microsoft.com/office/drawing/2014/main" id="{39EFC357-03BA-4730-B327-1C89CD3EF4F9}"/>
            </a:ext>
          </a:extLst>
        </xdr:cNvPr>
        <xdr:cNvSpPr/>
      </xdr:nvSpPr>
      <xdr:spPr>
        <a:xfrm>
          <a:off x="3217333" y="725714"/>
          <a:ext cx="1659208" cy="555476"/>
        </a:xfrm>
        <a:prstGeom prst="roundRect">
          <a:avLst/>
        </a:prstGeom>
        <a:solidFill>
          <a:srgbClr val="3E5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i="0" u="none" strike="noStrike">
              <a:solidFill>
                <a:schemeClr val="lt1"/>
              </a:solidFill>
              <a:effectLst/>
              <a:latin typeface="Segoe UI" panose="020B0502040204020203" pitchFamily="34" charset="0"/>
              <a:ea typeface="+mn-ea"/>
              <a:cs typeface="Segoe UI" panose="020B0502040204020203" pitchFamily="34" charset="0"/>
            </a:rPr>
            <a:t>Total</a:t>
          </a:r>
          <a:r>
            <a:rPr lang="en-IN" sz="1100" b="1" i="0" u="none" strike="noStrike" baseline="0">
              <a:solidFill>
                <a:schemeClr val="lt1"/>
              </a:solidFill>
              <a:effectLst/>
              <a:latin typeface="Segoe UI" panose="020B0502040204020203" pitchFamily="34" charset="0"/>
              <a:ea typeface="+mn-ea"/>
              <a:cs typeface="Segoe UI" panose="020B0502040204020203" pitchFamily="34" charset="0"/>
            </a:rPr>
            <a:t> Employees</a:t>
          </a:r>
        </a:p>
        <a:p>
          <a:pPr algn="ctr"/>
          <a:r>
            <a:rPr lang="en-IN" sz="1000" b="1" i="0" u="none" strike="noStrike">
              <a:solidFill>
                <a:schemeClr val="lt1"/>
              </a:solidFill>
              <a:effectLst/>
              <a:latin typeface="Segoe UI" panose="020B0502040204020203" pitchFamily="34" charset="0"/>
              <a:ea typeface="+mn-ea"/>
              <a:cs typeface="Segoe UI" panose="020B0502040204020203" pitchFamily="34" charset="0"/>
            </a:rPr>
            <a:t>1470</a:t>
          </a:r>
          <a:r>
            <a:rPr lang="en-IN" sz="1000" b="1">
              <a:effectLst/>
              <a:latin typeface="Segoe UI" panose="020B0502040204020203" pitchFamily="34" charset="0"/>
              <a:cs typeface="Segoe UI" panose="020B0502040204020203" pitchFamily="34" charset="0"/>
            </a:rPr>
            <a:t> </a:t>
          </a:r>
          <a:endParaRPr lang="en-IN" sz="1000" b="1">
            <a:latin typeface="Segoe UI" panose="020B0502040204020203" pitchFamily="34" charset="0"/>
            <a:cs typeface="Segoe UI" panose="020B0502040204020203" pitchFamily="34" charset="0"/>
          </a:endParaRPr>
        </a:p>
      </xdr:txBody>
    </xdr:sp>
    <xdr:clientData/>
  </xdr:twoCellAnchor>
  <xdr:twoCellAnchor>
    <xdr:from>
      <xdr:col>4</xdr:col>
      <xdr:colOff>0</xdr:colOff>
      <xdr:row>7</xdr:row>
      <xdr:rowOff>145143</xdr:rowOff>
    </xdr:from>
    <xdr:to>
      <xdr:col>4</xdr:col>
      <xdr:colOff>1378857</xdr:colOff>
      <xdr:row>11</xdr:row>
      <xdr:rowOff>84667</xdr:rowOff>
    </xdr:to>
    <xdr:sp macro="" textlink="">
      <xdr:nvSpPr>
        <xdr:cNvPr id="52" name="Rectangle: Rounded Corners 51">
          <a:extLst>
            <a:ext uri="{FF2B5EF4-FFF2-40B4-BE49-F238E27FC236}">
              <a16:creationId xmlns:a16="http://schemas.microsoft.com/office/drawing/2014/main" id="{F6861229-8C06-4534-A867-8208DC59503E}"/>
            </a:ext>
          </a:extLst>
        </xdr:cNvPr>
        <xdr:cNvSpPr/>
      </xdr:nvSpPr>
      <xdr:spPr>
        <a:xfrm>
          <a:off x="3217333" y="1415143"/>
          <a:ext cx="1378857" cy="665238"/>
        </a:xfrm>
        <a:prstGeom prst="roundRect">
          <a:avLst/>
        </a:prstGeom>
        <a:solidFill>
          <a:srgbClr val="3E5F44"/>
        </a:solidFill>
        <a:ln>
          <a:solidFill>
            <a:srgbClr val="3E5F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effectLst/>
              <a:latin typeface="Segoe UI" panose="020B0502040204020203" pitchFamily="34" charset="0"/>
              <a:cs typeface="Segoe UI" panose="020B0502040204020203" pitchFamily="34" charset="0"/>
            </a:rPr>
            <a:t>Employees</a:t>
          </a:r>
          <a:r>
            <a:rPr lang="en-IN" sz="1200" b="1" baseline="0">
              <a:effectLst/>
              <a:latin typeface="Segoe UI" panose="020B0502040204020203" pitchFamily="34" charset="0"/>
              <a:cs typeface="Segoe UI" panose="020B0502040204020203" pitchFamily="34" charset="0"/>
            </a:rPr>
            <a:t> </a:t>
          </a:r>
          <a:r>
            <a:rPr lang="en-IN" sz="1200" b="1">
              <a:effectLst/>
              <a:latin typeface="Segoe UI" panose="020B0502040204020203" pitchFamily="34" charset="0"/>
              <a:cs typeface="Segoe UI" panose="020B0502040204020203" pitchFamily="34" charset="0"/>
            </a:rPr>
            <a:t>Left </a:t>
          </a:r>
        </a:p>
        <a:p>
          <a:pPr algn="ctr"/>
          <a:r>
            <a:rPr lang="en-IN" sz="1100" b="1" i="0" u="none" strike="noStrike">
              <a:solidFill>
                <a:schemeClr val="lt1"/>
              </a:solidFill>
              <a:effectLst/>
              <a:latin typeface="Segoe UI" panose="020B0502040204020203" pitchFamily="34" charset="0"/>
              <a:ea typeface="+mn-ea"/>
              <a:cs typeface="Segoe UI" panose="020B0502040204020203" pitchFamily="34" charset="0"/>
            </a:rPr>
            <a:t>237</a:t>
          </a:r>
          <a:r>
            <a:rPr lang="en-IN" sz="1100" b="1">
              <a:effectLst/>
              <a:latin typeface="Segoe UI" panose="020B0502040204020203" pitchFamily="34" charset="0"/>
              <a:cs typeface="Segoe UI" panose="020B0502040204020203" pitchFamily="34" charset="0"/>
            </a:rPr>
            <a:t> </a:t>
          </a:r>
          <a:endParaRPr lang="en-IN" sz="1100" b="1">
            <a:latin typeface="Segoe UI" panose="020B0502040204020203" pitchFamily="34" charset="0"/>
            <a:cs typeface="Segoe UI" panose="020B0502040204020203" pitchFamily="34" charset="0"/>
          </a:endParaRPr>
        </a:p>
      </xdr:txBody>
    </xdr:sp>
    <xdr:clientData/>
  </xdr:twoCellAnchor>
  <xdr:twoCellAnchor>
    <xdr:from>
      <xdr:col>4</xdr:col>
      <xdr:colOff>1</xdr:colOff>
      <xdr:row>13</xdr:row>
      <xdr:rowOff>0</xdr:rowOff>
    </xdr:from>
    <xdr:to>
      <xdr:col>4</xdr:col>
      <xdr:colOff>1499811</xdr:colOff>
      <xdr:row>15</xdr:row>
      <xdr:rowOff>143486</xdr:rowOff>
    </xdr:to>
    <xdr:sp macro="" textlink="">
      <xdr:nvSpPr>
        <xdr:cNvPr id="53" name="Rectangle: Rounded Corners 52">
          <a:extLst>
            <a:ext uri="{FF2B5EF4-FFF2-40B4-BE49-F238E27FC236}">
              <a16:creationId xmlns:a16="http://schemas.microsoft.com/office/drawing/2014/main" id="{363EC290-C7A6-424E-8D99-4ECBE09E24D9}"/>
            </a:ext>
          </a:extLst>
        </xdr:cNvPr>
        <xdr:cNvSpPr/>
      </xdr:nvSpPr>
      <xdr:spPr>
        <a:xfrm>
          <a:off x="3217334" y="2358571"/>
          <a:ext cx="1499810" cy="506344"/>
        </a:xfrm>
        <a:prstGeom prst="roundRect">
          <a:avLst/>
        </a:prstGeom>
        <a:solidFill>
          <a:srgbClr val="3E5F44"/>
        </a:solidFill>
        <a:ln>
          <a:miter lim="800000"/>
        </a:ln>
      </xdr:spPr>
      <xdr:style>
        <a:lnRef idx="2">
          <a:schemeClr val="accent1">
            <a:shade val="15000"/>
          </a:schemeClr>
        </a:lnRef>
        <a:fillRef idx="1002">
          <a:schemeClr val="lt2"/>
        </a:fillRef>
        <a:effectRef idx="0">
          <a:schemeClr val="accent1"/>
        </a:effectRef>
        <a:fontRef idx="minor">
          <a:schemeClr val="lt1"/>
        </a:fontRef>
      </xdr:style>
      <xdr:txBody>
        <a:bodyPr vertOverflow="clip" horzOverflow="clip" rtlCol="0" anchor="t"/>
        <a:lstStyle/>
        <a:p>
          <a:pPr algn="ctr"/>
          <a:r>
            <a:rPr lang="en-IN" sz="1000" b="1">
              <a:latin typeface="Segoe UI" panose="020B0502040204020203" pitchFamily="34" charset="0"/>
              <a:cs typeface="Segoe UI" panose="020B0502040204020203" pitchFamily="34" charset="0"/>
            </a:rPr>
            <a:t>Attrition</a:t>
          </a:r>
          <a:r>
            <a:rPr lang="en-IN" sz="1000" b="1" baseline="0">
              <a:latin typeface="Segoe UI" panose="020B0502040204020203" pitchFamily="34" charset="0"/>
              <a:cs typeface="Segoe UI" panose="020B0502040204020203" pitchFamily="34" charset="0"/>
            </a:rPr>
            <a:t>  Rate</a:t>
          </a:r>
        </a:p>
        <a:p>
          <a:pPr algn="ctr"/>
          <a:r>
            <a:rPr lang="en-IN" sz="1000" b="1" i="0" u="none" strike="noStrike">
              <a:solidFill>
                <a:schemeClr val="lt1"/>
              </a:solidFill>
              <a:effectLst/>
              <a:latin typeface="Segoe UI" panose="020B0502040204020203" pitchFamily="34" charset="0"/>
              <a:ea typeface="+mn-ea"/>
              <a:cs typeface="Segoe UI" panose="020B0502040204020203" pitchFamily="34" charset="0"/>
            </a:rPr>
            <a:t>16.12</a:t>
          </a:r>
          <a:r>
            <a:rPr lang="en-IN" sz="1000" b="1">
              <a:effectLst/>
              <a:latin typeface="Segoe UI" panose="020B0502040204020203" pitchFamily="34" charset="0"/>
              <a:cs typeface="Segoe UI" panose="020B0502040204020203" pitchFamily="34" charset="0"/>
            </a:rPr>
            <a:t> %</a:t>
          </a:r>
          <a:endParaRPr lang="en-IN" sz="1000" b="1">
            <a:latin typeface="Segoe UI" panose="020B0502040204020203" pitchFamily="34" charset="0"/>
            <a:cs typeface="Segoe UI" panose="020B0502040204020203" pitchFamily="34" charset="0"/>
          </a:endParaRPr>
        </a:p>
      </xdr:txBody>
    </xdr:sp>
    <xdr:clientData/>
  </xdr:twoCellAnchor>
  <xdr:twoCellAnchor>
    <xdr:from>
      <xdr:col>1</xdr:col>
      <xdr:colOff>580572</xdr:colOff>
      <xdr:row>35</xdr:row>
      <xdr:rowOff>157237</xdr:rowOff>
    </xdr:from>
    <xdr:to>
      <xdr:col>4</xdr:col>
      <xdr:colOff>1572381</xdr:colOff>
      <xdr:row>50</xdr:row>
      <xdr:rowOff>145141</xdr:rowOff>
    </xdr:to>
    <xdr:graphicFrame macro="">
      <xdr:nvGraphicFramePr>
        <xdr:cNvPr id="54" name="Chart 53">
          <a:extLst>
            <a:ext uri="{FF2B5EF4-FFF2-40B4-BE49-F238E27FC236}">
              <a16:creationId xmlns:a16="http://schemas.microsoft.com/office/drawing/2014/main" id="{469B5CC2-1ED3-4C62-AB50-D0336A1C2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13</xdr:col>
      <xdr:colOff>190499</xdr:colOff>
      <xdr:row>0</xdr:row>
      <xdr:rowOff>1</xdr:rowOff>
    </xdr:from>
    <xdr:to>
      <xdr:col>17</xdr:col>
      <xdr:colOff>95250</xdr:colOff>
      <xdr:row>8</xdr:row>
      <xdr:rowOff>57151</xdr:rowOff>
    </xdr:to>
    <xdr:graphicFrame macro="">
      <xdr:nvGraphicFramePr>
        <xdr:cNvPr id="55" name="Chart 54">
          <a:extLst>
            <a:ext uri="{FF2B5EF4-FFF2-40B4-BE49-F238E27FC236}">
              <a16:creationId xmlns:a16="http://schemas.microsoft.com/office/drawing/2014/main" id="{EED31286-C009-470D-9422-9F18AF208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18969</xdr:colOff>
      <xdr:row>4</xdr:row>
      <xdr:rowOff>101709</xdr:rowOff>
    </xdr:from>
    <xdr:to>
      <xdr:col>2</xdr:col>
      <xdr:colOff>458977</xdr:colOff>
      <xdr:row>7</xdr:row>
      <xdr:rowOff>108545</xdr:rowOff>
    </xdr:to>
    <xdr:sp macro="" textlink="">
      <xdr:nvSpPr>
        <xdr:cNvPr id="7" name="Rectangle: Rounded Corners 6">
          <a:extLst>
            <a:ext uri="{FF2B5EF4-FFF2-40B4-BE49-F238E27FC236}">
              <a16:creationId xmlns:a16="http://schemas.microsoft.com/office/drawing/2014/main" id="{577B0427-09A0-212E-D9E7-1D59124D48D4}"/>
            </a:ext>
          </a:extLst>
        </xdr:cNvPr>
        <xdr:cNvSpPr/>
      </xdr:nvSpPr>
      <xdr:spPr>
        <a:xfrm>
          <a:off x="18969" y="844171"/>
          <a:ext cx="1651393" cy="563682"/>
        </a:xfrm>
        <a:prstGeom prst="roundRect">
          <a:avLst/>
        </a:prstGeom>
        <a:solidFill>
          <a:srgbClr val="3E5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i="0" u="none" strike="noStrike">
              <a:solidFill>
                <a:schemeClr val="lt1"/>
              </a:solidFill>
              <a:effectLst/>
              <a:latin typeface="Segoe UI" panose="020B0502040204020203" pitchFamily="34" charset="0"/>
              <a:ea typeface="+mn-ea"/>
              <a:cs typeface="Segoe UI" panose="020B0502040204020203" pitchFamily="34" charset="0"/>
            </a:rPr>
            <a:t>Total</a:t>
          </a:r>
          <a:r>
            <a:rPr lang="en-IN" sz="1100" b="1" i="0" u="none" strike="noStrike" baseline="0">
              <a:solidFill>
                <a:schemeClr val="lt1"/>
              </a:solidFill>
              <a:effectLst/>
              <a:latin typeface="Segoe UI" panose="020B0502040204020203" pitchFamily="34" charset="0"/>
              <a:ea typeface="+mn-ea"/>
              <a:cs typeface="Segoe UI" panose="020B0502040204020203" pitchFamily="34" charset="0"/>
            </a:rPr>
            <a:t> Employees</a:t>
          </a:r>
        </a:p>
        <a:p>
          <a:pPr algn="ctr"/>
          <a:r>
            <a:rPr lang="en-IN" sz="1000" b="1" i="0" u="none" strike="noStrike">
              <a:solidFill>
                <a:schemeClr val="lt1"/>
              </a:solidFill>
              <a:effectLst/>
              <a:latin typeface="Segoe UI" panose="020B0502040204020203" pitchFamily="34" charset="0"/>
              <a:ea typeface="+mn-ea"/>
              <a:cs typeface="Segoe UI" panose="020B0502040204020203" pitchFamily="34" charset="0"/>
            </a:rPr>
            <a:t>1470</a:t>
          </a:r>
          <a:r>
            <a:rPr lang="en-IN" sz="1000" b="1">
              <a:effectLst/>
              <a:latin typeface="Segoe UI" panose="020B0502040204020203" pitchFamily="34" charset="0"/>
              <a:cs typeface="Segoe UI" panose="020B0502040204020203" pitchFamily="34" charset="0"/>
            </a:rPr>
            <a:t> </a:t>
          </a:r>
          <a:endParaRPr lang="en-IN" sz="1000" b="1">
            <a:latin typeface="Segoe UI" panose="020B0502040204020203" pitchFamily="34" charset="0"/>
            <a:cs typeface="Segoe UI" panose="020B0502040204020203" pitchFamily="34" charset="0"/>
          </a:endParaRPr>
        </a:p>
      </xdr:txBody>
    </xdr:sp>
    <xdr:clientData/>
  </xdr:twoCellAnchor>
  <xdr:twoCellAnchor>
    <xdr:from>
      <xdr:col>15</xdr:col>
      <xdr:colOff>353135</xdr:colOff>
      <xdr:row>56</xdr:row>
      <xdr:rowOff>167640</xdr:rowOff>
    </xdr:from>
    <xdr:to>
      <xdr:col>19</xdr:col>
      <xdr:colOff>462702</xdr:colOff>
      <xdr:row>64</xdr:row>
      <xdr:rowOff>68580</xdr:rowOff>
    </xdr:to>
    <xdr:graphicFrame macro="">
      <xdr:nvGraphicFramePr>
        <xdr:cNvPr id="10" name="Chart 9">
          <a:extLst>
            <a:ext uri="{FF2B5EF4-FFF2-40B4-BE49-F238E27FC236}">
              <a16:creationId xmlns:a16="http://schemas.microsoft.com/office/drawing/2014/main" id="{9EBF2556-9131-4C1E-A657-7624DB438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261107</xdr:colOff>
      <xdr:row>4</xdr:row>
      <xdr:rowOff>81644</xdr:rowOff>
    </xdr:from>
    <xdr:to>
      <xdr:col>14</xdr:col>
      <xdr:colOff>366402</xdr:colOff>
      <xdr:row>7</xdr:row>
      <xdr:rowOff>92063</xdr:rowOff>
    </xdr:to>
    <xdr:sp macro="" textlink="">
      <xdr:nvSpPr>
        <xdr:cNvPr id="13" name="Rectangle: Rounded Corners 12">
          <a:extLst>
            <a:ext uri="{FF2B5EF4-FFF2-40B4-BE49-F238E27FC236}">
              <a16:creationId xmlns:a16="http://schemas.microsoft.com/office/drawing/2014/main" id="{FD96FD15-2383-48DE-8B08-C371CE05B1A8}"/>
            </a:ext>
          </a:extLst>
        </xdr:cNvPr>
        <xdr:cNvSpPr/>
      </xdr:nvSpPr>
      <xdr:spPr>
        <a:xfrm>
          <a:off x="6946750" y="807358"/>
          <a:ext cx="1928652" cy="554705"/>
        </a:xfrm>
        <a:prstGeom prst="roundRect">
          <a:avLst/>
        </a:prstGeom>
        <a:solidFill>
          <a:srgbClr val="3E5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b" latinLnBrk="0" hangingPunct="1">
            <a:lnSpc>
              <a:spcPct val="100000"/>
            </a:lnSpc>
            <a:spcBef>
              <a:spcPts val="0"/>
            </a:spcBef>
            <a:spcAft>
              <a:spcPts val="0"/>
            </a:spcAft>
            <a:buClrTx/>
            <a:buSzTx/>
            <a:buFontTx/>
            <a:buNone/>
            <a:tabLst/>
            <a:defRPr/>
          </a:pPr>
          <a:r>
            <a:rPr lang="en-IN" sz="1100" b="0" i="0" u="none" strike="noStrike">
              <a:solidFill>
                <a:schemeClr val="lt1"/>
              </a:solidFill>
              <a:effectLst/>
              <a:latin typeface="+mn-lt"/>
              <a:ea typeface="+mn-ea"/>
              <a:cs typeface="+mn-cs"/>
            </a:rPr>
            <a:t> </a:t>
          </a:r>
          <a:r>
            <a:rPr lang="en-IN" sz="1000" b="1" i="0" u="none" strike="noStrike">
              <a:solidFill>
                <a:schemeClr val="lt1"/>
              </a:solidFill>
              <a:effectLst/>
              <a:latin typeface="Segoe UI" panose="020B0502040204020203" pitchFamily="34" charset="0"/>
              <a:ea typeface="+mn-ea"/>
              <a:cs typeface="Segoe UI" panose="020B0502040204020203" pitchFamily="34" charset="0"/>
            </a:rPr>
            <a:t>Average  Age</a:t>
          </a:r>
        </a:p>
        <a:p>
          <a:pPr algn="ctr" fontAlgn="b"/>
          <a:r>
            <a:rPr lang="en-IN" sz="1000" b="1" i="0" u="none" strike="noStrike">
              <a:solidFill>
                <a:schemeClr val="lt1"/>
              </a:solidFill>
              <a:effectLst/>
              <a:latin typeface="Segoe UI" panose="020B0502040204020203" pitchFamily="34" charset="0"/>
              <a:ea typeface="+mn-ea"/>
              <a:cs typeface="Segoe UI" panose="020B0502040204020203" pitchFamily="34" charset="0"/>
            </a:rPr>
            <a:t>36.9</a:t>
          </a:r>
        </a:p>
      </xdr:txBody>
    </xdr:sp>
    <xdr:clientData/>
  </xdr:twoCellAnchor>
  <xdr:twoCellAnchor>
    <xdr:from>
      <xdr:col>15</xdr:col>
      <xdr:colOff>351091</xdr:colOff>
      <xdr:row>4</xdr:row>
      <xdr:rowOff>79450</xdr:rowOff>
    </xdr:from>
    <xdr:to>
      <xdr:col>18</xdr:col>
      <xdr:colOff>587857</xdr:colOff>
      <xdr:row>7</xdr:row>
      <xdr:rowOff>64601</xdr:rowOff>
    </xdr:to>
    <xdr:sp macro="" textlink="">
      <xdr:nvSpPr>
        <xdr:cNvPr id="12" name="Rectangle: Rounded Corners 11">
          <a:extLst>
            <a:ext uri="{FF2B5EF4-FFF2-40B4-BE49-F238E27FC236}">
              <a16:creationId xmlns:a16="http://schemas.microsoft.com/office/drawing/2014/main" id="{0AB214D4-901B-4E85-9DAB-43575DC126C1}"/>
            </a:ext>
          </a:extLst>
        </xdr:cNvPr>
        <xdr:cNvSpPr/>
      </xdr:nvSpPr>
      <xdr:spPr>
        <a:xfrm>
          <a:off x="9436476" y="821912"/>
          <a:ext cx="2053843" cy="541997"/>
        </a:xfrm>
        <a:prstGeom prst="roundRect">
          <a:avLst/>
        </a:prstGeom>
        <a:solidFill>
          <a:srgbClr val="3E5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atin typeface="Segoe UI" panose="020B0502040204020203" pitchFamily="34" charset="0"/>
              <a:cs typeface="Segoe UI" panose="020B0502040204020203" pitchFamily="34" charset="0"/>
            </a:rPr>
            <a:t>Average Monthly</a:t>
          </a:r>
          <a:r>
            <a:rPr lang="en-IN" sz="1100" b="1" baseline="0">
              <a:latin typeface="Segoe UI" panose="020B0502040204020203" pitchFamily="34" charset="0"/>
              <a:cs typeface="Segoe UI" panose="020B0502040204020203" pitchFamily="34" charset="0"/>
            </a:rPr>
            <a:t> Income                            </a:t>
          </a:r>
          <a:r>
            <a:rPr lang="en-IN" sz="1100" b="1" baseline="0">
              <a:effectLst/>
            </a:rPr>
            <a:t>  </a:t>
          </a:r>
        </a:p>
        <a:p>
          <a:pPr algn="ctr"/>
          <a:r>
            <a:rPr lang="en-IN" sz="1000" b="1" i="0" u="none" strike="noStrike">
              <a:solidFill>
                <a:schemeClr val="lt1"/>
              </a:solidFill>
              <a:effectLst/>
              <a:latin typeface="+mn-lt"/>
              <a:ea typeface="+mn-ea"/>
              <a:cs typeface="+mn-cs"/>
            </a:rPr>
            <a:t>6502.93</a:t>
          </a:r>
          <a:endParaRPr lang="en-IN" sz="1000" b="1"/>
        </a:p>
      </xdr:txBody>
    </xdr:sp>
    <xdr:clientData/>
  </xdr:twoCellAnchor>
  <xdr:twoCellAnchor editAs="oneCell">
    <xdr:from>
      <xdr:col>20</xdr:col>
      <xdr:colOff>99060</xdr:colOff>
      <xdr:row>1</xdr:row>
      <xdr:rowOff>0</xdr:rowOff>
    </xdr:from>
    <xdr:to>
      <xdr:col>23</xdr:col>
      <xdr:colOff>129540</xdr:colOff>
      <xdr:row>6</xdr:row>
      <xdr:rowOff>7620</xdr:rowOff>
    </xdr:to>
    <mc:AlternateContent xmlns:mc="http://schemas.openxmlformats.org/markup-compatibility/2006" xmlns:a14="http://schemas.microsoft.com/office/drawing/2010/main">
      <mc:Choice Requires="a14">
        <xdr:graphicFrame macro="">
          <xdr:nvGraphicFramePr>
            <xdr:cNvPr id="5" name="Attrition">
              <a:extLst>
                <a:ext uri="{FF2B5EF4-FFF2-40B4-BE49-F238E27FC236}">
                  <a16:creationId xmlns:a16="http://schemas.microsoft.com/office/drawing/2014/main" id="{69E728E6-290B-6AAB-77C5-A744A826F911}"/>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2291060" y="182880"/>
              <a:ext cx="185928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252427</xdr:colOff>
      <xdr:row>9</xdr:row>
      <xdr:rowOff>171113</xdr:rowOff>
    </xdr:from>
    <xdr:to>
      <xdr:col>1</xdr:col>
      <xdr:colOff>472991</xdr:colOff>
      <xdr:row>11</xdr:row>
      <xdr:rowOff>20254</xdr:rowOff>
    </xdr:to>
    <xdr:sp macro="" textlink="">
      <xdr:nvSpPr>
        <xdr:cNvPr id="26" name="Rectangle 25">
          <a:extLst>
            <a:ext uri="{FF2B5EF4-FFF2-40B4-BE49-F238E27FC236}">
              <a16:creationId xmlns:a16="http://schemas.microsoft.com/office/drawing/2014/main" id="{10DB80D8-8B33-154C-919E-7653F66E8F36}"/>
            </a:ext>
          </a:extLst>
        </xdr:cNvPr>
        <xdr:cNvSpPr/>
      </xdr:nvSpPr>
      <xdr:spPr>
        <a:xfrm>
          <a:off x="252427" y="1817033"/>
          <a:ext cx="830164" cy="2149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t>   </a:t>
          </a:r>
          <a:endParaRPr lang="en-IN" sz="800">
            <a:solidFill>
              <a:schemeClr val="tx1">
                <a:lumMod val="95000"/>
                <a:lumOff val="5000"/>
              </a:schemeClr>
            </a:solidFill>
          </a:endParaRPr>
        </a:p>
      </xdr:txBody>
    </xdr:sp>
    <xdr:clientData/>
  </xdr:twoCellAnchor>
  <xdr:twoCellAnchor>
    <xdr:from>
      <xdr:col>0</xdr:col>
      <xdr:colOff>0</xdr:colOff>
      <xdr:row>0</xdr:row>
      <xdr:rowOff>0</xdr:rowOff>
    </xdr:from>
    <xdr:to>
      <xdr:col>24</xdr:col>
      <xdr:colOff>9769</xdr:colOff>
      <xdr:row>3</xdr:row>
      <xdr:rowOff>166077</xdr:rowOff>
    </xdr:to>
    <xdr:sp macro="" textlink="">
      <xdr:nvSpPr>
        <xdr:cNvPr id="33" name="Rectangle 32">
          <a:extLst>
            <a:ext uri="{FF2B5EF4-FFF2-40B4-BE49-F238E27FC236}">
              <a16:creationId xmlns:a16="http://schemas.microsoft.com/office/drawing/2014/main" id="{BBDE0437-FB54-FFF5-C138-343010A19725}"/>
            </a:ext>
          </a:extLst>
        </xdr:cNvPr>
        <xdr:cNvSpPr/>
      </xdr:nvSpPr>
      <xdr:spPr>
        <a:xfrm>
          <a:off x="0" y="0"/>
          <a:ext cx="14546384" cy="722923"/>
        </a:xfrm>
        <a:prstGeom prst="rect">
          <a:avLst/>
        </a:prstGeom>
        <a:solidFill>
          <a:srgbClr val="3E5F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latin typeface="Segoe UI" panose="020B0502040204020203" pitchFamily="34" charset="0"/>
              <a:cs typeface="Segoe UI" panose="020B0502040204020203" pitchFamily="34" charset="0"/>
            </a:rPr>
            <a:t>EMPLOYEE</a:t>
          </a:r>
          <a:r>
            <a:rPr lang="en-IN" sz="2000" b="1" baseline="0">
              <a:solidFill>
                <a:schemeClr val="bg1"/>
              </a:solidFill>
              <a:latin typeface="Segoe UI" panose="020B0502040204020203" pitchFamily="34" charset="0"/>
              <a:cs typeface="Segoe UI" panose="020B0502040204020203" pitchFamily="34" charset="0"/>
            </a:rPr>
            <a:t> ATTRITION ANALYSIS</a:t>
          </a:r>
        </a:p>
        <a:p>
          <a:pPr algn="ctr"/>
          <a:r>
            <a:rPr lang="en-IN" sz="1400" b="1" baseline="0">
              <a:solidFill>
                <a:schemeClr val="bg1"/>
              </a:solidFill>
              <a:latin typeface="Segoe UI" panose="020B0502040204020203" pitchFamily="34" charset="0"/>
              <a:cs typeface="Segoe UI" panose="020B0502040204020203" pitchFamily="34" charset="0"/>
            </a:rPr>
            <a:t>Workforce Retention &amp; Attrition Drivers</a:t>
          </a:r>
          <a:endParaRPr lang="en-IN" sz="14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7</xdr:col>
      <xdr:colOff>211336</xdr:colOff>
      <xdr:row>4</xdr:row>
      <xdr:rowOff>154215</xdr:rowOff>
    </xdr:from>
    <xdr:to>
      <xdr:col>10</xdr:col>
      <xdr:colOff>316169</xdr:colOff>
      <xdr:row>7</xdr:row>
      <xdr:rowOff>111919</xdr:rowOff>
    </xdr:to>
    <xdr:sp macro="" textlink="">
      <xdr:nvSpPr>
        <xdr:cNvPr id="4" name="Rectangle: Rounded Corners 3">
          <a:extLst>
            <a:ext uri="{FF2B5EF4-FFF2-40B4-BE49-F238E27FC236}">
              <a16:creationId xmlns:a16="http://schemas.microsoft.com/office/drawing/2014/main" id="{5397ABF3-E0F3-466B-9B23-8FE9F0587DAE}"/>
            </a:ext>
          </a:extLst>
        </xdr:cNvPr>
        <xdr:cNvSpPr/>
      </xdr:nvSpPr>
      <xdr:spPr>
        <a:xfrm>
          <a:off x="4465836" y="879929"/>
          <a:ext cx="1928190" cy="501990"/>
        </a:xfrm>
        <a:prstGeom prst="roundRect">
          <a:avLst/>
        </a:prstGeom>
        <a:solidFill>
          <a:srgbClr val="3E5F44"/>
        </a:solidFill>
        <a:ln>
          <a:miter lim="800000"/>
        </a:ln>
      </xdr:spPr>
      <xdr:style>
        <a:lnRef idx="2">
          <a:schemeClr val="accent1">
            <a:shade val="15000"/>
          </a:schemeClr>
        </a:lnRef>
        <a:fillRef idx="1002">
          <a:schemeClr val="lt2"/>
        </a:fillRef>
        <a:effectRef idx="0">
          <a:schemeClr val="accent1"/>
        </a:effectRef>
        <a:fontRef idx="minor">
          <a:schemeClr val="lt1"/>
        </a:fontRef>
      </xdr:style>
      <xdr:txBody>
        <a:bodyPr vertOverflow="clip" horzOverflow="clip" rtlCol="0" anchor="t"/>
        <a:lstStyle/>
        <a:p>
          <a:pPr algn="ctr"/>
          <a:r>
            <a:rPr lang="en-IN" sz="1000" b="1">
              <a:latin typeface="Segoe UI" panose="020B0502040204020203" pitchFamily="34" charset="0"/>
              <a:cs typeface="Segoe UI" panose="020B0502040204020203" pitchFamily="34" charset="0"/>
            </a:rPr>
            <a:t>Attrition</a:t>
          </a:r>
          <a:r>
            <a:rPr lang="en-IN" sz="1000" b="1" baseline="0">
              <a:latin typeface="Segoe UI" panose="020B0502040204020203" pitchFamily="34" charset="0"/>
              <a:cs typeface="Segoe UI" panose="020B0502040204020203" pitchFamily="34" charset="0"/>
            </a:rPr>
            <a:t>  Rate</a:t>
          </a:r>
        </a:p>
        <a:p>
          <a:pPr algn="ctr"/>
          <a:r>
            <a:rPr lang="en-IN" sz="1000" b="1" i="0" u="none" strike="noStrike">
              <a:solidFill>
                <a:schemeClr val="lt1"/>
              </a:solidFill>
              <a:effectLst/>
              <a:latin typeface="Segoe UI" panose="020B0502040204020203" pitchFamily="34" charset="0"/>
              <a:ea typeface="+mn-ea"/>
              <a:cs typeface="Segoe UI" panose="020B0502040204020203" pitchFamily="34" charset="0"/>
            </a:rPr>
            <a:t>16.12</a:t>
          </a:r>
          <a:r>
            <a:rPr lang="en-IN" sz="1000" b="1">
              <a:effectLst/>
              <a:latin typeface="Segoe UI" panose="020B0502040204020203" pitchFamily="34" charset="0"/>
              <a:cs typeface="Segoe UI" panose="020B0502040204020203" pitchFamily="34" charset="0"/>
            </a:rPr>
            <a:t> %</a:t>
          </a:r>
          <a:endParaRPr lang="en-IN" sz="1000" b="1">
            <a:latin typeface="Segoe UI" panose="020B0502040204020203" pitchFamily="34" charset="0"/>
            <a:cs typeface="Segoe UI" panose="020B0502040204020203" pitchFamily="34" charset="0"/>
          </a:endParaRPr>
        </a:p>
      </xdr:txBody>
    </xdr:sp>
    <xdr:clientData/>
  </xdr:twoCellAnchor>
  <xdr:twoCellAnchor editAs="oneCell">
    <xdr:from>
      <xdr:col>20</xdr:col>
      <xdr:colOff>152785</xdr:colOff>
      <xdr:row>22</xdr:row>
      <xdr:rowOff>167564</xdr:rowOff>
    </xdr:from>
    <xdr:to>
      <xdr:col>23</xdr:col>
      <xdr:colOff>152785</xdr:colOff>
      <xdr:row>29</xdr:row>
      <xdr:rowOff>53263</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6E54BFCE-849B-B46A-6B81-1C8C92BDD43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344785" y="4190924"/>
              <a:ext cx="1828800" cy="116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129540</xdr:colOff>
      <xdr:row>17</xdr:row>
      <xdr:rowOff>121921</xdr:rowOff>
    </xdr:from>
    <xdr:to>
      <xdr:col>23</xdr:col>
      <xdr:colOff>129540</xdr:colOff>
      <xdr:row>22</xdr:row>
      <xdr:rowOff>129541</xdr:rowOff>
    </xdr:to>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F99D7540-C381-4FD6-5940-A14ECAEBFA4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21540" y="3230881"/>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121920</xdr:colOff>
      <xdr:row>12</xdr:row>
      <xdr:rowOff>106681</xdr:rowOff>
    </xdr:from>
    <xdr:to>
      <xdr:col>23</xdr:col>
      <xdr:colOff>121920</xdr:colOff>
      <xdr:row>17</xdr:row>
      <xdr:rowOff>91441</xdr:rowOff>
    </xdr:to>
    <mc:AlternateContent xmlns:mc="http://schemas.openxmlformats.org/markup-compatibility/2006" xmlns:a14="http://schemas.microsoft.com/office/drawing/2010/main">
      <mc:Choice Requires="a14">
        <xdr:graphicFrame macro="">
          <xdr:nvGraphicFramePr>
            <xdr:cNvPr id="24" name="OverTime">
              <a:extLst>
                <a:ext uri="{FF2B5EF4-FFF2-40B4-BE49-F238E27FC236}">
                  <a16:creationId xmlns:a16="http://schemas.microsoft.com/office/drawing/2014/main" id="{5A318B90-9B74-E5A3-C5B6-E6232C42E7CE}"/>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2313920" y="230124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342651</xdr:colOff>
      <xdr:row>4</xdr:row>
      <xdr:rowOff>108857</xdr:rowOff>
    </xdr:from>
    <xdr:to>
      <xdr:col>6</xdr:col>
      <xdr:colOff>341034</xdr:colOff>
      <xdr:row>7</xdr:row>
      <xdr:rowOff>110465</xdr:rowOff>
    </xdr:to>
    <xdr:sp macro="" textlink="">
      <xdr:nvSpPr>
        <xdr:cNvPr id="22" name="Rectangle: Rounded Corners 21">
          <a:extLst>
            <a:ext uri="{FF2B5EF4-FFF2-40B4-BE49-F238E27FC236}">
              <a16:creationId xmlns:a16="http://schemas.microsoft.com/office/drawing/2014/main" id="{C6CCD09A-714A-41BE-A735-05A92508DD0D}"/>
            </a:ext>
          </a:extLst>
        </xdr:cNvPr>
        <xdr:cNvSpPr/>
      </xdr:nvSpPr>
      <xdr:spPr>
        <a:xfrm>
          <a:off x="2166008" y="834571"/>
          <a:ext cx="1821740" cy="545894"/>
        </a:xfrm>
        <a:prstGeom prst="roundRect">
          <a:avLst/>
        </a:prstGeom>
        <a:solidFill>
          <a:srgbClr val="3E5F44"/>
        </a:solidFill>
        <a:ln>
          <a:solidFill>
            <a:srgbClr val="3E5F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effectLst/>
              <a:latin typeface="Segoe UI" panose="020B0502040204020203" pitchFamily="34" charset="0"/>
              <a:cs typeface="Segoe UI" panose="020B0502040204020203" pitchFamily="34" charset="0"/>
            </a:rPr>
            <a:t>Employees</a:t>
          </a:r>
          <a:r>
            <a:rPr lang="en-IN" sz="1200" b="1" baseline="0">
              <a:effectLst/>
              <a:latin typeface="Segoe UI" panose="020B0502040204020203" pitchFamily="34" charset="0"/>
              <a:cs typeface="Segoe UI" panose="020B0502040204020203" pitchFamily="34" charset="0"/>
            </a:rPr>
            <a:t> </a:t>
          </a:r>
          <a:r>
            <a:rPr lang="en-IN" sz="1200" b="1">
              <a:effectLst/>
              <a:latin typeface="Segoe UI" panose="020B0502040204020203" pitchFamily="34" charset="0"/>
              <a:cs typeface="Segoe UI" panose="020B0502040204020203" pitchFamily="34" charset="0"/>
            </a:rPr>
            <a:t>Left </a:t>
          </a:r>
        </a:p>
        <a:p>
          <a:pPr algn="ctr"/>
          <a:r>
            <a:rPr lang="en-IN" sz="1100" b="1" i="0" u="none" strike="noStrike">
              <a:solidFill>
                <a:schemeClr val="lt1"/>
              </a:solidFill>
              <a:effectLst/>
              <a:latin typeface="Segoe UI" panose="020B0502040204020203" pitchFamily="34" charset="0"/>
              <a:ea typeface="+mn-ea"/>
              <a:cs typeface="Segoe UI" panose="020B0502040204020203" pitchFamily="34" charset="0"/>
            </a:rPr>
            <a:t>237</a:t>
          </a:r>
          <a:r>
            <a:rPr lang="en-IN" sz="1100" b="1">
              <a:effectLst/>
              <a:latin typeface="Segoe UI" panose="020B0502040204020203" pitchFamily="34" charset="0"/>
              <a:cs typeface="Segoe UI" panose="020B0502040204020203" pitchFamily="34" charset="0"/>
            </a:rPr>
            <a:t> </a:t>
          </a:r>
          <a:endParaRPr lang="en-IN" sz="1100" b="1">
            <a:latin typeface="Segoe UI" panose="020B0502040204020203" pitchFamily="34" charset="0"/>
            <a:cs typeface="Segoe UI" panose="020B0502040204020203" pitchFamily="34" charset="0"/>
          </a:endParaRPr>
        </a:p>
      </xdr:txBody>
    </xdr:sp>
    <xdr:clientData/>
  </xdr:twoCellAnchor>
  <xdr:twoCellAnchor>
    <xdr:from>
      <xdr:col>0</xdr:col>
      <xdr:colOff>15241</xdr:colOff>
      <xdr:row>7</xdr:row>
      <xdr:rowOff>146538</xdr:rowOff>
    </xdr:from>
    <xdr:to>
      <xdr:col>5</xdr:col>
      <xdr:colOff>195384</xdr:colOff>
      <xdr:row>14</xdr:row>
      <xdr:rowOff>137160</xdr:rowOff>
    </xdr:to>
    <xdr:graphicFrame macro="">
      <xdr:nvGraphicFramePr>
        <xdr:cNvPr id="25" name="Chart 24">
          <a:extLst>
            <a:ext uri="{FF2B5EF4-FFF2-40B4-BE49-F238E27FC236}">
              <a16:creationId xmlns:a16="http://schemas.microsoft.com/office/drawing/2014/main" id="{502DABED-E221-4D41-A2A6-479AD0B20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121920</xdr:colOff>
      <xdr:row>6</xdr:row>
      <xdr:rowOff>22861</xdr:rowOff>
    </xdr:from>
    <xdr:to>
      <xdr:col>23</xdr:col>
      <xdr:colOff>121920</xdr:colOff>
      <xdr:row>12</xdr:row>
      <xdr:rowOff>83821</xdr:rowOff>
    </xdr:to>
    <mc:AlternateContent xmlns:mc="http://schemas.openxmlformats.org/markup-compatibility/2006" xmlns:a14="http://schemas.microsoft.com/office/drawing/2010/main">
      <mc:Choice Requires="a14">
        <xdr:graphicFrame macro="">
          <xdr:nvGraphicFramePr>
            <xdr:cNvPr id="27" name="BusinessTravel">
              <a:extLst>
                <a:ext uri="{FF2B5EF4-FFF2-40B4-BE49-F238E27FC236}">
                  <a16:creationId xmlns:a16="http://schemas.microsoft.com/office/drawing/2014/main" id="{68137ED0-9B3F-1537-F08E-38D08C46283C}"/>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12313920" y="112014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228980</xdr:colOff>
      <xdr:row>14</xdr:row>
      <xdr:rowOff>166271</xdr:rowOff>
    </xdr:from>
    <xdr:to>
      <xdr:col>10</xdr:col>
      <xdr:colOff>279009</xdr:colOff>
      <xdr:row>22</xdr:row>
      <xdr:rowOff>117425</xdr:rowOff>
    </xdr:to>
    <xdr:graphicFrame macro="">
      <xdr:nvGraphicFramePr>
        <xdr:cNvPr id="9" name="Chart 8">
          <a:extLst>
            <a:ext uri="{FF2B5EF4-FFF2-40B4-BE49-F238E27FC236}">
              <a16:creationId xmlns:a16="http://schemas.microsoft.com/office/drawing/2014/main" id="{A32660A7-6076-410E-A8FE-9DF2E5FA5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115532</xdr:colOff>
      <xdr:row>15</xdr:row>
      <xdr:rowOff>182684</xdr:rowOff>
    </xdr:from>
    <xdr:to>
      <xdr:col>20</xdr:col>
      <xdr:colOff>69351</xdr:colOff>
      <xdr:row>22</xdr:row>
      <xdr:rowOff>129693</xdr:rowOff>
    </xdr:to>
    <xdr:graphicFrame macro="">
      <xdr:nvGraphicFramePr>
        <xdr:cNvPr id="11" name="Chart 10">
          <a:extLst>
            <a:ext uri="{FF2B5EF4-FFF2-40B4-BE49-F238E27FC236}">
              <a16:creationId xmlns:a16="http://schemas.microsoft.com/office/drawing/2014/main" id="{BAE48E1D-C87D-4C4C-9F3F-76A71DF92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xdr:row>
      <xdr:rowOff>168409</xdr:rowOff>
    </xdr:from>
    <xdr:to>
      <xdr:col>4</xdr:col>
      <xdr:colOff>180607</xdr:colOff>
      <xdr:row>22</xdr:row>
      <xdr:rowOff>129924</xdr:rowOff>
    </xdr:to>
    <xdr:graphicFrame macro="">
      <xdr:nvGraphicFramePr>
        <xdr:cNvPr id="14" name="Chart 13">
          <a:extLst>
            <a:ext uri="{FF2B5EF4-FFF2-40B4-BE49-F238E27FC236}">
              <a16:creationId xmlns:a16="http://schemas.microsoft.com/office/drawing/2014/main" id="{3DD27365-A71D-4270-8F71-E2A707FA0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244230</xdr:colOff>
      <xdr:row>7</xdr:row>
      <xdr:rowOff>175847</xdr:rowOff>
    </xdr:from>
    <xdr:to>
      <xdr:col>10</xdr:col>
      <xdr:colOff>293077</xdr:colOff>
      <xdr:row>14</xdr:row>
      <xdr:rowOff>144781</xdr:rowOff>
    </xdr:to>
    <xdr:graphicFrame macro="">
      <xdr:nvGraphicFramePr>
        <xdr:cNvPr id="3" name="Chart 2">
          <a:extLst>
            <a:ext uri="{FF2B5EF4-FFF2-40B4-BE49-F238E27FC236}">
              <a16:creationId xmlns:a16="http://schemas.microsoft.com/office/drawing/2014/main" id="{1075061E-3166-485C-B90A-10180EC28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339774</xdr:colOff>
      <xdr:row>16</xdr:row>
      <xdr:rowOff>13872</xdr:rowOff>
    </xdr:from>
    <xdr:to>
      <xdr:col>16</xdr:col>
      <xdr:colOff>85774</xdr:colOff>
      <xdr:row>22</xdr:row>
      <xdr:rowOff>122152</xdr:rowOff>
    </xdr:to>
    <xdr:graphicFrame macro="">
      <xdr:nvGraphicFramePr>
        <xdr:cNvPr id="8" name="Chart 7">
          <a:extLst>
            <a:ext uri="{FF2B5EF4-FFF2-40B4-BE49-F238E27FC236}">
              <a16:creationId xmlns:a16="http://schemas.microsoft.com/office/drawing/2014/main" id="{3AC3C386-42E0-4C7E-B546-01C192CA8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9312</xdr:colOff>
      <xdr:row>22</xdr:row>
      <xdr:rowOff>152246</xdr:rowOff>
    </xdr:from>
    <xdr:to>
      <xdr:col>6</xdr:col>
      <xdr:colOff>284787</xdr:colOff>
      <xdr:row>30</xdr:row>
      <xdr:rowOff>145473</xdr:rowOff>
    </xdr:to>
    <xdr:graphicFrame macro="">
      <xdr:nvGraphicFramePr>
        <xdr:cNvPr id="18" name="Chart 17">
          <a:extLst>
            <a:ext uri="{FF2B5EF4-FFF2-40B4-BE49-F238E27FC236}">
              <a16:creationId xmlns:a16="http://schemas.microsoft.com/office/drawing/2014/main" id="{1F21E3C6-6B5F-43BF-9374-E49891F61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298115</xdr:colOff>
      <xdr:row>22</xdr:row>
      <xdr:rowOff>157161</xdr:rowOff>
    </xdr:from>
    <xdr:to>
      <xdr:col>13</xdr:col>
      <xdr:colOff>307429</xdr:colOff>
      <xdr:row>31</xdr:row>
      <xdr:rowOff>12767</xdr:rowOff>
    </xdr:to>
    <xdr:graphicFrame macro="">
      <xdr:nvGraphicFramePr>
        <xdr:cNvPr id="21" name="Chart 20">
          <a:extLst>
            <a:ext uri="{FF2B5EF4-FFF2-40B4-BE49-F238E27FC236}">
              <a16:creationId xmlns:a16="http://schemas.microsoft.com/office/drawing/2014/main" id="{D18F3869-C753-4BF3-B806-6C87C866F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357163</xdr:colOff>
      <xdr:row>22</xdr:row>
      <xdr:rowOff>155242</xdr:rowOff>
    </xdr:from>
    <xdr:to>
      <xdr:col>20</xdr:col>
      <xdr:colOff>103163</xdr:colOff>
      <xdr:row>30</xdr:row>
      <xdr:rowOff>155242</xdr:rowOff>
    </xdr:to>
    <xdr:graphicFrame macro="">
      <xdr:nvGraphicFramePr>
        <xdr:cNvPr id="28" name="Chart 27">
          <a:extLst>
            <a:ext uri="{FF2B5EF4-FFF2-40B4-BE49-F238E27FC236}">
              <a16:creationId xmlns:a16="http://schemas.microsoft.com/office/drawing/2014/main" id="{71FF1B9A-6B3F-45DC-8E28-535EAD95B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351693</xdr:colOff>
      <xdr:row>7</xdr:row>
      <xdr:rowOff>134102</xdr:rowOff>
    </xdr:from>
    <xdr:to>
      <xdr:col>20</xdr:col>
      <xdr:colOff>48847</xdr:colOff>
      <xdr:row>15</xdr:row>
      <xdr:rowOff>160020</xdr:rowOff>
    </xdr:to>
    <xdr:graphicFrame macro="">
      <xdr:nvGraphicFramePr>
        <xdr:cNvPr id="29" name="Chart 28">
          <a:extLst>
            <a:ext uri="{FF2B5EF4-FFF2-40B4-BE49-F238E27FC236}">
              <a16:creationId xmlns:a16="http://schemas.microsoft.com/office/drawing/2014/main" id="{ABA7E453-DAE3-4562-9E49-D716BFF92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15241</xdr:colOff>
      <xdr:row>31</xdr:row>
      <xdr:rowOff>63193</xdr:rowOff>
    </xdr:from>
    <xdr:to>
      <xdr:col>4</xdr:col>
      <xdr:colOff>251098</xdr:colOff>
      <xdr:row>33</xdr:row>
      <xdr:rowOff>131299</xdr:rowOff>
    </xdr:to>
    <xdr:sp macro="" textlink="">
      <xdr:nvSpPr>
        <xdr:cNvPr id="30" name="Rectangle: Rounded Corners 29">
          <a:extLst>
            <a:ext uri="{FF2B5EF4-FFF2-40B4-BE49-F238E27FC236}">
              <a16:creationId xmlns:a16="http://schemas.microsoft.com/office/drawing/2014/main" id="{0374A264-FF38-8EBD-6197-B60081A858E4}"/>
            </a:ext>
          </a:extLst>
        </xdr:cNvPr>
        <xdr:cNvSpPr/>
      </xdr:nvSpPr>
      <xdr:spPr>
        <a:xfrm>
          <a:off x="15241" y="5732473"/>
          <a:ext cx="2674257" cy="433866"/>
        </a:xfrm>
        <a:prstGeom prst="roundRect">
          <a:avLst/>
        </a:prstGeom>
        <a:solidFill>
          <a:srgbClr val="3E5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 </a:t>
          </a:r>
          <a:r>
            <a:rPr lang="en-IN" b="1"/>
            <a:t>Sales Representatives:</a:t>
          </a:r>
          <a:r>
            <a:rPr lang="en-IN"/>
            <a:t> 39.8% attrition</a:t>
          </a:r>
          <a:endParaRPr lang="en-IN" sz="1100"/>
        </a:p>
      </xdr:txBody>
    </xdr:sp>
    <xdr:clientData/>
  </xdr:twoCellAnchor>
  <xdr:twoCellAnchor>
    <xdr:from>
      <xdr:col>4</xdr:col>
      <xdr:colOff>299358</xdr:colOff>
      <xdr:row>31</xdr:row>
      <xdr:rowOff>87923</xdr:rowOff>
    </xdr:from>
    <xdr:to>
      <xdr:col>9</xdr:col>
      <xdr:colOff>181429</xdr:colOff>
      <xdr:row>33</xdr:row>
      <xdr:rowOff>139700</xdr:rowOff>
    </xdr:to>
    <xdr:sp macro="" textlink="">
      <xdr:nvSpPr>
        <xdr:cNvPr id="32" name="Rectangle: Rounded Corners 31">
          <a:extLst>
            <a:ext uri="{FF2B5EF4-FFF2-40B4-BE49-F238E27FC236}">
              <a16:creationId xmlns:a16="http://schemas.microsoft.com/office/drawing/2014/main" id="{3E0CECB0-7A3E-49CD-8F87-6AC6E5DFE50D}"/>
            </a:ext>
          </a:extLst>
        </xdr:cNvPr>
        <xdr:cNvSpPr/>
      </xdr:nvSpPr>
      <xdr:spPr>
        <a:xfrm>
          <a:off x="2737758" y="5757203"/>
          <a:ext cx="2930071" cy="417537"/>
        </a:xfrm>
        <a:prstGeom prst="roundRect">
          <a:avLst/>
        </a:prstGeom>
        <a:solidFill>
          <a:srgbClr val="3E5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 </a:t>
          </a:r>
          <a:r>
            <a:rPr lang="en-IN" b="1"/>
            <a:t>Young Employees (18–20):</a:t>
          </a:r>
          <a:r>
            <a:rPr lang="en-IN"/>
            <a:t> 35.8% attrition</a:t>
          </a:r>
          <a:br>
            <a:rPr lang="en-IN"/>
          </a:br>
          <a:endParaRPr lang="en-IN" sz="1100"/>
        </a:p>
      </xdr:txBody>
    </xdr:sp>
    <xdr:clientData/>
  </xdr:twoCellAnchor>
  <xdr:twoCellAnchor>
    <xdr:from>
      <xdr:col>9</xdr:col>
      <xdr:colOff>220614</xdr:colOff>
      <xdr:row>31</xdr:row>
      <xdr:rowOff>80303</xdr:rowOff>
    </xdr:from>
    <xdr:to>
      <xdr:col>14</xdr:col>
      <xdr:colOff>447402</xdr:colOff>
      <xdr:row>33</xdr:row>
      <xdr:rowOff>141152</xdr:rowOff>
    </xdr:to>
    <xdr:sp macro="" textlink="">
      <xdr:nvSpPr>
        <xdr:cNvPr id="34" name="Rectangle: Rounded Corners 33">
          <a:extLst>
            <a:ext uri="{FF2B5EF4-FFF2-40B4-BE49-F238E27FC236}">
              <a16:creationId xmlns:a16="http://schemas.microsoft.com/office/drawing/2014/main" id="{0748F24A-2EE9-4C79-B426-1170972A5086}"/>
            </a:ext>
          </a:extLst>
        </xdr:cNvPr>
        <xdr:cNvSpPr/>
      </xdr:nvSpPr>
      <xdr:spPr>
        <a:xfrm>
          <a:off x="5707014" y="5749583"/>
          <a:ext cx="3274788" cy="426609"/>
        </a:xfrm>
        <a:prstGeom prst="roundRect">
          <a:avLst/>
        </a:prstGeom>
        <a:solidFill>
          <a:srgbClr val="3E5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 </a:t>
          </a:r>
          <a:r>
            <a:rPr lang="en-IN" b="1"/>
            <a:t>Low Work-Life Balance (Level 1):</a:t>
          </a:r>
          <a:r>
            <a:rPr lang="en-IN"/>
            <a:t> 31.1% attrition</a:t>
          </a:r>
          <a:br>
            <a:rPr lang="en-IN"/>
          </a:br>
          <a:endParaRPr lang="en-IN" sz="1100"/>
        </a:p>
      </xdr:txBody>
    </xdr:sp>
    <xdr:clientData/>
  </xdr:twoCellAnchor>
  <xdr:twoCellAnchor>
    <xdr:from>
      <xdr:col>14</xdr:col>
      <xdr:colOff>489854</xdr:colOff>
      <xdr:row>31</xdr:row>
      <xdr:rowOff>69166</xdr:rowOff>
    </xdr:from>
    <xdr:to>
      <xdr:col>19</xdr:col>
      <xdr:colOff>72570</xdr:colOff>
      <xdr:row>33</xdr:row>
      <xdr:rowOff>148773</xdr:rowOff>
    </xdr:to>
    <xdr:sp macro="" textlink="">
      <xdr:nvSpPr>
        <xdr:cNvPr id="35" name="Rectangle: Rounded Corners 34">
          <a:extLst>
            <a:ext uri="{FF2B5EF4-FFF2-40B4-BE49-F238E27FC236}">
              <a16:creationId xmlns:a16="http://schemas.microsoft.com/office/drawing/2014/main" id="{DBCDFC16-01F1-4C2B-8888-8054CA4EA198}"/>
            </a:ext>
          </a:extLst>
        </xdr:cNvPr>
        <xdr:cNvSpPr/>
      </xdr:nvSpPr>
      <xdr:spPr>
        <a:xfrm>
          <a:off x="9024254" y="5738446"/>
          <a:ext cx="2630716" cy="445367"/>
        </a:xfrm>
        <a:prstGeom prst="roundRect">
          <a:avLst/>
        </a:prstGeom>
        <a:solidFill>
          <a:srgbClr val="3E5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 </a:t>
          </a:r>
          <a:r>
            <a:rPr lang="en-IN" b="1"/>
            <a:t>Overtime Employees:</a:t>
          </a:r>
          <a:r>
            <a:rPr lang="en-IN"/>
            <a:t> 30.5% attrition</a:t>
          </a:r>
          <a:br>
            <a:rPr lang="en-IN"/>
          </a:br>
          <a:endParaRPr lang="en-IN" sz="1100"/>
        </a:p>
      </xdr:txBody>
    </xdr:sp>
    <xdr:clientData/>
  </xdr:twoCellAnchor>
  <xdr:twoCellAnchor>
    <xdr:from>
      <xdr:col>19</xdr:col>
      <xdr:colOff>101237</xdr:colOff>
      <xdr:row>31</xdr:row>
      <xdr:rowOff>72682</xdr:rowOff>
    </xdr:from>
    <xdr:to>
      <xdr:col>23</xdr:col>
      <xdr:colOff>591095</xdr:colOff>
      <xdr:row>33</xdr:row>
      <xdr:rowOff>142602</xdr:rowOff>
    </xdr:to>
    <xdr:sp macro="" textlink="">
      <xdr:nvSpPr>
        <xdr:cNvPr id="36" name="Rectangle: Rounded Corners 35">
          <a:extLst>
            <a:ext uri="{FF2B5EF4-FFF2-40B4-BE49-F238E27FC236}">
              <a16:creationId xmlns:a16="http://schemas.microsoft.com/office/drawing/2014/main" id="{3826B33F-1CA8-42FC-9D68-C6C08BBA4F19}"/>
            </a:ext>
          </a:extLst>
        </xdr:cNvPr>
        <xdr:cNvSpPr/>
      </xdr:nvSpPr>
      <xdr:spPr>
        <a:xfrm>
          <a:off x="11683637" y="5741962"/>
          <a:ext cx="2928258" cy="435680"/>
        </a:xfrm>
        <a:prstGeom prst="roundRect">
          <a:avLst/>
        </a:prstGeom>
        <a:solidFill>
          <a:srgbClr val="3E5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 </a:t>
          </a:r>
          <a:r>
            <a:rPr lang="en-IN" b="1"/>
            <a:t>Travel_Rarely Employees:</a:t>
          </a:r>
          <a:r>
            <a:rPr lang="en-IN"/>
            <a:t> 27.2% attrition</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ya" refreshedDate="46243.822684027778" createdVersion="8" refreshedVersion="8" minRefreshableVersion="3" recordCount="1470" xr:uid="{92714625-4A71-46E9-B676-71ECC8D27E28}">
  <cacheSource type="worksheet">
    <worksheetSource name="HR_Employee_Attrition"/>
  </cacheSource>
  <cacheFields count="39">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6">
        <s v="Sales"/>
        <s v="Research &amp; Development"/>
        <s v="Human Resources"/>
        <s v="R&amp;D" u="1"/>
        <s v="HR" u="1"/>
        <s v="R &amp; D" u="1"/>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Field" numFmtId="0">
      <sharedItems count="7">
        <s v="Life Sciences"/>
        <s v="Other"/>
        <s v="Medical"/>
        <s v="Marketing"/>
        <s v="Technical Degree"/>
        <s v="Human Resources"/>
        <s v="HR" u="1"/>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ount="5">
        <n v="2"/>
        <n v="1"/>
        <n v="3"/>
        <n v="4"/>
        <n v="5"/>
      </sharedItems>
    </cacheField>
    <cacheField name="JobRole" numFmtId="0">
      <sharedItems count="10">
        <s v="Sales Executive"/>
        <s v="Research Scientist"/>
        <s v="Laboratory Technician"/>
        <s v="Manufacturing Director"/>
        <s v="Healthcare Representative"/>
        <s v="Manager"/>
        <s v="Sales Representative"/>
        <s v="Research Director"/>
        <s v="Human Resources"/>
        <s v="HR" u="1"/>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ount="4">
        <n v="1"/>
        <n v="4"/>
        <n v="2"/>
        <n v="3"/>
      </sharedItems>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ount="18">
        <n v="5"/>
        <n v="7"/>
        <n v="0"/>
        <n v="2"/>
        <n v="6"/>
        <n v="8"/>
        <n v="3"/>
        <n v="11"/>
        <n v="17"/>
        <n v="1"/>
        <n v="4"/>
        <n v="12"/>
        <n v="9"/>
        <n v="10"/>
        <n v="15"/>
        <n v="13"/>
        <n v="16"/>
        <n v="14"/>
      </sharedItems>
    </cacheField>
    <cacheField name="Age group" numFmtId="0">
      <sharedItems count="5">
        <s v="40-49"/>
        <s v="30-39"/>
        <s v="20-29"/>
        <s v="50-59"/>
        <s v="18-20"/>
      </sharedItems>
    </cacheField>
    <cacheField name="worked years" numFmtId="0">
      <sharedItems count="4">
        <s v="6-10"/>
        <s v="0-2"/>
        <s v="3-5"/>
        <s v="10+"/>
      </sharedItems>
    </cacheField>
    <cacheField name="monthly incomerange\" numFmtId="0">
      <sharedItems count="4">
        <s v="5001-10000"/>
        <s v="1000-5000"/>
        <s v="15001-20000"/>
        <s v="10001-15000"/>
      </sharedItems>
    </cacheField>
    <cacheField name="Attrition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280773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x v="0"/>
    <x v="0"/>
    <x v="0"/>
    <n v="1"/>
    <x v="0"/>
    <x v="0"/>
    <n v="94"/>
    <x v="0"/>
    <x v="0"/>
    <x v="0"/>
    <x v="0"/>
    <x v="0"/>
    <x v="0"/>
    <n v="19479"/>
    <n v="8"/>
    <s v="Y"/>
    <x v="0"/>
    <n v="11"/>
    <x v="0"/>
    <x v="0"/>
    <n v="80"/>
    <n v="0"/>
    <n v="8"/>
    <n v="0"/>
    <x v="0"/>
    <x v="0"/>
    <n v="4"/>
    <x v="0"/>
    <x v="0"/>
    <x v="0"/>
    <x v="0"/>
    <x v="0"/>
    <n v="1"/>
  </r>
  <r>
    <x v="1"/>
    <x v="1"/>
    <x v="1"/>
    <n v="279"/>
    <x v="1"/>
    <n v="8"/>
    <x v="1"/>
    <x v="0"/>
    <x v="0"/>
    <n v="2"/>
    <x v="1"/>
    <x v="1"/>
    <n v="61"/>
    <x v="1"/>
    <x v="0"/>
    <x v="1"/>
    <x v="1"/>
    <x v="1"/>
    <x v="1"/>
    <n v="24907"/>
    <n v="1"/>
    <s v="Y"/>
    <x v="1"/>
    <n v="23"/>
    <x v="1"/>
    <x v="1"/>
    <n v="80"/>
    <n v="1"/>
    <n v="10"/>
    <n v="3"/>
    <x v="1"/>
    <x v="1"/>
    <n v="7"/>
    <x v="1"/>
    <x v="1"/>
    <x v="0"/>
    <x v="0"/>
    <x v="0"/>
    <n v="0"/>
  </r>
  <r>
    <x v="2"/>
    <x v="0"/>
    <x v="0"/>
    <n v="1373"/>
    <x v="1"/>
    <n v="2"/>
    <x v="0"/>
    <x v="1"/>
    <x v="0"/>
    <n v="4"/>
    <x v="2"/>
    <x v="1"/>
    <n v="92"/>
    <x v="1"/>
    <x v="1"/>
    <x v="2"/>
    <x v="2"/>
    <x v="0"/>
    <x v="2"/>
    <n v="2396"/>
    <n v="6"/>
    <s v="Y"/>
    <x v="0"/>
    <n v="15"/>
    <x v="0"/>
    <x v="2"/>
    <n v="80"/>
    <n v="0"/>
    <n v="7"/>
    <n v="3"/>
    <x v="1"/>
    <x v="2"/>
    <n v="0"/>
    <x v="0"/>
    <x v="2"/>
    <x v="1"/>
    <x v="1"/>
    <x v="1"/>
    <n v="1"/>
  </r>
  <r>
    <x v="3"/>
    <x v="1"/>
    <x v="1"/>
    <n v="1392"/>
    <x v="1"/>
    <n v="3"/>
    <x v="2"/>
    <x v="0"/>
    <x v="0"/>
    <n v="5"/>
    <x v="2"/>
    <x v="0"/>
    <n v="56"/>
    <x v="0"/>
    <x v="1"/>
    <x v="1"/>
    <x v="2"/>
    <x v="1"/>
    <x v="3"/>
    <n v="23159"/>
    <n v="1"/>
    <s v="Y"/>
    <x v="0"/>
    <n v="11"/>
    <x v="0"/>
    <x v="3"/>
    <n v="80"/>
    <n v="0"/>
    <n v="8"/>
    <n v="3"/>
    <x v="1"/>
    <x v="3"/>
    <n v="7"/>
    <x v="2"/>
    <x v="2"/>
    <x v="1"/>
    <x v="0"/>
    <x v="1"/>
    <n v="0"/>
  </r>
  <r>
    <x v="4"/>
    <x v="1"/>
    <x v="0"/>
    <n v="591"/>
    <x v="1"/>
    <n v="2"/>
    <x v="1"/>
    <x v="2"/>
    <x v="0"/>
    <n v="7"/>
    <x v="3"/>
    <x v="1"/>
    <n v="40"/>
    <x v="0"/>
    <x v="1"/>
    <x v="2"/>
    <x v="1"/>
    <x v="1"/>
    <x v="4"/>
    <n v="16632"/>
    <n v="9"/>
    <s v="Y"/>
    <x v="1"/>
    <n v="12"/>
    <x v="0"/>
    <x v="1"/>
    <n v="80"/>
    <n v="1"/>
    <n v="6"/>
    <n v="3"/>
    <x v="1"/>
    <x v="4"/>
    <n v="2"/>
    <x v="3"/>
    <x v="3"/>
    <x v="2"/>
    <x v="1"/>
    <x v="1"/>
    <n v="0"/>
  </r>
  <r>
    <x v="5"/>
    <x v="1"/>
    <x v="1"/>
    <n v="1005"/>
    <x v="1"/>
    <n v="2"/>
    <x v="0"/>
    <x v="0"/>
    <x v="0"/>
    <n v="8"/>
    <x v="2"/>
    <x v="1"/>
    <n v="79"/>
    <x v="0"/>
    <x v="1"/>
    <x v="2"/>
    <x v="0"/>
    <x v="0"/>
    <x v="5"/>
    <n v="11864"/>
    <n v="0"/>
    <s v="Y"/>
    <x v="1"/>
    <n v="13"/>
    <x v="0"/>
    <x v="3"/>
    <n v="80"/>
    <n v="0"/>
    <n v="8"/>
    <n v="2"/>
    <x v="2"/>
    <x v="5"/>
    <n v="7"/>
    <x v="2"/>
    <x v="4"/>
    <x v="1"/>
    <x v="0"/>
    <x v="1"/>
    <n v="0"/>
  </r>
  <r>
    <x v="6"/>
    <x v="1"/>
    <x v="0"/>
    <n v="1324"/>
    <x v="1"/>
    <n v="3"/>
    <x v="3"/>
    <x v="2"/>
    <x v="0"/>
    <n v="10"/>
    <x v="1"/>
    <x v="0"/>
    <n v="81"/>
    <x v="2"/>
    <x v="1"/>
    <x v="2"/>
    <x v="3"/>
    <x v="1"/>
    <x v="6"/>
    <n v="9964"/>
    <n v="4"/>
    <s v="Y"/>
    <x v="0"/>
    <n v="20"/>
    <x v="1"/>
    <x v="0"/>
    <n v="80"/>
    <n v="3"/>
    <n v="12"/>
    <n v="3"/>
    <x v="2"/>
    <x v="6"/>
    <n v="0"/>
    <x v="0"/>
    <x v="2"/>
    <x v="3"/>
    <x v="1"/>
    <x v="1"/>
    <n v="0"/>
  </r>
  <r>
    <x v="7"/>
    <x v="1"/>
    <x v="0"/>
    <n v="1358"/>
    <x v="1"/>
    <n v="24"/>
    <x v="1"/>
    <x v="0"/>
    <x v="0"/>
    <n v="11"/>
    <x v="2"/>
    <x v="1"/>
    <n v="67"/>
    <x v="0"/>
    <x v="1"/>
    <x v="2"/>
    <x v="2"/>
    <x v="2"/>
    <x v="7"/>
    <n v="13335"/>
    <n v="1"/>
    <s v="Y"/>
    <x v="1"/>
    <n v="22"/>
    <x v="1"/>
    <x v="2"/>
    <n v="80"/>
    <n v="1"/>
    <n v="1"/>
    <n v="2"/>
    <x v="1"/>
    <x v="6"/>
    <n v="0"/>
    <x v="0"/>
    <x v="2"/>
    <x v="1"/>
    <x v="1"/>
    <x v="1"/>
    <n v="0"/>
  </r>
  <r>
    <x v="8"/>
    <x v="1"/>
    <x v="1"/>
    <n v="216"/>
    <x v="1"/>
    <n v="23"/>
    <x v="3"/>
    <x v="0"/>
    <x v="0"/>
    <n v="12"/>
    <x v="2"/>
    <x v="1"/>
    <n v="44"/>
    <x v="1"/>
    <x v="2"/>
    <x v="3"/>
    <x v="2"/>
    <x v="0"/>
    <x v="8"/>
    <n v="8787"/>
    <n v="0"/>
    <s v="Y"/>
    <x v="1"/>
    <n v="21"/>
    <x v="1"/>
    <x v="2"/>
    <n v="80"/>
    <n v="0"/>
    <n v="10"/>
    <n v="2"/>
    <x v="1"/>
    <x v="7"/>
    <n v="7"/>
    <x v="1"/>
    <x v="5"/>
    <x v="1"/>
    <x v="0"/>
    <x v="0"/>
    <n v="0"/>
  </r>
  <r>
    <x v="9"/>
    <x v="1"/>
    <x v="0"/>
    <n v="1299"/>
    <x v="1"/>
    <n v="27"/>
    <x v="3"/>
    <x v="2"/>
    <x v="0"/>
    <n v="13"/>
    <x v="1"/>
    <x v="1"/>
    <n v="94"/>
    <x v="0"/>
    <x v="0"/>
    <x v="4"/>
    <x v="2"/>
    <x v="1"/>
    <x v="9"/>
    <n v="16577"/>
    <n v="6"/>
    <s v="Y"/>
    <x v="1"/>
    <n v="13"/>
    <x v="0"/>
    <x v="2"/>
    <n v="80"/>
    <n v="2"/>
    <n v="17"/>
    <n v="3"/>
    <x v="2"/>
    <x v="5"/>
    <n v="7"/>
    <x v="4"/>
    <x v="1"/>
    <x v="1"/>
    <x v="0"/>
    <x v="0"/>
    <n v="0"/>
  </r>
  <r>
    <x v="10"/>
    <x v="1"/>
    <x v="0"/>
    <n v="809"/>
    <x v="1"/>
    <n v="16"/>
    <x v="3"/>
    <x v="2"/>
    <x v="0"/>
    <n v="14"/>
    <x v="3"/>
    <x v="1"/>
    <n v="84"/>
    <x v="2"/>
    <x v="1"/>
    <x v="2"/>
    <x v="1"/>
    <x v="1"/>
    <x v="10"/>
    <n v="16479"/>
    <n v="0"/>
    <s v="Y"/>
    <x v="1"/>
    <n v="13"/>
    <x v="0"/>
    <x v="3"/>
    <n v="80"/>
    <n v="1"/>
    <n v="6"/>
    <n v="5"/>
    <x v="1"/>
    <x v="8"/>
    <n v="4"/>
    <x v="0"/>
    <x v="6"/>
    <x v="1"/>
    <x v="2"/>
    <x v="1"/>
    <n v="0"/>
  </r>
  <r>
    <x v="11"/>
    <x v="1"/>
    <x v="0"/>
    <n v="153"/>
    <x v="1"/>
    <n v="15"/>
    <x v="0"/>
    <x v="0"/>
    <x v="0"/>
    <n v="15"/>
    <x v="2"/>
    <x v="0"/>
    <n v="49"/>
    <x v="1"/>
    <x v="0"/>
    <x v="2"/>
    <x v="2"/>
    <x v="0"/>
    <x v="11"/>
    <n v="12682"/>
    <n v="0"/>
    <s v="Y"/>
    <x v="0"/>
    <n v="12"/>
    <x v="0"/>
    <x v="1"/>
    <n v="80"/>
    <n v="0"/>
    <n v="10"/>
    <n v="3"/>
    <x v="1"/>
    <x v="7"/>
    <n v="5"/>
    <x v="0"/>
    <x v="5"/>
    <x v="2"/>
    <x v="0"/>
    <x v="1"/>
    <n v="0"/>
  </r>
  <r>
    <x v="12"/>
    <x v="1"/>
    <x v="0"/>
    <n v="670"/>
    <x v="1"/>
    <n v="26"/>
    <x v="1"/>
    <x v="0"/>
    <x v="0"/>
    <n v="16"/>
    <x v="3"/>
    <x v="1"/>
    <n v="31"/>
    <x v="0"/>
    <x v="1"/>
    <x v="1"/>
    <x v="2"/>
    <x v="2"/>
    <x v="12"/>
    <n v="15170"/>
    <n v="1"/>
    <s v="Y"/>
    <x v="1"/>
    <n v="17"/>
    <x v="0"/>
    <x v="1"/>
    <n v="80"/>
    <n v="1"/>
    <n v="5"/>
    <n v="1"/>
    <x v="2"/>
    <x v="8"/>
    <n v="2"/>
    <x v="5"/>
    <x v="6"/>
    <x v="1"/>
    <x v="2"/>
    <x v="1"/>
    <n v="0"/>
  </r>
  <r>
    <x v="13"/>
    <x v="1"/>
    <x v="0"/>
    <n v="1346"/>
    <x v="1"/>
    <n v="19"/>
    <x v="0"/>
    <x v="2"/>
    <x v="0"/>
    <n v="18"/>
    <x v="0"/>
    <x v="1"/>
    <n v="93"/>
    <x v="0"/>
    <x v="1"/>
    <x v="2"/>
    <x v="0"/>
    <x v="2"/>
    <x v="13"/>
    <n v="8758"/>
    <n v="0"/>
    <s v="Y"/>
    <x v="1"/>
    <n v="11"/>
    <x v="0"/>
    <x v="3"/>
    <n v="80"/>
    <n v="1"/>
    <n v="3"/>
    <n v="2"/>
    <x v="1"/>
    <x v="4"/>
    <n v="2"/>
    <x v="1"/>
    <x v="3"/>
    <x v="1"/>
    <x v="1"/>
    <x v="1"/>
    <n v="0"/>
  </r>
  <r>
    <x v="14"/>
    <x v="0"/>
    <x v="0"/>
    <n v="103"/>
    <x v="1"/>
    <n v="24"/>
    <x v="3"/>
    <x v="0"/>
    <x v="0"/>
    <n v="19"/>
    <x v="1"/>
    <x v="1"/>
    <n v="50"/>
    <x v="1"/>
    <x v="1"/>
    <x v="2"/>
    <x v="2"/>
    <x v="0"/>
    <x v="14"/>
    <n v="12947"/>
    <n v="5"/>
    <s v="Y"/>
    <x v="0"/>
    <n v="14"/>
    <x v="0"/>
    <x v="2"/>
    <n v="80"/>
    <n v="0"/>
    <n v="6"/>
    <n v="4"/>
    <x v="1"/>
    <x v="9"/>
    <n v="2"/>
    <x v="0"/>
    <x v="6"/>
    <x v="2"/>
    <x v="2"/>
    <x v="1"/>
    <n v="1"/>
  </r>
  <r>
    <x v="11"/>
    <x v="1"/>
    <x v="0"/>
    <n v="1389"/>
    <x v="1"/>
    <n v="21"/>
    <x v="2"/>
    <x v="0"/>
    <x v="0"/>
    <n v="20"/>
    <x v="0"/>
    <x v="0"/>
    <n v="51"/>
    <x v="2"/>
    <x v="2"/>
    <x v="3"/>
    <x v="3"/>
    <x v="2"/>
    <x v="15"/>
    <n v="10195"/>
    <n v="1"/>
    <s v="Y"/>
    <x v="1"/>
    <n v="11"/>
    <x v="0"/>
    <x v="3"/>
    <n v="80"/>
    <n v="1"/>
    <n v="10"/>
    <n v="1"/>
    <x v="1"/>
    <x v="1"/>
    <n v="9"/>
    <x v="6"/>
    <x v="5"/>
    <x v="2"/>
    <x v="0"/>
    <x v="0"/>
    <n v="0"/>
  </r>
  <r>
    <x v="5"/>
    <x v="1"/>
    <x v="0"/>
    <n v="334"/>
    <x v="1"/>
    <n v="5"/>
    <x v="0"/>
    <x v="0"/>
    <x v="0"/>
    <n v="21"/>
    <x v="3"/>
    <x v="1"/>
    <n v="80"/>
    <x v="2"/>
    <x v="1"/>
    <x v="1"/>
    <x v="1"/>
    <x v="2"/>
    <x v="16"/>
    <n v="15053"/>
    <n v="0"/>
    <s v="Y"/>
    <x v="0"/>
    <n v="12"/>
    <x v="0"/>
    <x v="1"/>
    <n v="80"/>
    <n v="2"/>
    <n v="7"/>
    <n v="5"/>
    <x v="2"/>
    <x v="0"/>
    <n v="2"/>
    <x v="0"/>
    <x v="0"/>
    <x v="1"/>
    <x v="0"/>
    <x v="1"/>
    <n v="0"/>
  </r>
  <r>
    <x v="15"/>
    <x v="1"/>
    <x v="2"/>
    <n v="1123"/>
    <x v="1"/>
    <n v="16"/>
    <x v="0"/>
    <x v="2"/>
    <x v="0"/>
    <n v="22"/>
    <x v="2"/>
    <x v="1"/>
    <n v="96"/>
    <x v="2"/>
    <x v="1"/>
    <x v="2"/>
    <x v="0"/>
    <x v="2"/>
    <x v="17"/>
    <n v="7324"/>
    <n v="1"/>
    <s v="Y"/>
    <x v="0"/>
    <n v="13"/>
    <x v="0"/>
    <x v="2"/>
    <n v="80"/>
    <n v="2"/>
    <n v="1"/>
    <n v="2"/>
    <x v="2"/>
    <x v="6"/>
    <n v="0"/>
    <x v="0"/>
    <x v="2"/>
    <x v="2"/>
    <x v="1"/>
    <x v="1"/>
    <n v="0"/>
  </r>
  <r>
    <x v="16"/>
    <x v="1"/>
    <x v="0"/>
    <n v="1219"/>
    <x v="0"/>
    <n v="2"/>
    <x v="2"/>
    <x v="0"/>
    <x v="0"/>
    <n v="23"/>
    <x v="3"/>
    <x v="0"/>
    <n v="78"/>
    <x v="1"/>
    <x v="3"/>
    <x v="5"/>
    <x v="0"/>
    <x v="1"/>
    <x v="18"/>
    <n v="22021"/>
    <n v="2"/>
    <s v="Y"/>
    <x v="1"/>
    <n v="16"/>
    <x v="0"/>
    <x v="3"/>
    <n v="80"/>
    <n v="0"/>
    <n v="31"/>
    <n v="3"/>
    <x v="1"/>
    <x v="10"/>
    <n v="8"/>
    <x v="2"/>
    <x v="1"/>
    <x v="3"/>
    <x v="3"/>
    <x v="2"/>
    <n v="0"/>
  </r>
  <r>
    <x v="8"/>
    <x v="1"/>
    <x v="0"/>
    <n v="371"/>
    <x v="1"/>
    <n v="2"/>
    <x v="3"/>
    <x v="0"/>
    <x v="0"/>
    <n v="24"/>
    <x v="2"/>
    <x v="1"/>
    <n v="45"/>
    <x v="0"/>
    <x v="1"/>
    <x v="1"/>
    <x v="0"/>
    <x v="0"/>
    <x v="19"/>
    <n v="4306"/>
    <n v="5"/>
    <s v="Y"/>
    <x v="0"/>
    <n v="11"/>
    <x v="0"/>
    <x v="3"/>
    <n v="80"/>
    <n v="0"/>
    <n v="6"/>
    <n v="3"/>
    <x v="1"/>
    <x v="11"/>
    <n v="2"/>
    <x v="1"/>
    <x v="3"/>
    <x v="1"/>
    <x v="2"/>
    <x v="1"/>
    <n v="0"/>
  </r>
  <r>
    <x v="17"/>
    <x v="1"/>
    <x v="2"/>
    <n v="673"/>
    <x v="1"/>
    <n v="11"/>
    <x v="0"/>
    <x v="1"/>
    <x v="0"/>
    <n v="26"/>
    <x v="3"/>
    <x v="0"/>
    <n v="96"/>
    <x v="2"/>
    <x v="0"/>
    <x v="3"/>
    <x v="2"/>
    <x v="2"/>
    <x v="20"/>
    <n v="8232"/>
    <n v="0"/>
    <s v="Y"/>
    <x v="1"/>
    <n v="18"/>
    <x v="0"/>
    <x v="1"/>
    <n v="80"/>
    <n v="1"/>
    <n v="5"/>
    <n v="5"/>
    <x v="2"/>
    <x v="9"/>
    <n v="2"/>
    <x v="1"/>
    <x v="6"/>
    <x v="2"/>
    <x v="2"/>
    <x v="1"/>
    <n v="0"/>
  </r>
  <r>
    <x v="9"/>
    <x v="0"/>
    <x v="0"/>
    <n v="1218"/>
    <x v="0"/>
    <n v="9"/>
    <x v="2"/>
    <x v="0"/>
    <x v="0"/>
    <n v="27"/>
    <x v="1"/>
    <x v="1"/>
    <n v="82"/>
    <x v="1"/>
    <x v="1"/>
    <x v="6"/>
    <x v="3"/>
    <x v="0"/>
    <x v="21"/>
    <n v="6986"/>
    <n v="7"/>
    <s v="Y"/>
    <x v="1"/>
    <n v="23"/>
    <x v="1"/>
    <x v="2"/>
    <n v="80"/>
    <n v="0"/>
    <n v="10"/>
    <n v="4"/>
    <x v="1"/>
    <x v="8"/>
    <n v="3"/>
    <x v="0"/>
    <x v="6"/>
    <x v="1"/>
    <x v="2"/>
    <x v="1"/>
    <n v="1"/>
  </r>
  <r>
    <x v="13"/>
    <x v="1"/>
    <x v="0"/>
    <n v="419"/>
    <x v="1"/>
    <n v="7"/>
    <x v="2"/>
    <x v="0"/>
    <x v="0"/>
    <n v="28"/>
    <x v="3"/>
    <x v="0"/>
    <n v="53"/>
    <x v="0"/>
    <x v="2"/>
    <x v="7"/>
    <x v="1"/>
    <x v="0"/>
    <x v="22"/>
    <n v="21293"/>
    <n v="0"/>
    <s v="Y"/>
    <x v="1"/>
    <n v="11"/>
    <x v="0"/>
    <x v="3"/>
    <n v="80"/>
    <n v="0"/>
    <n v="13"/>
    <n v="4"/>
    <x v="1"/>
    <x v="12"/>
    <n v="6"/>
    <x v="3"/>
    <x v="7"/>
    <x v="1"/>
    <x v="3"/>
    <x v="3"/>
    <n v="0"/>
  </r>
  <r>
    <x v="18"/>
    <x v="1"/>
    <x v="0"/>
    <n v="391"/>
    <x v="1"/>
    <n v="15"/>
    <x v="0"/>
    <x v="0"/>
    <x v="0"/>
    <n v="30"/>
    <x v="1"/>
    <x v="1"/>
    <n v="96"/>
    <x v="0"/>
    <x v="1"/>
    <x v="1"/>
    <x v="0"/>
    <x v="0"/>
    <x v="23"/>
    <n v="19281"/>
    <n v="1"/>
    <s v="Y"/>
    <x v="1"/>
    <n v="14"/>
    <x v="0"/>
    <x v="1"/>
    <n v="80"/>
    <n v="0"/>
    <n v="0"/>
    <n v="6"/>
    <x v="1"/>
    <x v="2"/>
    <n v="0"/>
    <x v="0"/>
    <x v="2"/>
    <x v="2"/>
    <x v="1"/>
    <x v="1"/>
    <n v="0"/>
  </r>
  <r>
    <x v="13"/>
    <x v="0"/>
    <x v="0"/>
    <n v="699"/>
    <x v="1"/>
    <n v="6"/>
    <x v="1"/>
    <x v="2"/>
    <x v="0"/>
    <n v="31"/>
    <x v="0"/>
    <x v="1"/>
    <n v="83"/>
    <x v="0"/>
    <x v="1"/>
    <x v="1"/>
    <x v="3"/>
    <x v="0"/>
    <x v="24"/>
    <n v="17102"/>
    <n v="2"/>
    <s v="Y"/>
    <x v="1"/>
    <n v="11"/>
    <x v="0"/>
    <x v="3"/>
    <n v="80"/>
    <n v="0"/>
    <n v="8"/>
    <n v="2"/>
    <x v="1"/>
    <x v="9"/>
    <n v="2"/>
    <x v="1"/>
    <x v="6"/>
    <x v="1"/>
    <x v="2"/>
    <x v="1"/>
    <n v="1"/>
  </r>
  <r>
    <x v="16"/>
    <x v="1"/>
    <x v="0"/>
    <n v="1282"/>
    <x v="1"/>
    <n v="5"/>
    <x v="3"/>
    <x v="1"/>
    <x v="0"/>
    <n v="32"/>
    <x v="1"/>
    <x v="0"/>
    <n v="58"/>
    <x v="0"/>
    <x v="4"/>
    <x v="5"/>
    <x v="2"/>
    <x v="2"/>
    <x v="25"/>
    <n v="10735"/>
    <n v="4"/>
    <s v="Y"/>
    <x v="1"/>
    <n v="11"/>
    <x v="0"/>
    <x v="1"/>
    <n v="80"/>
    <n v="1"/>
    <n v="26"/>
    <n v="3"/>
    <x v="2"/>
    <x v="13"/>
    <n v="13"/>
    <x v="5"/>
    <x v="5"/>
    <x v="3"/>
    <x v="3"/>
    <x v="2"/>
    <n v="0"/>
  </r>
  <r>
    <x v="5"/>
    <x v="0"/>
    <x v="1"/>
    <n v="1125"/>
    <x v="1"/>
    <n v="16"/>
    <x v="1"/>
    <x v="0"/>
    <x v="0"/>
    <n v="33"/>
    <x v="0"/>
    <x v="0"/>
    <n v="72"/>
    <x v="3"/>
    <x v="1"/>
    <x v="1"/>
    <x v="3"/>
    <x v="0"/>
    <x v="26"/>
    <n v="4681"/>
    <n v="1"/>
    <s v="Y"/>
    <x v="0"/>
    <n v="22"/>
    <x v="1"/>
    <x v="2"/>
    <n v="80"/>
    <n v="0"/>
    <n v="10"/>
    <n v="5"/>
    <x v="1"/>
    <x v="1"/>
    <n v="2"/>
    <x v="7"/>
    <x v="1"/>
    <x v="1"/>
    <x v="0"/>
    <x v="1"/>
    <n v="1"/>
  </r>
  <r>
    <x v="19"/>
    <x v="1"/>
    <x v="0"/>
    <n v="691"/>
    <x v="0"/>
    <n v="8"/>
    <x v="2"/>
    <x v="3"/>
    <x v="0"/>
    <n v="35"/>
    <x v="1"/>
    <x v="1"/>
    <n v="48"/>
    <x v="0"/>
    <x v="0"/>
    <x v="0"/>
    <x v="1"/>
    <x v="1"/>
    <x v="27"/>
    <n v="21173"/>
    <n v="0"/>
    <s v="Y"/>
    <x v="1"/>
    <n v="11"/>
    <x v="0"/>
    <x v="1"/>
    <n v="80"/>
    <n v="1"/>
    <n v="10"/>
    <n v="2"/>
    <x v="1"/>
    <x v="7"/>
    <n v="7"/>
    <x v="5"/>
    <x v="3"/>
    <x v="0"/>
    <x v="0"/>
    <x v="0"/>
    <n v="0"/>
  </r>
  <r>
    <x v="20"/>
    <x v="1"/>
    <x v="0"/>
    <n v="477"/>
    <x v="1"/>
    <n v="7"/>
    <x v="2"/>
    <x v="2"/>
    <x v="0"/>
    <n v="36"/>
    <x v="3"/>
    <x v="0"/>
    <n v="42"/>
    <x v="1"/>
    <x v="2"/>
    <x v="4"/>
    <x v="0"/>
    <x v="1"/>
    <x v="28"/>
    <n v="2094"/>
    <n v="3"/>
    <s v="Y"/>
    <x v="1"/>
    <n v="14"/>
    <x v="0"/>
    <x v="1"/>
    <n v="80"/>
    <n v="1"/>
    <n v="24"/>
    <n v="4"/>
    <x v="1"/>
    <x v="14"/>
    <n v="6"/>
    <x v="8"/>
    <x v="8"/>
    <x v="0"/>
    <x v="3"/>
    <x v="3"/>
    <n v="0"/>
  </r>
  <r>
    <x v="21"/>
    <x v="1"/>
    <x v="0"/>
    <n v="705"/>
    <x v="0"/>
    <n v="2"/>
    <x v="2"/>
    <x v="3"/>
    <x v="0"/>
    <n v="38"/>
    <x v="0"/>
    <x v="0"/>
    <n v="83"/>
    <x v="0"/>
    <x v="4"/>
    <x v="5"/>
    <x v="3"/>
    <x v="0"/>
    <x v="29"/>
    <n v="22822"/>
    <n v="3"/>
    <s v="Y"/>
    <x v="1"/>
    <n v="12"/>
    <x v="0"/>
    <x v="1"/>
    <n v="80"/>
    <n v="0"/>
    <n v="22"/>
    <n v="2"/>
    <x v="2"/>
    <x v="4"/>
    <n v="2"/>
    <x v="3"/>
    <x v="9"/>
    <x v="0"/>
    <x v="1"/>
    <x v="2"/>
    <n v="0"/>
  </r>
  <r>
    <x v="3"/>
    <x v="1"/>
    <x v="0"/>
    <n v="924"/>
    <x v="1"/>
    <n v="2"/>
    <x v="3"/>
    <x v="2"/>
    <x v="0"/>
    <n v="39"/>
    <x v="1"/>
    <x v="1"/>
    <n v="78"/>
    <x v="0"/>
    <x v="1"/>
    <x v="2"/>
    <x v="0"/>
    <x v="0"/>
    <x v="30"/>
    <n v="6670"/>
    <n v="4"/>
    <s v="Y"/>
    <x v="1"/>
    <n v="11"/>
    <x v="0"/>
    <x v="1"/>
    <n v="80"/>
    <n v="0"/>
    <n v="7"/>
    <n v="3"/>
    <x v="1"/>
    <x v="6"/>
    <n v="1"/>
    <x v="0"/>
    <x v="2"/>
    <x v="1"/>
    <x v="1"/>
    <x v="1"/>
    <n v="0"/>
  </r>
  <r>
    <x v="20"/>
    <x v="1"/>
    <x v="0"/>
    <n v="1459"/>
    <x v="1"/>
    <n v="10"/>
    <x v="2"/>
    <x v="1"/>
    <x v="0"/>
    <n v="40"/>
    <x v="2"/>
    <x v="1"/>
    <n v="41"/>
    <x v="0"/>
    <x v="0"/>
    <x v="4"/>
    <x v="0"/>
    <x v="1"/>
    <x v="31"/>
    <n v="19121"/>
    <n v="2"/>
    <s v="Y"/>
    <x v="0"/>
    <n v="13"/>
    <x v="0"/>
    <x v="1"/>
    <n v="80"/>
    <n v="0"/>
    <n v="9"/>
    <n v="5"/>
    <x v="3"/>
    <x v="9"/>
    <n v="2"/>
    <x v="1"/>
    <x v="6"/>
    <x v="0"/>
    <x v="2"/>
    <x v="0"/>
    <n v="0"/>
  </r>
  <r>
    <x v="7"/>
    <x v="1"/>
    <x v="0"/>
    <n v="125"/>
    <x v="1"/>
    <n v="9"/>
    <x v="0"/>
    <x v="2"/>
    <x v="0"/>
    <n v="41"/>
    <x v="2"/>
    <x v="1"/>
    <n v="83"/>
    <x v="1"/>
    <x v="1"/>
    <x v="2"/>
    <x v="2"/>
    <x v="0"/>
    <x v="32"/>
    <n v="16117"/>
    <n v="1"/>
    <s v="Y"/>
    <x v="1"/>
    <n v="13"/>
    <x v="0"/>
    <x v="0"/>
    <n v="80"/>
    <n v="0"/>
    <n v="10"/>
    <n v="5"/>
    <x v="1"/>
    <x v="1"/>
    <n v="0"/>
    <x v="1"/>
    <x v="5"/>
    <x v="1"/>
    <x v="0"/>
    <x v="1"/>
    <n v="0"/>
  </r>
  <r>
    <x v="22"/>
    <x v="0"/>
    <x v="0"/>
    <n v="895"/>
    <x v="0"/>
    <n v="5"/>
    <x v="3"/>
    <x v="4"/>
    <x v="0"/>
    <n v="42"/>
    <x v="2"/>
    <x v="1"/>
    <n v="56"/>
    <x v="0"/>
    <x v="0"/>
    <x v="6"/>
    <x v="0"/>
    <x v="1"/>
    <x v="33"/>
    <n v="3335"/>
    <n v="3"/>
    <s v="Y"/>
    <x v="1"/>
    <n v="14"/>
    <x v="0"/>
    <x v="3"/>
    <n v="80"/>
    <n v="1"/>
    <n v="19"/>
    <n v="6"/>
    <x v="3"/>
    <x v="6"/>
    <n v="0"/>
    <x v="0"/>
    <x v="2"/>
    <x v="1"/>
    <x v="1"/>
    <x v="1"/>
    <n v="1"/>
  </r>
  <r>
    <x v="17"/>
    <x v="0"/>
    <x v="0"/>
    <n v="813"/>
    <x v="1"/>
    <n v="1"/>
    <x v="3"/>
    <x v="2"/>
    <x v="0"/>
    <n v="45"/>
    <x v="0"/>
    <x v="1"/>
    <n v="61"/>
    <x v="0"/>
    <x v="1"/>
    <x v="1"/>
    <x v="0"/>
    <x v="1"/>
    <x v="34"/>
    <n v="3020"/>
    <n v="2"/>
    <s v="Y"/>
    <x v="0"/>
    <n v="16"/>
    <x v="0"/>
    <x v="0"/>
    <n v="80"/>
    <n v="1"/>
    <n v="6"/>
    <n v="2"/>
    <x v="2"/>
    <x v="4"/>
    <n v="0"/>
    <x v="3"/>
    <x v="2"/>
    <x v="2"/>
    <x v="1"/>
    <x v="1"/>
    <n v="1"/>
  </r>
  <r>
    <x v="23"/>
    <x v="1"/>
    <x v="0"/>
    <n v="1273"/>
    <x v="1"/>
    <n v="2"/>
    <x v="0"/>
    <x v="2"/>
    <x v="0"/>
    <n v="46"/>
    <x v="2"/>
    <x v="0"/>
    <n v="72"/>
    <x v="2"/>
    <x v="1"/>
    <x v="1"/>
    <x v="2"/>
    <x v="2"/>
    <x v="35"/>
    <n v="21923"/>
    <n v="1"/>
    <s v="Y"/>
    <x v="1"/>
    <n v="12"/>
    <x v="0"/>
    <x v="1"/>
    <n v="80"/>
    <n v="2"/>
    <n v="6"/>
    <n v="3"/>
    <x v="2"/>
    <x v="8"/>
    <n v="3"/>
    <x v="1"/>
    <x v="10"/>
    <x v="0"/>
    <x v="2"/>
    <x v="1"/>
    <n v="0"/>
  </r>
  <r>
    <x v="24"/>
    <x v="0"/>
    <x v="0"/>
    <n v="869"/>
    <x v="0"/>
    <n v="3"/>
    <x v="0"/>
    <x v="3"/>
    <x v="0"/>
    <n v="47"/>
    <x v="3"/>
    <x v="1"/>
    <n v="86"/>
    <x v="1"/>
    <x v="1"/>
    <x v="6"/>
    <x v="2"/>
    <x v="1"/>
    <x v="36"/>
    <n v="3810"/>
    <n v="1"/>
    <s v="Y"/>
    <x v="0"/>
    <n v="14"/>
    <x v="0"/>
    <x v="3"/>
    <n v="80"/>
    <n v="0"/>
    <n v="3"/>
    <n v="2"/>
    <x v="1"/>
    <x v="11"/>
    <n v="2"/>
    <x v="0"/>
    <x v="3"/>
    <x v="3"/>
    <x v="2"/>
    <x v="1"/>
    <n v="1"/>
  </r>
  <r>
    <x v="10"/>
    <x v="1"/>
    <x v="0"/>
    <n v="890"/>
    <x v="0"/>
    <n v="2"/>
    <x v="3"/>
    <x v="3"/>
    <x v="0"/>
    <n v="49"/>
    <x v="2"/>
    <x v="0"/>
    <n v="97"/>
    <x v="0"/>
    <x v="1"/>
    <x v="6"/>
    <x v="0"/>
    <x v="1"/>
    <x v="37"/>
    <n v="9687"/>
    <n v="1"/>
    <s v="Y"/>
    <x v="1"/>
    <n v="13"/>
    <x v="0"/>
    <x v="0"/>
    <n v="80"/>
    <n v="0"/>
    <n v="2"/>
    <n v="3"/>
    <x v="1"/>
    <x v="4"/>
    <n v="2"/>
    <x v="3"/>
    <x v="3"/>
    <x v="1"/>
    <x v="1"/>
    <x v="1"/>
    <n v="0"/>
  </r>
  <r>
    <x v="9"/>
    <x v="1"/>
    <x v="0"/>
    <n v="852"/>
    <x v="1"/>
    <n v="5"/>
    <x v="2"/>
    <x v="0"/>
    <x v="0"/>
    <n v="51"/>
    <x v="0"/>
    <x v="0"/>
    <n v="82"/>
    <x v="1"/>
    <x v="1"/>
    <x v="1"/>
    <x v="3"/>
    <x v="1"/>
    <x v="38"/>
    <n v="13072"/>
    <n v="9"/>
    <s v="Y"/>
    <x v="0"/>
    <n v="14"/>
    <x v="0"/>
    <x v="1"/>
    <n v="80"/>
    <n v="1"/>
    <n v="6"/>
    <n v="3"/>
    <x v="3"/>
    <x v="6"/>
    <n v="1"/>
    <x v="0"/>
    <x v="2"/>
    <x v="1"/>
    <x v="1"/>
    <x v="1"/>
    <n v="0"/>
  </r>
  <r>
    <x v="3"/>
    <x v="1"/>
    <x v="1"/>
    <n v="1141"/>
    <x v="0"/>
    <n v="1"/>
    <x v="3"/>
    <x v="0"/>
    <x v="0"/>
    <n v="52"/>
    <x v="1"/>
    <x v="0"/>
    <n v="42"/>
    <x v="2"/>
    <x v="0"/>
    <x v="0"/>
    <x v="3"/>
    <x v="1"/>
    <x v="39"/>
    <n v="3193"/>
    <n v="2"/>
    <s v="Y"/>
    <x v="1"/>
    <n v="19"/>
    <x v="0"/>
    <x v="0"/>
    <n v="80"/>
    <n v="2"/>
    <n v="10"/>
    <n v="3"/>
    <x v="1"/>
    <x v="8"/>
    <n v="3"/>
    <x v="1"/>
    <x v="6"/>
    <x v="1"/>
    <x v="2"/>
    <x v="0"/>
    <n v="0"/>
  </r>
  <r>
    <x v="10"/>
    <x v="1"/>
    <x v="0"/>
    <n v="464"/>
    <x v="1"/>
    <n v="4"/>
    <x v="0"/>
    <x v="1"/>
    <x v="0"/>
    <n v="53"/>
    <x v="1"/>
    <x v="1"/>
    <n v="75"/>
    <x v="0"/>
    <x v="1"/>
    <x v="2"/>
    <x v="0"/>
    <x v="2"/>
    <x v="40"/>
    <n v="10910"/>
    <n v="1"/>
    <s v="Y"/>
    <x v="1"/>
    <n v="12"/>
    <x v="0"/>
    <x v="3"/>
    <n v="80"/>
    <n v="1"/>
    <n v="1"/>
    <n v="3"/>
    <x v="1"/>
    <x v="6"/>
    <n v="0"/>
    <x v="0"/>
    <x v="2"/>
    <x v="1"/>
    <x v="1"/>
    <x v="1"/>
    <n v="0"/>
  </r>
  <r>
    <x v="4"/>
    <x v="1"/>
    <x v="0"/>
    <n v="1240"/>
    <x v="1"/>
    <n v="2"/>
    <x v="2"/>
    <x v="0"/>
    <x v="0"/>
    <n v="54"/>
    <x v="2"/>
    <x v="0"/>
    <n v="33"/>
    <x v="0"/>
    <x v="1"/>
    <x v="2"/>
    <x v="3"/>
    <x v="2"/>
    <x v="41"/>
    <n v="19715"/>
    <n v="1"/>
    <s v="Y"/>
    <x v="1"/>
    <n v="13"/>
    <x v="0"/>
    <x v="1"/>
    <n v="80"/>
    <n v="1"/>
    <n v="1"/>
    <n v="6"/>
    <x v="1"/>
    <x v="6"/>
    <n v="0"/>
    <x v="0"/>
    <x v="2"/>
    <x v="2"/>
    <x v="1"/>
    <x v="1"/>
    <n v="0"/>
  </r>
  <r>
    <x v="25"/>
    <x v="0"/>
    <x v="0"/>
    <n v="1357"/>
    <x v="1"/>
    <n v="25"/>
    <x v="3"/>
    <x v="0"/>
    <x v="0"/>
    <n v="55"/>
    <x v="3"/>
    <x v="1"/>
    <n v="48"/>
    <x v="3"/>
    <x v="1"/>
    <x v="2"/>
    <x v="2"/>
    <x v="0"/>
    <x v="34"/>
    <n v="10558"/>
    <n v="1"/>
    <s v="Y"/>
    <x v="1"/>
    <n v="12"/>
    <x v="0"/>
    <x v="3"/>
    <n v="80"/>
    <n v="0"/>
    <n v="1"/>
    <n v="2"/>
    <x v="2"/>
    <x v="6"/>
    <n v="0"/>
    <x v="0"/>
    <x v="9"/>
    <x v="2"/>
    <x v="1"/>
    <x v="1"/>
    <n v="1"/>
  </r>
  <r>
    <x v="4"/>
    <x v="1"/>
    <x v="1"/>
    <n v="994"/>
    <x v="0"/>
    <n v="8"/>
    <x v="3"/>
    <x v="0"/>
    <x v="0"/>
    <n v="56"/>
    <x v="2"/>
    <x v="1"/>
    <n v="37"/>
    <x v="0"/>
    <x v="2"/>
    <x v="0"/>
    <x v="2"/>
    <x v="0"/>
    <x v="42"/>
    <n v="2975"/>
    <n v="1"/>
    <s v="Y"/>
    <x v="1"/>
    <n v="15"/>
    <x v="0"/>
    <x v="1"/>
    <n v="80"/>
    <n v="0"/>
    <n v="9"/>
    <n v="0"/>
    <x v="1"/>
    <x v="7"/>
    <n v="8"/>
    <x v="1"/>
    <x v="1"/>
    <x v="2"/>
    <x v="0"/>
    <x v="0"/>
    <n v="0"/>
  </r>
  <r>
    <x v="7"/>
    <x v="1"/>
    <x v="1"/>
    <n v="721"/>
    <x v="1"/>
    <n v="1"/>
    <x v="0"/>
    <x v="2"/>
    <x v="0"/>
    <n v="57"/>
    <x v="1"/>
    <x v="0"/>
    <n v="58"/>
    <x v="0"/>
    <x v="0"/>
    <x v="2"/>
    <x v="0"/>
    <x v="0"/>
    <x v="20"/>
    <n v="10781"/>
    <n v="1"/>
    <s v="Y"/>
    <x v="1"/>
    <n v="23"/>
    <x v="1"/>
    <x v="1"/>
    <n v="80"/>
    <n v="0"/>
    <n v="12"/>
    <n v="2"/>
    <x v="1"/>
    <x v="12"/>
    <n v="8"/>
    <x v="2"/>
    <x v="1"/>
    <x v="1"/>
    <x v="3"/>
    <x v="1"/>
    <n v="0"/>
  </r>
  <r>
    <x v="0"/>
    <x v="0"/>
    <x v="0"/>
    <n v="1360"/>
    <x v="1"/>
    <n v="12"/>
    <x v="3"/>
    <x v="4"/>
    <x v="0"/>
    <n v="58"/>
    <x v="0"/>
    <x v="0"/>
    <n v="49"/>
    <x v="0"/>
    <x v="4"/>
    <x v="7"/>
    <x v="2"/>
    <x v="1"/>
    <x v="43"/>
    <n v="16280"/>
    <n v="1"/>
    <s v="Y"/>
    <x v="1"/>
    <n v="12"/>
    <x v="0"/>
    <x v="1"/>
    <n v="80"/>
    <n v="0"/>
    <n v="23"/>
    <n v="0"/>
    <x v="1"/>
    <x v="14"/>
    <n v="15"/>
    <x v="9"/>
    <x v="5"/>
    <x v="0"/>
    <x v="3"/>
    <x v="2"/>
    <n v="1"/>
  </r>
  <r>
    <x v="13"/>
    <x v="1"/>
    <x v="2"/>
    <n v="1065"/>
    <x v="0"/>
    <n v="23"/>
    <x v="2"/>
    <x v="3"/>
    <x v="0"/>
    <n v="60"/>
    <x v="0"/>
    <x v="1"/>
    <n v="72"/>
    <x v="0"/>
    <x v="0"/>
    <x v="0"/>
    <x v="2"/>
    <x v="0"/>
    <x v="44"/>
    <n v="10034"/>
    <n v="0"/>
    <s v="Y"/>
    <x v="1"/>
    <n v="20"/>
    <x v="1"/>
    <x v="3"/>
    <n v="80"/>
    <n v="0"/>
    <n v="10"/>
    <n v="2"/>
    <x v="1"/>
    <x v="7"/>
    <n v="5"/>
    <x v="6"/>
    <x v="1"/>
    <x v="1"/>
    <x v="0"/>
    <x v="1"/>
    <n v="0"/>
  </r>
  <r>
    <x v="2"/>
    <x v="1"/>
    <x v="0"/>
    <n v="408"/>
    <x v="1"/>
    <n v="19"/>
    <x v="0"/>
    <x v="0"/>
    <x v="0"/>
    <n v="61"/>
    <x v="0"/>
    <x v="1"/>
    <n v="73"/>
    <x v="0"/>
    <x v="1"/>
    <x v="1"/>
    <x v="1"/>
    <x v="1"/>
    <x v="45"/>
    <n v="10227"/>
    <n v="4"/>
    <s v="Y"/>
    <x v="1"/>
    <n v="21"/>
    <x v="1"/>
    <x v="0"/>
    <n v="80"/>
    <n v="0"/>
    <n v="8"/>
    <n v="1"/>
    <x v="1"/>
    <x v="6"/>
    <n v="0"/>
    <x v="0"/>
    <x v="2"/>
    <x v="1"/>
    <x v="1"/>
    <x v="1"/>
    <n v="0"/>
  </r>
  <r>
    <x v="21"/>
    <x v="1"/>
    <x v="1"/>
    <n v="1211"/>
    <x v="0"/>
    <n v="5"/>
    <x v="2"/>
    <x v="3"/>
    <x v="0"/>
    <n v="62"/>
    <x v="3"/>
    <x v="1"/>
    <n v="98"/>
    <x v="0"/>
    <x v="0"/>
    <x v="0"/>
    <x v="0"/>
    <x v="0"/>
    <x v="46"/>
    <n v="20445"/>
    <n v="4"/>
    <s v="Y"/>
    <x v="0"/>
    <n v="21"/>
    <x v="1"/>
    <x v="3"/>
    <n v="80"/>
    <n v="0"/>
    <n v="14"/>
    <n v="4"/>
    <x v="1"/>
    <x v="7"/>
    <n v="6"/>
    <x v="0"/>
    <x v="5"/>
    <x v="0"/>
    <x v="0"/>
    <x v="0"/>
    <n v="0"/>
  </r>
  <r>
    <x v="10"/>
    <x v="1"/>
    <x v="0"/>
    <n v="1229"/>
    <x v="1"/>
    <n v="8"/>
    <x v="1"/>
    <x v="0"/>
    <x v="0"/>
    <n v="63"/>
    <x v="2"/>
    <x v="1"/>
    <n v="36"/>
    <x v="2"/>
    <x v="1"/>
    <x v="2"/>
    <x v="0"/>
    <x v="1"/>
    <x v="47"/>
    <n v="4892"/>
    <n v="1"/>
    <s v="Y"/>
    <x v="1"/>
    <n v="19"/>
    <x v="0"/>
    <x v="1"/>
    <n v="80"/>
    <n v="0"/>
    <n v="1"/>
    <n v="2"/>
    <x v="1"/>
    <x v="6"/>
    <n v="0"/>
    <x v="0"/>
    <x v="9"/>
    <x v="1"/>
    <x v="1"/>
    <x v="1"/>
    <n v="0"/>
  </r>
  <r>
    <x v="26"/>
    <x v="0"/>
    <x v="0"/>
    <n v="626"/>
    <x v="1"/>
    <n v="1"/>
    <x v="0"/>
    <x v="0"/>
    <x v="0"/>
    <n v="64"/>
    <x v="3"/>
    <x v="1"/>
    <n v="98"/>
    <x v="1"/>
    <x v="2"/>
    <x v="2"/>
    <x v="2"/>
    <x v="0"/>
    <x v="48"/>
    <n v="19294"/>
    <n v="9"/>
    <s v="Y"/>
    <x v="0"/>
    <n v="13"/>
    <x v="0"/>
    <x v="1"/>
    <n v="80"/>
    <n v="0"/>
    <n v="23"/>
    <n v="2"/>
    <x v="1"/>
    <x v="6"/>
    <n v="0"/>
    <x v="0"/>
    <x v="2"/>
    <x v="0"/>
    <x v="1"/>
    <x v="0"/>
    <n v="1"/>
  </r>
  <r>
    <x v="14"/>
    <x v="0"/>
    <x v="0"/>
    <n v="1434"/>
    <x v="1"/>
    <n v="5"/>
    <x v="2"/>
    <x v="4"/>
    <x v="0"/>
    <n v="65"/>
    <x v="1"/>
    <x v="1"/>
    <n v="50"/>
    <x v="0"/>
    <x v="1"/>
    <x v="2"/>
    <x v="2"/>
    <x v="0"/>
    <x v="49"/>
    <n v="11179"/>
    <n v="1"/>
    <s v="Y"/>
    <x v="0"/>
    <n v="13"/>
    <x v="0"/>
    <x v="3"/>
    <n v="80"/>
    <n v="0"/>
    <n v="2"/>
    <n v="3"/>
    <x v="2"/>
    <x v="4"/>
    <n v="2"/>
    <x v="3"/>
    <x v="3"/>
    <x v="2"/>
    <x v="1"/>
    <x v="1"/>
    <n v="1"/>
  </r>
  <r>
    <x v="20"/>
    <x v="1"/>
    <x v="0"/>
    <n v="1488"/>
    <x v="0"/>
    <n v="1"/>
    <x v="4"/>
    <x v="3"/>
    <x v="0"/>
    <n v="68"/>
    <x v="0"/>
    <x v="0"/>
    <n v="75"/>
    <x v="0"/>
    <x v="0"/>
    <x v="0"/>
    <x v="3"/>
    <x v="2"/>
    <x v="50"/>
    <n v="4009"/>
    <n v="5"/>
    <s v="Y"/>
    <x v="0"/>
    <n v="21"/>
    <x v="1"/>
    <x v="3"/>
    <n v="80"/>
    <n v="1"/>
    <n v="9"/>
    <n v="2"/>
    <x v="2"/>
    <x v="9"/>
    <n v="3"/>
    <x v="1"/>
    <x v="6"/>
    <x v="0"/>
    <x v="2"/>
    <x v="0"/>
    <n v="0"/>
  </r>
  <r>
    <x v="10"/>
    <x v="1"/>
    <x v="2"/>
    <n v="1097"/>
    <x v="1"/>
    <n v="11"/>
    <x v="0"/>
    <x v="2"/>
    <x v="0"/>
    <n v="70"/>
    <x v="1"/>
    <x v="1"/>
    <n v="79"/>
    <x v="1"/>
    <x v="2"/>
    <x v="4"/>
    <x v="3"/>
    <x v="1"/>
    <x v="51"/>
    <n v="8302"/>
    <n v="2"/>
    <s v="Y"/>
    <x v="0"/>
    <n v="13"/>
    <x v="0"/>
    <x v="3"/>
    <n v="80"/>
    <n v="1"/>
    <n v="10"/>
    <n v="3"/>
    <x v="1"/>
    <x v="9"/>
    <n v="0"/>
    <x v="3"/>
    <x v="6"/>
    <x v="1"/>
    <x v="2"/>
    <x v="0"/>
    <n v="0"/>
  </r>
  <r>
    <x v="25"/>
    <x v="1"/>
    <x v="0"/>
    <n v="1443"/>
    <x v="0"/>
    <n v="23"/>
    <x v="3"/>
    <x v="3"/>
    <x v="0"/>
    <n v="72"/>
    <x v="1"/>
    <x v="0"/>
    <n v="47"/>
    <x v="1"/>
    <x v="0"/>
    <x v="0"/>
    <x v="0"/>
    <x v="1"/>
    <x v="52"/>
    <n v="21436"/>
    <n v="7"/>
    <s v="Y"/>
    <x v="0"/>
    <n v="19"/>
    <x v="0"/>
    <x v="3"/>
    <n v="80"/>
    <n v="1"/>
    <n v="5"/>
    <n v="2"/>
    <x v="2"/>
    <x v="4"/>
    <n v="2"/>
    <x v="0"/>
    <x v="2"/>
    <x v="2"/>
    <x v="1"/>
    <x v="1"/>
    <n v="0"/>
  </r>
  <r>
    <x v="3"/>
    <x v="1"/>
    <x v="1"/>
    <n v="515"/>
    <x v="1"/>
    <n v="1"/>
    <x v="0"/>
    <x v="0"/>
    <x v="0"/>
    <n v="73"/>
    <x v="3"/>
    <x v="0"/>
    <n v="98"/>
    <x v="0"/>
    <x v="2"/>
    <x v="7"/>
    <x v="0"/>
    <x v="0"/>
    <x v="53"/>
    <n v="15146"/>
    <n v="1"/>
    <s v="Y"/>
    <x v="0"/>
    <n v="12"/>
    <x v="0"/>
    <x v="3"/>
    <n v="80"/>
    <n v="0"/>
    <n v="15"/>
    <n v="1"/>
    <x v="1"/>
    <x v="15"/>
    <n v="14"/>
    <x v="6"/>
    <x v="11"/>
    <x v="1"/>
    <x v="3"/>
    <x v="3"/>
    <n v="0"/>
  </r>
  <r>
    <x v="10"/>
    <x v="1"/>
    <x v="1"/>
    <n v="853"/>
    <x v="0"/>
    <n v="18"/>
    <x v="4"/>
    <x v="0"/>
    <x v="0"/>
    <n v="74"/>
    <x v="0"/>
    <x v="1"/>
    <n v="71"/>
    <x v="0"/>
    <x v="2"/>
    <x v="0"/>
    <x v="3"/>
    <x v="1"/>
    <x v="54"/>
    <n v="11031"/>
    <n v="1"/>
    <s v="Y"/>
    <x v="1"/>
    <n v="22"/>
    <x v="1"/>
    <x v="1"/>
    <n v="80"/>
    <n v="1"/>
    <n v="9"/>
    <n v="3"/>
    <x v="2"/>
    <x v="7"/>
    <n v="8"/>
    <x v="1"/>
    <x v="5"/>
    <x v="1"/>
    <x v="0"/>
    <x v="0"/>
    <n v="0"/>
  </r>
  <r>
    <x v="10"/>
    <x v="1"/>
    <x v="0"/>
    <n v="1142"/>
    <x v="1"/>
    <n v="23"/>
    <x v="2"/>
    <x v="2"/>
    <x v="0"/>
    <n v="75"/>
    <x v="1"/>
    <x v="0"/>
    <n v="30"/>
    <x v="0"/>
    <x v="1"/>
    <x v="2"/>
    <x v="3"/>
    <x v="1"/>
    <x v="55"/>
    <n v="16002"/>
    <n v="3"/>
    <s v="Y"/>
    <x v="0"/>
    <n v="15"/>
    <x v="0"/>
    <x v="3"/>
    <n v="80"/>
    <n v="1"/>
    <n v="4"/>
    <n v="3"/>
    <x v="1"/>
    <x v="4"/>
    <n v="2"/>
    <x v="3"/>
    <x v="3"/>
    <x v="1"/>
    <x v="1"/>
    <x v="1"/>
    <n v="0"/>
  </r>
  <r>
    <x v="12"/>
    <x v="1"/>
    <x v="0"/>
    <n v="655"/>
    <x v="1"/>
    <n v="7"/>
    <x v="2"/>
    <x v="0"/>
    <x v="0"/>
    <n v="76"/>
    <x v="2"/>
    <x v="1"/>
    <n v="48"/>
    <x v="0"/>
    <x v="0"/>
    <x v="2"/>
    <x v="0"/>
    <x v="2"/>
    <x v="56"/>
    <n v="9528"/>
    <n v="3"/>
    <s v="Y"/>
    <x v="1"/>
    <n v="22"/>
    <x v="1"/>
    <x v="1"/>
    <n v="80"/>
    <n v="1"/>
    <n v="10"/>
    <n v="3"/>
    <x v="2"/>
    <x v="5"/>
    <n v="7"/>
    <x v="1"/>
    <x v="1"/>
    <x v="1"/>
    <x v="0"/>
    <x v="0"/>
    <n v="0"/>
  </r>
  <r>
    <x v="2"/>
    <x v="1"/>
    <x v="0"/>
    <n v="1115"/>
    <x v="1"/>
    <n v="1"/>
    <x v="2"/>
    <x v="0"/>
    <x v="0"/>
    <n v="77"/>
    <x v="3"/>
    <x v="1"/>
    <n v="51"/>
    <x v="1"/>
    <x v="0"/>
    <x v="3"/>
    <x v="2"/>
    <x v="2"/>
    <x v="0"/>
    <n v="2689"/>
    <n v="1"/>
    <s v="Y"/>
    <x v="1"/>
    <n v="18"/>
    <x v="0"/>
    <x v="3"/>
    <n v="80"/>
    <n v="1"/>
    <n v="7"/>
    <n v="2"/>
    <x v="3"/>
    <x v="5"/>
    <n v="5"/>
    <x v="0"/>
    <x v="1"/>
    <x v="1"/>
    <x v="0"/>
    <x v="0"/>
    <n v="0"/>
  </r>
  <r>
    <x v="5"/>
    <x v="1"/>
    <x v="0"/>
    <n v="427"/>
    <x v="1"/>
    <n v="1"/>
    <x v="3"/>
    <x v="2"/>
    <x v="0"/>
    <n v="78"/>
    <x v="3"/>
    <x v="1"/>
    <n v="33"/>
    <x v="0"/>
    <x v="0"/>
    <x v="3"/>
    <x v="0"/>
    <x v="1"/>
    <x v="57"/>
    <n v="10877"/>
    <n v="1"/>
    <s v="Y"/>
    <x v="0"/>
    <n v="22"/>
    <x v="1"/>
    <x v="2"/>
    <n v="80"/>
    <n v="1"/>
    <n v="9"/>
    <n v="3"/>
    <x v="1"/>
    <x v="7"/>
    <n v="8"/>
    <x v="4"/>
    <x v="5"/>
    <x v="1"/>
    <x v="0"/>
    <x v="0"/>
    <n v="0"/>
  </r>
  <r>
    <x v="8"/>
    <x v="1"/>
    <x v="1"/>
    <n v="653"/>
    <x v="1"/>
    <n v="29"/>
    <x v="4"/>
    <x v="0"/>
    <x v="0"/>
    <n v="79"/>
    <x v="2"/>
    <x v="0"/>
    <n v="50"/>
    <x v="0"/>
    <x v="0"/>
    <x v="2"/>
    <x v="0"/>
    <x v="0"/>
    <x v="58"/>
    <n v="5456"/>
    <n v="1"/>
    <s v="Y"/>
    <x v="1"/>
    <n v="11"/>
    <x v="0"/>
    <x v="1"/>
    <n v="80"/>
    <n v="0"/>
    <n v="10"/>
    <n v="2"/>
    <x v="1"/>
    <x v="1"/>
    <n v="3"/>
    <x v="10"/>
    <x v="12"/>
    <x v="1"/>
    <x v="0"/>
    <x v="1"/>
    <n v="0"/>
  </r>
  <r>
    <x v="24"/>
    <x v="1"/>
    <x v="0"/>
    <n v="989"/>
    <x v="1"/>
    <n v="7"/>
    <x v="0"/>
    <x v="2"/>
    <x v="0"/>
    <n v="80"/>
    <x v="0"/>
    <x v="0"/>
    <n v="43"/>
    <x v="1"/>
    <x v="4"/>
    <x v="7"/>
    <x v="2"/>
    <x v="2"/>
    <x v="59"/>
    <n v="16701"/>
    <n v="5"/>
    <s v="Y"/>
    <x v="0"/>
    <n v="12"/>
    <x v="0"/>
    <x v="1"/>
    <n v="80"/>
    <n v="1"/>
    <n v="29"/>
    <n v="2"/>
    <x v="2"/>
    <x v="16"/>
    <n v="3"/>
    <x v="11"/>
    <x v="5"/>
    <x v="3"/>
    <x v="3"/>
    <x v="2"/>
    <n v="0"/>
  </r>
  <r>
    <x v="6"/>
    <x v="1"/>
    <x v="0"/>
    <n v="1435"/>
    <x v="0"/>
    <n v="25"/>
    <x v="3"/>
    <x v="0"/>
    <x v="0"/>
    <n v="81"/>
    <x v="3"/>
    <x v="0"/>
    <n v="99"/>
    <x v="0"/>
    <x v="2"/>
    <x v="0"/>
    <x v="3"/>
    <x v="0"/>
    <x v="60"/>
    <n v="2354"/>
    <n v="7"/>
    <s v="Y"/>
    <x v="1"/>
    <n v="11"/>
    <x v="0"/>
    <x v="1"/>
    <n v="80"/>
    <n v="0"/>
    <n v="28"/>
    <n v="3"/>
    <x v="2"/>
    <x v="17"/>
    <n v="16"/>
    <x v="4"/>
    <x v="12"/>
    <x v="3"/>
    <x v="3"/>
    <x v="0"/>
    <n v="0"/>
  </r>
  <r>
    <x v="9"/>
    <x v="1"/>
    <x v="0"/>
    <n v="1223"/>
    <x v="1"/>
    <n v="8"/>
    <x v="3"/>
    <x v="4"/>
    <x v="0"/>
    <n v="83"/>
    <x v="1"/>
    <x v="0"/>
    <n v="59"/>
    <x v="0"/>
    <x v="2"/>
    <x v="4"/>
    <x v="2"/>
    <x v="2"/>
    <x v="61"/>
    <n v="8202"/>
    <n v="1"/>
    <s v="Y"/>
    <x v="1"/>
    <n v="13"/>
    <x v="0"/>
    <x v="2"/>
    <n v="80"/>
    <n v="3"/>
    <n v="17"/>
    <n v="2"/>
    <x v="1"/>
    <x v="18"/>
    <n v="14"/>
    <x v="12"/>
    <x v="5"/>
    <x v="1"/>
    <x v="3"/>
    <x v="3"/>
    <n v="0"/>
  </r>
  <r>
    <x v="27"/>
    <x v="1"/>
    <x v="0"/>
    <n v="836"/>
    <x v="1"/>
    <n v="8"/>
    <x v="3"/>
    <x v="2"/>
    <x v="0"/>
    <n v="84"/>
    <x v="2"/>
    <x v="0"/>
    <n v="33"/>
    <x v="0"/>
    <x v="3"/>
    <x v="5"/>
    <x v="2"/>
    <x v="2"/>
    <x v="62"/>
    <n v="19730"/>
    <n v="2"/>
    <s v="Y"/>
    <x v="0"/>
    <n v="14"/>
    <x v="0"/>
    <x v="3"/>
    <n v="80"/>
    <n v="3"/>
    <n v="21"/>
    <n v="2"/>
    <x v="1"/>
    <x v="8"/>
    <n v="0"/>
    <x v="0"/>
    <x v="3"/>
    <x v="3"/>
    <x v="2"/>
    <x v="3"/>
    <n v="0"/>
  </r>
  <r>
    <x v="9"/>
    <x v="1"/>
    <x v="1"/>
    <n v="1195"/>
    <x v="1"/>
    <n v="11"/>
    <x v="3"/>
    <x v="0"/>
    <x v="0"/>
    <n v="85"/>
    <x v="0"/>
    <x v="1"/>
    <n v="95"/>
    <x v="1"/>
    <x v="0"/>
    <x v="3"/>
    <x v="1"/>
    <x v="0"/>
    <x v="63"/>
    <n v="22656"/>
    <n v="1"/>
    <s v="Y"/>
    <x v="1"/>
    <n v="13"/>
    <x v="0"/>
    <x v="3"/>
    <n v="80"/>
    <n v="0"/>
    <n v="6"/>
    <n v="3"/>
    <x v="1"/>
    <x v="0"/>
    <n v="5"/>
    <x v="0"/>
    <x v="6"/>
    <x v="1"/>
    <x v="0"/>
    <x v="0"/>
    <n v="0"/>
  </r>
  <r>
    <x v="28"/>
    <x v="1"/>
    <x v="0"/>
    <n v="1339"/>
    <x v="1"/>
    <n v="7"/>
    <x v="3"/>
    <x v="0"/>
    <x v="0"/>
    <n v="86"/>
    <x v="0"/>
    <x v="1"/>
    <n v="59"/>
    <x v="0"/>
    <x v="2"/>
    <x v="1"/>
    <x v="3"/>
    <x v="2"/>
    <x v="64"/>
    <n v="18787"/>
    <n v="2"/>
    <s v="Y"/>
    <x v="1"/>
    <n v="17"/>
    <x v="0"/>
    <x v="3"/>
    <n v="80"/>
    <n v="1"/>
    <n v="25"/>
    <n v="2"/>
    <x v="1"/>
    <x v="6"/>
    <n v="0"/>
    <x v="0"/>
    <x v="2"/>
    <x v="0"/>
    <x v="1"/>
    <x v="0"/>
    <n v="0"/>
  </r>
  <r>
    <x v="10"/>
    <x v="1"/>
    <x v="1"/>
    <n v="664"/>
    <x v="1"/>
    <n v="1"/>
    <x v="3"/>
    <x v="2"/>
    <x v="0"/>
    <n v="88"/>
    <x v="0"/>
    <x v="1"/>
    <n v="79"/>
    <x v="0"/>
    <x v="1"/>
    <x v="1"/>
    <x v="3"/>
    <x v="1"/>
    <x v="65"/>
    <n v="5868"/>
    <n v="4"/>
    <s v="Y"/>
    <x v="1"/>
    <n v="13"/>
    <x v="0"/>
    <x v="1"/>
    <n v="80"/>
    <n v="1"/>
    <n v="5"/>
    <n v="2"/>
    <x v="2"/>
    <x v="11"/>
    <n v="2"/>
    <x v="1"/>
    <x v="3"/>
    <x v="1"/>
    <x v="2"/>
    <x v="1"/>
    <n v="0"/>
  </r>
  <r>
    <x v="9"/>
    <x v="0"/>
    <x v="0"/>
    <n v="318"/>
    <x v="1"/>
    <n v="9"/>
    <x v="3"/>
    <x v="2"/>
    <x v="0"/>
    <n v="90"/>
    <x v="2"/>
    <x v="1"/>
    <n v="79"/>
    <x v="1"/>
    <x v="1"/>
    <x v="1"/>
    <x v="2"/>
    <x v="1"/>
    <x v="66"/>
    <n v="21777"/>
    <n v="0"/>
    <s v="Y"/>
    <x v="0"/>
    <n v="17"/>
    <x v="0"/>
    <x v="0"/>
    <n v="80"/>
    <n v="1"/>
    <n v="2"/>
    <n v="0"/>
    <x v="2"/>
    <x v="6"/>
    <n v="0"/>
    <x v="0"/>
    <x v="2"/>
    <x v="1"/>
    <x v="1"/>
    <x v="1"/>
    <n v="1"/>
  </r>
  <r>
    <x v="6"/>
    <x v="1"/>
    <x v="1"/>
    <n v="1225"/>
    <x v="0"/>
    <n v="1"/>
    <x v="1"/>
    <x v="0"/>
    <x v="0"/>
    <n v="91"/>
    <x v="3"/>
    <x v="0"/>
    <n v="57"/>
    <x v="1"/>
    <x v="0"/>
    <x v="0"/>
    <x v="2"/>
    <x v="0"/>
    <x v="67"/>
    <n v="24668"/>
    <n v="7"/>
    <s v="Y"/>
    <x v="1"/>
    <n v="11"/>
    <x v="0"/>
    <x v="1"/>
    <n v="80"/>
    <n v="0"/>
    <n v="20"/>
    <n v="2"/>
    <x v="2"/>
    <x v="9"/>
    <n v="3"/>
    <x v="1"/>
    <x v="6"/>
    <x v="3"/>
    <x v="2"/>
    <x v="0"/>
    <n v="0"/>
  </r>
  <r>
    <x v="11"/>
    <x v="1"/>
    <x v="0"/>
    <n v="1328"/>
    <x v="1"/>
    <n v="2"/>
    <x v="3"/>
    <x v="0"/>
    <x v="0"/>
    <n v="94"/>
    <x v="1"/>
    <x v="1"/>
    <n v="76"/>
    <x v="0"/>
    <x v="1"/>
    <x v="1"/>
    <x v="1"/>
    <x v="1"/>
    <x v="68"/>
    <n v="4956"/>
    <n v="0"/>
    <s v="Y"/>
    <x v="1"/>
    <n v="23"/>
    <x v="1"/>
    <x v="1"/>
    <n v="80"/>
    <n v="1"/>
    <n v="6"/>
    <n v="3"/>
    <x v="1"/>
    <x v="8"/>
    <n v="4"/>
    <x v="0"/>
    <x v="10"/>
    <x v="2"/>
    <x v="2"/>
    <x v="1"/>
    <n v="0"/>
  </r>
  <r>
    <x v="12"/>
    <x v="1"/>
    <x v="0"/>
    <n v="1082"/>
    <x v="1"/>
    <n v="1"/>
    <x v="2"/>
    <x v="2"/>
    <x v="0"/>
    <n v="95"/>
    <x v="1"/>
    <x v="1"/>
    <n v="87"/>
    <x v="0"/>
    <x v="1"/>
    <x v="1"/>
    <x v="1"/>
    <x v="0"/>
    <x v="69"/>
    <n v="18775"/>
    <n v="1"/>
    <s v="Y"/>
    <x v="1"/>
    <n v="17"/>
    <x v="0"/>
    <x v="2"/>
    <n v="80"/>
    <n v="0"/>
    <n v="1"/>
    <n v="4"/>
    <x v="1"/>
    <x v="6"/>
    <n v="1"/>
    <x v="1"/>
    <x v="2"/>
    <x v="1"/>
    <x v="1"/>
    <x v="1"/>
    <n v="0"/>
  </r>
  <r>
    <x v="5"/>
    <x v="1"/>
    <x v="0"/>
    <n v="548"/>
    <x v="1"/>
    <n v="1"/>
    <x v="3"/>
    <x v="0"/>
    <x v="0"/>
    <n v="96"/>
    <x v="0"/>
    <x v="1"/>
    <n v="66"/>
    <x v="0"/>
    <x v="0"/>
    <x v="1"/>
    <x v="1"/>
    <x v="1"/>
    <x v="70"/>
    <n v="7346"/>
    <n v="1"/>
    <s v="Y"/>
    <x v="1"/>
    <n v="17"/>
    <x v="0"/>
    <x v="2"/>
    <n v="80"/>
    <n v="2"/>
    <n v="10"/>
    <n v="3"/>
    <x v="1"/>
    <x v="1"/>
    <n v="4"/>
    <x v="0"/>
    <x v="12"/>
    <x v="1"/>
    <x v="0"/>
    <x v="0"/>
    <n v="0"/>
  </r>
  <r>
    <x v="9"/>
    <x v="1"/>
    <x v="0"/>
    <n v="132"/>
    <x v="1"/>
    <n v="6"/>
    <x v="3"/>
    <x v="0"/>
    <x v="0"/>
    <n v="97"/>
    <x v="0"/>
    <x v="0"/>
    <n v="55"/>
    <x v="2"/>
    <x v="1"/>
    <x v="2"/>
    <x v="0"/>
    <x v="1"/>
    <x v="71"/>
    <n v="22002"/>
    <n v="3"/>
    <s v="Y"/>
    <x v="1"/>
    <n v="12"/>
    <x v="0"/>
    <x v="2"/>
    <n v="80"/>
    <n v="0"/>
    <n v="5"/>
    <n v="3"/>
    <x v="1"/>
    <x v="6"/>
    <n v="0"/>
    <x v="0"/>
    <x v="2"/>
    <x v="1"/>
    <x v="1"/>
    <x v="1"/>
    <n v="0"/>
  </r>
  <r>
    <x v="12"/>
    <x v="1"/>
    <x v="0"/>
    <n v="746"/>
    <x v="1"/>
    <n v="8"/>
    <x v="2"/>
    <x v="0"/>
    <x v="0"/>
    <n v="98"/>
    <x v="1"/>
    <x v="0"/>
    <n v="61"/>
    <x v="0"/>
    <x v="0"/>
    <x v="3"/>
    <x v="0"/>
    <x v="0"/>
    <x v="72"/>
    <n v="20682"/>
    <n v="1"/>
    <s v="Y"/>
    <x v="1"/>
    <n v="23"/>
    <x v="1"/>
    <x v="1"/>
    <n v="80"/>
    <n v="0"/>
    <n v="11"/>
    <n v="2"/>
    <x v="1"/>
    <x v="19"/>
    <n v="7"/>
    <x v="1"/>
    <x v="5"/>
    <x v="1"/>
    <x v="3"/>
    <x v="1"/>
    <n v="0"/>
  </r>
  <r>
    <x v="10"/>
    <x v="1"/>
    <x v="0"/>
    <n v="776"/>
    <x v="0"/>
    <n v="1"/>
    <x v="2"/>
    <x v="3"/>
    <x v="0"/>
    <n v="100"/>
    <x v="1"/>
    <x v="1"/>
    <n v="32"/>
    <x v="1"/>
    <x v="0"/>
    <x v="0"/>
    <x v="3"/>
    <x v="0"/>
    <x v="73"/>
    <n v="23016"/>
    <n v="0"/>
    <s v="Y"/>
    <x v="1"/>
    <n v="14"/>
    <x v="0"/>
    <x v="2"/>
    <n v="80"/>
    <n v="0"/>
    <n v="16"/>
    <n v="2"/>
    <x v="1"/>
    <x v="15"/>
    <n v="13"/>
    <x v="3"/>
    <x v="5"/>
    <x v="1"/>
    <x v="3"/>
    <x v="1"/>
    <n v="0"/>
  </r>
  <r>
    <x v="28"/>
    <x v="1"/>
    <x v="0"/>
    <n v="193"/>
    <x v="1"/>
    <n v="6"/>
    <x v="2"/>
    <x v="1"/>
    <x v="0"/>
    <n v="101"/>
    <x v="2"/>
    <x v="1"/>
    <n v="52"/>
    <x v="0"/>
    <x v="2"/>
    <x v="7"/>
    <x v="3"/>
    <x v="1"/>
    <x v="74"/>
    <n v="15067"/>
    <n v="4"/>
    <s v="Y"/>
    <x v="0"/>
    <n v="14"/>
    <x v="0"/>
    <x v="2"/>
    <n v="80"/>
    <n v="0"/>
    <n v="17"/>
    <n v="3"/>
    <x v="3"/>
    <x v="2"/>
    <n v="0"/>
    <x v="0"/>
    <x v="2"/>
    <x v="0"/>
    <x v="1"/>
    <x v="3"/>
    <n v="0"/>
  </r>
  <r>
    <x v="2"/>
    <x v="1"/>
    <x v="0"/>
    <n v="397"/>
    <x v="1"/>
    <n v="7"/>
    <x v="2"/>
    <x v="2"/>
    <x v="0"/>
    <n v="102"/>
    <x v="3"/>
    <x v="1"/>
    <n v="30"/>
    <x v="0"/>
    <x v="2"/>
    <x v="7"/>
    <x v="2"/>
    <x v="0"/>
    <x v="75"/>
    <n v="25258"/>
    <n v="4"/>
    <s v="Y"/>
    <x v="1"/>
    <n v="13"/>
    <x v="0"/>
    <x v="0"/>
    <n v="80"/>
    <n v="0"/>
    <n v="16"/>
    <n v="3"/>
    <x v="3"/>
    <x v="8"/>
    <n v="2"/>
    <x v="0"/>
    <x v="3"/>
    <x v="1"/>
    <x v="2"/>
    <x v="3"/>
    <n v="0"/>
  </r>
  <r>
    <x v="21"/>
    <x v="1"/>
    <x v="0"/>
    <n v="945"/>
    <x v="2"/>
    <n v="5"/>
    <x v="0"/>
    <x v="2"/>
    <x v="0"/>
    <n v="103"/>
    <x v="0"/>
    <x v="1"/>
    <n v="80"/>
    <x v="0"/>
    <x v="0"/>
    <x v="8"/>
    <x v="1"/>
    <x v="2"/>
    <x v="76"/>
    <n v="10425"/>
    <n v="8"/>
    <s v="Y"/>
    <x v="0"/>
    <n v="22"/>
    <x v="1"/>
    <x v="1"/>
    <n v="80"/>
    <n v="1"/>
    <n v="16"/>
    <n v="2"/>
    <x v="1"/>
    <x v="9"/>
    <n v="2"/>
    <x v="0"/>
    <x v="3"/>
    <x v="0"/>
    <x v="2"/>
    <x v="0"/>
    <n v="0"/>
  </r>
  <r>
    <x v="7"/>
    <x v="1"/>
    <x v="0"/>
    <n v="852"/>
    <x v="1"/>
    <n v="1"/>
    <x v="1"/>
    <x v="0"/>
    <x v="0"/>
    <n v="104"/>
    <x v="2"/>
    <x v="1"/>
    <n v="55"/>
    <x v="1"/>
    <x v="0"/>
    <x v="2"/>
    <x v="0"/>
    <x v="1"/>
    <x v="77"/>
    <n v="15998"/>
    <n v="1"/>
    <s v="Y"/>
    <x v="0"/>
    <n v="12"/>
    <x v="0"/>
    <x v="3"/>
    <n v="80"/>
    <n v="2"/>
    <n v="10"/>
    <n v="1"/>
    <x v="2"/>
    <x v="1"/>
    <n v="8"/>
    <x v="2"/>
    <x v="2"/>
    <x v="1"/>
    <x v="0"/>
    <x v="0"/>
    <n v="0"/>
  </r>
  <r>
    <x v="10"/>
    <x v="1"/>
    <x v="0"/>
    <n v="1214"/>
    <x v="1"/>
    <n v="1"/>
    <x v="3"/>
    <x v="2"/>
    <x v="0"/>
    <n v="105"/>
    <x v="0"/>
    <x v="1"/>
    <n v="30"/>
    <x v="1"/>
    <x v="1"/>
    <x v="1"/>
    <x v="2"/>
    <x v="0"/>
    <x v="78"/>
    <n v="26278"/>
    <n v="1"/>
    <s v="Y"/>
    <x v="1"/>
    <n v="18"/>
    <x v="0"/>
    <x v="0"/>
    <n v="80"/>
    <n v="0"/>
    <n v="6"/>
    <n v="3"/>
    <x v="1"/>
    <x v="0"/>
    <n v="4"/>
    <x v="0"/>
    <x v="10"/>
    <x v="1"/>
    <x v="0"/>
    <x v="1"/>
    <n v="0"/>
  </r>
  <r>
    <x v="27"/>
    <x v="1"/>
    <x v="0"/>
    <n v="111"/>
    <x v="0"/>
    <n v="1"/>
    <x v="0"/>
    <x v="0"/>
    <x v="0"/>
    <n v="106"/>
    <x v="3"/>
    <x v="1"/>
    <n v="70"/>
    <x v="0"/>
    <x v="2"/>
    <x v="0"/>
    <x v="0"/>
    <x v="1"/>
    <x v="79"/>
    <n v="18092"/>
    <n v="3"/>
    <s v="Y"/>
    <x v="1"/>
    <n v="14"/>
    <x v="0"/>
    <x v="1"/>
    <n v="80"/>
    <n v="1"/>
    <n v="24"/>
    <n v="4"/>
    <x v="1"/>
    <x v="6"/>
    <n v="0"/>
    <x v="1"/>
    <x v="2"/>
    <x v="3"/>
    <x v="1"/>
    <x v="3"/>
    <n v="0"/>
  </r>
  <r>
    <x v="8"/>
    <x v="1"/>
    <x v="2"/>
    <n v="573"/>
    <x v="1"/>
    <n v="6"/>
    <x v="3"/>
    <x v="2"/>
    <x v="0"/>
    <n v="107"/>
    <x v="0"/>
    <x v="0"/>
    <n v="79"/>
    <x v="3"/>
    <x v="0"/>
    <x v="1"/>
    <x v="0"/>
    <x v="2"/>
    <x v="80"/>
    <n v="15717"/>
    <n v="7"/>
    <s v="Y"/>
    <x v="0"/>
    <n v="12"/>
    <x v="0"/>
    <x v="1"/>
    <n v="80"/>
    <n v="3"/>
    <n v="17"/>
    <n v="3"/>
    <x v="1"/>
    <x v="20"/>
    <n v="11"/>
    <x v="1"/>
    <x v="12"/>
    <x v="1"/>
    <x v="3"/>
    <x v="0"/>
    <n v="0"/>
  </r>
  <r>
    <x v="13"/>
    <x v="1"/>
    <x v="0"/>
    <n v="1153"/>
    <x v="1"/>
    <n v="1"/>
    <x v="0"/>
    <x v="2"/>
    <x v="0"/>
    <n v="110"/>
    <x v="3"/>
    <x v="1"/>
    <n v="94"/>
    <x v="0"/>
    <x v="0"/>
    <x v="3"/>
    <x v="1"/>
    <x v="1"/>
    <x v="81"/>
    <n v="17736"/>
    <n v="1"/>
    <s v="Y"/>
    <x v="1"/>
    <n v="15"/>
    <x v="0"/>
    <x v="3"/>
    <n v="80"/>
    <n v="0"/>
    <n v="5"/>
    <n v="2"/>
    <x v="1"/>
    <x v="8"/>
    <n v="2"/>
    <x v="1"/>
    <x v="6"/>
    <x v="1"/>
    <x v="2"/>
    <x v="1"/>
    <n v="0"/>
  </r>
  <r>
    <x v="29"/>
    <x v="1"/>
    <x v="0"/>
    <n v="1400"/>
    <x v="1"/>
    <n v="7"/>
    <x v="3"/>
    <x v="0"/>
    <x v="0"/>
    <n v="112"/>
    <x v="2"/>
    <x v="1"/>
    <n v="49"/>
    <x v="3"/>
    <x v="2"/>
    <x v="3"/>
    <x v="0"/>
    <x v="0"/>
    <x v="82"/>
    <n v="21698"/>
    <n v="4"/>
    <s v="Y"/>
    <x v="1"/>
    <n v="11"/>
    <x v="0"/>
    <x v="0"/>
    <n v="80"/>
    <n v="0"/>
    <n v="37"/>
    <n v="3"/>
    <x v="2"/>
    <x v="0"/>
    <n v="4"/>
    <x v="0"/>
    <x v="3"/>
    <x v="3"/>
    <x v="0"/>
    <x v="0"/>
    <n v="0"/>
  </r>
  <r>
    <x v="30"/>
    <x v="1"/>
    <x v="0"/>
    <n v="541"/>
    <x v="0"/>
    <n v="2"/>
    <x v="1"/>
    <x v="4"/>
    <x v="0"/>
    <n v="113"/>
    <x v="1"/>
    <x v="1"/>
    <n v="62"/>
    <x v="0"/>
    <x v="1"/>
    <x v="6"/>
    <x v="3"/>
    <x v="2"/>
    <x v="83"/>
    <n v="9518"/>
    <n v="3"/>
    <s v="Y"/>
    <x v="1"/>
    <n v="13"/>
    <x v="0"/>
    <x v="3"/>
    <n v="80"/>
    <n v="1"/>
    <n v="3"/>
    <n v="3"/>
    <x v="1"/>
    <x v="2"/>
    <n v="0"/>
    <x v="0"/>
    <x v="2"/>
    <x v="2"/>
    <x v="1"/>
    <x v="1"/>
    <n v="0"/>
  </r>
  <r>
    <x v="31"/>
    <x v="1"/>
    <x v="0"/>
    <n v="432"/>
    <x v="1"/>
    <n v="9"/>
    <x v="2"/>
    <x v="0"/>
    <x v="0"/>
    <n v="116"/>
    <x v="2"/>
    <x v="1"/>
    <n v="96"/>
    <x v="0"/>
    <x v="1"/>
    <x v="2"/>
    <x v="0"/>
    <x v="1"/>
    <x v="84"/>
    <n v="18725"/>
    <n v="3"/>
    <s v="Y"/>
    <x v="1"/>
    <n v="23"/>
    <x v="1"/>
    <x v="2"/>
    <n v="80"/>
    <n v="2"/>
    <n v="10"/>
    <n v="4"/>
    <x v="1"/>
    <x v="9"/>
    <n v="2"/>
    <x v="0"/>
    <x v="6"/>
    <x v="3"/>
    <x v="2"/>
    <x v="1"/>
    <n v="0"/>
  </r>
  <r>
    <x v="7"/>
    <x v="1"/>
    <x v="0"/>
    <n v="288"/>
    <x v="1"/>
    <n v="2"/>
    <x v="3"/>
    <x v="0"/>
    <x v="0"/>
    <n v="117"/>
    <x v="1"/>
    <x v="1"/>
    <n v="99"/>
    <x v="1"/>
    <x v="0"/>
    <x v="4"/>
    <x v="0"/>
    <x v="1"/>
    <x v="85"/>
    <n v="15830"/>
    <n v="1"/>
    <s v="Y"/>
    <x v="1"/>
    <n v="19"/>
    <x v="0"/>
    <x v="0"/>
    <n v="80"/>
    <n v="3"/>
    <n v="11"/>
    <n v="3"/>
    <x v="1"/>
    <x v="19"/>
    <n v="10"/>
    <x v="13"/>
    <x v="5"/>
    <x v="1"/>
    <x v="3"/>
    <x v="1"/>
    <n v="0"/>
  </r>
  <r>
    <x v="21"/>
    <x v="0"/>
    <x v="0"/>
    <n v="669"/>
    <x v="0"/>
    <n v="9"/>
    <x v="0"/>
    <x v="2"/>
    <x v="0"/>
    <n v="118"/>
    <x v="1"/>
    <x v="1"/>
    <n v="64"/>
    <x v="1"/>
    <x v="2"/>
    <x v="0"/>
    <x v="0"/>
    <x v="0"/>
    <x v="86"/>
    <n v="13596"/>
    <n v="1"/>
    <s v="Y"/>
    <x v="1"/>
    <n v="16"/>
    <x v="0"/>
    <x v="1"/>
    <n v="80"/>
    <n v="0"/>
    <n v="9"/>
    <n v="3"/>
    <x v="1"/>
    <x v="7"/>
    <n v="8"/>
    <x v="5"/>
    <x v="1"/>
    <x v="0"/>
    <x v="0"/>
    <x v="0"/>
    <n v="1"/>
  </r>
  <r>
    <x v="32"/>
    <x v="1"/>
    <x v="1"/>
    <n v="530"/>
    <x v="1"/>
    <n v="1"/>
    <x v="2"/>
    <x v="0"/>
    <x v="0"/>
    <n v="119"/>
    <x v="1"/>
    <x v="1"/>
    <n v="78"/>
    <x v="1"/>
    <x v="3"/>
    <x v="4"/>
    <x v="1"/>
    <x v="1"/>
    <x v="87"/>
    <n v="14115"/>
    <n v="1"/>
    <s v="Y"/>
    <x v="1"/>
    <n v="22"/>
    <x v="1"/>
    <x v="1"/>
    <n v="80"/>
    <n v="1"/>
    <n v="22"/>
    <n v="3"/>
    <x v="2"/>
    <x v="14"/>
    <n v="3"/>
    <x v="14"/>
    <x v="7"/>
    <x v="0"/>
    <x v="3"/>
    <x v="3"/>
    <n v="0"/>
  </r>
  <r>
    <x v="31"/>
    <x v="1"/>
    <x v="0"/>
    <n v="632"/>
    <x v="0"/>
    <n v="21"/>
    <x v="2"/>
    <x v="3"/>
    <x v="0"/>
    <n v="120"/>
    <x v="1"/>
    <x v="1"/>
    <n v="71"/>
    <x v="0"/>
    <x v="0"/>
    <x v="0"/>
    <x v="0"/>
    <x v="0"/>
    <x v="88"/>
    <n v="8423"/>
    <n v="0"/>
    <s v="Y"/>
    <x v="0"/>
    <n v="22"/>
    <x v="1"/>
    <x v="1"/>
    <n v="80"/>
    <n v="0"/>
    <n v="11"/>
    <n v="2"/>
    <x v="0"/>
    <x v="1"/>
    <n v="7"/>
    <x v="1"/>
    <x v="2"/>
    <x v="3"/>
    <x v="0"/>
    <x v="0"/>
    <n v="0"/>
  </r>
  <r>
    <x v="7"/>
    <x v="1"/>
    <x v="0"/>
    <n v="1334"/>
    <x v="0"/>
    <n v="4"/>
    <x v="0"/>
    <x v="2"/>
    <x v="0"/>
    <n v="121"/>
    <x v="1"/>
    <x v="0"/>
    <n v="63"/>
    <x v="1"/>
    <x v="0"/>
    <x v="0"/>
    <x v="1"/>
    <x v="2"/>
    <x v="89"/>
    <n v="19760"/>
    <n v="1"/>
    <s v="Y"/>
    <x v="0"/>
    <n v="12"/>
    <x v="0"/>
    <x v="2"/>
    <n v="80"/>
    <n v="3"/>
    <n v="11"/>
    <n v="4"/>
    <x v="2"/>
    <x v="19"/>
    <n v="8"/>
    <x v="3"/>
    <x v="1"/>
    <x v="1"/>
    <x v="3"/>
    <x v="0"/>
    <n v="0"/>
  </r>
  <r>
    <x v="21"/>
    <x v="1"/>
    <x v="1"/>
    <n v="638"/>
    <x v="1"/>
    <n v="1"/>
    <x v="3"/>
    <x v="2"/>
    <x v="0"/>
    <n v="124"/>
    <x v="1"/>
    <x v="1"/>
    <n v="40"/>
    <x v="1"/>
    <x v="2"/>
    <x v="4"/>
    <x v="3"/>
    <x v="1"/>
    <x v="90"/>
    <n v="3142"/>
    <n v="2"/>
    <s v="Y"/>
    <x v="0"/>
    <n v="13"/>
    <x v="0"/>
    <x v="3"/>
    <n v="80"/>
    <n v="1"/>
    <n v="21"/>
    <n v="5"/>
    <x v="2"/>
    <x v="1"/>
    <n v="9"/>
    <x v="10"/>
    <x v="0"/>
    <x v="0"/>
    <x v="0"/>
    <x v="3"/>
    <n v="0"/>
  </r>
  <r>
    <x v="5"/>
    <x v="1"/>
    <x v="0"/>
    <n v="1093"/>
    <x v="0"/>
    <n v="6"/>
    <x v="2"/>
    <x v="2"/>
    <x v="0"/>
    <n v="125"/>
    <x v="0"/>
    <x v="1"/>
    <n v="87"/>
    <x v="0"/>
    <x v="0"/>
    <x v="0"/>
    <x v="2"/>
    <x v="0"/>
    <x v="91"/>
    <n v="24301"/>
    <n v="1"/>
    <s v="Y"/>
    <x v="1"/>
    <n v="16"/>
    <x v="0"/>
    <x v="0"/>
    <n v="80"/>
    <n v="0"/>
    <n v="12"/>
    <n v="0"/>
    <x v="1"/>
    <x v="19"/>
    <n v="8"/>
    <x v="8"/>
    <x v="1"/>
    <x v="1"/>
    <x v="3"/>
    <x v="0"/>
    <n v="0"/>
  </r>
  <r>
    <x v="33"/>
    <x v="1"/>
    <x v="0"/>
    <n v="1217"/>
    <x v="1"/>
    <n v="2"/>
    <x v="2"/>
    <x v="4"/>
    <x v="0"/>
    <n v="126"/>
    <x v="3"/>
    <x v="0"/>
    <n v="60"/>
    <x v="0"/>
    <x v="2"/>
    <x v="7"/>
    <x v="2"/>
    <x v="1"/>
    <x v="92"/>
    <n v="24001"/>
    <n v="9"/>
    <s v="Y"/>
    <x v="1"/>
    <n v="12"/>
    <x v="0"/>
    <x v="0"/>
    <n v="80"/>
    <n v="1"/>
    <n v="16"/>
    <n v="5"/>
    <x v="0"/>
    <x v="9"/>
    <n v="3"/>
    <x v="0"/>
    <x v="6"/>
    <x v="3"/>
    <x v="2"/>
    <x v="3"/>
    <n v="0"/>
  </r>
  <r>
    <x v="17"/>
    <x v="1"/>
    <x v="0"/>
    <n v="1353"/>
    <x v="0"/>
    <n v="3"/>
    <x v="0"/>
    <x v="1"/>
    <x v="0"/>
    <n v="128"/>
    <x v="3"/>
    <x v="0"/>
    <n v="33"/>
    <x v="0"/>
    <x v="0"/>
    <x v="0"/>
    <x v="2"/>
    <x v="1"/>
    <x v="93"/>
    <n v="17519"/>
    <n v="0"/>
    <s v="Y"/>
    <x v="1"/>
    <n v="21"/>
    <x v="1"/>
    <x v="0"/>
    <n v="80"/>
    <n v="1"/>
    <n v="4"/>
    <n v="2"/>
    <x v="2"/>
    <x v="11"/>
    <n v="2"/>
    <x v="0"/>
    <x v="3"/>
    <x v="2"/>
    <x v="2"/>
    <x v="1"/>
    <n v="0"/>
  </r>
  <r>
    <x v="14"/>
    <x v="1"/>
    <x v="2"/>
    <n v="120"/>
    <x v="0"/>
    <n v="4"/>
    <x v="3"/>
    <x v="2"/>
    <x v="0"/>
    <n v="129"/>
    <x v="0"/>
    <x v="1"/>
    <n v="43"/>
    <x v="0"/>
    <x v="0"/>
    <x v="0"/>
    <x v="2"/>
    <x v="1"/>
    <x v="94"/>
    <n v="8863"/>
    <n v="1"/>
    <s v="Y"/>
    <x v="1"/>
    <n v="15"/>
    <x v="0"/>
    <x v="2"/>
    <n v="80"/>
    <n v="0"/>
    <n v="5"/>
    <n v="3"/>
    <x v="3"/>
    <x v="8"/>
    <n v="4"/>
    <x v="0"/>
    <x v="10"/>
    <x v="2"/>
    <x v="2"/>
    <x v="1"/>
    <n v="0"/>
  </r>
  <r>
    <x v="34"/>
    <x v="1"/>
    <x v="0"/>
    <n v="682"/>
    <x v="0"/>
    <n v="10"/>
    <x v="2"/>
    <x v="2"/>
    <x v="0"/>
    <n v="131"/>
    <x v="2"/>
    <x v="1"/>
    <n v="37"/>
    <x v="0"/>
    <x v="3"/>
    <x v="0"/>
    <x v="2"/>
    <x v="0"/>
    <x v="95"/>
    <n v="24409"/>
    <n v="0"/>
    <s v="Y"/>
    <x v="1"/>
    <n v="13"/>
    <x v="0"/>
    <x v="3"/>
    <n v="80"/>
    <n v="0"/>
    <n v="38"/>
    <n v="1"/>
    <x v="2"/>
    <x v="21"/>
    <n v="10"/>
    <x v="1"/>
    <x v="5"/>
    <x v="3"/>
    <x v="3"/>
    <x v="3"/>
    <n v="0"/>
  </r>
  <r>
    <x v="20"/>
    <x v="1"/>
    <x v="2"/>
    <n v="489"/>
    <x v="1"/>
    <n v="23"/>
    <x v="3"/>
    <x v="2"/>
    <x v="0"/>
    <n v="132"/>
    <x v="0"/>
    <x v="1"/>
    <n v="67"/>
    <x v="0"/>
    <x v="0"/>
    <x v="2"/>
    <x v="1"/>
    <x v="1"/>
    <x v="96"/>
    <n v="25043"/>
    <n v="4"/>
    <s v="Y"/>
    <x v="1"/>
    <n v="12"/>
    <x v="0"/>
    <x v="3"/>
    <n v="80"/>
    <n v="1"/>
    <n v="17"/>
    <n v="3"/>
    <x v="3"/>
    <x v="11"/>
    <n v="2"/>
    <x v="1"/>
    <x v="3"/>
    <x v="0"/>
    <x v="2"/>
    <x v="1"/>
    <n v="0"/>
  </r>
  <r>
    <x v="2"/>
    <x v="0"/>
    <x v="0"/>
    <n v="807"/>
    <x v="2"/>
    <n v="6"/>
    <x v="2"/>
    <x v="5"/>
    <x v="0"/>
    <n v="133"/>
    <x v="1"/>
    <x v="1"/>
    <n v="63"/>
    <x v="0"/>
    <x v="1"/>
    <x v="8"/>
    <x v="3"/>
    <x v="2"/>
    <x v="97"/>
    <n v="23648"/>
    <n v="4"/>
    <s v="Y"/>
    <x v="0"/>
    <n v="22"/>
    <x v="1"/>
    <x v="1"/>
    <n v="80"/>
    <n v="0"/>
    <n v="7"/>
    <n v="3"/>
    <x v="1"/>
    <x v="11"/>
    <n v="2"/>
    <x v="0"/>
    <x v="3"/>
    <x v="1"/>
    <x v="2"/>
    <x v="1"/>
    <n v="1"/>
  </r>
  <r>
    <x v="5"/>
    <x v="1"/>
    <x v="0"/>
    <n v="827"/>
    <x v="1"/>
    <n v="1"/>
    <x v="1"/>
    <x v="0"/>
    <x v="0"/>
    <n v="134"/>
    <x v="2"/>
    <x v="1"/>
    <n v="71"/>
    <x v="0"/>
    <x v="1"/>
    <x v="1"/>
    <x v="3"/>
    <x v="0"/>
    <x v="98"/>
    <n v="15178"/>
    <n v="1"/>
    <s v="Y"/>
    <x v="1"/>
    <n v="13"/>
    <x v="0"/>
    <x v="1"/>
    <n v="80"/>
    <n v="0"/>
    <n v="1"/>
    <n v="2"/>
    <x v="1"/>
    <x v="6"/>
    <n v="0"/>
    <x v="0"/>
    <x v="2"/>
    <x v="1"/>
    <x v="1"/>
    <x v="1"/>
    <n v="0"/>
  </r>
  <r>
    <x v="35"/>
    <x v="0"/>
    <x v="1"/>
    <n v="871"/>
    <x v="1"/>
    <n v="6"/>
    <x v="3"/>
    <x v="0"/>
    <x v="0"/>
    <n v="137"/>
    <x v="2"/>
    <x v="0"/>
    <n v="66"/>
    <x v="1"/>
    <x v="1"/>
    <x v="2"/>
    <x v="0"/>
    <x v="0"/>
    <x v="99"/>
    <n v="19783"/>
    <n v="1"/>
    <s v="Y"/>
    <x v="0"/>
    <n v="18"/>
    <x v="0"/>
    <x v="2"/>
    <n v="80"/>
    <n v="0"/>
    <n v="1"/>
    <n v="5"/>
    <x v="1"/>
    <x v="6"/>
    <n v="0"/>
    <x v="1"/>
    <x v="2"/>
    <x v="2"/>
    <x v="1"/>
    <x v="1"/>
    <n v="1"/>
  </r>
  <r>
    <x v="13"/>
    <x v="1"/>
    <x v="0"/>
    <n v="665"/>
    <x v="1"/>
    <n v="6"/>
    <x v="2"/>
    <x v="1"/>
    <x v="0"/>
    <n v="138"/>
    <x v="3"/>
    <x v="0"/>
    <n v="41"/>
    <x v="0"/>
    <x v="0"/>
    <x v="1"/>
    <x v="2"/>
    <x v="0"/>
    <x v="100"/>
    <n v="12482"/>
    <n v="1"/>
    <s v="Y"/>
    <x v="1"/>
    <n v="14"/>
    <x v="0"/>
    <x v="3"/>
    <n v="80"/>
    <n v="0"/>
    <n v="16"/>
    <n v="3"/>
    <x v="1"/>
    <x v="22"/>
    <n v="13"/>
    <x v="3"/>
    <x v="13"/>
    <x v="1"/>
    <x v="3"/>
    <x v="1"/>
    <n v="0"/>
  </r>
  <r>
    <x v="2"/>
    <x v="1"/>
    <x v="2"/>
    <n v="1040"/>
    <x v="1"/>
    <n v="2"/>
    <x v="0"/>
    <x v="0"/>
    <x v="0"/>
    <n v="139"/>
    <x v="1"/>
    <x v="1"/>
    <n v="100"/>
    <x v="1"/>
    <x v="0"/>
    <x v="4"/>
    <x v="0"/>
    <x v="2"/>
    <x v="101"/>
    <n v="15850"/>
    <n v="5"/>
    <s v="Y"/>
    <x v="1"/>
    <n v="14"/>
    <x v="0"/>
    <x v="1"/>
    <n v="80"/>
    <n v="1"/>
    <n v="17"/>
    <n v="2"/>
    <x v="3"/>
    <x v="6"/>
    <n v="0"/>
    <x v="0"/>
    <x v="2"/>
    <x v="1"/>
    <x v="1"/>
    <x v="0"/>
    <n v="0"/>
  </r>
  <r>
    <x v="6"/>
    <x v="1"/>
    <x v="2"/>
    <n v="1420"/>
    <x v="2"/>
    <n v="2"/>
    <x v="2"/>
    <x v="5"/>
    <x v="0"/>
    <n v="140"/>
    <x v="1"/>
    <x v="0"/>
    <n v="32"/>
    <x v="1"/>
    <x v="4"/>
    <x v="5"/>
    <x v="0"/>
    <x v="1"/>
    <x v="102"/>
    <n v="21922"/>
    <n v="9"/>
    <s v="Y"/>
    <x v="1"/>
    <n v="21"/>
    <x v="1"/>
    <x v="1"/>
    <n v="80"/>
    <n v="1"/>
    <n v="30"/>
    <n v="3"/>
    <x v="1"/>
    <x v="11"/>
    <n v="2"/>
    <x v="3"/>
    <x v="3"/>
    <x v="3"/>
    <x v="2"/>
    <x v="2"/>
    <n v="0"/>
  </r>
  <r>
    <x v="24"/>
    <x v="1"/>
    <x v="1"/>
    <n v="1115"/>
    <x v="1"/>
    <n v="1"/>
    <x v="3"/>
    <x v="0"/>
    <x v="0"/>
    <n v="141"/>
    <x v="3"/>
    <x v="0"/>
    <n v="73"/>
    <x v="0"/>
    <x v="4"/>
    <x v="7"/>
    <x v="1"/>
    <x v="1"/>
    <x v="103"/>
    <n v="9755"/>
    <n v="3"/>
    <s v="Y"/>
    <x v="0"/>
    <n v="19"/>
    <x v="0"/>
    <x v="0"/>
    <n v="80"/>
    <n v="0"/>
    <n v="28"/>
    <n v="1"/>
    <x v="2"/>
    <x v="3"/>
    <n v="3"/>
    <x v="0"/>
    <x v="1"/>
    <x v="3"/>
    <x v="0"/>
    <x v="2"/>
    <n v="0"/>
  </r>
  <r>
    <x v="36"/>
    <x v="0"/>
    <x v="0"/>
    <n v="240"/>
    <x v="0"/>
    <n v="5"/>
    <x v="3"/>
    <x v="3"/>
    <x v="0"/>
    <n v="142"/>
    <x v="1"/>
    <x v="1"/>
    <n v="46"/>
    <x v="1"/>
    <x v="0"/>
    <x v="0"/>
    <x v="2"/>
    <x v="0"/>
    <x v="104"/>
    <n v="26959"/>
    <n v="1"/>
    <s v="Y"/>
    <x v="0"/>
    <n v="11"/>
    <x v="0"/>
    <x v="1"/>
    <n v="80"/>
    <n v="0"/>
    <n v="6"/>
    <n v="1"/>
    <x v="1"/>
    <x v="0"/>
    <n v="4"/>
    <x v="0"/>
    <x v="6"/>
    <x v="2"/>
    <x v="0"/>
    <x v="0"/>
    <n v="1"/>
  </r>
  <r>
    <x v="36"/>
    <x v="1"/>
    <x v="0"/>
    <n v="1280"/>
    <x v="1"/>
    <n v="7"/>
    <x v="1"/>
    <x v="2"/>
    <x v="0"/>
    <n v="143"/>
    <x v="2"/>
    <x v="1"/>
    <n v="64"/>
    <x v="1"/>
    <x v="1"/>
    <x v="1"/>
    <x v="0"/>
    <x v="1"/>
    <x v="105"/>
    <n v="26897"/>
    <n v="1"/>
    <s v="Y"/>
    <x v="1"/>
    <n v="11"/>
    <x v="0"/>
    <x v="3"/>
    <n v="80"/>
    <n v="2"/>
    <n v="2"/>
    <n v="2"/>
    <x v="1"/>
    <x v="4"/>
    <n v="2"/>
    <x v="3"/>
    <x v="9"/>
    <x v="2"/>
    <x v="1"/>
    <x v="1"/>
    <n v="0"/>
  </r>
  <r>
    <x v="15"/>
    <x v="1"/>
    <x v="0"/>
    <n v="534"/>
    <x v="1"/>
    <n v="15"/>
    <x v="3"/>
    <x v="2"/>
    <x v="0"/>
    <n v="144"/>
    <x v="0"/>
    <x v="0"/>
    <n v="59"/>
    <x v="0"/>
    <x v="1"/>
    <x v="2"/>
    <x v="0"/>
    <x v="0"/>
    <x v="106"/>
    <n v="23785"/>
    <n v="1"/>
    <s v="Y"/>
    <x v="1"/>
    <n v="15"/>
    <x v="0"/>
    <x v="3"/>
    <n v="80"/>
    <n v="0"/>
    <n v="1"/>
    <n v="5"/>
    <x v="1"/>
    <x v="2"/>
    <n v="0"/>
    <x v="0"/>
    <x v="2"/>
    <x v="2"/>
    <x v="1"/>
    <x v="1"/>
    <n v="0"/>
  </r>
  <r>
    <x v="31"/>
    <x v="1"/>
    <x v="1"/>
    <n v="1456"/>
    <x v="1"/>
    <n v="1"/>
    <x v="2"/>
    <x v="2"/>
    <x v="0"/>
    <n v="145"/>
    <x v="3"/>
    <x v="0"/>
    <n v="30"/>
    <x v="1"/>
    <x v="2"/>
    <x v="4"/>
    <x v="3"/>
    <x v="0"/>
    <x v="107"/>
    <n v="25796"/>
    <n v="3"/>
    <s v="Y"/>
    <x v="1"/>
    <n v="20"/>
    <x v="1"/>
    <x v="3"/>
    <n v="80"/>
    <n v="0"/>
    <n v="23"/>
    <n v="1"/>
    <x v="2"/>
    <x v="20"/>
    <n v="12"/>
    <x v="12"/>
    <x v="5"/>
    <x v="3"/>
    <x v="3"/>
    <x v="0"/>
    <n v="0"/>
  </r>
  <r>
    <x v="13"/>
    <x v="0"/>
    <x v="1"/>
    <n v="658"/>
    <x v="1"/>
    <n v="7"/>
    <x v="3"/>
    <x v="0"/>
    <x v="0"/>
    <n v="147"/>
    <x v="3"/>
    <x v="1"/>
    <n v="66"/>
    <x v="3"/>
    <x v="0"/>
    <x v="2"/>
    <x v="2"/>
    <x v="0"/>
    <x v="108"/>
    <n v="22887"/>
    <n v="1"/>
    <s v="Y"/>
    <x v="0"/>
    <n v="24"/>
    <x v="1"/>
    <x v="1"/>
    <n v="80"/>
    <n v="0"/>
    <n v="9"/>
    <n v="3"/>
    <x v="1"/>
    <x v="7"/>
    <n v="7"/>
    <x v="0"/>
    <x v="4"/>
    <x v="1"/>
    <x v="0"/>
    <x v="0"/>
    <n v="1"/>
  </r>
  <r>
    <x v="33"/>
    <x v="1"/>
    <x v="2"/>
    <n v="142"/>
    <x v="2"/>
    <n v="26"/>
    <x v="3"/>
    <x v="5"/>
    <x v="0"/>
    <n v="148"/>
    <x v="2"/>
    <x v="0"/>
    <n v="30"/>
    <x v="2"/>
    <x v="3"/>
    <x v="5"/>
    <x v="0"/>
    <x v="0"/>
    <x v="109"/>
    <n v="13871"/>
    <n v="2"/>
    <s v="Y"/>
    <x v="0"/>
    <n v="12"/>
    <x v="0"/>
    <x v="3"/>
    <n v="80"/>
    <n v="0"/>
    <n v="23"/>
    <n v="3"/>
    <x v="1"/>
    <x v="8"/>
    <n v="3"/>
    <x v="5"/>
    <x v="10"/>
    <x v="3"/>
    <x v="2"/>
    <x v="2"/>
    <n v="0"/>
  </r>
  <r>
    <x v="17"/>
    <x v="1"/>
    <x v="0"/>
    <n v="1127"/>
    <x v="1"/>
    <n v="18"/>
    <x v="1"/>
    <x v="0"/>
    <x v="0"/>
    <n v="150"/>
    <x v="0"/>
    <x v="1"/>
    <n v="52"/>
    <x v="0"/>
    <x v="1"/>
    <x v="2"/>
    <x v="2"/>
    <x v="1"/>
    <x v="110"/>
    <n v="13257"/>
    <n v="0"/>
    <s v="Y"/>
    <x v="1"/>
    <n v="12"/>
    <x v="0"/>
    <x v="3"/>
    <n v="80"/>
    <n v="1"/>
    <n v="6"/>
    <n v="2"/>
    <x v="1"/>
    <x v="8"/>
    <n v="3"/>
    <x v="1"/>
    <x v="3"/>
    <x v="2"/>
    <x v="2"/>
    <x v="1"/>
    <n v="0"/>
  </r>
  <r>
    <x v="13"/>
    <x v="1"/>
    <x v="0"/>
    <n v="1031"/>
    <x v="1"/>
    <n v="6"/>
    <x v="2"/>
    <x v="0"/>
    <x v="0"/>
    <n v="151"/>
    <x v="1"/>
    <x v="0"/>
    <n v="45"/>
    <x v="1"/>
    <x v="0"/>
    <x v="1"/>
    <x v="1"/>
    <x v="2"/>
    <x v="111"/>
    <n v="15000"/>
    <n v="6"/>
    <s v="Y"/>
    <x v="1"/>
    <n v="15"/>
    <x v="0"/>
    <x v="3"/>
    <n v="80"/>
    <n v="1"/>
    <n v="12"/>
    <n v="3"/>
    <x v="1"/>
    <x v="6"/>
    <n v="0"/>
    <x v="0"/>
    <x v="2"/>
    <x v="1"/>
    <x v="1"/>
    <x v="1"/>
    <n v="0"/>
  </r>
  <r>
    <x v="2"/>
    <x v="1"/>
    <x v="0"/>
    <n v="1189"/>
    <x v="0"/>
    <n v="3"/>
    <x v="3"/>
    <x v="0"/>
    <x v="0"/>
    <n v="152"/>
    <x v="1"/>
    <x v="1"/>
    <n v="87"/>
    <x v="0"/>
    <x v="2"/>
    <x v="0"/>
    <x v="0"/>
    <x v="0"/>
    <x v="112"/>
    <n v="14506"/>
    <n v="2"/>
    <s v="Y"/>
    <x v="1"/>
    <n v="12"/>
    <x v="0"/>
    <x v="0"/>
    <n v="80"/>
    <n v="0"/>
    <n v="12"/>
    <n v="3"/>
    <x v="1"/>
    <x v="8"/>
    <n v="3"/>
    <x v="1"/>
    <x v="6"/>
    <x v="1"/>
    <x v="2"/>
    <x v="0"/>
    <n v="0"/>
  </r>
  <r>
    <x v="13"/>
    <x v="1"/>
    <x v="0"/>
    <n v="1354"/>
    <x v="1"/>
    <n v="5"/>
    <x v="3"/>
    <x v="2"/>
    <x v="0"/>
    <n v="153"/>
    <x v="1"/>
    <x v="0"/>
    <n v="45"/>
    <x v="1"/>
    <x v="2"/>
    <x v="5"/>
    <x v="3"/>
    <x v="0"/>
    <x v="113"/>
    <n v="5615"/>
    <n v="2"/>
    <s v="Y"/>
    <x v="1"/>
    <n v="12"/>
    <x v="0"/>
    <x v="1"/>
    <n v="80"/>
    <n v="0"/>
    <n v="14"/>
    <n v="6"/>
    <x v="1"/>
    <x v="19"/>
    <n v="10"/>
    <x v="8"/>
    <x v="5"/>
    <x v="1"/>
    <x v="3"/>
    <x v="3"/>
    <n v="0"/>
  </r>
  <r>
    <x v="9"/>
    <x v="1"/>
    <x v="1"/>
    <n v="1467"/>
    <x v="0"/>
    <n v="11"/>
    <x v="0"/>
    <x v="4"/>
    <x v="0"/>
    <n v="154"/>
    <x v="0"/>
    <x v="0"/>
    <n v="92"/>
    <x v="0"/>
    <x v="2"/>
    <x v="0"/>
    <x v="0"/>
    <x v="1"/>
    <x v="114"/>
    <n v="22952"/>
    <n v="0"/>
    <s v="Y"/>
    <x v="1"/>
    <n v="14"/>
    <x v="0"/>
    <x v="3"/>
    <n v="80"/>
    <n v="1"/>
    <n v="10"/>
    <n v="6"/>
    <x v="1"/>
    <x v="7"/>
    <n v="7"/>
    <x v="3"/>
    <x v="5"/>
    <x v="1"/>
    <x v="0"/>
    <x v="0"/>
    <n v="0"/>
  </r>
  <r>
    <x v="9"/>
    <x v="1"/>
    <x v="0"/>
    <n v="922"/>
    <x v="1"/>
    <n v="3"/>
    <x v="0"/>
    <x v="0"/>
    <x v="0"/>
    <n v="155"/>
    <x v="3"/>
    <x v="0"/>
    <n v="39"/>
    <x v="0"/>
    <x v="1"/>
    <x v="2"/>
    <x v="0"/>
    <x v="2"/>
    <x v="115"/>
    <n v="2561"/>
    <n v="5"/>
    <s v="Y"/>
    <x v="1"/>
    <n v="22"/>
    <x v="1"/>
    <x v="0"/>
    <n v="80"/>
    <n v="1"/>
    <n v="7"/>
    <n v="2"/>
    <x v="1"/>
    <x v="6"/>
    <n v="0"/>
    <x v="0"/>
    <x v="2"/>
    <x v="1"/>
    <x v="1"/>
    <x v="1"/>
    <n v="0"/>
  </r>
  <r>
    <x v="23"/>
    <x v="1"/>
    <x v="1"/>
    <n v="394"/>
    <x v="0"/>
    <n v="26"/>
    <x v="0"/>
    <x v="0"/>
    <x v="0"/>
    <n v="158"/>
    <x v="1"/>
    <x v="1"/>
    <n v="92"/>
    <x v="0"/>
    <x v="3"/>
    <x v="5"/>
    <x v="0"/>
    <x v="1"/>
    <x v="116"/>
    <n v="19494"/>
    <n v="1"/>
    <s v="Y"/>
    <x v="0"/>
    <n v="12"/>
    <x v="0"/>
    <x v="1"/>
    <n v="80"/>
    <n v="2"/>
    <n v="25"/>
    <n v="3"/>
    <x v="3"/>
    <x v="10"/>
    <n v="12"/>
    <x v="5"/>
    <x v="11"/>
    <x v="0"/>
    <x v="3"/>
    <x v="2"/>
    <n v="0"/>
  </r>
  <r>
    <x v="7"/>
    <x v="1"/>
    <x v="1"/>
    <n v="1312"/>
    <x v="1"/>
    <n v="23"/>
    <x v="3"/>
    <x v="0"/>
    <x v="0"/>
    <n v="159"/>
    <x v="3"/>
    <x v="1"/>
    <n v="96"/>
    <x v="3"/>
    <x v="1"/>
    <x v="1"/>
    <x v="2"/>
    <x v="2"/>
    <x v="117"/>
    <n v="22310"/>
    <n v="1"/>
    <s v="Y"/>
    <x v="1"/>
    <n v="25"/>
    <x v="1"/>
    <x v="3"/>
    <n v="80"/>
    <n v="3"/>
    <n v="10"/>
    <n v="2"/>
    <x v="2"/>
    <x v="1"/>
    <n v="7"/>
    <x v="0"/>
    <x v="12"/>
    <x v="1"/>
    <x v="0"/>
    <x v="1"/>
    <n v="0"/>
  </r>
  <r>
    <x v="3"/>
    <x v="1"/>
    <x v="2"/>
    <n v="750"/>
    <x v="0"/>
    <n v="22"/>
    <x v="0"/>
    <x v="3"/>
    <x v="0"/>
    <n v="160"/>
    <x v="1"/>
    <x v="1"/>
    <n v="95"/>
    <x v="0"/>
    <x v="0"/>
    <x v="0"/>
    <x v="1"/>
    <x v="1"/>
    <x v="118"/>
    <n v="15480"/>
    <n v="0"/>
    <s v="Y"/>
    <x v="1"/>
    <n v="13"/>
    <x v="0"/>
    <x v="0"/>
    <n v="80"/>
    <n v="1"/>
    <n v="8"/>
    <n v="2"/>
    <x v="3"/>
    <x v="5"/>
    <n v="7"/>
    <x v="0"/>
    <x v="1"/>
    <x v="1"/>
    <x v="0"/>
    <x v="0"/>
    <n v="0"/>
  </r>
  <r>
    <x v="29"/>
    <x v="0"/>
    <x v="0"/>
    <n v="441"/>
    <x v="1"/>
    <n v="14"/>
    <x v="2"/>
    <x v="0"/>
    <x v="0"/>
    <n v="161"/>
    <x v="0"/>
    <x v="0"/>
    <n v="72"/>
    <x v="0"/>
    <x v="1"/>
    <x v="1"/>
    <x v="1"/>
    <x v="1"/>
    <x v="119"/>
    <n v="4510"/>
    <n v="9"/>
    <s v="Y"/>
    <x v="0"/>
    <n v="18"/>
    <x v="0"/>
    <x v="0"/>
    <n v="80"/>
    <n v="3"/>
    <n v="7"/>
    <n v="2"/>
    <x v="1"/>
    <x v="8"/>
    <n v="4"/>
    <x v="5"/>
    <x v="6"/>
    <x v="3"/>
    <x v="2"/>
    <x v="1"/>
    <n v="1"/>
  </r>
  <r>
    <x v="31"/>
    <x v="1"/>
    <x v="0"/>
    <n v="684"/>
    <x v="1"/>
    <n v="6"/>
    <x v="3"/>
    <x v="0"/>
    <x v="0"/>
    <n v="162"/>
    <x v="3"/>
    <x v="1"/>
    <n v="51"/>
    <x v="0"/>
    <x v="4"/>
    <x v="7"/>
    <x v="2"/>
    <x v="0"/>
    <x v="120"/>
    <n v="6462"/>
    <n v="7"/>
    <s v="Y"/>
    <x v="1"/>
    <n v="13"/>
    <x v="0"/>
    <x v="3"/>
    <n v="80"/>
    <n v="0"/>
    <n v="23"/>
    <n v="5"/>
    <x v="1"/>
    <x v="23"/>
    <n v="18"/>
    <x v="9"/>
    <x v="14"/>
    <x v="3"/>
    <x v="3"/>
    <x v="2"/>
    <n v="0"/>
  </r>
  <r>
    <x v="12"/>
    <x v="0"/>
    <x v="0"/>
    <n v="249"/>
    <x v="0"/>
    <n v="6"/>
    <x v="2"/>
    <x v="0"/>
    <x v="0"/>
    <n v="163"/>
    <x v="0"/>
    <x v="1"/>
    <n v="76"/>
    <x v="3"/>
    <x v="0"/>
    <x v="0"/>
    <x v="2"/>
    <x v="1"/>
    <x v="121"/>
    <n v="20739"/>
    <n v="4"/>
    <s v="Y"/>
    <x v="0"/>
    <n v="18"/>
    <x v="0"/>
    <x v="2"/>
    <n v="80"/>
    <n v="0"/>
    <n v="12"/>
    <n v="3"/>
    <x v="2"/>
    <x v="5"/>
    <n v="7"/>
    <x v="4"/>
    <x v="1"/>
    <x v="1"/>
    <x v="0"/>
    <x v="0"/>
    <n v="1"/>
  </r>
  <r>
    <x v="25"/>
    <x v="1"/>
    <x v="0"/>
    <n v="841"/>
    <x v="1"/>
    <n v="6"/>
    <x v="3"/>
    <x v="1"/>
    <x v="0"/>
    <n v="164"/>
    <x v="1"/>
    <x v="0"/>
    <n v="46"/>
    <x v="1"/>
    <x v="1"/>
    <x v="1"/>
    <x v="1"/>
    <x v="1"/>
    <x v="122"/>
    <n v="23300"/>
    <n v="1"/>
    <s v="Y"/>
    <x v="1"/>
    <n v="19"/>
    <x v="0"/>
    <x v="3"/>
    <n v="80"/>
    <n v="0"/>
    <n v="5"/>
    <n v="3"/>
    <x v="2"/>
    <x v="8"/>
    <n v="4"/>
    <x v="5"/>
    <x v="6"/>
    <x v="2"/>
    <x v="2"/>
    <x v="1"/>
    <n v="0"/>
  </r>
  <r>
    <x v="34"/>
    <x v="0"/>
    <x v="0"/>
    <n v="147"/>
    <x v="1"/>
    <n v="23"/>
    <x v="2"/>
    <x v="2"/>
    <x v="0"/>
    <n v="165"/>
    <x v="2"/>
    <x v="0"/>
    <n v="94"/>
    <x v="0"/>
    <x v="2"/>
    <x v="4"/>
    <x v="0"/>
    <x v="1"/>
    <x v="123"/>
    <n v="3465"/>
    <n v="1"/>
    <s v="Y"/>
    <x v="1"/>
    <n v="12"/>
    <x v="0"/>
    <x v="1"/>
    <n v="80"/>
    <n v="1"/>
    <n v="40"/>
    <n v="3"/>
    <x v="2"/>
    <x v="24"/>
    <n v="10"/>
    <x v="9"/>
    <x v="4"/>
    <x v="3"/>
    <x v="3"/>
    <x v="3"/>
    <n v="1"/>
  </r>
  <r>
    <x v="37"/>
    <x v="0"/>
    <x v="0"/>
    <n v="528"/>
    <x v="0"/>
    <n v="22"/>
    <x v="1"/>
    <x v="3"/>
    <x v="0"/>
    <n v="167"/>
    <x v="2"/>
    <x v="1"/>
    <n v="50"/>
    <x v="0"/>
    <x v="1"/>
    <x v="6"/>
    <x v="2"/>
    <x v="0"/>
    <x v="124"/>
    <n v="26820"/>
    <n v="1"/>
    <s v="Y"/>
    <x v="0"/>
    <n v="19"/>
    <x v="0"/>
    <x v="1"/>
    <n v="80"/>
    <n v="0"/>
    <n v="0"/>
    <n v="2"/>
    <x v="2"/>
    <x v="2"/>
    <n v="0"/>
    <x v="0"/>
    <x v="2"/>
    <x v="4"/>
    <x v="1"/>
    <x v="1"/>
    <n v="1"/>
  </r>
  <r>
    <x v="15"/>
    <x v="1"/>
    <x v="0"/>
    <n v="594"/>
    <x v="1"/>
    <n v="2"/>
    <x v="1"/>
    <x v="4"/>
    <x v="0"/>
    <n v="169"/>
    <x v="1"/>
    <x v="1"/>
    <n v="100"/>
    <x v="0"/>
    <x v="1"/>
    <x v="2"/>
    <x v="0"/>
    <x v="1"/>
    <x v="125"/>
    <n v="19299"/>
    <n v="0"/>
    <s v="Y"/>
    <x v="1"/>
    <n v="14"/>
    <x v="0"/>
    <x v="3"/>
    <n v="80"/>
    <n v="1"/>
    <n v="3"/>
    <n v="2"/>
    <x v="1"/>
    <x v="4"/>
    <n v="1"/>
    <x v="3"/>
    <x v="9"/>
    <x v="2"/>
    <x v="1"/>
    <x v="1"/>
    <n v="0"/>
  </r>
  <r>
    <x v="1"/>
    <x v="1"/>
    <x v="0"/>
    <n v="470"/>
    <x v="1"/>
    <n v="20"/>
    <x v="2"/>
    <x v="2"/>
    <x v="0"/>
    <n v="170"/>
    <x v="1"/>
    <x v="0"/>
    <n v="96"/>
    <x v="0"/>
    <x v="0"/>
    <x v="3"/>
    <x v="3"/>
    <x v="1"/>
    <x v="126"/>
    <n v="5549"/>
    <n v="1"/>
    <s v="Y"/>
    <x v="1"/>
    <n v="14"/>
    <x v="0"/>
    <x v="3"/>
    <n v="80"/>
    <n v="0"/>
    <n v="16"/>
    <n v="2"/>
    <x v="2"/>
    <x v="15"/>
    <n v="11"/>
    <x v="8"/>
    <x v="7"/>
    <x v="0"/>
    <x v="3"/>
    <x v="0"/>
    <n v="0"/>
  </r>
  <r>
    <x v="23"/>
    <x v="1"/>
    <x v="1"/>
    <n v="957"/>
    <x v="1"/>
    <n v="28"/>
    <x v="3"/>
    <x v="2"/>
    <x v="0"/>
    <n v="171"/>
    <x v="0"/>
    <x v="0"/>
    <n v="72"/>
    <x v="2"/>
    <x v="1"/>
    <x v="1"/>
    <x v="2"/>
    <x v="0"/>
    <x v="127"/>
    <n v="16090"/>
    <n v="4"/>
    <s v="Y"/>
    <x v="1"/>
    <n v="12"/>
    <x v="0"/>
    <x v="1"/>
    <n v="80"/>
    <n v="0"/>
    <n v="18"/>
    <n v="2"/>
    <x v="1"/>
    <x v="11"/>
    <n v="2"/>
    <x v="1"/>
    <x v="3"/>
    <x v="0"/>
    <x v="2"/>
    <x v="1"/>
    <n v="0"/>
  </r>
  <r>
    <x v="24"/>
    <x v="1"/>
    <x v="1"/>
    <n v="809"/>
    <x v="0"/>
    <n v="12"/>
    <x v="3"/>
    <x v="3"/>
    <x v="0"/>
    <n v="174"/>
    <x v="1"/>
    <x v="0"/>
    <n v="77"/>
    <x v="0"/>
    <x v="2"/>
    <x v="0"/>
    <x v="0"/>
    <x v="0"/>
    <x v="128"/>
    <n v="6645"/>
    <n v="4"/>
    <s v="Y"/>
    <x v="1"/>
    <n v="11"/>
    <x v="0"/>
    <x v="1"/>
    <n v="80"/>
    <n v="0"/>
    <n v="16"/>
    <n v="3"/>
    <x v="1"/>
    <x v="4"/>
    <n v="2"/>
    <x v="3"/>
    <x v="9"/>
    <x v="3"/>
    <x v="1"/>
    <x v="0"/>
    <n v="0"/>
  </r>
  <r>
    <x v="12"/>
    <x v="0"/>
    <x v="0"/>
    <n v="542"/>
    <x v="0"/>
    <n v="20"/>
    <x v="3"/>
    <x v="0"/>
    <x v="0"/>
    <n v="175"/>
    <x v="0"/>
    <x v="0"/>
    <n v="71"/>
    <x v="3"/>
    <x v="0"/>
    <x v="0"/>
    <x v="2"/>
    <x v="1"/>
    <x v="129"/>
    <n v="24788"/>
    <n v="3"/>
    <s v="Y"/>
    <x v="0"/>
    <n v="11"/>
    <x v="0"/>
    <x v="3"/>
    <n v="80"/>
    <n v="1"/>
    <n v="4"/>
    <n v="2"/>
    <x v="1"/>
    <x v="4"/>
    <n v="2"/>
    <x v="3"/>
    <x v="3"/>
    <x v="1"/>
    <x v="1"/>
    <x v="1"/>
    <n v="1"/>
  </r>
  <r>
    <x v="0"/>
    <x v="1"/>
    <x v="0"/>
    <n v="802"/>
    <x v="0"/>
    <n v="9"/>
    <x v="1"/>
    <x v="0"/>
    <x v="0"/>
    <n v="176"/>
    <x v="1"/>
    <x v="1"/>
    <n v="96"/>
    <x v="0"/>
    <x v="2"/>
    <x v="0"/>
    <x v="2"/>
    <x v="2"/>
    <x v="130"/>
    <n v="21196"/>
    <n v="3"/>
    <s v="Y"/>
    <x v="0"/>
    <n v="13"/>
    <x v="0"/>
    <x v="3"/>
    <n v="80"/>
    <n v="1"/>
    <n v="12"/>
    <n v="2"/>
    <x v="1"/>
    <x v="7"/>
    <n v="7"/>
    <x v="0"/>
    <x v="1"/>
    <x v="0"/>
    <x v="0"/>
    <x v="0"/>
    <n v="0"/>
  </r>
  <r>
    <x v="25"/>
    <x v="1"/>
    <x v="0"/>
    <n v="1355"/>
    <x v="2"/>
    <n v="25"/>
    <x v="1"/>
    <x v="0"/>
    <x v="0"/>
    <n v="177"/>
    <x v="1"/>
    <x v="0"/>
    <n v="61"/>
    <x v="0"/>
    <x v="1"/>
    <x v="8"/>
    <x v="2"/>
    <x v="1"/>
    <x v="131"/>
    <n v="8916"/>
    <n v="1"/>
    <s v="Y"/>
    <x v="1"/>
    <n v="23"/>
    <x v="1"/>
    <x v="1"/>
    <n v="80"/>
    <n v="1"/>
    <n v="8"/>
    <n v="3"/>
    <x v="1"/>
    <x v="3"/>
    <n v="7"/>
    <x v="8"/>
    <x v="1"/>
    <x v="2"/>
    <x v="0"/>
    <x v="1"/>
    <n v="0"/>
  </r>
  <r>
    <x v="9"/>
    <x v="1"/>
    <x v="0"/>
    <n v="216"/>
    <x v="1"/>
    <n v="6"/>
    <x v="0"/>
    <x v="2"/>
    <x v="0"/>
    <n v="178"/>
    <x v="0"/>
    <x v="1"/>
    <n v="84"/>
    <x v="0"/>
    <x v="0"/>
    <x v="3"/>
    <x v="1"/>
    <x v="2"/>
    <x v="132"/>
    <n v="2819"/>
    <n v="6"/>
    <s v="Y"/>
    <x v="1"/>
    <n v="20"/>
    <x v="1"/>
    <x v="1"/>
    <n v="80"/>
    <n v="2"/>
    <n v="7"/>
    <n v="0"/>
    <x v="1"/>
    <x v="11"/>
    <n v="2"/>
    <x v="0"/>
    <x v="9"/>
    <x v="1"/>
    <x v="2"/>
    <x v="1"/>
    <n v="0"/>
  </r>
  <r>
    <x v="31"/>
    <x v="0"/>
    <x v="1"/>
    <n v="1150"/>
    <x v="1"/>
    <n v="8"/>
    <x v="2"/>
    <x v="0"/>
    <x v="0"/>
    <n v="179"/>
    <x v="3"/>
    <x v="1"/>
    <n v="53"/>
    <x v="3"/>
    <x v="2"/>
    <x v="3"/>
    <x v="0"/>
    <x v="0"/>
    <x v="133"/>
    <n v="25150"/>
    <n v="2"/>
    <s v="Y"/>
    <x v="1"/>
    <n v="15"/>
    <x v="0"/>
    <x v="1"/>
    <n v="80"/>
    <n v="0"/>
    <n v="18"/>
    <n v="2"/>
    <x v="1"/>
    <x v="9"/>
    <n v="2"/>
    <x v="0"/>
    <x v="6"/>
    <x v="3"/>
    <x v="2"/>
    <x v="3"/>
    <n v="1"/>
  </r>
  <r>
    <x v="22"/>
    <x v="1"/>
    <x v="0"/>
    <n v="1329"/>
    <x v="0"/>
    <n v="4"/>
    <x v="2"/>
    <x v="0"/>
    <x v="0"/>
    <n v="182"/>
    <x v="2"/>
    <x v="0"/>
    <n v="47"/>
    <x v="1"/>
    <x v="0"/>
    <x v="0"/>
    <x v="2"/>
    <x v="1"/>
    <x v="134"/>
    <n v="14590"/>
    <n v="4"/>
    <s v="Y"/>
    <x v="1"/>
    <n v="14"/>
    <x v="0"/>
    <x v="3"/>
    <n v="80"/>
    <n v="1"/>
    <n v="17"/>
    <n v="1"/>
    <x v="3"/>
    <x v="15"/>
    <n v="11"/>
    <x v="8"/>
    <x v="12"/>
    <x v="1"/>
    <x v="3"/>
    <x v="0"/>
    <n v="0"/>
  </r>
  <r>
    <x v="36"/>
    <x v="1"/>
    <x v="0"/>
    <n v="959"/>
    <x v="0"/>
    <n v="28"/>
    <x v="3"/>
    <x v="0"/>
    <x v="0"/>
    <n v="183"/>
    <x v="3"/>
    <x v="1"/>
    <n v="41"/>
    <x v="1"/>
    <x v="0"/>
    <x v="0"/>
    <x v="2"/>
    <x v="1"/>
    <x v="135"/>
    <n v="24835"/>
    <n v="2"/>
    <s v="Y"/>
    <x v="1"/>
    <n v="18"/>
    <x v="0"/>
    <x v="1"/>
    <n v="80"/>
    <n v="0"/>
    <n v="6"/>
    <n v="3"/>
    <x v="1"/>
    <x v="4"/>
    <n v="2"/>
    <x v="3"/>
    <x v="3"/>
    <x v="2"/>
    <x v="1"/>
    <x v="0"/>
    <n v="0"/>
  </r>
  <r>
    <x v="7"/>
    <x v="1"/>
    <x v="0"/>
    <n v="1240"/>
    <x v="2"/>
    <n v="9"/>
    <x v="3"/>
    <x v="5"/>
    <x v="0"/>
    <n v="184"/>
    <x v="1"/>
    <x v="1"/>
    <n v="48"/>
    <x v="0"/>
    <x v="0"/>
    <x v="8"/>
    <x v="0"/>
    <x v="1"/>
    <x v="136"/>
    <n v="13982"/>
    <n v="0"/>
    <s v="Y"/>
    <x v="0"/>
    <n v="19"/>
    <x v="0"/>
    <x v="1"/>
    <n v="80"/>
    <n v="0"/>
    <n v="12"/>
    <n v="2"/>
    <x v="0"/>
    <x v="19"/>
    <n v="9"/>
    <x v="5"/>
    <x v="1"/>
    <x v="1"/>
    <x v="3"/>
    <x v="0"/>
    <n v="0"/>
  </r>
  <r>
    <x v="5"/>
    <x v="0"/>
    <x v="0"/>
    <n v="1033"/>
    <x v="1"/>
    <n v="9"/>
    <x v="3"/>
    <x v="2"/>
    <x v="0"/>
    <n v="190"/>
    <x v="3"/>
    <x v="0"/>
    <n v="41"/>
    <x v="0"/>
    <x v="1"/>
    <x v="2"/>
    <x v="3"/>
    <x v="0"/>
    <x v="137"/>
    <n v="10224"/>
    <n v="7"/>
    <s v="Y"/>
    <x v="1"/>
    <n v="22"/>
    <x v="1"/>
    <x v="0"/>
    <n v="80"/>
    <n v="0"/>
    <n v="10"/>
    <n v="2"/>
    <x v="3"/>
    <x v="8"/>
    <n v="4"/>
    <x v="0"/>
    <x v="10"/>
    <x v="1"/>
    <x v="2"/>
    <x v="1"/>
    <n v="1"/>
  </r>
  <r>
    <x v="28"/>
    <x v="1"/>
    <x v="0"/>
    <n v="1316"/>
    <x v="1"/>
    <n v="29"/>
    <x v="3"/>
    <x v="2"/>
    <x v="0"/>
    <n v="192"/>
    <x v="1"/>
    <x v="1"/>
    <n v="83"/>
    <x v="0"/>
    <x v="1"/>
    <x v="1"/>
    <x v="0"/>
    <x v="0"/>
    <x v="138"/>
    <n v="9752"/>
    <n v="5"/>
    <s v="Y"/>
    <x v="1"/>
    <n v="13"/>
    <x v="0"/>
    <x v="2"/>
    <n v="80"/>
    <n v="0"/>
    <n v="9"/>
    <n v="2"/>
    <x v="2"/>
    <x v="0"/>
    <n v="5"/>
    <x v="0"/>
    <x v="6"/>
    <x v="0"/>
    <x v="0"/>
    <x v="1"/>
    <n v="0"/>
  </r>
  <r>
    <x v="8"/>
    <x v="1"/>
    <x v="0"/>
    <n v="364"/>
    <x v="1"/>
    <n v="3"/>
    <x v="4"/>
    <x v="4"/>
    <x v="0"/>
    <n v="193"/>
    <x v="2"/>
    <x v="0"/>
    <n v="32"/>
    <x v="0"/>
    <x v="0"/>
    <x v="1"/>
    <x v="2"/>
    <x v="0"/>
    <x v="139"/>
    <n v="2302"/>
    <n v="3"/>
    <s v="Y"/>
    <x v="0"/>
    <n v="20"/>
    <x v="1"/>
    <x v="2"/>
    <n v="80"/>
    <n v="0"/>
    <n v="19"/>
    <n v="2"/>
    <x v="1"/>
    <x v="11"/>
    <n v="2"/>
    <x v="3"/>
    <x v="3"/>
    <x v="1"/>
    <x v="2"/>
    <x v="1"/>
    <n v="0"/>
  </r>
  <r>
    <x v="7"/>
    <x v="1"/>
    <x v="0"/>
    <n v="438"/>
    <x v="1"/>
    <n v="18"/>
    <x v="3"/>
    <x v="0"/>
    <x v="0"/>
    <n v="194"/>
    <x v="3"/>
    <x v="0"/>
    <n v="75"/>
    <x v="0"/>
    <x v="1"/>
    <x v="1"/>
    <x v="2"/>
    <x v="0"/>
    <x v="140"/>
    <n v="23910"/>
    <n v="1"/>
    <s v="Y"/>
    <x v="1"/>
    <n v="14"/>
    <x v="0"/>
    <x v="3"/>
    <n v="80"/>
    <n v="0"/>
    <n v="5"/>
    <n v="4"/>
    <x v="2"/>
    <x v="8"/>
    <n v="4"/>
    <x v="0"/>
    <x v="10"/>
    <x v="1"/>
    <x v="2"/>
    <x v="1"/>
    <n v="0"/>
  </r>
  <r>
    <x v="5"/>
    <x v="1"/>
    <x v="1"/>
    <n v="689"/>
    <x v="0"/>
    <n v="9"/>
    <x v="0"/>
    <x v="2"/>
    <x v="0"/>
    <n v="195"/>
    <x v="2"/>
    <x v="1"/>
    <n v="35"/>
    <x v="3"/>
    <x v="0"/>
    <x v="0"/>
    <x v="0"/>
    <x v="2"/>
    <x v="141"/>
    <n v="22812"/>
    <n v="0"/>
    <s v="Y"/>
    <x v="1"/>
    <n v="17"/>
    <x v="0"/>
    <x v="1"/>
    <n v="80"/>
    <n v="3"/>
    <n v="9"/>
    <n v="2"/>
    <x v="3"/>
    <x v="3"/>
    <n v="7"/>
    <x v="0"/>
    <x v="1"/>
    <x v="1"/>
    <x v="0"/>
    <x v="1"/>
    <n v="0"/>
  </r>
  <r>
    <x v="7"/>
    <x v="1"/>
    <x v="0"/>
    <n v="201"/>
    <x v="1"/>
    <n v="5"/>
    <x v="3"/>
    <x v="4"/>
    <x v="0"/>
    <n v="197"/>
    <x v="2"/>
    <x v="0"/>
    <n v="84"/>
    <x v="0"/>
    <x v="1"/>
    <x v="1"/>
    <x v="3"/>
    <x v="2"/>
    <x v="142"/>
    <n v="10415"/>
    <n v="5"/>
    <s v="Y"/>
    <x v="1"/>
    <n v="14"/>
    <x v="0"/>
    <x v="1"/>
    <n v="80"/>
    <n v="1"/>
    <n v="8"/>
    <n v="3"/>
    <x v="1"/>
    <x v="11"/>
    <n v="2"/>
    <x v="3"/>
    <x v="3"/>
    <x v="1"/>
    <x v="2"/>
    <x v="1"/>
    <n v="0"/>
  </r>
  <r>
    <x v="7"/>
    <x v="1"/>
    <x v="0"/>
    <n v="1427"/>
    <x v="1"/>
    <n v="2"/>
    <x v="1"/>
    <x v="2"/>
    <x v="0"/>
    <n v="198"/>
    <x v="0"/>
    <x v="1"/>
    <n v="35"/>
    <x v="1"/>
    <x v="1"/>
    <x v="2"/>
    <x v="0"/>
    <x v="0"/>
    <x v="143"/>
    <n v="11162"/>
    <n v="0"/>
    <s v="Y"/>
    <x v="1"/>
    <n v="13"/>
    <x v="0"/>
    <x v="1"/>
    <n v="80"/>
    <n v="0"/>
    <n v="6"/>
    <n v="3"/>
    <x v="1"/>
    <x v="8"/>
    <n v="3"/>
    <x v="1"/>
    <x v="3"/>
    <x v="1"/>
    <x v="2"/>
    <x v="1"/>
    <n v="0"/>
  </r>
  <r>
    <x v="0"/>
    <x v="1"/>
    <x v="1"/>
    <n v="857"/>
    <x v="1"/>
    <n v="10"/>
    <x v="3"/>
    <x v="0"/>
    <x v="0"/>
    <n v="199"/>
    <x v="2"/>
    <x v="1"/>
    <n v="91"/>
    <x v="1"/>
    <x v="3"/>
    <x v="5"/>
    <x v="3"/>
    <x v="2"/>
    <x v="144"/>
    <n v="12888"/>
    <n v="4"/>
    <s v="Y"/>
    <x v="1"/>
    <n v="13"/>
    <x v="0"/>
    <x v="2"/>
    <n v="80"/>
    <n v="1"/>
    <n v="21"/>
    <n v="2"/>
    <x v="2"/>
    <x v="5"/>
    <n v="6"/>
    <x v="4"/>
    <x v="1"/>
    <x v="0"/>
    <x v="0"/>
    <x v="2"/>
    <n v="0"/>
  </r>
  <r>
    <x v="0"/>
    <x v="1"/>
    <x v="0"/>
    <n v="933"/>
    <x v="1"/>
    <n v="9"/>
    <x v="2"/>
    <x v="0"/>
    <x v="0"/>
    <n v="200"/>
    <x v="1"/>
    <x v="1"/>
    <n v="94"/>
    <x v="0"/>
    <x v="1"/>
    <x v="2"/>
    <x v="3"/>
    <x v="1"/>
    <x v="145"/>
    <n v="6961"/>
    <n v="2"/>
    <s v="Y"/>
    <x v="1"/>
    <n v="21"/>
    <x v="1"/>
    <x v="1"/>
    <n v="80"/>
    <n v="1"/>
    <n v="7"/>
    <n v="2"/>
    <x v="1"/>
    <x v="8"/>
    <n v="0"/>
    <x v="1"/>
    <x v="10"/>
    <x v="0"/>
    <x v="2"/>
    <x v="1"/>
    <n v="0"/>
  </r>
  <r>
    <x v="37"/>
    <x v="1"/>
    <x v="0"/>
    <n v="1181"/>
    <x v="1"/>
    <n v="3"/>
    <x v="1"/>
    <x v="2"/>
    <x v="0"/>
    <n v="201"/>
    <x v="0"/>
    <x v="0"/>
    <n v="79"/>
    <x v="0"/>
    <x v="1"/>
    <x v="2"/>
    <x v="1"/>
    <x v="0"/>
    <x v="146"/>
    <n v="16102"/>
    <n v="1"/>
    <s v="Y"/>
    <x v="1"/>
    <n v="14"/>
    <x v="0"/>
    <x v="1"/>
    <n v="80"/>
    <n v="0"/>
    <n v="1"/>
    <n v="3"/>
    <x v="1"/>
    <x v="6"/>
    <n v="0"/>
    <x v="0"/>
    <x v="2"/>
    <x v="4"/>
    <x v="1"/>
    <x v="1"/>
    <n v="0"/>
  </r>
  <r>
    <x v="32"/>
    <x v="1"/>
    <x v="1"/>
    <n v="1395"/>
    <x v="1"/>
    <n v="26"/>
    <x v="3"/>
    <x v="2"/>
    <x v="0"/>
    <n v="202"/>
    <x v="0"/>
    <x v="0"/>
    <n v="54"/>
    <x v="0"/>
    <x v="0"/>
    <x v="1"/>
    <x v="1"/>
    <x v="2"/>
    <x v="147"/>
    <n v="8504"/>
    <n v="1"/>
    <s v="Y"/>
    <x v="1"/>
    <n v="11"/>
    <x v="0"/>
    <x v="0"/>
    <n v="80"/>
    <n v="1"/>
    <n v="20"/>
    <n v="2"/>
    <x v="1"/>
    <x v="23"/>
    <n v="7"/>
    <x v="3"/>
    <x v="15"/>
    <x v="0"/>
    <x v="3"/>
    <x v="0"/>
    <n v="0"/>
  </r>
  <r>
    <x v="10"/>
    <x v="1"/>
    <x v="0"/>
    <n v="662"/>
    <x v="0"/>
    <n v="1"/>
    <x v="4"/>
    <x v="3"/>
    <x v="0"/>
    <n v="204"/>
    <x v="1"/>
    <x v="1"/>
    <n v="94"/>
    <x v="0"/>
    <x v="2"/>
    <x v="0"/>
    <x v="1"/>
    <x v="1"/>
    <x v="148"/>
    <n v="11439"/>
    <n v="1"/>
    <s v="Y"/>
    <x v="1"/>
    <n v="13"/>
    <x v="0"/>
    <x v="0"/>
    <n v="80"/>
    <n v="2"/>
    <n v="10"/>
    <n v="3"/>
    <x v="1"/>
    <x v="1"/>
    <n v="8"/>
    <x v="0"/>
    <x v="4"/>
    <x v="1"/>
    <x v="0"/>
    <x v="0"/>
    <n v="0"/>
  </r>
  <r>
    <x v="16"/>
    <x v="1"/>
    <x v="0"/>
    <n v="1436"/>
    <x v="0"/>
    <n v="6"/>
    <x v="0"/>
    <x v="3"/>
    <x v="0"/>
    <n v="205"/>
    <x v="0"/>
    <x v="1"/>
    <n v="34"/>
    <x v="0"/>
    <x v="0"/>
    <x v="6"/>
    <x v="2"/>
    <x v="1"/>
    <x v="149"/>
    <n v="16047"/>
    <n v="2"/>
    <s v="Y"/>
    <x v="0"/>
    <n v="20"/>
    <x v="1"/>
    <x v="1"/>
    <n v="80"/>
    <n v="1"/>
    <n v="13"/>
    <n v="3"/>
    <x v="0"/>
    <x v="5"/>
    <n v="7"/>
    <x v="5"/>
    <x v="0"/>
    <x v="3"/>
    <x v="0"/>
    <x v="1"/>
    <n v="0"/>
  </r>
  <r>
    <x v="28"/>
    <x v="1"/>
    <x v="0"/>
    <n v="194"/>
    <x v="1"/>
    <n v="9"/>
    <x v="3"/>
    <x v="0"/>
    <x v="0"/>
    <n v="206"/>
    <x v="0"/>
    <x v="1"/>
    <n v="60"/>
    <x v="0"/>
    <x v="0"/>
    <x v="2"/>
    <x v="1"/>
    <x v="2"/>
    <x v="150"/>
    <n v="10901"/>
    <n v="8"/>
    <s v="Y"/>
    <x v="1"/>
    <n v="18"/>
    <x v="0"/>
    <x v="3"/>
    <n v="80"/>
    <n v="1"/>
    <n v="20"/>
    <n v="2"/>
    <x v="0"/>
    <x v="18"/>
    <n v="9"/>
    <x v="0"/>
    <x v="14"/>
    <x v="0"/>
    <x v="3"/>
    <x v="1"/>
    <n v="0"/>
  </r>
  <r>
    <x v="5"/>
    <x v="1"/>
    <x v="1"/>
    <n v="967"/>
    <x v="0"/>
    <n v="8"/>
    <x v="3"/>
    <x v="3"/>
    <x v="0"/>
    <n v="207"/>
    <x v="0"/>
    <x v="0"/>
    <n v="43"/>
    <x v="0"/>
    <x v="2"/>
    <x v="0"/>
    <x v="0"/>
    <x v="0"/>
    <x v="151"/>
    <n v="15589"/>
    <n v="1"/>
    <s v="Y"/>
    <x v="1"/>
    <n v="14"/>
    <x v="0"/>
    <x v="1"/>
    <n v="80"/>
    <n v="0"/>
    <n v="9"/>
    <n v="2"/>
    <x v="1"/>
    <x v="7"/>
    <n v="8"/>
    <x v="2"/>
    <x v="1"/>
    <x v="1"/>
    <x v="0"/>
    <x v="0"/>
    <n v="0"/>
  </r>
  <r>
    <x v="11"/>
    <x v="1"/>
    <x v="2"/>
    <n v="1496"/>
    <x v="1"/>
    <n v="1"/>
    <x v="1"/>
    <x v="4"/>
    <x v="0"/>
    <n v="208"/>
    <x v="2"/>
    <x v="1"/>
    <n v="41"/>
    <x v="0"/>
    <x v="0"/>
    <x v="3"/>
    <x v="2"/>
    <x v="1"/>
    <x v="152"/>
    <n v="26283"/>
    <n v="1"/>
    <s v="Y"/>
    <x v="1"/>
    <n v="13"/>
    <x v="0"/>
    <x v="0"/>
    <n v="80"/>
    <n v="1"/>
    <n v="10"/>
    <n v="1"/>
    <x v="1"/>
    <x v="1"/>
    <n v="7"/>
    <x v="0"/>
    <x v="12"/>
    <x v="2"/>
    <x v="0"/>
    <x v="1"/>
    <n v="0"/>
  </r>
  <r>
    <x v="31"/>
    <x v="1"/>
    <x v="0"/>
    <n v="1169"/>
    <x v="1"/>
    <n v="7"/>
    <x v="2"/>
    <x v="2"/>
    <x v="0"/>
    <n v="211"/>
    <x v="0"/>
    <x v="1"/>
    <n v="34"/>
    <x v="1"/>
    <x v="0"/>
    <x v="3"/>
    <x v="2"/>
    <x v="1"/>
    <x v="153"/>
    <n v="13983"/>
    <n v="2"/>
    <s v="Y"/>
    <x v="1"/>
    <n v="17"/>
    <x v="0"/>
    <x v="3"/>
    <n v="80"/>
    <n v="0"/>
    <n v="10"/>
    <n v="2"/>
    <x v="1"/>
    <x v="6"/>
    <n v="0"/>
    <x v="0"/>
    <x v="2"/>
    <x v="3"/>
    <x v="1"/>
    <x v="0"/>
    <n v="0"/>
  </r>
  <r>
    <x v="34"/>
    <x v="1"/>
    <x v="0"/>
    <n v="1145"/>
    <x v="1"/>
    <n v="9"/>
    <x v="3"/>
    <x v="2"/>
    <x v="0"/>
    <n v="214"/>
    <x v="0"/>
    <x v="0"/>
    <n v="75"/>
    <x v="1"/>
    <x v="1"/>
    <x v="1"/>
    <x v="1"/>
    <x v="1"/>
    <x v="154"/>
    <n v="11873"/>
    <n v="4"/>
    <s v="Y"/>
    <x v="0"/>
    <n v="20"/>
    <x v="1"/>
    <x v="2"/>
    <n v="80"/>
    <n v="1"/>
    <n v="9"/>
    <n v="3"/>
    <x v="2"/>
    <x v="6"/>
    <n v="0"/>
    <x v="0"/>
    <x v="2"/>
    <x v="3"/>
    <x v="1"/>
    <x v="1"/>
    <n v="0"/>
  </r>
  <r>
    <x v="32"/>
    <x v="1"/>
    <x v="0"/>
    <n v="630"/>
    <x v="0"/>
    <n v="4"/>
    <x v="2"/>
    <x v="3"/>
    <x v="0"/>
    <n v="215"/>
    <x v="1"/>
    <x v="1"/>
    <n v="67"/>
    <x v="1"/>
    <x v="2"/>
    <x v="0"/>
    <x v="0"/>
    <x v="1"/>
    <x v="155"/>
    <n v="8552"/>
    <n v="7"/>
    <s v="Y"/>
    <x v="1"/>
    <n v="11"/>
    <x v="0"/>
    <x v="0"/>
    <n v="80"/>
    <n v="1"/>
    <n v="15"/>
    <n v="2"/>
    <x v="2"/>
    <x v="12"/>
    <n v="11"/>
    <x v="3"/>
    <x v="7"/>
    <x v="0"/>
    <x v="3"/>
    <x v="3"/>
    <n v="0"/>
  </r>
  <r>
    <x v="13"/>
    <x v="1"/>
    <x v="1"/>
    <n v="303"/>
    <x v="0"/>
    <n v="2"/>
    <x v="2"/>
    <x v="3"/>
    <x v="0"/>
    <n v="216"/>
    <x v="1"/>
    <x v="0"/>
    <n v="75"/>
    <x v="0"/>
    <x v="1"/>
    <x v="6"/>
    <x v="2"/>
    <x v="1"/>
    <x v="156"/>
    <n v="11314"/>
    <n v="6"/>
    <s v="Y"/>
    <x v="1"/>
    <n v="18"/>
    <x v="0"/>
    <x v="1"/>
    <n v="80"/>
    <n v="1"/>
    <n v="6"/>
    <n v="3"/>
    <x v="1"/>
    <x v="9"/>
    <n v="3"/>
    <x v="1"/>
    <x v="3"/>
    <x v="1"/>
    <x v="2"/>
    <x v="1"/>
    <n v="0"/>
  </r>
  <r>
    <x v="15"/>
    <x v="1"/>
    <x v="0"/>
    <n v="1256"/>
    <x v="1"/>
    <n v="19"/>
    <x v="1"/>
    <x v="2"/>
    <x v="0"/>
    <n v="217"/>
    <x v="1"/>
    <x v="1"/>
    <n v="80"/>
    <x v="0"/>
    <x v="1"/>
    <x v="1"/>
    <x v="0"/>
    <x v="1"/>
    <x v="157"/>
    <n v="11992"/>
    <n v="1"/>
    <s v="Y"/>
    <x v="1"/>
    <n v="24"/>
    <x v="1"/>
    <x v="0"/>
    <n v="80"/>
    <n v="2"/>
    <n v="2"/>
    <n v="6"/>
    <x v="1"/>
    <x v="4"/>
    <n v="2"/>
    <x v="3"/>
    <x v="3"/>
    <x v="2"/>
    <x v="1"/>
    <x v="1"/>
    <n v="0"/>
  </r>
  <r>
    <x v="4"/>
    <x v="1"/>
    <x v="2"/>
    <n v="691"/>
    <x v="1"/>
    <n v="9"/>
    <x v="3"/>
    <x v="2"/>
    <x v="0"/>
    <n v="218"/>
    <x v="2"/>
    <x v="1"/>
    <n v="57"/>
    <x v="0"/>
    <x v="1"/>
    <x v="1"/>
    <x v="1"/>
    <x v="2"/>
    <x v="158"/>
    <n v="5970"/>
    <n v="6"/>
    <s v="Y"/>
    <x v="1"/>
    <n v="18"/>
    <x v="0"/>
    <x v="1"/>
    <n v="80"/>
    <n v="1"/>
    <n v="6"/>
    <n v="1"/>
    <x v="0"/>
    <x v="4"/>
    <n v="2"/>
    <x v="3"/>
    <x v="3"/>
    <x v="2"/>
    <x v="1"/>
    <x v="1"/>
    <n v="0"/>
  </r>
  <r>
    <x v="14"/>
    <x v="1"/>
    <x v="0"/>
    <n v="440"/>
    <x v="1"/>
    <n v="21"/>
    <x v="3"/>
    <x v="2"/>
    <x v="0"/>
    <n v="221"/>
    <x v="1"/>
    <x v="1"/>
    <n v="42"/>
    <x v="0"/>
    <x v="1"/>
    <x v="1"/>
    <x v="0"/>
    <x v="1"/>
    <x v="159"/>
    <n v="6672"/>
    <n v="1"/>
    <s v="Y"/>
    <x v="1"/>
    <n v="11"/>
    <x v="0"/>
    <x v="3"/>
    <n v="80"/>
    <n v="1"/>
    <n v="5"/>
    <n v="2"/>
    <x v="0"/>
    <x v="8"/>
    <n v="2"/>
    <x v="0"/>
    <x v="3"/>
    <x v="2"/>
    <x v="2"/>
    <x v="1"/>
    <n v="0"/>
  </r>
  <r>
    <x v="38"/>
    <x v="1"/>
    <x v="0"/>
    <n v="334"/>
    <x v="1"/>
    <n v="24"/>
    <x v="0"/>
    <x v="0"/>
    <x v="0"/>
    <n v="223"/>
    <x v="1"/>
    <x v="1"/>
    <n v="83"/>
    <x v="2"/>
    <x v="2"/>
    <x v="4"/>
    <x v="0"/>
    <x v="2"/>
    <x v="160"/>
    <n v="23402"/>
    <n v="3"/>
    <s v="Y"/>
    <x v="0"/>
    <n v="16"/>
    <x v="0"/>
    <x v="2"/>
    <n v="80"/>
    <n v="1"/>
    <n v="12"/>
    <n v="2"/>
    <x v="0"/>
    <x v="8"/>
    <n v="3"/>
    <x v="1"/>
    <x v="10"/>
    <x v="3"/>
    <x v="2"/>
    <x v="0"/>
    <n v="0"/>
  </r>
  <r>
    <x v="4"/>
    <x v="1"/>
    <x v="2"/>
    <n v="1450"/>
    <x v="1"/>
    <n v="3"/>
    <x v="3"/>
    <x v="2"/>
    <x v="0"/>
    <n v="224"/>
    <x v="1"/>
    <x v="1"/>
    <n v="79"/>
    <x v="1"/>
    <x v="1"/>
    <x v="1"/>
    <x v="2"/>
    <x v="2"/>
    <x v="161"/>
    <n v="25326"/>
    <n v="1"/>
    <s v="Y"/>
    <x v="0"/>
    <n v="15"/>
    <x v="0"/>
    <x v="1"/>
    <n v="80"/>
    <n v="1"/>
    <n v="1"/>
    <n v="2"/>
    <x v="2"/>
    <x v="6"/>
    <n v="1"/>
    <x v="0"/>
    <x v="9"/>
    <x v="2"/>
    <x v="1"/>
    <x v="1"/>
    <n v="0"/>
  </r>
  <r>
    <x v="24"/>
    <x v="1"/>
    <x v="0"/>
    <n v="1452"/>
    <x v="1"/>
    <n v="11"/>
    <x v="3"/>
    <x v="0"/>
    <x v="0"/>
    <n v="226"/>
    <x v="1"/>
    <x v="0"/>
    <n v="53"/>
    <x v="0"/>
    <x v="4"/>
    <x v="5"/>
    <x v="1"/>
    <x v="0"/>
    <x v="162"/>
    <n v="17053"/>
    <n v="3"/>
    <s v="Y"/>
    <x v="1"/>
    <n v="15"/>
    <x v="0"/>
    <x v="2"/>
    <n v="80"/>
    <n v="0"/>
    <n v="21"/>
    <n v="5"/>
    <x v="1"/>
    <x v="8"/>
    <n v="4"/>
    <x v="5"/>
    <x v="10"/>
    <x v="3"/>
    <x v="2"/>
    <x v="2"/>
    <n v="0"/>
  </r>
  <r>
    <x v="0"/>
    <x v="1"/>
    <x v="0"/>
    <n v="465"/>
    <x v="1"/>
    <n v="14"/>
    <x v="3"/>
    <x v="0"/>
    <x v="0"/>
    <n v="227"/>
    <x v="3"/>
    <x v="1"/>
    <n v="56"/>
    <x v="0"/>
    <x v="1"/>
    <x v="1"/>
    <x v="2"/>
    <x v="2"/>
    <x v="163"/>
    <n v="4609"/>
    <n v="4"/>
    <s v="Y"/>
    <x v="1"/>
    <n v="12"/>
    <x v="0"/>
    <x v="0"/>
    <n v="80"/>
    <n v="1"/>
    <n v="13"/>
    <n v="2"/>
    <x v="1"/>
    <x v="7"/>
    <n v="8"/>
    <x v="1"/>
    <x v="5"/>
    <x v="0"/>
    <x v="0"/>
    <x v="1"/>
    <n v="0"/>
  </r>
  <r>
    <x v="7"/>
    <x v="1"/>
    <x v="0"/>
    <n v="1339"/>
    <x v="0"/>
    <n v="5"/>
    <x v="3"/>
    <x v="0"/>
    <x v="0"/>
    <n v="228"/>
    <x v="0"/>
    <x v="0"/>
    <n v="41"/>
    <x v="0"/>
    <x v="2"/>
    <x v="0"/>
    <x v="0"/>
    <x v="1"/>
    <x v="164"/>
    <n v="8053"/>
    <n v="2"/>
    <s v="Y"/>
    <x v="1"/>
    <n v="12"/>
    <x v="0"/>
    <x v="3"/>
    <n v="80"/>
    <n v="1"/>
    <n v="12"/>
    <n v="2"/>
    <x v="1"/>
    <x v="1"/>
    <n v="9"/>
    <x v="4"/>
    <x v="10"/>
    <x v="1"/>
    <x v="0"/>
    <x v="0"/>
    <n v="0"/>
  </r>
  <r>
    <x v="8"/>
    <x v="1"/>
    <x v="0"/>
    <n v="702"/>
    <x v="0"/>
    <n v="1"/>
    <x v="2"/>
    <x v="0"/>
    <x v="0"/>
    <n v="230"/>
    <x v="3"/>
    <x v="0"/>
    <n v="59"/>
    <x v="1"/>
    <x v="0"/>
    <x v="0"/>
    <x v="0"/>
    <x v="0"/>
    <x v="165"/>
    <n v="12930"/>
    <n v="4"/>
    <s v="Y"/>
    <x v="1"/>
    <n v="22"/>
    <x v="1"/>
    <x v="3"/>
    <n v="80"/>
    <n v="0"/>
    <n v="12"/>
    <n v="2"/>
    <x v="3"/>
    <x v="3"/>
    <n v="3"/>
    <x v="0"/>
    <x v="1"/>
    <x v="1"/>
    <x v="0"/>
    <x v="0"/>
    <n v="0"/>
  </r>
  <r>
    <x v="5"/>
    <x v="1"/>
    <x v="0"/>
    <n v="120"/>
    <x v="1"/>
    <n v="6"/>
    <x v="4"/>
    <x v="0"/>
    <x v="0"/>
    <n v="231"/>
    <x v="1"/>
    <x v="1"/>
    <n v="43"/>
    <x v="0"/>
    <x v="1"/>
    <x v="1"/>
    <x v="2"/>
    <x v="0"/>
    <x v="71"/>
    <n v="12430"/>
    <n v="3"/>
    <s v="Y"/>
    <x v="1"/>
    <n v="20"/>
    <x v="1"/>
    <x v="0"/>
    <n v="80"/>
    <n v="0"/>
    <n v="8"/>
    <n v="2"/>
    <x v="1"/>
    <x v="8"/>
    <n v="4"/>
    <x v="1"/>
    <x v="10"/>
    <x v="1"/>
    <x v="2"/>
    <x v="1"/>
    <n v="0"/>
  </r>
  <r>
    <x v="4"/>
    <x v="1"/>
    <x v="0"/>
    <n v="1157"/>
    <x v="1"/>
    <n v="17"/>
    <x v="3"/>
    <x v="4"/>
    <x v="0"/>
    <n v="233"/>
    <x v="1"/>
    <x v="1"/>
    <n v="51"/>
    <x v="0"/>
    <x v="1"/>
    <x v="1"/>
    <x v="1"/>
    <x v="1"/>
    <x v="166"/>
    <n v="13364"/>
    <n v="0"/>
    <s v="Y"/>
    <x v="0"/>
    <n v="16"/>
    <x v="0"/>
    <x v="1"/>
    <n v="80"/>
    <n v="1"/>
    <n v="6"/>
    <n v="3"/>
    <x v="2"/>
    <x v="8"/>
    <n v="2"/>
    <x v="1"/>
    <x v="9"/>
    <x v="2"/>
    <x v="2"/>
    <x v="1"/>
    <n v="0"/>
  </r>
  <r>
    <x v="37"/>
    <x v="0"/>
    <x v="1"/>
    <n v="602"/>
    <x v="0"/>
    <n v="1"/>
    <x v="1"/>
    <x v="4"/>
    <x v="0"/>
    <n v="235"/>
    <x v="1"/>
    <x v="0"/>
    <n v="100"/>
    <x v="3"/>
    <x v="1"/>
    <x v="6"/>
    <x v="3"/>
    <x v="0"/>
    <x v="167"/>
    <n v="20989"/>
    <n v="0"/>
    <s v="Y"/>
    <x v="1"/>
    <n v="21"/>
    <x v="1"/>
    <x v="0"/>
    <n v="80"/>
    <n v="0"/>
    <n v="1"/>
    <n v="5"/>
    <x v="3"/>
    <x v="2"/>
    <n v="0"/>
    <x v="0"/>
    <x v="2"/>
    <x v="4"/>
    <x v="1"/>
    <x v="1"/>
    <n v="1"/>
  </r>
  <r>
    <x v="9"/>
    <x v="1"/>
    <x v="1"/>
    <n v="1480"/>
    <x v="1"/>
    <n v="3"/>
    <x v="0"/>
    <x v="2"/>
    <x v="0"/>
    <n v="238"/>
    <x v="2"/>
    <x v="1"/>
    <n v="30"/>
    <x v="0"/>
    <x v="1"/>
    <x v="2"/>
    <x v="1"/>
    <x v="0"/>
    <x v="168"/>
    <n v="15062"/>
    <n v="4"/>
    <s v="Y"/>
    <x v="1"/>
    <n v="12"/>
    <x v="0"/>
    <x v="3"/>
    <n v="80"/>
    <n v="0"/>
    <n v="13"/>
    <n v="3"/>
    <x v="2"/>
    <x v="3"/>
    <n v="7"/>
    <x v="4"/>
    <x v="3"/>
    <x v="1"/>
    <x v="0"/>
    <x v="1"/>
    <n v="0"/>
  </r>
  <r>
    <x v="7"/>
    <x v="1"/>
    <x v="2"/>
    <n v="111"/>
    <x v="1"/>
    <n v="9"/>
    <x v="3"/>
    <x v="2"/>
    <x v="0"/>
    <n v="239"/>
    <x v="1"/>
    <x v="1"/>
    <n v="66"/>
    <x v="0"/>
    <x v="0"/>
    <x v="2"/>
    <x v="3"/>
    <x v="2"/>
    <x v="169"/>
    <n v="11012"/>
    <n v="1"/>
    <s v="Y"/>
    <x v="1"/>
    <n v="11"/>
    <x v="0"/>
    <x v="3"/>
    <n v="80"/>
    <n v="2"/>
    <n v="12"/>
    <n v="4"/>
    <x v="1"/>
    <x v="12"/>
    <n v="9"/>
    <x v="7"/>
    <x v="13"/>
    <x v="1"/>
    <x v="3"/>
    <x v="1"/>
    <n v="0"/>
  </r>
  <r>
    <x v="28"/>
    <x v="1"/>
    <x v="0"/>
    <n v="1268"/>
    <x v="0"/>
    <n v="4"/>
    <x v="0"/>
    <x v="0"/>
    <x v="0"/>
    <n v="240"/>
    <x v="1"/>
    <x v="0"/>
    <n v="30"/>
    <x v="0"/>
    <x v="0"/>
    <x v="0"/>
    <x v="3"/>
    <x v="2"/>
    <x v="170"/>
    <n v="6319"/>
    <n v="4"/>
    <s v="Y"/>
    <x v="0"/>
    <n v="11"/>
    <x v="0"/>
    <x v="0"/>
    <n v="80"/>
    <n v="1"/>
    <n v="9"/>
    <n v="3"/>
    <x v="3"/>
    <x v="8"/>
    <n v="4"/>
    <x v="0"/>
    <x v="6"/>
    <x v="0"/>
    <x v="2"/>
    <x v="0"/>
    <n v="0"/>
  </r>
  <r>
    <x v="29"/>
    <x v="1"/>
    <x v="0"/>
    <n v="713"/>
    <x v="1"/>
    <n v="8"/>
    <x v="3"/>
    <x v="0"/>
    <x v="0"/>
    <n v="241"/>
    <x v="1"/>
    <x v="0"/>
    <n v="67"/>
    <x v="0"/>
    <x v="1"/>
    <x v="1"/>
    <x v="3"/>
    <x v="2"/>
    <x v="171"/>
    <n v="13939"/>
    <n v="4"/>
    <s v="Y"/>
    <x v="0"/>
    <n v="18"/>
    <x v="0"/>
    <x v="3"/>
    <n v="80"/>
    <n v="1"/>
    <n v="19"/>
    <n v="3"/>
    <x v="1"/>
    <x v="4"/>
    <n v="2"/>
    <x v="3"/>
    <x v="3"/>
    <x v="3"/>
    <x v="1"/>
    <x v="1"/>
    <n v="0"/>
  </r>
  <r>
    <x v="3"/>
    <x v="1"/>
    <x v="0"/>
    <n v="134"/>
    <x v="1"/>
    <n v="2"/>
    <x v="3"/>
    <x v="0"/>
    <x v="0"/>
    <n v="242"/>
    <x v="1"/>
    <x v="1"/>
    <n v="90"/>
    <x v="0"/>
    <x v="1"/>
    <x v="1"/>
    <x v="0"/>
    <x v="0"/>
    <x v="172"/>
    <n v="10515"/>
    <n v="0"/>
    <s v="Y"/>
    <x v="1"/>
    <n v="14"/>
    <x v="0"/>
    <x v="0"/>
    <n v="80"/>
    <n v="0"/>
    <n v="4"/>
    <n v="2"/>
    <x v="3"/>
    <x v="11"/>
    <n v="1"/>
    <x v="0"/>
    <x v="3"/>
    <x v="1"/>
    <x v="2"/>
    <x v="1"/>
    <n v="0"/>
  </r>
  <r>
    <x v="37"/>
    <x v="0"/>
    <x v="0"/>
    <n v="303"/>
    <x v="1"/>
    <n v="2"/>
    <x v="3"/>
    <x v="0"/>
    <x v="0"/>
    <n v="243"/>
    <x v="0"/>
    <x v="1"/>
    <n v="47"/>
    <x v="1"/>
    <x v="1"/>
    <x v="2"/>
    <x v="0"/>
    <x v="0"/>
    <x v="173"/>
    <n v="9241"/>
    <n v="1"/>
    <s v="Y"/>
    <x v="1"/>
    <n v="22"/>
    <x v="1"/>
    <x v="3"/>
    <n v="80"/>
    <n v="0"/>
    <n v="1"/>
    <n v="3"/>
    <x v="2"/>
    <x v="6"/>
    <n v="0"/>
    <x v="1"/>
    <x v="2"/>
    <x v="4"/>
    <x v="1"/>
    <x v="1"/>
    <n v="1"/>
  </r>
  <r>
    <x v="21"/>
    <x v="1"/>
    <x v="0"/>
    <n v="526"/>
    <x v="0"/>
    <n v="1"/>
    <x v="0"/>
    <x v="3"/>
    <x v="0"/>
    <n v="244"/>
    <x v="0"/>
    <x v="0"/>
    <n v="92"/>
    <x v="0"/>
    <x v="2"/>
    <x v="0"/>
    <x v="3"/>
    <x v="2"/>
    <x v="174"/>
    <n v="2137"/>
    <n v="1"/>
    <s v="Y"/>
    <x v="1"/>
    <n v="25"/>
    <x v="1"/>
    <x v="3"/>
    <n v="80"/>
    <n v="3"/>
    <n v="24"/>
    <n v="2"/>
    <x v="1"/>
    <x v="25"/>
    <n v="13"/>
    <x v="9"/>
    <x v="1"/>
    <x v="0"/>
    <x v="3"/>
    <x v="3"/>
    <n v="0"/>
  </r>
  <r>
    <x v="8"/>
    <x v="1"/>
    <x v="0"/>
    <n v="1380"/>
    <x v="1"/>
    <n v="9"/>
    <x v="0"/>
    <x v="0"/>
    <x v="0"/>
    <n v="245"/>
    <x v="1"/>
    <x v="0"/>
    <n v="75"/>
    <x v="0"/>
    <x v="1"/>
    <x v="2"/>
    <x v="0"/>
    <x v="0"/>
    <x v="175"/>
    <n v="6319"/>
    <n v="1"/>
    <s v="Y"/>
    <x v="1"/>
    <n v="12"/>
    <x v="0"/>
    <x v="3"/>
    <n v="80"/>
    <n v="0"/>
    <n v="2"/>
    <n v="3"/>
    <x v="1"/>
    <x v="4"/>
    <n v="2"/>
    <x v="3"/>
    <x v="9"/>
    <x v="1"/>
    <x v="1"/>
    <x v="1"/>
    <n v="0"/>
  </r>
  <r>
    <x v="12"/>
    <x v="1"/>
    <x v="0"/>
    <n v="140"/>
    <x v="1"/>
    <n v="12"/>
    <x v="1"/>
    <x v="2"/>
    <x v="0"/>
    <n v="246"/>
    <x v="1"/>
    <x v="0"/>
    <n v="95"/>
    <x v="0"/>
    <x v="1"/>
    <x v="1"/>
    <x v="0"/>
    <x v="1"/>
    <x v="176"/>
    <n v="6984"/>
    <n v="8"/>
    <s v="Y"/>
    <x v="0"/>
    <n v="23"/>
    <x v="1"/>
    <x v="3"/>
    <n v="80"/>
    <n v="1"/>
    <n v="7"/>
    <n v="0"/>
    <x v="1"/>
    <x v="9"/>
    <n v="2"/>
    <x v="0"/>
    <x v="3"/>
    <x v="1"/>
    <x v="2"/>
    <x v="1"/>
    <n v="0"/>
  </r>
  <r>
    <x v="13"/>
    <x v="1"/>
    <x v="0"/>
    <n v="629"/>
    <x v="1"/>
    <n v="27"/>
    <x v="0"/>
    <x v="2"/>
    <x v="0"/>
    <n v="247"/>
    <x v="2"/>
    <x v="0"/>
    <n v="95"/>
    <x v="0"/>
    <x v="1"/>
    <x v="1"/>
    <x v="1"/>
    <x v="0"/>
    <x v="177"/>
    <n v="5711"/>
    <n v="2"/>
    <s v="Y"/>
    <x v="1"/>
    <n v="15"/>
    <x v="0"/>
    <x v="1"/>
    <n v="80"/>
    <n v="0"/>
    <n v="9"/>
    <n v="3"/>
    <x v="1"/>
    <x v="11"/>
    <n v="2"/>
    <x v="1"/>
    <x v="3"/>
    <x v="1"/>
    <x v="2"/>
    <x v="1"/>
    <n v="0"/>
  </r>
  <r>
    <x v="0"/>
    <x v="0"/>
    <x v="0"/>
    <n v="1356"/>
    <x v="0"/>
    <n v="20"/>
    <x v="0"/>
    <x v="3"/>
    <x v="0"/>
    <n v="248"/>
    <x v="0"/>
    <x v="0"/>
    <n v="70"/>
    <x v="0"/>
    <x v="1"/>
    <x v="6"/>
    <x v="1"/>
    <x v="0"/>
    <x v="178"/>
    <n v="21728"/>
    <n v="1"/>
    <s v="Y"/>
    <x v="0"/>
    <n v="22"/>
    <x v="1"/>
    <x v="1"/>
    <n v="80"/>
    <n v="0"/>
    <n v="4"/>
    <n v="5"/>
    <x v="2"/>
    <x v="9"/>
    <n v="3"/>
    <x v="0"/>
    <x v="3"/>
    <x v="0"/>
    <x v="2"/>
    <x v="1"/>
    <n v="1"/>
  </r>
  <r>
    <x v="24"/>
    <x v="1"/>
    <x v="0"/>
    <n v="328"/>
    <x v="1"/>
    <n v="1"/>
    <x v="3"/>
    <x v="2"/>
    <x v="0"/>
    <n v="249"/>
    <x v="1"/>
    <x v="1"/>
    <n v="86"/>
    <x v="1"/>
    <x v="1"/>
    <x v="2"/>
    <x v="2"/>
    <x v="1"/>
    <x v="179"/>
    <n v="3425"/>
    <n v="2"/>
    <s v="Y"/>
    <x v="1"/>
    <n v="15"/>
    <x v="0"/>
    <x v="1"/>
    <n v="80"/>
    <n v="1"/>
    <n v="5"/>
    <n v="2"/>
    <x v="2"/>
    <x v="11"/>
    <n v="2"/>
    <x v="0"/>
    <x v="3"/>
    <x v="3"/>
    <x v="2"/>
    <x v="1"/>
    <n v="0"/>
  </r>
  <r>
    <x v="16"/>
    <x v="1"/>
    <x v="0"/>
    <n v="1084"/>
    <x v="1"/>
    <n v="13"/>
    <x v="0"/>
    <x v="2"/>
    <x v="0"/>
    <n v="250"/>
    <x v="2"/>
    <x v="0"/>
    <n v="57"/>
    <x v="2"/>
    <x v="0"/>
    <x v="3"/>
    <x v="3"/>
    <x v="2"/>
    <x v="180"/>
    <n v="26250"/>
    <n v="1"/>
    <s v="Y"/>
    <x v="1"/>
    <n v="11"/>
    <x v="0"/>
    <x v="3"/>
    <n v="80"/>
    <n v="2"/>
    <n v="5"/>
    <n v="3"/>
    <x v="1"/>
    <x v="9"/>
    <n v="2"/>
    <x v="1"/>
    <x v="6"/>
    <x v="3"/>
    <x v="2"/>
    <x v="1"/>
    <n v="0"/>
  </r>
  <r>
    <x v="3"/>
    <x v="1"/>
    <x v="0"/>
    <n v="931"/>
    <x v="1"/>
    <n v="14"/>
    <x v="3"/>
    <x v="2"/>
    <x v="0"/>
    <n v="252"/>
    <x v="2"/>
    <x v="0"/>
    <n v="72"/>
    <x v="0"/>
    <x v="1"/>
    <x v="1"/>
    <x v="1"/>
    <x v="1"/>
    <x v="181"/>
    <n v="4673"/>
    <n v="1"/>
    <s v="Y"/>
    <x v="1"/>
    <n v="13"/>
    <x v="0"/>
    <x v="1"/>
    <n v="80"/>
    <n v="1"/>
    <n v="8"/>
    <n v="5"/>
    <x v="1"/>
    <x v="3"/>
    <n v="7"/>
    <x v="1"/>
    <x v="4"/>
    <x v="1"/>
    <x v="0"/>
    <x v="1"/>
    <n v="0"/>
  </r>
  <r>
    <x v="32"/>
    <x v="1"/>
    <x v="0"/>
    <n v="989"/>
    <x v="1"/>
    <n v="4"/>
    <x v="1"/>
    <x v="2"/>
    <x v="0"/>
    <n v="253"/>
    <x v="2"/>
    <x v="0"/>
    <n v="46"/>
    <x v="0"/>
    <x v="4"/>
    <x v="5"/>
    <x v="2"/>
    <x v="1"/>
    <x v="182"/>
    <n v="6499"/>
    <n v="1"/>
    <s v="Y"/>
    <x v="1"/>
    <n v="14"/>
    <x v="0"/>
    <x v="2"/>
    <n v="80"/>
    <n v="1"/>
    <n v="21"/>
    <n v="2"/>
    <x v="1"/>
    <x v="23"/>
    <n v="8"/>
    <x v="10"/>
    <x v="12"/>
    <x v="0"/>
    <x v="3"/>
    <x v="2"/>
    <n v="0"/>
  </r>
  <r>
    <x v="27"/>
    <x v="1"/>
    <x v="0"/>
    <n v="692"/>
    <x v="1"/>
    <n v="14"/>
    <x v="2"/>
    <x v="2"/>
    <x v="0"/>
    <n v="254"/>
    <x v="1"/>
    <x v="1"/>
    <n v="61"/>
    <x v="2"/>
    <x v="4"/>
    <x v="7"/>
    <x v="1"/>
    <x v="0"/>
    <x v="183"/>
    <n v="13339"/>
    <n v="8"/>
    <s v="Y"/>
    <x v="1"/>
    <n v="11"/>
    <x v="0"/>
    <x v="1"/>
    <n v="80"/>
    <n v="0"/>
    <n v="36"/>
    <n v="3"/>
    <x v="1"/>
    <x v="25"/>
    <n v="15"/>
    <x v="3"/>
    <x v="14"/>
    <x v="3"/>
    <x v="3"/>
    <x v="2"/>
    <n v="0"/>
  </r>
  <r>
    <x v="13"/>
    <x v="1"/>
    <x v="1"/>
    <n v="1069"/>
    <x v="1"/>
    <n v="2"/>
    <x v="1"/>
    <x v="0"/>
    <x v="0"/>
    <n v="256"/>
    <x v="2"/>
    <x v="1"/>
    <n v="45"/>
    <x v="1"/>
    <x v="0"/>
    <x v="3"/>
    <x v="2"/>
    <x v="1"/>
    <x v="184"/>
    <n v="14074"/>
    <n v="1"/>
    <s v="Y"/>
    <x v="1"/>
    <n v="17"/>
    <x v="0"/>
    <x v="3"/>
    <n v="80"/>
    <n v="0"/>
    <n v="10"/>
    <n v="2"/>
    <x v="2"/>
    <x v="1"/>
    <n v="9"/>
    <x v="1"/>
    <x v="12"/>
    <x v="1"/>
    <x v="0"/>
    <x v="0"/>
    <n v="0"/>
  </r>
  <r>
    <x v="31"/>
    <x v="1"/>
    <x v="0"/>
    <n v="313"/>
    <x v="1"/>
    <n v="3"/>
    <x v="3"/>
    <x v="2"/>
    <x v="0"/>
    <n v="258"/>
    <x v="2"/>
    <x v="0"/>
    <n v="98"/>
    <x v="0"/>
    <x v="3"/>
    <x v="4"/>
    <x v="1"/>
    <x v="0"/>
    <x v="185"/>
    <n v="7192"/>
    <n v="3"/>
    <s v="Y"/>
    <x v="1"/>
    <n v="18"/>
    <x v="0"/>
    <x v="3"/>
    <n v="80"/>
    <n v="0"/>
    <n v="21"/>
    <n v="6"/>
    <x v="1"/>
    <x v="5"/>
    <n v="7"/>
    <x v="1"/>
    <x v="2"/>
    <x v="3"/>
    <x v="0"/>
    <x v="3"/>
    <n v="0"/>
  </r>
  <r>
    <x v="39"/>
    <x v="1"/>
    <x v="0"/>
    <n v="699"/>
    <x v="1"/>
    <n v="1"/>
    <x v="2"/>
    <x v="0"/>
    <x v="0"/>
    <n v="259"/>
    <x v="1"/>
    <x v="1"/>
    <n v="65"/>
    <x v="1"/>
    <x v="4"/>
    <x v="5"/>
    <x v="2"/>
    <x v="1"/>
    <x v="186"/>
    <n v="5678"/>
    <n v="0"/>
    <s v="Y"/>
    <x v="1"/>
    <n v="14"/>
    <x v="0"/>
    <x v="0"/>
    <n v="80"/>
    <n v="1"/>
    <n v="34"/>
    <n v="5"/>
    <x v="1"/>
    <x v="26"/>
    <n v="18"/>
    <x v="14"/>
    <x v="12"/>
    <x v="3"/>
    <x v="3"/>
    <x v="2"/>
    <n v="0"/>
  </r>
  <r>
    <x v="4"/>
    <x v="1"/>
    <x v="0"/>
    <n v="894"/>
    <x v="1"/>
    <n v="9"/>
    <x v="3"/>
    <x v="2"/>
    <x v="0"/>
    <n v="260"/>
    <x v="2"/>
    <x v="0"/>
    <n v="99"/>
    <x v="0"/>
    <x v="1"/>
    <x v="1"/>
    <x v="1"/>
    <x v="0"/>
    <x v="187"/>
    <n v="11781"/>
    <n v="1"/>
    <s v="Y"/>
    <x v="1"/>
    <n v="16"/>
    <x v="0"/>
    <x v="1"/>
    <n v="80"/>
    <n v="0"/>
    <n v="7"/>
    <n v="2"/>
    <x v="2"/>
    <x v="5"/>
    <n v="7"/>
    <x v="0"/>
    <x v="6"/>
    <x v="2"/>
    <x v="0"/>
    <x v="1"/>
    <n v="0"/>
  </r>
  <r>
    <x v="10"/>
    <x v="0"/>
    <x v="0"/>
    <n v="556"/>
    <x v="1"/>
    <n v="23"/>
    <x v="0"/>
    <x v="0"/>
    <x v="0"/>
    <n v="261"/>
    <x v="0"/>
    <x v="1"/>
    <n v="50"/>
    <x v="1"/>
    <x v="0"/>
    <x v="3"/>
    <x v="2"/>
    <x v="1"/>
    <x v="188"/>
    <n v="15497"/>
    <n v="3"/>
    <s v="Y"/>
    <x v="0"/>
    <n v="13"/>
    <x v="0"/>
    <x v="0"/>
    <n v="80"/>
    <n v="0"/>
    <n v="8"/>
    <n v="1"/>
    <x v="1"/>
    <x v="6"/>
    <n v="0"/>
    <x v="0"/>
    <x v="9"/>
    <x v="1"/>
    <x v="1"/>
    <x v="0"/>
    <n v="1"/>
  </r>
  <r>
    <x v="23"/>
    <x v="1"/>
    <x v="2"/>
    <n v="1344"/>
    <x v="1"/>
    <n v="7"/>
    <x v="3"/>
    <x v="2"/>
    <x v="0"/>
    <n v="262"/>
    <x v="2"/>
    <x v="1"/>
    <n v="37"/>
    <x v="2"/>
    <x v="1"/>
    <x v="1"/>
    <x v="0"/>
    <x v="2"/>
    <x v="189"/>
    <n v="5228"/>
    <n v="4"/>
    <s v="Y"/>
    <x v="1"/>
    <n v="14"/>
    <x v="0"/>
    <x v="1"/>
    <n v="80"/>
    <n v="3"/>
    <n v="7"/>
    <n v="3"/>
    <x v="3"/>
    <x v="8"/>
    <n v="4"/>
    <x v="3"/>
    <x v="3"/>
    <x v="0"/>
    <x v="2"/>
    <x v="1"/>
    <n v="0"/>
  </r>
  <r>
    <x v="28"/>
    <x v="1"/>
    <x v="2"/>
    <n v="1195"/>
    <x v="1"/>
    <n v="2"/>
    <x v="0"/>
    <x v="2"/>
    <x v="0"/>
    <n v="264"/>
    <x v="3"/>
    <x v="1"/>
    <n v="65"/>
    <x v="1"/>
    <x v="3"/>
    <x v="5"/>
    <x v="0"/>
    <x v="1"/>
    <x v="190"/>
    <n v="20462"/>
    <n v="9"/>
    <s v="Y"/>
    <x v="1"/>
    <n v="23"/>
    <x v="1"/>
    <x v="1"/>
    <n v="80"/>
    <n v="1"/>
    <n v="22"/>
    <n v="1"/>
    <x v="1"/>
    <x v="23"/>
    <n v="8"/>
    <x v="14"/>
    <x v="5"/>
    <x v="0"/>
    <x v="3"/>
    <x v="2"/>
    <n v="0"/>
  </r>
  <r>
    <x v="2"/>
    <x v="1"/>
    <x v="0"/>
    <n v="290"/>
    <x v="1"/>
    <n v="21"/>
    <x v="3"/>
    <x v="0"/>
    <x v="0"/>
    <n v="267"/>
    <x v="0"/>
    <x v="1"/>
    <n v="65"/>
    <x v="2"/>
    <x v="1"/>
    <x v="1"/>
    <x v="3"/>
    <x v="1"/>
    <x v="191"/>
    <n v="22977"/>
    <n v="1"/>
    <s v="Y"/>
    <x v="0"/>
    <n v="12"/>
    <x v="0"/>
    <x v="0"/>
    <n v="80"/>
    <n v="1"/>
    <n v="8"/>
    <n v="3"/>
    <x v="2"/>
    <x v="3"/>
    <n v="7"/>
    <x v="1"/>
    <x v="1"/>
    <x v="1"/>
    <x v="0"/>
    <x v="1"/>
    <n v="0"/>
  </r>
  <r>
    <x v="10"/>
    <x v="1"/>
    <x v="1"/>
    <n v="138"/>
    <x v="1"/>
    <n v="2"/>
    <x v="3"/>
    <x v="2"/>
    <x v="0"/>
    <n v="269"/>
    <x v="0"/>
    <x v="0"/>
    <n v="37"/>
    <x v="0"/>
    <x v="0"/>
    <x v="2"/>
    <x v="1"/>
    <x v="0"/>
    <x v="192"/>
    <n v="15986"/>
    <n v="5"/>
    <s v="Y"/>
    <x v="1"/>
    <n v="11"/>
    <x v="0"/>
    <x v="1"/>
    <n v="80"/>
    <n v="0"/>
    <n v="10"/>
    <n v="5"/>
    <x v="1"/>
    <x v="0"/>
    <n v="2"/>
    <x v="1"/>
    <x v="3"/>
    <x v="1"/>
    <x v="0"/>
    <x v="1"/>
    <n v="0"/>
  </r>
  <r>
    <x v="19"/>
    <x v="1"/>
    <x v="2"/>
    <n v="926"/>
    <x v="1"/>
    <n v="21"/>
    <x v="0"/>
    <x v="2"/>
    <x v="0"/>
    <n v="270"/>
    <x v="1"/>
    <x v="0"/>
    <n v="36"/>
    <x v="0"/>
    <x v="0"/>
    <x v="3"/>
    <x v="2"/>
    <x v="2"/>
    <x v="193"/>
    <n v="16439"/>
    <n v="2"/>
    <s v="Y"/>
    <x v="1"/>
    <n v="16"/>
    <x v="0"/>
    <x v="2"/>
    <n v="80"/>
    <n v="1"/>
    <n v="11"/>
    <n v="5"/>
    <x v="1"/>
    <x v="8"/>
    <n v="3"/>
    <x v="0"/>
    <x v="3"/>
    <x v="0"/>
    <x v="2"/>
    <x v="0"/>
    <n v="0"/>
  </r>
  <r>
    <x v="8"/>
    <x v="1"/>
    <x v="0"/>
    <n v="1261"/>
    <x v="1"/>
    <n v="2"/>
    <x v="2"/>
    <x v="0"/>
    <x v="0"/>
    <n v="271"/>
    <x v="2"/>
    <x v="1"/>
    <n v="88"/>
    <x v="0"/>
    <x v="0"/>
    <x v="3"/>
    <x v="2"/>
    <x v="1"/>
    <x v="194"/>
    <n v="7259"/>
    <n v="9"/>
    <s v="Y"/>
    <x v="1"/>
    <n v="14"/>
    <x v="0"/>
    <x v="2"/>
    <n v="80"/>
    <n v="0"/>
    <n v="14"/>
    <n v="3"/>
    <x v="1"/>
    <x v="6"/>
    <n v="0"/>
    <x v="0"/>
    <x v="2"/>
    <x v="1"/>
    <x v="1"/>
    <x v="0"/>
    <n v="0"/>
  </r>
  <r>
    <x v="8"/>
    <x v="1"/>
    <x v="0"/>
    <n v="1084"/>
    <x v="1"/>
    <n v="29"/>
    <x v="3"/>
    <x v="4"/>
    <x v="0"/>
    <n v="273"/>
    <x v="2"/>
    <x v="1"/>
    <n v="54"/>
    <x v="0"/>
    <x v="0"/>
    <x v="3"/>
    <x v="0"/>
    <x v="1"/>
    <x v="195"/>
    <n v="4185"/>
    <n v="3"/>
    <s v="Y"/>
    <x v="1"/>
    <n v="18"/>
    <x v="0"/>
    <x v="0"/>
    <n v="80"/>
    <n v="1"/>
    <n v="9"/>
    <n v="3"/>
    <x v="0"/>
    <x v="5"/>
    <n v="7"/>
    <x v="1"/>
    <x v="1"/>
    <x v="1"/>
    <x v="0"/>
    <x v="0"/>
    <n v="0"/>
  </r>
  <r>
    <x v="4"/>
    <x v="1"/>
    <x v="1"/>
    <n v="472"/>
    <x v="1"/>
    <n v="1"/>
    <x v="1"/>
    <x v="4"/>
    <x v="0"/>
    <n v="274"/>
    <x v="1"/>
    <x v="1"/>
    <n v="60"/>
    <x v="1"/>
    <x v="0"/>
    <x v="3"/>
    <x v="3"/>
    <x v="1"/>
    <x v="196"/>
    <n v="9679"/>
    <n v="5"/>
    <s v="Y"/>
    <x v="1"/>
    <n v="19"/>
    <x v="0"/>
    <x v="3"/>
    <n v="80"/>
    <n v="1"/>
    <n v="6"/>
    <n v="1"/>
    <x v="1"/>
    <x v="4"/>
    <n v="2"/>
    <x v="3"/>
    <x v="2"/>
    <x v="2"/>
    <x v="1"/>
    <x v="1"/>
    <n v="0"/>
  </r>
  <r>
    <x v="1"/>
    <x v="1"/>
    <x v="2"/>
    <n v="1002"/>
    <x v="1"/>
    <n v="18"/>
    <x v="2"/>
    <x v="0"/>
    <x v="0"/>
    <n v="275"/>
    <x v="2"/>
    <x v="1"/>
    <n v="92"/>
    <x v="0"/>
    <x v="0"/>
    <x v="3"/>
    <x v="0"/>
    <x v="2"/>
    <x v="197"/>
    <n v="23793"/>
    <n v="1"/>
    <s v="Y"/>
    <x v="0"/>
    <n v="15"/>
    <x v="0"/>
    <x v="0"/>
    <n v="80"/>
    <n v="2"/>
    <n v="7"/>
    <n v="0"/>
    <x v="1"/>
    <x v="5"/>
    <n v="7"/>
    <x v="1"/>
    <x v="1"/>
    <x v="0"/>
    <x v="0"/>
    <x v="0"/>
    <n v="0"/>
  </r>
  <r>
    <x v="13"/>
    <x v="1"/>
    <x v="1"/>
    <n v="878"/>
    <x v="1"/>
    <n v="10"/>
    <x v="2"/>
    <x v="2"/>
    <x v="0"/>
    <n v="277"/>
    <x v="2"/>
    <x v="1"/>
    <n v="43"/>
    <x v="0"/>
    <x v="1"/>
    <x v="1"/>
    <x v="2"/>
    <x v="2"/>
    <x v="198"/>
    <n v="5972"/>
    <n v="1"/>
    <s v="Y"/>
    <x v="0"/>
    <n v="17"/>
    <x v="0"/>
    <x v="1"/>
    <n v="80"/>
    <n v="1"/>
    <n v="5"/>
    <n v="4"/>
    <x v="3"/>
    <x v="8"/>
    <n v="3"/>
    <x v="3"/>
    <x v="2"/>
    <x v="1"/>
    <x v="2"/>
    <x v="1"/>
    <n v="0"/>
  </r>
  <r>
    <x v="32"/>
    <x v="1"/>
    <x v="0"/>
    <n v="905"/>
    <x v="1"/>
    <n v="19"/>
    <x v="0"/>
    <x v="2"/>
    <x v="0"/>
    <n v="281"/>
    <x v="1"/>
    <x v="1"/>
    <n v="99"/>
    <x v="0"/>
    <x v="0"/>
    <x v="2"/>
    <x v="0"/>
    <x v="1"/>
    <x v="199"/>
    <n v="16523"/>
    <n v="8"/>
    <s v="Y"/>
    <x v="0"/>
    <n v="15"/>
    <x v="0"/>
    <x v="3"/>
    <n v="80"/>
    <n v="1"/>
    <n v="15"/>
    <n v="2"/>
    <x v="3"/>
    <x v="5"/>
    <n v="2"/>
    <x v="2"/>
    <x v="1"/>
    <x v="0"/>
    <x v="0"/>
    <x v="1"/>
    <n v="0"/>
  </r>
  <r>
    <x v="8"/>
    <x v="0"/>
    <x v="0"/>
    <n v="1180"/>
    <x v="1"/>
    <n v="29"/>
    <x v="1"/>
    <x v="2"/>
    <x v="0"/>
    <n v="282"/>
    <x v="0"/>
    <x v="1"/>
    <n v="70"/>
    <x v="0"/>
    <x v="0"/>
    <x v="4"/>
    <x v="3"/>
    <x v="1"/>
    <x v="200"/>
    <n v="11354"/>
    <n v="7"/>
    <s v="Y"/>
    <x v="0"/>
    <n v="19"/>
    <x v="0"/>
    <x v="2"/>
    <n v="80"/>
    <n v="0"/>
    <n v="17"/>
    <n v="2"/>
    <x v="1"/>
    <x v="6"/>
    <n v="0"/>
    <x v="0"/>
    <x v="2"/>
    <x v="1"/>
    <x v="1"/>
    <x v="0"/>
    <n v="1"/>
  </r>
  <r>
    <x v="11"/>
    <x v="0"/>
    <x v="0"/>
    <n v="121"/>
    <x v="0"/>
    <n v="27"/>
    <x v="3"/>
    <x v="3"/>
    <x v="0"/>
    <n v="283"/>
    <x v="0"/>
    <x v="0"/>
    <n v="35"/>
    <x v="0"/>
    <x v="2"/>
    <x v="0"/>
    <x v="0"/>
    <x v="1"/>
    <x v="201"/>
    <n v="24525"/>
    <n v="1"/>
    <s v="Y"/>
    <x v="1"/>
    <n v="22"/>
    <x v="1"/>
    <x v="1"/>
    <n v="80"/>
    <n v="3"/>
    <n v="10"/>
    <n v="3"/>
    <x v="2"/>
    <x v="1"/>
    <n v="4"/>
    <x v="1"/>
    <x v="12"/>
    <x v="2"/>
    <x v="0"/>
    <x v="0"/>
    <n v="1"/>
  </r>
  <r>
    <x v="15"/>
    <x v="1"/>
    <x v="0"/>
    <n v="1136"/>
    <x v="1"/>
    <n v="5"/>
    <x v="3"/>
    <x v="0"/>
    <x v="0"/>
    <n v="284"/>
    <x v="2"/>
    <x v="1"/>
    <n v="60"/>
    <x v="2"/>
    <x v="1"/>
    <x v="1"/>
    <x v="1"/>
    <x v="2"/>
    <x v="202"/>
    <n v="12392"/>
    <n v="1"/>
    <s v="Y"/>
    <x v="0"/>
    <n v="16"/>
    <x v="0"/>
    <x v="0"/>
    <n v="80"/>
    <n v="1"/>
    <n v="4"/>
    <n v="2"/>
    <x v="2"/>
    <x v="9"/>
    <n v="2"/>
    <x v="3"/>
    <x v="3"/>
    <x v="2"/>
    <x v="2"/>
    <x v="1"/>
    <n v="0"/>
  </r>
  <r>
    <x v="9"/>
    <x v="1"/>
    <x v="1"/>
    <n v="635"/>
    <x v="1"/>
    <n v="18"/>
    <x v="1"/>
    <x v="2"/>
    <x v="0"/>
    <n v="286"/>
    <x v="0"/>
    <x v="0"/>
    <n v="73"/>
    <x v="0"/>
    <x v="1"/>
    <x v="2"/>
    <x v="0"/>
    <x v="0"/>
    <x v="203"/>
    <n v="7703"/>
    <n v="1"/>
    <s v="Y"/>
    <x v="1"/>
    <n v="13"/>
    <x v="0"/>
    <x v="0"/>
    <n v="80"/>
    <n v="0"/>
    <n v="8"/>
    <n v="2"/>
    <x v="1"/>
    <x v="3"/>
    <n v="1"/>
    <x v="1"/>
    <x v="1"/>
    <x v="1"/>
    <x v="0"/>
    <x v="1"/>
    <n v="0"/>
  </r>
  <r>
    <x v="32"/>
    <x v="1"/>
    <x v="2"/>
    <n v="1151"/>
    <x v="1"/>
    <n v="9"/>
    <x v="4"/>
    <x v="0"/>
    <x v="0"/>
    <n v="287"/>
    <x v="2"/>
    <x v="1"/>
    <n v="63"/>
    <x v="1"/>
    <x v="0"/>
    <x v="4"/>
    <x v="0"/>
    <x v="1"/>
    <x v="204"/>
    <n v="14242"/>
    <n v="9"/>
    <s v="Y"/>
    <x v="1"/>
    <n v="14"/>
    <x v="0"/>
    <x v="1"/>
    <n v="80"/>
    <n v="1"/>
    <n v="5"/>
    <n v="5"/>
    <x v="0"/>
    <x v="11"/>
    <n v="2"/>
    <x v="0"/>
    <x v="3"/>
    <x v="0"/>
    <x v="2"/>
    <x v="1"/>
    <n v="0"/>
  </r>
  <r>
    <x v="21"/>
    <x v="1"/>
    <x v="0"/>
    <n v="644"/>
    <x v="1"/>
    <n v="1"/>
    <x v="2"/>
    <x v="2"/>
    <x v="0"/>
    <n v="288"/>
    <x v="2"/>
    <x v="1"/>
    <n v="97"/>
    <x v="0"/>
    <x v="2"/>
    <x v="4"/>
    <x v="3"/>
    <x v="2"/>
    <x v="205"/>
    <n v="12368"/>
    <n v="7"/>
    <s v="Y"/>
    <x v="1"/>
    <n v="16"/>
    <x v="0"/>
    <x v="3"/>
    <n v="80"/>
    <n v="1"/>
    <n v="17"/>
    <n v="3"/>
    <x v="1"/>
    <x v="9"/>
    <n v="2"/>
    <x v="0"/>
    <x v="6"/>
    <x v="0"/>
    <x v="2"/>
    <x v="0"/>
    <n v="0"/>
  </r>
  <r>
    <x v="5"/>
    <x v="0"/>
    <x v="0"/>
    <n v="1045"/>
    <x v="0"/>
    <n v="4"/>
    <x v="2"/>
    <x v="2"/>
    <x v="0"/>
    <n v="291"/>
    <x v="2"/>
    <x v="1"/>
    <n v="32"/>
    <x v="3"/>
    <x v="2"/>
    <x v="0"/>
    <x v="0"/>
    <x v="1"/>
    <x v="206"/>
    <n v="25812"/>
    <n v="1"/>
    <s v="Y"/>
    <x v="1"/>
    <n v="11"/>
    <x v="0"/>
    <x v="3"/>
    <n v="80"/>
    <n v="0"/>
    <n v="14"/>
    <n v="2"/>
    <x v="2"/>
    <x v="13"/>
    <n v="8"/>
    <x v="10"/>
    <x v="5"/>
    <x v="1"/>
    <x v="3"/>
    <x v="3"/>
    <n v="1"/>
  </r>
  <r>
    <x v="7"/>
    <x v="1"/>
    <x v="2"/>
    <n v="829"/>
    <x v="1"/>
    <n v="1"/>
    <x v="1"/>
    <x v="0"/>
    <x v="0"/>
    <n v="292"/>
    <x v="1"/>
    <x v="1"/>
    <n v="88"/>
    <x v="1"/>
    <x v="2"/>
    <x v="3"/>
    <x v="2"/>
    <x v="0"/>
    <x v="207"/>
    <n v="20925"/>
    <n v="1"/>
    <s v="Y"/>
    <x v="1"/>
    <n v="22"/>
    <x v="1"/>
    <x v="3"/>
    <n v="80"/>
    <n v="0"/>
    <n v="12"/>
    <n v="2"/>
    <x v="1"/>
    <x v="19"/>
    <n v="8"/>
    <x v="8"/>
    <x v="5"/>
    <x v="1"/>
    <x v="3"/>
    <x v="0"/>
    <n v="0"/>
  </r>
  <r>
    <x v="4"/>
    <x v="1"/>
    <x v="1"/>
    <n v="1242"/>
    <x v="0"/>
    <n v="20"/>
    <x v="3"/>
    <x v="0"/>
    <x v="0"/>
    <n v="293"/>
    <x v="2"/>
    <x v="0"/>
    <n v="90"/>
    <x v="0"/>
    <x v="0"/>
    <x v="0"/>
    <x v="2"/>
    <x v="0"/>
    <x v="208"/>
    <n v="12916"/>
    <n v="1"/>
    <s v="Y"/>
    <x v="1"/>
    <n v="14"/>
    <x v="0"/>
    <x v="1"/>
    <n v="80"/>
    <n v="0"/>
    <n v="7"/>
    <n v="2"/>
    <x v="1"/>
    <x v="5"/>
    <n v="7"/>
    <x v="0"/>
    <x v="1"/>
    <x v="2"/>
    <x v="0"/>
    <x v="0"/>
    <n v="0"/>
  </r>
  <r>
    <x v="31"/>
    <x v="1"/>
    <x v="0"/>
    <n v="1469"/>
    <x v="1"/>
    <n v="8"/>
    <x v="2"/>
    <x v="0"/>
    <x v="0"/>
    <n v="296"/>
    <x v="0"/>
    <x v="1"/>
    <n v="81"/>
    <x v="1"/>
    <x v="2"/>
    <x v="7"/>
    <x v="1"/>
    <x v="1"/>
    <x v="209"/>
    <n v="15736"/>
    <n v="5"/>
    <s v="Y"/>
    <x v="1"/>
    <n v="16"/>
    <x v="0"/>
    <x v="1"/>
    <n v="80"/>
    <n v="2"/>
    <n v="16"/>
    <n v="5"/>
    <x v="0"/>
    <x v="1"/>
    <n v="9"/>
    <x v="5"/>
    <x v="1"/>
    <x v="3"/>
    <x v="0"/>
    <x v="3"/>
    <n v="0"/>
  </r>
  <r>
    <x v="7"/>
    <x v="0"/>
    <x v="0"/>
    <n v="1005"/>
    <x v="1"/>
    <n v="3"/>
    <x v="3"/>
    <x v="4"/>
    <x v="0"/>
    <n v="297"/>
    <x v="2"/>
    <x v="0"/>
    <n v="88"/>
    <x v="0"/>
    <x v="1"/>
    <x v="1"/>
    <x v="3"/>
    <x v="0"/>
    <x v="210"/>
    <n v="8556"/>
    <n v="5"/>
    <s v="Y"/>
    <x v="0"/>
    <n v="11"/>
    <x v="0"/>
    <x v="3"/>
    <n v="80"/>
    <n v="0"/>
    <n v="8"/>
    <n v="5"/>
    <x v="1"/>
    <x v="8"/>
    <n v="2"/>
    <x v="0"/>
    <x v="10"/>
    <x v="1"/>
    <x v="2"/>
    <x v="1"/>
    <n v="1"/>
  </r>
  <r>
    <x v="0"/>
    <x v="1"/>
    <x v="0"/>
    <n v="896"/>
    <x v="0"/>
    <n v="6"/>
    <x v="3"/>
    <x v="0"/>
    <x v="0"/>
    <n v="298"/>
    <x v="2"/>
    <x v="0"/>
    <n v="75"/>
    <x v="0"/>
    <x v="2"/>
    <x v="5"/>
    <x v="0"/>
    <x v="0"/>
    <x v="211"/>
    <n v="14674"/>
    <n v="3"/>
    <s v="Y"/>
    <x v="0"/>
    <n v="18"/>
    <x v="0"/>
    <x v="3"/>
    <n v="80"/>
    <n v="0"/>
    <n v="16"/>
    <n v="3"/>
    <x v="1"/>
    <x v="6"/>
    <n v="0"/>
    <x v="0"/>
    <x v="2"/>
    <x v="0"/>
    <x v="1"/>
    <x v="3"/>
    <n v="0"/>
  </r>
  <r>
    <x v="7"/>
    <x v="0"/>
    <x v="1"/>
    <n v="334"/>
    <x v="0"/>
    <n v="26"/>
    <x v="2"/>
    <x v="3"/>
    <x v="0"/>
    <n v="299"/>
    <x v="1"/>
    <x v="0"/>
    <n v="52"/>
    <x v="1"/>
    <x v="0"/>
    <x v="0"/>
    <x v="3"/>
    <x v="0"/>
    <x v="212"/>
    <n v="22967"/>
    <n v="5"/>
    <s v="Y"/>
    <x v="1"/>
    <n v="15"/>
    <x v="0"/>
    <x v="3"/>
    <n v="80"/>
    <n v="0"/>
    <n v="9"/>
    <n v="5"/>
    <x v="2"/>
    <x v="0"/>
    <n v="3"/>
    <x v="0"/>
    <x v="9"/>
    <x v="1"/>
    <x v="0"/>
    <x v="0"/>
    <n v="1"/>
  </r>
  <r>
    <x v="11"/>
    <x v="0"/>
    <x v="0"/>
    <n v="992"/>
    <x v="1"/>
    <n v="1"/>
    <x v="3"/>
    <x v="4"/>
    <x v="0"/>
    <n v="300"/>
    <x v="1"/>
    <x v="1"/>
    <n v="85"/>
    <x v="0"/>
    <x v="1"/>
    <x v="1"/>
    <x v="2"/>
    <x v="0"/>
    <x v="213"/>
    <n v="19757"/>
    <n v="0"/>
    <s v="Y"/>
    <x v="1"/>
    <n v="14"/>
    <x v="0"/>
    <x v="1"/>
    <n v="80"/>
    <n v="0"/>
    <n v="7"/>
    <n v="1"/>
    <x v="2"/>
    <x v="0"/>
    <n v="2"/>
    <x v="1"/>
    <x v="0"/>
    <x v="2"/>
    <x v="0"/>
    <x v="1"/>
    <n v="1"/>
  </r>
  <r>
    <x v="28"/>
    <x v="1"/>
    <x v="2"/>
    <n v="1052"/>
    <x v="0"/>
    <n v="6"/>
    <x v="3"/>
    <x v="2"/>
    <x v="0"/>
    <n v="302"/>
    <x v="2"/>
    <x v="0"/>
    <n v="57"/>
    <x v="1"/>
    <x v="2"/>
    <x v="0"/>
    <x v="0"/>
    <x v="0"/>
    <x v="214"/>
    <n v="16840"/>
    <n v="6"/>
    <s v="Y"/>
    <x v="1"/>
    <n v="12"/>
    <x v="0"/>
    <x v="1"/>
    <n v="80"/>
    <n v="0"/>
    <n v="23"/>
    <n v="2"/>
    <x v="1"/>
    <x v="27"/>
    <n v="7"/>
    <x v="12"/>
    <x v="5"/>
    <x v="0"/>
    <x v="3"/>
    <x v="0"/>
    <n v="0"/>
  </r>
  <r>
    <x v="33"/>
    <x v="1"/>
    <x v="0"/>
    <n v="1147"/>
    <x v="0"/>
    <n v="3"/>
    <x v="3"/>
    <x v="3"/>
    <x v="0"/>
    <n v="303"/>
    <x v="2"/>
    <x v="0"/>
    <n v="52"/>
    <x v="0"/>
    <x v="0"/>
    <x v="0"/>
    <x v="3"/>
    <x v="1"/>
    <x v="215"/>
    <n v="17011"/>
    <n v="2"/>
    <s v="Y"/>
    <x v="1"/>
    <n v="14"/>
    <x v="0"/>
    <x v="1"/>
    <n v="80"/>
    <n v="1"/>
    <n v="16"/>
    <n v="4"/>
    <x v="1"/>
    <x v="0"/>
    <n v="2"/>
    <x v="0"/>
    <x v="0"/>
    <x v="3"/>
    <x v="0"/>
    <x v="0"/>
    <n v="0"/>
  </r>
  <r>
    <x v="9"/>
    <x v="1"/>
    <x v="0"/>
    <n v="1396"/>
    <x v="1"/>
    <n v="5"/>
    <x v="0"/>
    <x v="0"/>
    <x v="0"/>
    <n v="304"/>
    <x v="2"/>
    <x v="1"/>
    <n v="62"/>
    <x v="0"/>
    <x v="0"/>
    <x v="2"/>
    <x v="1"/>
    <x v="0"/>
    <x v="216"/>
    <n v="9945"/>
    <n v="8"/>
    <s v="Y"/>
    <x v="1"/>
    <n v="16"/>
    <x v="0"/>
    <x v="1"/>
    <n v="80"/>
    <n v="0"/>
    <n v="16"/>
    <n v="3"/>
    <x v="3"/>
    <x v="20"/>
    <n v="11"/>
    <x v="2"/>
    <x v="1"/>
    <x v="1"/>
    <x v="3"/>
    <x v="0"/>
    <n v="0"/>
  </r>
  <r>
    <x v="3"/>
    <x v="1"/>
    <x v="0"/>
    <n v="147"/>
    <x v="1"/>
    <n v="4"/>
    <x v="2"/>
    <x v="2"/>
    <x v="0"/>
    <n v="305"/>
    <x v="1"/>
    <x v="0"/>
    <n v="47"/>
    <x v="1"/>
    <x v="1"/>
    <x v="1"/>
    <x v="1"/>
    <x v="1"/>
    <x v="217"/>
    <n v="13248"/>
    <n v="6"/>
    <s v="Y"/>
    <x v="1"/>
    <n v="21"/>
    <x v="1"/>
    <x v="1"/>
    <n v="80"/>
    <n v="0"/>
    <n v="7"/>
    <n v="3"/>
    <x v="1"/>
    <x v="11"/>
    <n v="2"/>
    <x v="1"/>
    <x v="9"/>
    <x v="1"/>
    <x v="2"/>
    <x v="1"/>
    <n v="0"/>
  </r>
  <r>
    <x v="2"/>
    <x v="1"/>
    <x v="1"/>
    <n v="663"/>
    <x v="1"/>
    <n v="11"/>
    <x v="3"/>
    <x v="1"/>
    <x v="0"/>
    <n v="306"/>
    <x v="0"/>
    <x v="1"/>
    <n v="47"/>
    <x v="0"/>
    <x v="2"/>
    <x v="7"/>
    <x v="0"/>
    <x v="2"/>
    <x v="218"/>
    <n v="10056"/>
    <n v="1"/>
    <s v="Y"/>
    <x v="0"/>
    <n v="14"/>
    <x v="0"/>
    <x v="3"/>
    <n v="80"/>
    <n v="3"/>
    <n v="10"/>
    <n v="1"/>
    <x v="1"/>
    <x v="1"/>
    <n v="8"/>
    <x v="0"/>
    <x v="1"/>
    <x v="1"/>
    <x v="0"/>
    <x v="3"/>
    <n v="0"/>
  </r>
  <r>
    <x v="8"/>
    <x v="1"/>
    <x v="0"/>
    <n v="119"/>
    <x v="0"/>
    <n v="3"/>
    <x v="3"/>
    <x v="0"/>
    <x v="0"/>
    <n v="307"/>
    <x v="3"/>
    <x v="1"/>
    <n v="76"/>
    <x v="0"/>
    <x v="2"/>
    <x v="0"/>
    <x v="2"/>
    <x v="2"/>
    <x v="219"/>
    <n v="9647"/>
    <n v="0"/>
    <s v="Y"/>
    <x v="1"/>
    <n v="12"/>
    <x v="0"/>
    <x v="3"/>
    <n v="80"/>
    <n v="2"/>
    <n v="17"/>
    <n v="6"/>
    <x v="2"/>
    <x v="22"/>
    <n v="10"/>
    <x v="8"/>
    <x v="15"/>
    <x v="1"/>
    <x v="3"/>
    <x v="3"/>
    <n v="0"/>
  </r>
  <r>
    <x v="12"/>
    <x v="1"/>
    <x v="2"/>
    <n v="979"/>
    <x v="1"/>
    <n v="1"/>
    <x v="2"/>
    <x v="2"/>
    <x v="0"/>
    <n v="308"/>
    <x v="1"/>
    <x v="1"/>
    <n v="90"/>
    <x v="3"/>
    <x v="0"/>
    <x v="3"/>
    <x v="2"/>
    <x v="1"/>
    <x v="220"/>
    <n v="4381"/>
    <n v="0"/>
    <s v="Y"/>
    <x v="1"/>
    <n v="12"/>
    <x v="0"/>
    <x v="1"/>
    <n v="80"/>
    <n v="1"/>
    <n v="6"/>
    <n v="2"/>
    <x v="1"/>
    <x v="8"/>
    <n v="4"/>
    <x v="1"/>
    <x v="10"/>
    <x v="1"/>
    <x v="2"/>
    <x v="1"/>
    <n v="0"/>
  </r>
  <r>
    <x v="6"/>
    <x v="1"/>
    <x v="0"/>
    <n v="142"/>
    <x v="1"/>
    <n v="3"/>
    <x v="3"/>
    <x v="0"/>
    <x v="0"/>
    <n v="309"/>
    <x v="1"/>
    <x v="1"/>
    <n v="70"/>
    <x v="1"/>
    <x v="1"/>
    <x v="1"/>
    <x v="0"/>
    <x v="1"/>
    <x v="221"/>
    <n v="8456"/>
    <n v="3"/>
    <s v="Y"/>
    <x v="1"/>
    <n v="17"/>
    <x v="0"/>
    <x v="0"/>
    <n v="80"/>
    <n v="1"/>
    <n v="7"/>
    <n v="6"/>
    <x v="1"/>
    <x v="6"/>
    <n v="0"/>
    <x v="0"/>
    <x v="2"/>
    <x v="3"/>
    <x v="1"/>
    <x v="1"/>
    <n v="0"/>
  </r>
  <r>
    <x v="2"/>
    <x v="1"/>
    <x v="1"/>
    <n v="319"/>
    <x v="0"/>
    <n v="4"/>
    <x v="2"/>
    <x v="3"/>
    <x v="0"/>
    <n v="311"/>
    <x v="3"/>
    <x v="1"/>
    <n v="41"/>
    <x v="0"/>
    <x v="1"/>
    <x v="6"/>
    <x v="0"/>
    <x v="2"/>
    <x v="222"/>
    <n v="2539"/>
    <n v="4"/>
    <s v="Y"/>
    <x v="1"/>
    <n v="17"/>
    <x v="0"/>
    <x v="3"/>
    <n v="80"/>
    <n v="1"/>
    <n v="13"/>
    <n v="2"/>
    <x v="1"/>
    <x v="7"/>
    <n v="8"/>
    <x v="8"/>
    <x v="5"/>
    <x v="1"/>
    <x v="0"/>
    <x v="1"/>
    <n v="0"/>
  </r>
  <r>
    <x v="11"/>
    <x v="1"/>
    <x v="1"/>
    <n v="1413"/>
    <x v="0"/>
    <n v="1"/>
    <x v="1"/>
    <x v="2"/>
    <x v="0"/>
    <n v="312"/>
    <x v="0"/>
    <x v="0"/>
    <n v="42"/>
    <x v="0"/>
    <x v="2"/>
    <x v="0"/>
    <x v="0"/>
    <x v="1"/>
    <x v="223"/>
    <n v="6599"/>
    <n v="1"/>
    <s v="Y"/>
    <x v="1"/>
    <n v="14"/>
    <x v="0"/>
    <x v="1"/>
    <n v="80"/>
    <n v="1"/>
    <n v="11"/>
    <n v="5"/>
    <x v="1"/>
    <x v="19"/>
    <n v="10"/>
    <x v="5"/>
    <x v="9"/>
    <x v="2"/>
    <x v="3"/>
    <x v="0"/>
    <n v="0"/>
  </r>
  <r>
    <x v="10"/>
    <x v="1"/>
    <x v="1"/>
    <n v="944"/>
    <x v="0"/>
    <n v="1"/>
    <x v="3"/>
    <x v="3"/>
    <x v="0"/>
    <n v="314"/>
    <x v="1"/>
    <x v="0"/>
    <n v="92"/>
    <x v="0"/>
    <x v="2"/>
    <x v="0"/>
    <x v="2"/>
    <x v="0"/>
    <x v="224"/>
    <n v="9096"/>
    <n v="1"/>
    <s v="Y"/>
    <x v="1"/>
    <n v="14"/>
    <x v="0"/>
    <x v="0"/>
    <n v="80"/>
    <n v="0"/>
    <n v="10"/>
    <n v="3"/>
    <x v="3"/>
    <x v="1"/>
    <n v="7"/>
    <x v="0"/>
    <x v="5"/>
    <x v="1"/>
    <x v="0"/>
    <x v="0"/>
    <n v="0"/>
  </r>
  <r>
    <x v="11"/>
    <x v="0"/>
    <x v="0"/>
    <n v="896"/>
    <x v="1"/>
    <n v="18"/>
    <x v="1"/>
    <x v="2"/>
    <x v="0"/>
    <n v="315"/>
    <x v="1"/>
    <x v="1"/>
    <n v="86"/>
    <x v="1"/>
    <x v="1"/>
    <x v="1"/>
    <x v="0"/>
    <x v="0"/>
    <x v="225"/>
    <n v="14961"/>
    <n v="1"/>
    <s v="Y"/>
    <x v="0"/>
    <n v="13"/>
    <x v="0"/>
    <x v="3"/>
    <n v="80"/>
    <n v="0"/>
    <n v="4"/>
    <n v="3"/>
    <x v="2"/>
    <x v="9"/>
    <n v="3"/>
    <x v="0"/>
    <x v="9"/>
    <x v="2"/>
    <x v="2"/>
    <x v="1"/>
    <n v="1"/>
  </r>
  <r>
    <x v="39"/>
    <x v="1"/>
    <x v="0"/>
    <n v="1323"/>
    <x v="1"/>
    <n v="2"/>
    <x v="3"/>
    <x v="0"/>
    <x v="0"/>
    <n v="316"/>
    <x v="1"/>
    <x v="0"/>
    <n v="89"/>
    <x v="1"/>
    <x v="1"/>
    <x v="2"/>
    <x v="0"/>
    <x v="0"/>
    <x v="226"/>
    <n v="3300"/>
    <n v="7"/>
    <s v="Y"/>
    <x v="1"/>
    <n v="15"/>
    <x v="0"/>
    <x v="2"/>
    <n v="80"/>
    <n v="0"/>
    <n v="6"/>
    <n v="3"/>
    <x v="2"/>
    <x v="4"/>
    <n v="2"/>
    <x v="3"/>
    <x v="3"/>
    <x v="3"/>
    <x v="1"/>
    <x v="1"/>
    <n v="0"/>
  </r>
  <r>
    <x v="19"/>
    <x v="1"/>
    <x v="0"/>
    <n v="532"/>
    <x v="1"/>
    <n v="4"/>
    <x v="0"/>
    <x v="4"/>
    <x v="0"/>
    <n v="319"/>
    <x v="1"/>
    <x v="1"/>
    <n v="58"/>
    <x v="0"/>
    <x v="4"/>
    <x v="5"/>
    <x v="0"/>
    <x v="1"/>
    <x v="227"/>
    <n v="4933"/>
    <n v="1"/>
    <s v="Y"/>
    <x v="1"/>
    <n v="11"/>
    <x v="0"/>
    <x v="1"/>
    <n v="80"/>
    <n v="0"/>
    <n v="22"/>
    <n v="3"/>
    <x v="1"/>
    <x v="14"/>
    <n v="17"/>
    <x v="14"/>
    <x v="14"/>
    <x v="0"/>
    <x v="3"/>
    <x v="2"/>
    <n v="0"/>
  </r>
  <r>
    <x v="6"/>
    <x v="1"/>
    <x v="0"/>
    <n v="818"/>
    <x v="2"/>
    <n v="6"/>
    <x v="0"/>
    <x v="2"/>
    <x v="0"/>
    <n v="321"/>
    <x v="0"/>
    <x v="1"/>
    <n v="52"/>
    <x v="0"/>
    <x v="1"/>
    <x v="8"/>
    <x v="2"/>
    <x v="1"/>
    <x v="228"/>
    <n v="25657"/>
    <n v="8"/>
    <s v="Y"/>
    <x v="1"/>
    <n v="17"/>
    <x v="0"/>
    <x v="1"/>
    <n v="80"/>
    <n v="0"/>
    <n v="7"/>
    <n v="2"/>
    <x v="2"/>
    <x v="4"/>
    <n v="2"/>
    <x v="3"/>
    <x v="3"/>
    <x v="3"/>
    <x v="1"/>
    <x v="1"/>
    <n v="0"/>
  </r>
  <r>
    <x v="24"/>
    <x v="1"/>
    <x v="0"/>
    <n v="854"/>
    <x v="0"/>
    <n v="1"/>
    <x v="2"/>
    <x v="2"/>
    <x v="0"/>
    <n v="323"/>
    <x v="2"/>
    <x v="0"/>
    <n v="68"/>
    <x v="0"/>
    <x v="4"/>
    <x v="5"/>
    <x v="0"/>
    <x v="2"/>
    <x v="229"/>
    <n v="24118"/>
    <n v="3"/>
    <s v="Y"/>
    <x v="1"/>
    <n v="11"/>
    <x v="0"/>
    <x v="3"/>
    <n v="80"/>
    <n v="1"/>
    <n v="32"/>
    <n v="3"/>
    <x v="2"/>
    <x v="5"/>
    <n v="0"/>
    <x v="0"/>
    <x v="4"/>
    <x v="3"/>
    <x v="0"/>
    <x v="2"/>
    <n v="0"/>
  </r>
  <r>
    <x v="3"/>
    <x v="0"/>
    <x v="0"/>
    <n v="813"/>
    <x v="1"/>
    <n v="14"/>
    <x v="3"/>
    <x v="2"/>
    <x v="0"/>
    <n v="325"/>
    <x v="1"/>
    <x v="1"/>
    <n v="58"/>
    <x v="0"/>
    <x v="1"/>
    <x v="2"/>
    <x v="0"/>
    <x v="1"/>
    <x v="230"/>
    <n v="22149"/>
    <n v="5"/>
    <s v="Y"/>
    <x v="0"/>
    <n v="13"/>
    <x v="0"/>
    <x v="3"/>
    <n v="80"/>
    <n v="1"/>
    <n v="8"/>
    <n v="2"/>
    <x v="0"/>
    <x v="8"/>
    <n v="4"/>
    <x v="0"/>
    <x v="10"/>
    <x v="1"/>
    <x v="2"/>
    <x v="1"/>
    <n v="1"/>
  </r>
  <r>
    <x v="23"/>
    <x v="1"/>
    <x v="0"/>
    <n v="1034"/>
    <x v="0"/>
    <n v="16"/>
    <x v="3"/>
    <x v="3"/>
    <x v="0"/>
    <n v="327"/>
    <x v="2"/>
    <x v="0"/>
    <n v="80"/>
    <x v="0"/>
    <x v="3"/>
    <x v="5"/>
    <x v="0"/>
    <x v="1"/>
    <x v="231"/>
    <n v="7744"/>
    <n v="5"/>
    <s v="Y"/>
    <x v="0"/>
    <n v="22"/>
    <x v="1"/>
    <x v="3"/>
    <n v="80"/>
    <n v="1"/>
    <n v="22"/>
    <n v="3"/>
    <x v="1"/>
    <x v="18"/>
    <n v="13"/>
    <x v="1"/>
    <x v="12"/>
    <x v="0"/>
    <x v="3"/>
    <x v="2"/>
    <n v="0"/>
  </r>
  <r>
    <x v="3"/>
    <x v="0"/>
    <x v="0"/>
    <n v="465"/>
    <x v="1"/>
    <n v="2"/>
    <x v="0"/>
    <x v="0"/>
    <x v="0"/>
    <n v="328"/>
    <x v="3"/>
    <x v="0"/>
    <n v="39"/>
    <x v="0"/>
    <x v="1"/>
    <x v="2"/>
    <x v="3"/>
    <x v="1"/>
    <x v="232"/>
    <n v="21509"/>
    <n v="7"/>
    <s v="Y"/>
    <x v="1"/>
    <n v="20"/>
    <x v="1"/>
    <x v="0"/>
    <n v="80"/>
    <n v="0"/>
    <n v="13"/>
    <n v="3"/>
    <x v="3"/>
    <x v="7"/>
    <n v="7"/>
    <x v="1"/>
    <x v="1"/>
    <x v="1"/>
    <x v="0"/>
    <x v="1"/>
    <n v="1"/>
  </r>
  <r>
    <x v="39"/>
    <x v="1"/>
    <x v="2"/>
    <n v="771"/>
    <x v="0"/>
    <n v="2"/>
    <x v="2"/>
    <x v="0"/>
    <x v="0"/>
    <n v="329"/>
    <x v="3"/>
    <x v="1"/>
    <n v="79"/>
    <x v="1"/>
    <x v="4"/>
    <x v="5"/>
    <x v="2"/>
    <x v="0"/>
    <x v="233"/>
    <n v="21030"/>
    <n v="1"/>
    <s v="Y"/>
    <x v="0"/>
    <n v="18"/>
    <x v="0"/>
    <x v="1"/>
    <n v="80"/>
    <n v="0"/>
    <n v="33"/>
    <n v="2"/>
    <x v="3"/>
    <x v="26"/>
    <n v="7"/>
    <x v="9"/>
    <x v="11"/>
    <x v="3"/>
    <x v="3"/>
    <x v="2"/>
    <n v="0"/>
  </r>
  <r>
    <x v="5"/>
    <x v="1"/>
    <x v="0"/>
    <n v="1401"/>
    <x v="0"/>
    <n v="4"/>
    <x v="0"/>
    <x v="0"/>
    <x v="0"/>
    <n v="330"/>
    <x v="1"/>
    <x v="0"/>
    <n v="56"/>
    <x v="0"/>
    <x v="1"/>
    <x v="6"/>
    <x v="1"/>
    <x v="1"/>
    <x v="234"/>
    <n v="20990"/>
    <n v="2"/>
    <s v="Y"/>
    <x v="1"/>
    <n v="11"/>
    <x v="0"/>
    <x v="0"/>
    <n v="80"/>
    <n v="1"/>
    <n v="6"/>
    <n v="5"/>
    <x v="1"/>
    <x v="9"/>
    <n v="3"/>
    <x v="1"/>
    <x v="3"/>
    <x v="1"/>
    <x v="2"/>
    <x v="1"/>
    <n v="0"/>
  </r>
  <r>
    <x v="5"/>
    <x v="0"/>
    <x v="0"/>
    <n v="515"/>
    <x v="1"/>
    <n v="1"/>
    <x v="3"/>
    <x v="0"/>
    <x v="0"/>
    <n v="331"/>
    <x v="2"/>
    <x v="1"/>
    <n v="62"/>
    <x v="1"/>
    <x v="1"/>
    <x v="2"/>
    <x v="2"/>
    <x v="0"/>
    <x v="235"/>
    <n v="9571"/>
    <n v="0"/>
    <s v="Y"/>
    <x v="0"/>
    <n v="14"/>
    <x v="0"/>
    <x v="1"/>
    <n v="80"/>
    <n v="0"/>
    <n v="4"/>
    <n v="2"/>
    <x v="0"/>
    <x v="11"/>
    <n v="2"/>
    <x v="1"/>
    <x v="3"/>
    <x v="1"/>
    <x v="2"/>
    <x v="1"/>
    <n v="1"/>
  </r>
  <r>
    <x v="22"/>
    <x v="1"/>
    <x v="0"/>
    <n v="1431"/>
    <x v="1"/>
    <n v="1"/>
    <x v="2"/>
    <x v="2"/>
    <x v="0"/>
    <n v="332"/>
    <x v="1"/>
    <x v="0"/>
    <n v="96"/>
    <x v="0"/>
    <x v="1"/>
    <x v="2"/>
    <x v="2"/>
    <x v="2"/>
    <x v="236"/>
    <n v="15417"/>
    <n v="7"/>
    <s v="Y"/>
    <x v="1"/>
    <n v="14"/>
    <x v="0"/>
    <x v="3"/>
    <n v="80"/>
    <n v="3"/>
    <n v="7"/>
    <n v="1"/>
    <x v="1"/>
    <x v="11"/>
    <n v="2"/>
    <x v="1"/>
    <x v="3"/>
    <x v="1"/>
    <x v="2"/>
    <x v="1"/>
    <n v="0"/>
  </r>
  <r>
    <x v="5"/>
    <x v="1"/>
    <x v="2"/>
    <n v="976"/>
    <x v="0"/>
    <n v="26"/>
    <x v="2"/>
    <x v="3"/>
    <x v="0"/>
    <n v="333"/>
    <x v="1"/>
    <x v="1"/>
    <n v="100"/>
    <x v="0"/>
    <x v="0"/>
    <x v="0"/>
    <x v="0"/>
    <x v="1"/>
    <x v="237"/>
    <n v="12069"/>
    <n v="0"/>
    <s v="Y"/>
    <x v="1"/>
    <n v="18"/>
    <x v="0"/>
    <x v="0"/>
    <n v="80"/>
    <n v="0"/>
    <n v="4"/>
    <n v="2"/>
    <x v="1"/>
    <x v="11"/>
    <n v="2"/>
    <x v="3"/>
    <x v="3"/>
    <x v="1"/>
    <x v="2"/>
    <x v="1"/>
    <n v="0"/>
  </r>
  <r>
    <x v="0"/>
    <x v="1"/>
    <x v="0"/>
    <n v="1411"/>
    <x v="1"/>
    <n v="19"/>
    <x v="0"/>
    <x v="0"/>
    <x v="0"/>
    <n v="334"/>
    <x v="1"/>
    <x v="1"/>
    <n v="36"/>
    <x v="0"/>
    <x v="0"/>
    <x v="1"/>
    <x v="3"/>
    <x v="2"/>
    <x v="169"/>
    <n v="19877"/>
    <n v="2"/>
    <s v="Y"/>
    <x v="1"/>
    <n v="16"/>
    <x v="0"/>
    <x v="0"/>
    <n v="80"/>
    <n v="2"/>
    <n v="17"/>
    <n v="2"/>
    <x v="2"/>
    <x v="6"/>
    <n v="0"/>
    <x v="0"/>
    <x v="2"/>
    <x v="0"/>
    <x v="1"/>
    <x v="1"/>
    <n v="0"/>
  </r>
  <r>
    <x v="32"/>
    <x v="1"/>
    <x v="0"/>
    <n v="1300"/>
    <x v="1"/>
    <n v="24"/>
    <x v="0"/>
    <x v="4"/>
    <x v="0"/>
    <n v="335"/>
    <x v="3"/>
    <x v="1"/>
    <n v="62"/>
    <x v="0"/>
    <x v="0"/>
    <x v="1"/>
    <x v="0"/>
    <x v="2"/>
    <x v="238"/>
    <n v="24447"/>
    <n v="1"/>
    <s v="Y"/>
    <x v="1"/>
    <n v="17"/>
    <x v="0"/>
    <x v="0"/>
    <n v="80"/>
    <n v="2"/>
    <n v="9"/>
    <n v="3"/>
    <x v="1"/>
    <x v="7"/>
    <n v="8"/>
    <x v="5"/>
    <x v="1"/>
    <x v="0"/>
    <x v="0"/>
    <x v="1"/>
    <n v="0"/>
  </r>
  <r>
    <x v="28"/>
    <x v="1"/>
    <x v="0"/>
    <n v="252"/>
    <x v="1"/>
    <n v="1"/>
    <x v="3"/>
    <x v="1"/>
    <x v="0"/>
    <n v="336"/>
    <x v="1"/>
    <x v="1"/>
    <n v="70"/>
    <x v="2"/>
    <x v="4"/>
    <x v="5"/>
    <x v="0"/>
    <x v="1"/>
    <x v="239"/>
    <n v="15970"/>
    <n v="0"/>
    <s v="Y"/>
    <x v="1"/>
    <n v="11"/>
    <x v="0"/>
    <x v="3"/>
    <n v="80"/>
    <n v="1"/>
    <n v="25"/>
    <n v="2"/>
    <x v="1"/>
    <x v="25"/>
    <n v="0"/>
    <x v="1"/>
    <x v="1"/>
    <x v="0"/>
    <x v="3"/>
    <x v="2"/>
    <n v="0"/>
  </r>
  <r>
    <x v="12"/>
    <x v="1"/>
    <x v="1"/>
    <n v="1327"/>
    <x v="1"/>
    <n v="3"/>
    <x v="2"/>
    <x v="2"/>
    <x v="0"/>
    <n v="337"/>
    <x v="0"/>
    <x v="1"/>
    <n v="73"/>
    <x v="0"/>
    <x v="2"/>
    <x v="7"/>
    <x v="2"/>
    <x v="2"/>
    <x v="240"/>
    <n v="13523"/>
    <n v="9"/>
    <s v="Y"/>
    <x v="1"/>
    <n v="12"/>
    <x v="0"/>
    <x v="0"/>
    <n v="80"/>
    <n v="1"/>
    <n v="9"/>
    <n v="3"/>
    <x v="1"/>
    <x v="4"/>
    <n v="2"/>
    <x v="3"/>
    <x v="3"/>
    <x v="1"/>
    <x v="1"/>
    <x v="3"/>
    <n v="0"/>
  </r>
  <r>
    <x v="3"/>
    <x v="1"/>
    <x v="0"/>
    <n v="832"/>
    <x v="1"/>
    <n v="5"/>
    <x v="2"/>
    <x v="0"/>
    <x v="0"/>
    <n v="338"/>
    <x v="1"/>
    <x v="0"/>
    <n v="63"/>
    <x v="1"/>
    <x v="1"/>
    <x v="1"/>
    <x v="0"/>
    <x v="1"/>
    <x v="12"/>
    <n v="14776"/>
    <n v="1"/>
    <s v="Y"/>
    <x v="1"/>
    <n v="13"/>
    <x v="0"/>
    <x v="3"/>
    <n v="80"/>
    <n v="1"/>
    <n v="2"/>
    <n v="2"/>
    <x v="2"/>
    <x v="4"/>
    <n v="2"/>
    <x v="0"/>
    <x v="3"/>
    <x v="1"/>
    <x v="1"/>
    <x v="1"/>
    <n v="0"/>
  </r>
  <r>
    <x v="13"/>
    <x v="1"/>
    <x v="0"/>
    <n v="470"/>
    <x v="1"/>
    <n v="2"/>
    <x v="2"/>
    <x v="0"/>
    <x v="0"/>
    <n v="339"/>
    <x v="2"/>
    <x v="1"/>
    <n v="84"/>
    <x v="1"/>
    <x v="0"/>
    <x v="3"/>
    <x v="3"/>
    <x v="1"/>
    <x v="241"/>
    <n v="23687"/>
    <n v="6"/>
    <s v="Y"/>
    <x v="1"/>
    <n v="13"/>
    <x v="0"/>
    <x v="2"/>
    <n v="80"/>
    <n v="1"/>
    <n v="13"/>
    <n v="3"/>
    <x v="1"/>
    <x v="19"/>
    <n v="9"/>
    <x v="8"/>
    <x v="12"/>
    <x v="1"/>
    <x v="3"/>
    <x v="0"/>
    <n v="0"/>
  </r>
  <r>
    <x v="2"/>
    <x v="1"/>
    <x v="0"/>
    <n v="1017"/>
    <x v="1"/>
    <n v="1"/>
    <x v="0"/>
    <x v="2"/>
    <x v="0"/>
    <n v="340"/>
    <x v="1"/>
    <x v="0"/>
    <n v="83"/>
    <x v="1"/>
    <x v="1"/>
    <x v="1"/>
    <x v="3"/>
    <x v="1"/>
    <x v="242"/>
    <n v="18697"/>
    <n v="2"/>
    <s v="Y"/>
    <x v="1"/>
    <n v="14"/>
    <x v="0"/>
    <x v="0"/>
    <n v="80"/>
    <n v="1"/>
    <n v="17"/>
    <n v="2"/>
    <x v="2"/>
    <x v="11"/>
    <n v="1"/>
    <x v="0"/>
    <x v="3"/>
    <x v="1"/>
    <x v="2"/>
    <x v="1"/>
    <n v="0"/>
  </r>
  <r>
    <x v="28"/>
    <x v="1"/>
    <x v="1"/>
    <n v="1199"/>
    <x v="1"/>
    <n v="7"/>
    <x v="2"/>
    <x v="0"/>
    <x v="0"/>
    <n v="341"/>
    <x v="3"/>
    <x v="1"/>
    <n v="77"/>
    <x v="2"/>
    <x v="0"/>
    <x v="3"/>
    <x v="2"/>
    <x v="1"/>
    <x v="243"/>
    <n v="5118"/>
    <n v="4"/>
    <s v="Y"/>
    <x v="1"/>
    <n v="17"/>
    <x v="0"/>
    <x v="1"/>
    <n v="80"/>
    <n v="1"/>
    <n v="9"/>
    <n v="1"/>
    <x v="1"/>
    <x v="11"/>
    <n v="2"/>
    <x v="0"/>
    <x v="3"/>
    <x v="0"/>
    <x v="2"/>
    <x v="0"/>
    <n v="0"/>
  </r>
  <r>
    <x v="2"/>
    <x v="0"/>
    <x v="1"/>
    <n v="504"/>
    <x v="1"/>
    <n v="10"/>
    <x v="3"/>
    <x v="2"/>
    <x v="0"/>
    <n v="342"/>
    <x v="3"/>
    <x v="1"/>
    <n v="61"/>
    <x v="0"/>
    <x v="2"/>
    <x v="3"/>
    <x v="2"/>
    <x v="2"/>
    <x v="244"/>
    <n v="22573"/>
    <n v="6"/>
    <s v="Y"/>
    <x v="1"/>
    <n v="11"/>
    <x v="0"/>
    <x v="2"/>
    <n v="80"/>
    <n v="2"/>
    <n v="17"/>
    <n v="5"/>
    <x v="1"/>
    <x v="6"/>
    <n v="0"/>
    <x v="0"/>
    <x v="2"/>
    <x v="1"/>
    <x v="1"/>
    <x v="3"/>
    <n v="1"/>
  </r>
  <r>
    <x v="22"/>
    <x v="1"/>
    <x v="1"/>
    <n v="505"/>
    <x v="1"/>
    <n v="2"/>
    <x v="2"/>
    <x v="4"/>
    <x v="0"/>
    <n v="343"/>
    <x v="1"/>
    <x v="0"/>
    <n v="64"/>
    <x v="0"/>
    <x v="2"/>
    <x v="4"/>
    <x v="2"/>
    <x v="0"/>
    <x v="245"/>
    <n v="6420"/>
    <n v="0"/>
    <s v="Y"/>
    <x v="1"/>
    <n v="25"/>
    <x v="1"/>
    <x v="1"/>
    <n v="80"/>
    <n v="0"/>
    <n v="20"/>
    <n v="1"/>
    <x v="1"/>
    <x v="27"/>
    <n v="6"/>
    <x v="14"/>
    <x v="5"/>
    <x v="1"/>
    <x v="3"/>
    <x v="3"/>
    <n v="0"/>
  </r>
  <r>
    <x v="11"/>
    <x v="1"/>
    <x v="0"/>
    <n v="665"/>
    <x v="1"/>
    <n v="15"/>
    <x v="3"/>
    <x v="0"/>
    <x v="0"/>
    <n v="346"/>
    <x v="1"/>
    <x v="1"/>
    <n v="60"/>
    <x v="0"/>
    <x v="1"/>
    <x v="1"/>
    <x v="0"/>
    <x v="0"/>
    <x v="246"/>
    <n v="22673"/>
    <n v="1"/>
    <s v="Y"/>
    <x v="1"/>
    <n v="19"/>
    <x v="0"/>
    <x v="0"/>
    <n v="80"/>
    <n v="0"/>
    <n v="6"/>
    <n v="1"/>
    <x v="1"/>
    <x v="0"/>
    <n v="5"/>
    <x v="1"/>
    <x v="0"/>
    <x v="2"/>
    <x v="0"/>
    <x v="1"/>
    <n v="0"/>
  </r>
  <r>
    <x v="19"/>
    <x v="1"/>
    <x v="0"/>
    <n v="916"/>
    <x v="1"/>
    <n v="17"/>
    <x v="0"/>
    <x v="0"/>
    <x v="0"/>
    <n v="347"/>
    <x v="2"/>
    <x v="0"/>
    <n v="82"/>
    <x v="2"/>
    <x v="0"/>
    <x v="1"/>
    <x v="3"/>
    <x v="0"/>
    <x v="247"/>
    <n v="23016"/>
    <n v="3"/>
    <s v="Y"/>
    <x v="0"/>
    <n v="13"/>
    <x v="0"/>
    <x v="3"/>
    <n v="80"/>
    <n v="0"/>
    <n v="10"/>
    <n v="1"/>
    <x v="1"/>
    <x v="11"/>
    <n v="2"/>
    <x v="0"/>
    <x v="3"/>
    <x v="0"/>
    <x v="2"/>
    <x v="0"/>
    <n v="0"/>
  </r>
  <r>
    <x v="11"/>
    <x v="1"/>
    <x v="0"/>
    <n v="1247"/>
    <x v="0"/>
    <n v="20"/>
    <x v="0"/>
    <x v="3"/>
    <x v="0"/>
    <n v="349"/>
    <x v="2"/>
    <x v="1"/>
    <n v="45"/>
    <x v="0"/>
    <x v="0"/>
    <x v="0"/>
    <x v="0"/>
    <x v="2"/>
    <x v="248"/>
    <n v="10732"/>
    <n v="2"/>
    <s v="Y"/>
    <x v="1"/>
    <n v="14"/>
    <x v="0"/>
    <x v="1"/>
    <n v="80"/>
    <n v="1"/>
    <n v="10"/>
    <n v="2"/>
    <x v="1"/>
    <x v="11"/>
    <n v="2"/>
    <x v="0"/>
    <x v="3"/>
    <x v="2"/>
    <x v="2"/>
    <x v="0"/>
    <n v="0"/>
  </r>
  <r>
    <x v="36"/>
    <x v="1"/>
    <x v="0"/>
    <n v="685"/>
    <x v="1"/>
    <n v="1"/>
    <x v="3"/>
    <x v="0"/>
    <x v="0"/>
    <n v="350"/>
    <x v="3"/>
    <x v="0"/>
    <n v="62"/>
    <x v="0"/>
    <x v="0"/>
    <x v="3"/>
    <x v="2"/>
    <x v="1"/>
    <x v="249"/>
    <n v="7505"/>
    <n v="0"/>
    <s v="Y"/>
    <x v="1"/>
    <n v="12"/>
    <x v="0"/>
    <x v="1"/>
    <n v="80"/>
    <n v="2"/>
    <n v="5"/>
    <n v="3"/>
    <x v="1"/>
    <x v="9"/>
    <n v="2"/>
    <x v="1"/>
    <x v="3"/>
    <x v="2"/>
    <x v="2"/>
    <x v="1"/>
    <n v="0"/>
  </r>
  <r>
    <x v="19"/>
    <x v="1"/>
    <x v="0"/>
    <n v="269"/>
    <x v="1"/>
    <n v="2"/>
    <x v="3"/>
    <x v="2"/>
    <x v="0"/>
    <n v="351"/>
    <x v="2"/>
    <x v="0"/>
    <n v="56"/>
    <x v="1"/>
    <x v="1"/>
    <x v="2"/>
    <x v="3"/>
    <x v="2"/>
    <x v="250"/>
    <n v="8007"/>
    <n v="0"/>
    <s v="Y"/>
    <x v="0"/>
    <n v="11"/>
    <x v="0"/>
    <x v="3"/>
    <n v="80"/>
    <n v="1"/>
    <n v="10"/>
    <n v="4"/>
    <x v="1"/>
    <x v="7"/>
    <n v="6"/>
    <x v="4"/>
    <x v="5"/>
    <x v="0"/>
    <x v="0"/>
    <x v="1"/>
    <n v="0"/>
  </r>
  <r>
    <x v="32"/>
    <x v="1"/>
    <x v="0"/>
    <n v="1416"/>
    <x v="1"/>
    <n v="2"/>
    <x v="0"/>
    <x v="2"/>
    <x v="0"/>
    <n v="352"/>
    <x v="3"/>
    <x v="1"/>
    <n v="49"/>
    <x v="0"/>
    <x v="4"/>
    <x v="7"/>
    <x v="2"/>
    <x v="2"/>
    <x v="251"/>
    <n v="5949"/>
    <n v="0"/>
    <s v="Y"/>
    <x v="1"/>
    <n v="19"/>
    <x v="0"/>
    <x v="1"/>
    <n v="80"/>
    <n v="1"/>
    <n v="22"/>
    <n v="5"/>
    <x v="1"/>
    <x v="17"/>
    <n v="7"/>
    <x v="2"/>
    <x v="12"/>
    <x v="0"/>
    <x v="3"/>
    <x v="2"/>
    <n v="0"/>
  </r>
  <r>
    <x v="31"/>
    <x v="1"/>
    <x v="0"/>
    <n v="833"/>
    <x v="1"/>
    <n v="1"/>
    <x v="3"/>
    <x v="0"/>
    <x v="0"/>
    <n v="353"/>
    <x v="1"/>
    <x v="1"/>
    <n v="96"/>
    <x v="0"/>
    <x v="1"/>
    <x v="1"/>
    <x v="0"/>
    <x v="1"/>
    <x v="252"/>
    <n v="23231"/>
    <n v="1"/>
    <s v="Y"/>
    <x v="1"/>
    <n v="11"/>
    <x v="0"/>
    <x v="2"/>
    <n v="80"/>
    <n v="0"/>
    <n v="1"/>
    <n v="0"/>
    <x v="2"/>
    <x v="6"/>
    <n v="0"/>
    <x v="0"/>
    <x v="2"/>
    <x v="3"/>
    <x v="1"/>
    <x v="1"/>
    <n v="0"/>
  </r>
  <r>
    <x v="12"/>
    <x v="0"/>
    <x v="1"/>
    <n v="307"/>
    <x v="1"/>
    <n v="29"/>
    <x v="0"/>
    <x v="2"/>
    <x v="0"/>
    <n v="355"/>
    <x v="1"/>
    <x v="1"/>
    <n v="71"/>
    <x v="1"/>
    <x v="1"/>
    <x v="2"/>
    <x v="1"/>
    <x v="0"/>
    <x v="253"/>
    <n v="11652"/>
    <n v="0"/>
    <s v="Y"/>
    <x v="1"/>
    <n v="11"/>
    <x v="0"/>
    <x v="2"/>
    <n v="80"/>
    <n v="0"/>
    <n v="6"/>
    <n v="2"/>
    <x v="3"/>
    <x v="8"/>
    <n v="4"/>
    <x v="1"/>
    <x v="10"/>
    <x v="1"/>
    <x v="2"/>
    <x v="1"/>
    <n v="1"/>
  </r>
  <r>
    <x v="5"/>
    <x v="1"/>
    <x v="1"/>
    <n v="1311"/>
    <x v="1"/>
    <n v="7"/>
    <x v="3"/>
    <x v="0"/>
    <x v="0"/>
    <n v="359"/>
    <x v="0"/>
    <x v="1"/>
    <n v="100"/>
    <x v="2"/>
    <x v="1"/>
    <x v="2"/>
    <x v="1"/>
    <x v="1"/>
    <x v="254"/>
    <n v="26062"/>
    <n v="1"/>
    <s v="Y"/>
    <x v="1"/>
    <n v="20"/>
    <x v="1"/>
    <x v="3"/>
    <n v="80"/>
    <n v="0"/>
    <n v="5"/>
    <n v="3"/>
    <x v="0"/>
    <x v="8"/>
    <n v="1"/>
    <x v="0"/>
    <x v="6"/>
    <x v="1"/>
    <x v="2"/>
    <x v="1"/>
    <n v="0"/>
  </r>
  <r>
    <x v="8"/>
    <x v="1"/>
    <x v="2"/>
    <n v="1327"/>
    <x v="0"/>
    <n v="2"/>
    <x v="0"/>
    <x v="0"/>
    <x v="0"/>
    <n v="361"/>
    <x v="2"/>
    <x v="1"/>
    <n v="39"/>
    <x v="1"/>
    <x v="0"/>
    <x v="0"/>
    <x v="0"/>
    <x v="1"/>
    <x v="255"/>
    <n v="19682"/>
    <n v="3"/>
    <s v="Y"/>
    <x v="1"/>
    <n v="18"/>
    <x v="0"/>
    <x v="1"/>
    <n v="80"/>
    <n v="1"/>
    <n v="13"/>
    <n v="0"/>
    <x v="1"/>
    <x v="3"/>
    <n v="7"/>
    <x v="4"/>
    <x v="0"/>
    <x v="1"/>
    <x v="0"/>
    <x v="0"/>
    <n v="0"/>
  </r>
  <r>
    <x v="5"/>
    <x v="1"/>
    <x v="0"/>
    <n v="128"/>
    <x v="1"/>
    <n v="2"/>
    <x v="1"/>
    <x v="4"/>
    <x v="0"/>
    <n v="362"/>
    <x v="2"/>
    <x v="1"/>
    <n v="84"/>
    <x v="1"/>
    <x v="0"/>
    <x v="2"/>
    <x v="3"/>
    <x v="0"/>
    <x v="256"/>
    <n v="19737"/>
    <n v="4"/>
    <s v="Y"/>
    <x v="1"/>
    <n v="13"/>
    <x v="0"/>
    <x v="1"/>
    <n v="80"/>
    <n v="0"/>
    <n v="9"/>
    <n v="5"/>
    <x v="1"/>
    <x v="0"/>
    <n v="2"/>
    <x v="0"/>
    <x v="10"/>
    <x v="1"/>
    <x v="0"/>
    <x v="1"/>
    <n v="0"/>
  </r>
  <r>
    <x v="21"/>
    <x v="1"/>
    <x v="0"/>
    <n v="488"/>
    <x v="0"/>
    <n v="2"/>
    <x v="3"/>
    <x v="4"/>
    <x v="0"/>
    <n v="363"/>
    <x v="1"/>
    <x v="0"/>
    <n v="75"/>
    <x v="3"/>
    <x v="3"/>
    <x v="5"/>
    <x v="1"/>
    <x v="1"/>
    <x v="257"/>
    <n v="14977"/>
    <n v="3"/>
    <s v="Y"/>
    <x v="0"/>
    <n v="12"/>
    <x v="0"/>
    <x v="2"/>
    <n v="80"/>
    <n v="1"/>
    <n v="28"/>
    <n v="2"/>
    <x v="2"/>
    <x v="5"/>
    <n v="7"/>
    <x v="4"/>
    <x v="1"/>
    <x v="0"/>
    <x v="0"/>
    <x v="2"/>
    <n v="0"/>
  </r>
  <r>
    <x v="14"/>
    <x v="0"/>
    <x v="0"/>
    <n v="529"/>
    <x v="1"/>
    <n v="2"/>
    <x v="2"/>
    <x v="0"/>
    <x v="0"/>
    <n v="364"/>
    <x v="3"/>
    <x v="1"/>
    <n v="79"/>
    <x v="0"/>
    <x v="1"/>
    <x v="2"/>
    <x v="2"/>
    <x v="0"/>
    <x v="258"/>
    <n v="14935"/>
    <n v="2"/>
    <s v="Y"/>
    <x v="1"/>
    <n v="11"/>
    <x v="0"/>
    <x v="3"/>
    <n v="80"/>
    <n v="0"/>
    <n v="5"/>
    <n v="5"/>
    <x v="0"/>
    <x v="2"/>
    <n v="0"/>
    <x v="0"/>
    <x v="2"/>
    <x v="2"/>
    <x v="1"/>
    <x v="1"/>
    <n v="1"/>
  </r>
  <r>
    <x v="11"/>
    <x v="1"/>
    <x v="0"/>
    <n v="1210"/>
    <x v="0"/>
    <n v="2"/>
    <x v="3"/>
    <x v="2"/>
    <x v="0"/>
    <n v="366"/>
    <x v="3"/>
    <x v="1"/>
    <n v="78"/>
    <x v="1"/>
    <x v="0"/>
    <x v="0"/>
    <x v="1"/>
    <x v="1"/>
    <x v="259"/>
    <n v="3687"/>
    <n v="2"/>
    <s v="Y"/>
    <x v="1"/>
    <n v="19"/>
    <x v="0"/>
    <x v="2"/>
    <n v="80"/>
    <n v="2"/>
    <n v="10"/>
    <n v="2"/>
    <x v="1"/>
    <x v="2"/>
    <n v="0"/>
    <x v="0"/>
    <x v="2"/>
    <x v="2"/>
    <x v="1"/>
    <x v="0"/>
    <n v="0"/>
  </r>
  <r>
    <x v="12"/>
    <x v="1"/>
    <x v="0"/>
    <n v="1463"/>
    <x v="1"/>
    <n v="23"/>
    <x v="3"/>
    <x v="2"/>
    <x v="0"/>
    <n v="367"/>
    <x v="0"/>
    <x v="1"/>
    <n v="64"/>
    <x v="1"/>
    <x v="0"/>
    <x v="4"/>
    <x v="0"/>
    <x v="1"/>
    <x v="260"/>
    <n v="14408"/>
    <n v="0"/>
    <s v="Y"/>
    <x v="1"/>
    <n v="21"/>
    <x v="1"/>
    <x v="2"/>
    <n v="80"/>
    <n v="1"/>
    <n v="10"/>
    <n v="2"/>
    <x v="1"/>
    <x v="7"/>
    <n v="0"/>
    <x v="4"/>
    <x v="5"/>
    <x v="1"/>
    <x v="0"/>
    <x v="0"/>
    <n v="0"/>
  </r>
  <r>
    <x v="36"/>
    <x v="1"/>
    <x v="2"/>
    <n v="675"/>
    <x v="1"/>
    <n v="5"/>
    <x v="0"/>
    <x v="0"/>
    <x v="0"/>
    <n v="369"/>
    <x v="0"/>
    <x v="1"/>
    <n v="85"/>
    <x v="2"/>
    <x v="0"/>
    <x v="4"/>
    <x v="3"/>
    <x v="2"/>
    <x v="261"/>
    <n v="18384"/>
    <n v="1"/>
    <s v="Y"/>
    <x v="1"/>
    <n v="12"/>
    <x v="0"/>
    <x v="1"/>
    <n v="80"/>
    <n v="2"/>
    <n v="6"/>
    <n v="2"/>
    <x v="1"/>
    <x v="0"/>
    <n v="3"/>
    <x v="1"/>
    <x v="0"/>
    <x v="2"/>
    <x v="0"/>
    <x v="1"/>
    <n v="0"/>
  </r>
  <r>
    <x v="28"/>
    <x v="1"/>
    <x v="0"/>
    <n v="1385"/>
    <x v="1"/>
    <n v="20"/>
    <x v="0"/>
    <x v="2"/>
    <x v="0"/>
    <n v="372"/>
    <x v="1"/>
    <x v="1"/>
    <n v="79"/>
    <x v="0"/>
    <x v="3"/>
    <x v="4"/>
    <x v="0"/>
    <x v="1"/>
    <x v="262"/>
    <n v="7501"/>
    <n v="0"/>
    <s v="Y"/>
    <x v="0"/>
    <n v="14"/>
    <x v="0"/>
    <x v="2"/>
    <n v="80"/>
    <n v="0"/>
    <n v="21"/>
    <n v="2"/>
    <x v="1"/>
    <x v="23"/>
    <n v="7"/>
    <x v="5"/>
    <x v="13"/>
    <x v="0"/>
    <x v="3"/>
    <x v="3"/>
    <n v="0"/>
  </r>
  <r>
    <x v="9"/>
    <x v="1"/>
    <x v="0"/>
    <n v="1403"/>
    <x v="1"/>
    <n v="6"/>
    <x v="3"/>
    <x v="0"/>
    <x v="0"/>
    <n v="373"/>
    <x v="2"/>
    <x v="1"/>
    <n v="47"/>
    <x v="0"/>
    <x v="1"/>
    <x v="2"/>
    <x v="0"/>
    <x v="1"/>
    <x v="263"/>
    <n v="20251"/>
    <n v="0"/>
    <s v="Y"/>
    <x v="1"/>
    <n v="11"/>
    <x v="0"/>
    <x v="3"/>
    <n v="80"/>
    <n v="1"/>
    <n v="16"/>
    <n v="4"/>
    <x v="1"/>
    <x v="15"/>
    <n v="13"/>
    <x v="13"/>
    <x v="7"/>
    <x v="1"/>
    <x v="3"/>
    <x v="1"/>
    <n v="0"/>
  </r>
  <r>
    <x v="27"/>
    <x v="1"/>
    <x v="0"/>
    <n v="452"/>
    <x v="1"/>
    <n v="1"/>
    <x v="3"/>
    <x v="2"/>
    <x v="0"/>
    <n v="374"/>
    <x v="2"/>
    <x v="1"/>
    <n v="81"/>
    <x v="0"/>
    <x v="4"/>
    <x v="5"/>
    <x v="3"/>
    <x v="0"/>
    <x v="264"/>
    <n v="18938"/>
    <n v="0"/>
    <s v="Y"/>
    <x v="0"/>
    <n v="14"/>
    <x v="0"/>
    <x v="3"/>
    <n v="80"/>
    <n v="0"/>
    <n v="37"/>
    <n v="2"/>
    <x v="1"/>
    <x v="28"/>
    <n v="10"/>
    <x v="5"/>
    <x v="15"/>
    <x v="3"/>
    <x v="3"/>
    <x v="2"/>
    <n v="0"/>
  </r>
  <r>
    <x v="40"/>
    <x v="0"/>
    <x v="2"/>
    <n v="666"/>
    <x v="1"/>
    <n v="29"/>
    <x v="2"/>
    <x v="0"/>
    <x v="0"/>
    <n v="376"/>
    <x v="3"/>
    <x v="1"/>
    <n v="88"/>
    <x v="0"/>
    <x v="2"/>
    <x v="5"/>
    <x v="1"/>
    <x v="1"/>
    <x v="265"/>
    <n v="10268"/>
    <n v="1"/>
    <s v="Y"/>
    <x v="0"/>
    <n v="12"/>
    <x v="0"/>
    <x v="1"/>
    <n v="80"/>
    <n v="1"/>
    <n v="10"/>
    <n v="2"/>
    <x v="2"/>
    <x v="1"/>
    <n v="7"/>
    <x v="10"/>
    <x v="12"/>
    <x v="0"/>
    <x v="0"/>
    <x v="3"/>
    <n v="1"/>
  </r>
  <r>
    <x v="14"/>
    <x v="1"/>
    <x v="0"/>
    <n v="1158"/>
    <x v="1"/>
    <n v="9"/>
    <x v="3"/>
    <x v="2"/>
    <x v="0"/>
    <n v="377"/>
    <x v="2"/>
    <x v="1"/>
    <n v="94"/>
    <x v="0"/>
    <x v="1"/>
    <x v="1"/>
    <x v="0"/>
    <x v="1"/>
    <x v="266"/>
    <n v="2613"/>
    <n v="1"/>
    <s v="Y"/>
    <x v="1"/>
    <n v="23"/>
    <x v="1"/>
    <x v="1"/>
    <n v="80"/>
    <n v="1"/>
    <n v="5"/>
    <n v="3"/>
    <x v="2"/>
    <x v="8"/>
    <n v="2"/>
    <x v="0"/>
    <x v="10"/>
    <x v="2"/>
    <x v="2"/>
    <x v="1"/>
    <n v="0"/>
  </r>
  <r>
    <x v="2"/>
    <x v="1"/>
    <x v="0"/>
    <n v="228"/>
    <x v="0"/>
    <n v="6"/>
    <x v="2"/>
    <x v="2"/>
    <x v="0"/>
    <n v="378"/>
    <x v="1"/>
    <x v="1"/>
    <n v="98"/>
    <x v="0"/>
    <x v="0"/>
    <x v="0"/>
    <x v="0"/>
    <x v="1"/>
    <x v="267"/>
    <n v="22825"/>
    <n v="4"/>
    <s v="Y"/>
    <x v="1"/>
    <n v="14"/>
    <x v="0"/>
    <x v="2"/>
    <n v="80"/>
    <n v="1"/>
    <n v="7"/>
    <n v="5"/>
    <x v="3"/>
    <x v="8"/>
    <n v="4"/>
    <x v="0"/>
    <x v="9"/>
    <x v="1"/>
    <x v="2"/>
    <x v="0"/>
    <n v="0"/>
  </r>
  <r>
    <x v="18"/>
    <x v="1"/>
    <x v="0"/>
    <n v="996"/>
    <x v="1"/>
    <n v="3"/>
    <x v="0"/>
    <x v="2"/>
    <x v="0"/>
    <n v="379"/>
    <x v="2"/>
    <x v="1"/>
    <n v="100"/>
    <x v="1"/>
    <x v="1"/>
    <x v="1"/>
    <x v="2"/>
    <x v="0"/>
    <x v="268"/>
    <n v="10531"/>
    <n v="1"/>
    <s v="Y"/>
    <x v="1"/>
    <n v="17"/>
    <x v="0"/>
    <x v="0"/>
    <n v="80"/>
    <n v="0"/>
    <n v="3"/>
    <n v="4"/>
    <x v="3"/>
    <x v="11"/>
    <n v="2"/>
    <x v="1"/>
    <x v="2"/>
    <x v="2"/>
    <x v="2"/>
    <x v="1"/>
    <n v="0"/>
  </r>
  <r>
    <x v="2"/>
    <x v="1"/>
    <x v="2"/>
    <n v="728"/>
    <x v="1"/>
    <n v="1"/>
    <x v="2"/>
    <x v="2"/>
    <x v="0"/>
    <n v="380"/>
    <x v="3"/>
    <x v="0"/>
    <n v="80"/>
    <x v="0"/>
    <x v="2"/>
    <x v="7"/>
    <x v="0"/>
    <x v="2"/>
    <x v="269"/>
    <n v="11677"/>
    <n v="2"/>
    <s v="Y"/>
    <x v="0"/>
    <n v="18"/>
    <x v="0"/>
    <x v="0"/>
    <n v="80"/>
    <n v="2"/>
    <n v="15"/>
    <n v="2"/>
    <x v="1"/>
    <x v="8"/>
    <n v="2"/>
    <x v="0"/>
    <x v="3"/>
    <x v="1"/>
    <x v="2"/>
    <x v="3"/>
    <n v="0"/>
  </r>
  <r>
    <x v="10"/>
    <x v="1"/>
    <x v="0"/>
    <n v="1315"/>
    <x v="1"/>
    <n v="22"/>
    <x v="3"/>
    <x v="0"/>
    <x v="0"/>
    <n v="381"/>
    <x v="0"/>
    <x v="0"/>
    <n v="71"/>
    <x v="2"/>
    <x v="2"/>
    <x v="5"/>
    <x v="1"/>
    <x v="2"/>
    <x v="270"/>
    <n v="19100"/>
    <n v="7"/>
    <s v="Y"/>
    <x v="1"/>
    <n v="18"/>
    <x v="0"/>
    <x v="2"/>
    <n v="80"/>
    <n v="1"/>
    <n v="10"/>
    <n v="6"/>
    <x v="2"/>
    <x v="5"/>
    <n v="7"/>
    <x v="7"/>
    <x v="3"/>
    <x v="1"/>
    <x v="0"/>
    <x v="3"/>
    <n v="0"/>
  </r>
  <r>
    <x v="8"/>
    <x v="1"/>
    <x v="0"/>
    <n v="322"/>
    <x v="0"/>
    <n v="7"/>
    <x v="0"/>
    <x v="2"/>
    <x v="0"/>
    <n v="382"/>
    <x v="3"/>
    <x v="0"/>
    <n v="44"/>
    <x v="2"/>
    <x v="0"/>
    <x v="0"/>
    <x v="3"/>
    <x v="2"/>
    <x v="147"/>
    <n v="19191"/>
    <n v="1"/>
    <s v="Y"/>
    <x v="0"/>
    <n v="24"/>
    <x v="1"/>
    <x v="3"/>
    <n v="80"/>
    <n v="1"/>
    <n v="8"/>
    <n v="3"/>
    <x v="1"/>
    <x v="3"/>
    <n v="0"/>
    <x v="4"/>
    <x v="1"/>
    <x v="1"/>
    <x v="0"/>
    <x v="0"/>
    <n v="0"/>
  </r>
  <r>
    <x v="25"/>
    <x v="1"/>
    <x v="1"/>
    <n v="1479"/>
    <x v="1"/>
    <n v="1"/>
    <x v="3"/>
    <x v="0"/>
    <x v="0"/>
    <n v="384"/>
    <x v="1"/>
    <x v="0"/>
    <n v="84"/>
    <x v="0"/>
    <x v="0"/>
    <x v="3"/>
    <x v="1"/>
    <x v="2"/>
    <x v="271"/>
    <n v="26767"/>
    <n v="1"/>
    <s v="Y"/>
    <x v="1"/>
    <n v="20"/>
    <x v="1"/>
    <x v="0"/>
    <n v="80"/>
    <n v="1"/>
    <n v="6"/>
    <n v="6"/>
    <x v="0"/>
    <x v="0"/>
    <n v="5"/>
    <x v="1"/>
    <x v="10"/>
    <x v="2"/>
    <x v="0"/>
    <x v="0"/>
    <n v="0"/>
  </r>
  <r>
    <x v="24"/>
    <x v="1"/>
    <x v="0"/>
    <n v="797"/>
    <x v="1"/>
    <n v="4"/>
    <x v="1"/>
    <x v="0"/>
    <x v="0"/>
    <n v="385"/>
    <x v="3"/>
    <x v="1"/>
    <n v="96"/>
    <x v="0"/>
    <x v="4"/>
    <x v="7"/>
    <x v="1"/>
    <x v="2"/>
    <x v="272"/>
    <n v="15815"/>
    <n v="3"/>
    <s v="Y"/>
    <x v="1"/>
    <n v="14"/>
    <x v="0"/>
    <x v="0"/>
    <n v="80"/>
    <n v="2"/>
    <n v="28"/>
    <n v="4"/>
    <x v="2"/>
    <x v="1"/>
    <n v="4"/>
    <x v="1"/>
    <x v="4"/>
    <x v="3"/>
    <x v="0"/>
    <x v="2"/>
    <n v="0"/>
  </r>
  <r>
    <x v="16"/>
    <x v="1"/>
    <x v="0"/>
    <n v="1070"/>
    <x v="1"/>
    <n v="3"/>
    <x v="2"/>
    <x v="2"/>
    <x v="0"/>
    <n v="386"/>
    <x v="1"/>
    <x v="1"/>
    <n v="45"/>
    <x v="0"/>
    <x v="3"/>
    <x v="7"/>
    <x v="2"/>
    <x v="1"/>
    <x v="273"/>
    <n v="21016"/>
    <n v="3"/>
    <s v="Y"/>
    <x v="0"/>
    <n v="16"/>
    <x v="0"/>
    <x v="1"/>
    <n v="80"/>
    <n v="3"/>
    <n v="21"/>
    <n v="5"/>
    <x v="2"/>
    <x v="8"/>
    <n v="3"/>
    <x v="1"/>
    <x v="6"/>
    <x v="3"/>
    <x v="2"/>
    <x v="2"/>
    <n v="0"/>
  </r>
  <r>
    <x v="19"/>
    <x v="1"/>
    <x v="0"/>
    <n v="635"/>
    <x v="0"/>
    <n v="1"/>
    <x v="1"/>
    <x v="0"/>
    <x v="0"/>
    <n v="387"/>
    <x v="0"/>
    <x v="1"/>
    <n v="99"/>
    <x v="0"/>
    <x v="0"/>
    <x v="0"/>
    <x v="2"/>
    <x v="1"/>
    <x v="274"/>
    <n v="24532"/>
    <n v="1"/>
    <s v="Y"/>
    <x v="1"/>
    <n v="25"/>
    <x v="1"/>
    <x v="3"/>
    <n v="80"/>
    <n v="0"/>
    <n v="20"/>
    <n v="3"/>
    <x v="1"/>
    <x v="23"/>
    <n v="16"/>
    <x v="14"/>
    <x v="4"/>
    <x v="0"/>
    <x v="3"/>
    <x v="1"/>
    <n v="0"/>
  </r>
  <r>
    <x v="11"/>
    <x v="1"/>
    <x v="1"/>
    <n v="442"/>
    <x v="0"/>
    <n v="2"/>
    <x v="0"/>
    <x v="0"/>
    <x v="0"/>
    <n v="388"/>
    <x v="0"/>
    <x v="1"/>
    <n v="44"/>
    <x v="0"/>
    <x v="0"/>
    <x v="0"/>
    <x v="0"/>
    <x v="0"/>
    <x v="275"/>
    <n v="20260"/>
    <n v="1"/>
    <s v="Y"/>
    <x v="1"/>
    <n v="18"/>
    <x v="0"/>
    <x v="0"/>
    <n v="80"/>
    <n v="0"/>
    <n v="10"/>
    <n v="3"/>
    <x v="2"/>
    <x v="1"/>
    <n v="7"/>
    <x v="0"/>
    <x v="12"/>
    <x v="2"/>
    <x v="0"/>
    <x v="1"/>
    <n v="0"/>
  </r>
  <r>
    <x v="27"/>
    <x v="1"/>
    <x v="0"/>
    <n v="147"/>
    <x v="1"/>
    <n v="20"/>
    <x v="0"/>
    <x v="4"/>
    <x v="0"/>
    <n v="389"/>
    <x v="0"/>
    <x v="1"/>
    <n v="37"/>
    <x v="0"/>
    <x v="0"/>
    <x v="2"/>
    <x v="0"/>
    <x v="1"/>
    <x v="276"/>
    <n v="15972"/>
    <n v="3"/>
    <s v="Y"/>
    <x v="0"/>
    <n v="19"/>
    <x v="0"/>
    <x v="1"/>
    <n v="80"/>
    <n v="1"/>
    <n v="12"/>
    <n v="4"/>
    <x v="1"/>
    <x v="1"/>
    <n v="7"/>
    <x v="0"/>
    <x v="5"/>
    <x v="3"/>
    <x v="0"/>
    <x v="0"/>
    <n v="0"/>
  </r>
  <r>
    <x v="25"/>
    <x v="1"/>
    <x v="1"/>
    <n v="496"/>
    <x v="1"/>
    <n v="11"/>
    <x v="0"/>
    <x v="2"/>
    <x v="0"/>
    <n v="390"/>
    <x v="3"/>
    <x v="1"/>
    <n v="60"/>
    <x v="0"/>
    <x v="0"/>
    <x v="4"/>
    <x v="3"/>
    <x v="1"/>
    <x v="277"/>
    <n v="22722"/>
    <n v="1"/>
    <s v="Y"/>
    <x v="0"/>
    <n v="13"/>
    <x v="0"/>
    <x v="3"/>
    <n v="80"/>
    <n v="1"/>
    <n v="5"/>
    <n v="3"/>
    <x v="1"/>
    <x v="8"/>
    <n v="3"/>
    <x v="2"/>
    <x v="6"/>
    <x v="2"/>
    <x v="2"/>
    <x v="1"/>
    <n v="0"/>
  </r>
  <r>
    <x v="2"/>
    <x v="1"/>
    <x v="0"/>
    <n v="1372"/>
    <x v="1"/>
    <n v="1"/>
    <x v="3"/>
    <x v="0"/>
    <x v="0"/>
    <n v="391"/>
    <x v="2"/>
    <x v="0"/>
    <n v="42"/>
    <x v="0"/>
    <x v="1"/>
    <x v="1"/>
    <x v="0"/>
    <x v="0"/>
    <x v="278"/>
    <n v="15881"/>
    <n v="1"/>
    <s v="Y"/>
    <x v="1"/>
    <n v="12"/>
    <x v="0"/>
    <x v="2"/>
    <n v="80"/>
    <n v="0"/>
    <n v="17"/>
    <n v="3"/>
    <x v="1"/>
    <x v="18"/>
    <n v="12"/>
    <x v="8"/>
    <x v="1"/>
    <x v="1"/>
    <x v="3"/>
    <x v="1"/>
    <n v="0"/>
  </r>
  <r>
    <x v="20"/>
    <x v="0"/>
    <x v="1"/>
    <n v="920"/>
    <x v="1"/>
    <n v="24"/>
    <x v="3"/>
    <x v="0"/>
    <x v="0"/>
    <n v="392"/>
    <x v="2"/>
    <x v="1"/>
    <n v="43"/>
    <x v="0"/>
    <x v="1"/>
    <x v="2"/>
    <x v="2"/>
    <x v="2"/>
    <x v="279"/>
    <n v="19920"/>
    <n v="3"/>
    <s v="Y"/>
    <x v="0"/>
    <n v="22"/>
    <x v="1"/>
    <x v="1"/>
    <n v="80"/>
    <n v="1"/>
    <n v="19"/>
    <n v="0"/>
    <x v="0"/>
    <x v="6"/>
    <n v="0"/>
    <x v="0"/>
    <x v="2"/>
    <x v="0"/>
    <x v="1"/>
    <x v="1"/>
    <n v="1"/>
  </r>
  <r>
    <x v="8"/>
    <x v="1"/>
    <x v="0"/>
    <n v="688"/>
    <x v="1"/>
    <n v="23"/>
    <x v="2"/>
    <x v="0"/>
    <x v="0"/>
    <n v="393"/>
    <x v="2"/>
    <x v="1"/>
    <n v="82"/>
    <x v="0"/>
    <x v="0"/>
    <x v="4"/>
    <x v="0"/>
    <x v="2"/>
    <x v="280"/>
    <n v="18899"/>
    <n v="9"/>
    <s v="Y"/>
    <x v="1"/>
    <n v="14"/>
    <x v="0"/>
    <x v="2"/>
    <n v="80"/>
    <n v="1"/>
    <n v="10"/>
    <n v="2"/>
    <x v="1"/>
    <x v="4"/>
    <n v="2"/>
    <x v="1"/>
    <x v="3"/>
    <x v="1"/>
    <x v="1"/>
    <x v="0"/>
    <n v="0"/>
  </r>
  <r>
    <x v="25"/>
    <x v="0"/>
    <x v="0"/>
    <n v="1449"/>
    <x v="1"/>
    <n v="16"/>
    <x v="2"/>
    <x v="2"/>
    <x v="0"/>
    <n v="394"/>
    <x v="3"/>
    <x v="1"/>
    <n v="45"/>
    <x v="0"/>
    <x v="1"/>
    <x v="2"/>
    <x v="1"/>
    <x v="2"/>
    <x v="281"/>
    <n v="14180"/>
    <n v="2"/>
    <s v="Y"/>
    <x v="0"/>
    <n v="13"/>
    <x v="0"/>
    <x v="1"/>
    <n v="80"/>
    <n v="1"/>
    <n v="5"/>
    <n v="2"/>
    <x v="1"/>
    <x v="11"/>
    <n v="2"/>
    <x v="0"/>
    <x v="3"/>
    <x v="2"/>
    <x v="2"/>
    <x v="1"/>
    <n v="1"/>
  </r>
  <r>
    <x v="14"/>
    <x v="1"/>
    <x v="0"/>
    <n v="1117"/>
    <x v="1"/>
    <n v="8"/>
    <x v="0"/>
    <x v="0"/>
    <x v="0"/>
    <n v="395"/>
    <x v="2"/>
    <x v="0"/>
    <n v="66"/>
    <x v="0"/>
    <x v="1"/>
    <x v="1"/>
    <x v="0"/>
    <x v="0"/>
    <x v="282"/>
    <n v="4488"/>
    <n v="1"/>
    <s v="Y"/>
    <x v="1"/>
    <n v="21"/>
    <x v="1"/>
    <x v="1"/>
    <n v="80"/>
    <n v="0"/>
    <n v="5"/>
    <n v="3"/>
    <x v="1"/>
    <x v="8"/>
    <n v="3"/>
    <x v="0"/>
    <x v="3"/>
    <x v="2"/>
    <x v="2"/>
    <x v="1"/>
    <n v="0"/>
  </r>
  <r>
    <x v="1"/>
    <x v="1"/>
    <x v="1"/>
    <n v="636"/>
    <x v="1"/>
    <n v="10"/>
    <x v="2"/>
    <x v="0"/>
    <x v="0"/>
    <n v="396"/>
    <x v="1"/>
    <x v="0"/>
    <n v="35"/>
    <x v="0"/>
    <x v="4"/>
    <x v="7"/>
    <x v="3"/>
    <x v="0"/>
    <x v="283"/>
    <n v="25594"/>
    <n v="9"/>
    <s v="Y"/>
    <x v="0"/>
    <n v="11"/>
    <x v="0"/>
    <x v="1"/>
    <n v="80"/>
    <n v="0"/>
    <n v="22"/>
    <n v="4"/>
    <x v="1"/>
    <x v="11"/>
    <n v="2"/>
    <x v="1"/>
    <x v="3"/>
    <x v="0"/>
    <x v="2"/>
    <x v="2"/>
    <n v="0"/>
  </r>
  <r>
    <x v="9"/>
    <x v="1"/>
    <x v="0"/>
    <n v="506"/>
    <x v="1"/>
    <n v="3"/>
    <x v="3"/>
    <x v="4"/>
    <x v="0"/>
    <n v="397"/>
    <x v="1"/>
    <x v="1"/>
    <n v="30"/>
    <x v="0"/>
    <x v="0"/>
    <x v="1"/>
    <x v="1"/>
    <x v="0"/>
    <x v="284"/>
    <n v="26285"/>
    <n v="4"/>
    <s v="Y"/>
    <x v="1"/>
    <n v="12"/>
    <x v="0"/>
    <x v="1"/>
    <n v="80"/>
    <n v="0"/>
    <n v="10"/>
    <n v="2"/>
    <x v="1"/>
    <x v="3"/>
    <n v="0"/>
    <x v="4"/>
    <x v="1"/>
    <x v="1"/>
    <x v="0"/>
    <x v="1"/>
    <n v="0"/>
  </r>
  <r>
    <x v="12"/>
    <x v="1"/>
    <x v="1"/>
    <n v="444"/>
    <x v="0"/>
    <n v="5"/>
    <x v="3"/>
    <x v="3"/>
    <x v="0"/>
    <n v="399"/>
    <x v="2"/>
    <x v="0"/>
    <n v="84"/>
    <x v="0"/>
    <x v="1"/>
    <x v="6"/>
    <x v="1"/>
    <x v="2"/>
    <x v="285"/>
    <n v="3909"/>
    <n v="1"/>
    <s v="Y"/>
    <x v="1"/>
    <n v="11"/>
    <x v="0"/>
    <x v="3"/>
    <n v="80"/>
    <n v="1"/>
    <n v="2"/>
    <n v="5"/>
    <x v="2"/>
    <x v="4"/>
    <n v="2"/>
    <x v="3"/>
    <x v="3"/>
    <x v="1"/>
    <x v="1"/>
    <x v="1"/>
    <n v="0"/>
  </r>
  <r>
    <x v="25"/>
    <x v="0"/>
    <x v="0"/>
    <n v="950"/>
    <x v="0"/>
    <n v="4"/>
    <x v="2"/>
    <x v="3"/>
    <x v="0"/>
    <n v="401"/>
    <x v="2"/>
    <x v="1"/>
    <n v="48"/>
    <x v="1"/>
    <x v="0"/>
    <x v="0"/>
    <x v="0"/>
    <x v="0"/>
    <x v="286"/>
    <n v="8450"/>
    <n v="1"/>
    <s v="Y"/>
    <x v="0"/>
    <n v="12"/>
    <x v="0"/>
    <x v="2"/>
    <n v="80"/>
    <n v="0"/>
    <n v="8"/>
    <n v="0"/>
    <x v="1"/>
    <x v="3"/>
    <n v="7"/>
    <x v="4"/>
    <x v="10"/>
    <x v="2"/>
    <x v="0"/>
    <x v="0"/>
    <n v="1"/>
  </r>
  <r>
    <x v="2"/>
    <x v="1"/>
    <x v="1"/>
    <n v="889"/>
    <x v="1"/>
    <n v="9"/>
    <x v="3"/>
    <x v="2"/>
    <x v="0"/>
    <n v="403"/>
    <x v="0"/>
    <x v="1"/>
    <n v="53"/>
    <x v="0"/>
    <x v="1"/>
    <x v="1"/>
    <x v="0"/>
    <x v="1"/>
    <x v="287"/>
    <n v="11411"/>
    <n v="1"/>
    <s v="Y"/>
    <x v="0"/>
    <n v="12"/>
    <x v="0"/>
    <x v="3"/>
    <n v="80"/>
    <n v="3"/>
    <n v="4"/>
    <n v="3"/>
    <x v="2"/>
    <x v="9"/>
    <n v="2"/>
    <x v="1"/>
    <x v="3"/>
    <x v="1"/>
    <x v="2"/>
    <x v="1"/>
    <n v="0"/>
  </r>
  <r>
    <x v="19"/>
    <x v="1"/>
    <x v="1"/>
    <n v="555"/>
    <x v="0"/>
    <n v="26"/>
    <x v="3"/>
    <x v="3"/>
    <x v="0"/>
    <n v="404"/>
    <x v="1"/>
    <x v="0"/>
    <n v="77"/>
    <x v="0"/>
    <x v="3"/>
    <x v="0"/>
    <x v="1"/>
    <x v="1"/>
    <x v="288"/>
    <n v="14864"/>
    <n v="5"/>
    <s v="Y"/>
    <x v="1"/>
    <n v="14"/>
    <x v="0"/>
    <x v="1"/>
    <n v="80"/>
    <n v="1"/>
    <n v="23"/>
    <n v="2"/>
    <x v="3"/>
    <x v="23"/>
    <n v="4"/>
    <x v="5"/>
    <x v="5"/>
    <x v="0"/>
    <x v="3"/>
    <x v="3"/>
    <n v="0"/>
  </r>
  <r>
    <x v="41"/>
    <x v="0"/>
    <x v="0"/>
    <n v="230"/>
    <x v="1"/>
    <n v="3"/>
    <x v="3"/>
    <x v="0"/>
    <x v="0"/>
    <n v="405"/>
    <x v="1"/>
    <x v="1"/>
    <n v="54"/>
    <x v="0"/>
    <x v="1"/>
    <x v="2"/>
    <x v="2"/>
    <x v="0"/>
    <x v="289"/>
    <n v="25233"/>
    <n v="1"/>
    <s v="Y"/>
    <x v="1"/>
    <n v="13"/>
    <x v="0"/>
    <x v="3"/>
    <n v="80"/>
    <n v="0"/>
    <n v="0"/>
    <n v="2"/>
    <x v="1"/>
    <x v="2"/>
    <n v="0"/>
    <x v="0"/>
    <x v="2"/>
    <x v="4"/>
    <x v="1"/>
    <x v="1"/>
    <n v="1"/>
  </r>
  <r>
    <x v="10"/>
    <x v="1"/>
    <x v="0"/>
    <n v="1232"/>
    <x v="0"/>
    <n v="16"/>
    <x v="3"/>
    <x v="3"/>
    <x v="0"/>
    <n v="406"/>
    <x v="1"/>
    <x v="1"/>
    <n v="96"/>
    <x v="0"/>
    <x v="2"/>
    <x v="0"/>
    <x v="1"/>
    <x v="1"/>
    <x v="290"/>
    <n v="5100"/>
    <n v="0"/>
    <s v="Y"/>
    <x v="1"/>
    <n v="15"/>
    <x v="0"/>
    <x v="3"/>
    <n v="80"/>
    <n v="2"/>
    <n v="12"/>
    <n v="3"/>
    <x v="2"/>
    <x v="19"/>
    <n v="9"/>
    <x v="7"/>
    <x v="12"/>
    <x v="1"/>
    <x v="3"/>
    <x v="0"/>
    <n v="0"/>
  </r>
  <r>
    <x v="9"/>
    <x v="1"/>
    <x v="1"/>
    <n v="566"/>
    <x v="1"/>
    <n v="18"/>
    <x v="2"/>
    <x v="0"/>
    <x v="0"/>
    <n v="407"/>
    <x v="1"/>
    <x v="1"/>
    <n v="81"/>
    <x v="2"/>
    <x v="1"/>
    <x v="2"/>
    <x v="0"/>
    <x v="1"/>
    <x v="291"/>
    <n v="7122"/>
    <n v="4"/>
    <s v="Y"/>
    <x v="1"/>
    <n v="18"/>
    <x v="0"/>
    <x v="1"/>
    <n v="80"/>
    <n v="2"/>
    <n v="4"/>
    <n v="2"/>
    <x v="1"/>
    <x v="6"/>
    <n v="0"/>
    <x v="0"/>
    <x v="2"/>
    <x v="1"/>
    <x v="1"/>
    <x v="1"/>
    <n v="0"/>
  </r>
  <r>
    <x v="31"/>
    <x v="1"/>
    <x v="0"/>
    <n v="1302"/>
    <x v="1"/>
    <n v="2"/>
    <x v="3"/>
    <x v="2"/>
    <x v="0"/>
    <n v="408"/>
    <x v="2"/>
    <x v="1"/>
    <n v="84"/>
    <x v="3"/>
    <x v="0"/>
    <x v="3"/>
    <x v="1"/>
    <x v="2"/>
    <x v="292"/>
    <n v="16321"/>
    <n v="5"/>
    <s v="Y"/>
    <x v="1"/>
    <n v="18"/>
    <x v="0"/>
    <x v="1"/>
    <n v="80"/>
    <n v="1"/>
    <n v="13"/>
    <n v="3"/>
    <x v="1"/>
    <x v="9"/>
    <n v="1"/>
    <x v="1"/>
    <x v="3"/>
    <x v="3"/>
    <x v="2"/>
    <x v="0"/>
    <n v="0"/>
  </r>
  <r>
    <x v="0"/>
    <x v="1"/>
    <x v="0"/>
    <n v="334"/>
    <x v="0"/>
    <n v="2"/>
    <x v="2"/>
    <x v="0"/>
    <x v="0"/>
    <n v="410"/>
    <x v="2"/>
    <x v="1"/>
    <n v="88"/>
    <x v="0"/>
    <x v="3"/>
    <x v="5"/>
    <x v="1"/>
    <x v="0"/>
    <x v="293"/>
    <n v="15896"/>
    <n v="1"/>
    <s v="Y"/>
    <x v="1"/>
    <n v="19"/>
    <x v="0"/>
    <x v="2"/>
    <n v="80"/>
    <n v="0"/>
    <n v="22"/>
    <n v="2"/>
    <x v="1"/>
    <x v="14"/>
    <n v="10"/>
    <x v="0"/>
    <x v="10"/>
    <x v="0"/>
    <x v="3"/>
    <x v="2"/>
    <n v="0"/>
  </r>
  <r>
    <x v="41"/>
    <x v="1"/>
    <x v="0"/>
    <n v="812"/>
    <x v="0"/>
    <n v="10"/>
    <x v="3"/>
    <x v="2"/>
    <x v="0"/>
    <n v="411"/>
    <x v="2"/>
    <x v="0"/>
    <n v="69"/>
    <x v="1"/>
    <x v="1"/>
    <x v="6"/>
    <x v="2"/>
    <x v="0"/>
    <x v="294"/>
    <n v="9724"/>
    <n v="1"/>
    <s v="Y"/>
    <x v="1"/>
    <n v="12"/>
    <x v="0"/>
    <x v="0"/>
    <n v="80"/>
    <n v="0"/>
    <n v="0"/>
    <n v="2"/>
    <x v="1"/>
    <x v="2"/>
    <n v="0"/>
    <x v="0"/>
    <x v="2"/>
    <x v="4"/>
    <x v="1"/>
    <x v="1"/>
    <n v="0"/>
  </r>
  <r>
    <x v="14"/>
    <x v="1"/>
    <x v="0"/>
    <n v="1476"/>
    <x v="1"/>
    <n v="16"/>
    <x v="0"/>
    <x v="2"/>
    <x v="0"/>
    <n v="412"/>
    <x v="0"/>
    <x v="1"/>
    <n v="68"/>
    <x v="2"/>
    <x v="0"/>
    <x v="4"/>
    <x v="3"/>
    <x v="0"/>
    <x v="295"/>
    <n v="4824"/>
    <n v="0"/>
    <s v="Y"/>
    <x v="1"/>
    <n v="19"/>
    <x v="0"/>
    <x v="3"/>
    <n v="80"/>
    <n v="0"/>
    <n v="9"/>
    <n v="2"/>
    <x v="1"/>
    <x v="3"/>
    <n v="3"/>
    <x v="0"/>
    <x v="1"/>
    <x v="2"/>
    <x v="0"/>
    <x v="0"/>
    <n v="0"/>
  </r>
  <r>
    <x v="12"/>
    <x v="1"/>
    <x v="0"/>
    <n v="218"/>
    <x v="0"/>
    <n v="7"/>
    <x v="3"/>
    <x v="4"/>
    <x v="0"/>
    <n v="416"/>
    <x v="0"/>
    <x v="1"/>
    <n v="100"/>
    <x v="2"/>
    <x v="0"/>
    <x v="0"/>
    <x v="0"/>
    <x v="1"/>
    <x v="296"/>
    <n v="12241"/>
    <n v="4"/>
    <s v="Y"/>
    <x v="1"/>
    <n v="11"/>
    <x v="0"/>
    <x v="2"/>
    <n v="80"/>
    <n v="1"/>
    <n v="10"/>
    <n v="3"/>
    <x v="2"/>
    <x v="3"/>
    <n v="7"/>
    <x v="4"/>
    <x v="1"/>
    <x v="1"/>
    <x v="0"/>
    <x v="0"/>
    <n v="0"/>
  </r>
  <r>
    <x v="22"/>
    <x v="1"/>
    <x v="0"/>
    <n v="1132"/>
    <x v="1"/>
    <n v="1"/>
    <x v="3"/>
    <x v="2"/>
    <x v="0"/>
    <n v="417"/>
    <x v="1"/>
    <x v="1"/>
    <n v="48"/>
    <x v="2"/>
    <x v="2"/>
    <x v="4"/>
    <x v="0"/>
    <x v="2"/>
    <x v="297"/>
    <n v="10942"/>
    <n v="0"/>
    <s v="Y"/>
    <x v="1"/>
    <n v="17"/>
    <x v="0"/>
    <x v="0"/>
    <n v="80"/>
    <n v="3"/>
    <n v="19"/>
    <n v="5"/>
    <x v="2"/>
    <x v="29"/>
    <n v="10"/>
    <x v="2"/>
    <x v="1"/>
    <x v="1"/>
    <x v="3"/>
    <x v="0"/>
    <n v="0"/>
  </r>
  <r>
    <x v="9"/>
    <x v="1"/>
    <x v="2"/>
    <n v="1105"/>
    <x v="1"/>
    <n v="24"/>
    <x v="2"/>
    <x v="0"/>
    <x v="0"/>
    <n v="419"/>
    <x v="0"/>
    <x v="0"/>
    <n v="47"/>
    <x v="0"/>
    <x v="0"/>
    <x v="2"/>
    <x v="1"/>
    <x v="1"/>
    <x v="298"/>
    <n v="6927"/>
    <n v="7"/>
    <s v="Y"/>
    <x v="1"/>
    <n v="15"/>
    <x v="0"/>
    <x v="3"/>
    <n v="80"/>
    <n v="1"/>
    <n v="11"/>
    <n v="3"/>
    <x v="1"/>
    <x v="7"/>
    <n v="8"/>
    <x v="0"/>
    <x v="5"/>
    <x v="1"/>
    <x v="0"/>
    <x v="0"/>
    <n v="0"/>
  </r>
  <r>
    <x v="5"/>
    <x v="1"/>
    <x v="0"/>
    <n v="906"/>
    <x v="0"/>
    <n v="7"/>
    <x v="3"/>
    <x v="0"/>
    <x v="0"/>
    <n v="420"/>
    <x v="2"/>
    <x v="1"/>
    <n v="91"/>
    <x v="1"/>
    <x v="0"/>
    <x v="0"/>
    <x v="2"/>
    <x v="1"/>
    <x v="299"/>
    <n v="16985"/>
    <n v="1"/>
    <s v="Y"/>
    <x v="1"/>
    <n v="14"/>
    <x v="0"/>
    <x v="3"/>
    <n v="80"/>
    <n v="1"/>
    <n v="13"/>
    <n v="3"/>
    <x v="2"/>
    <x v="20"/>
    <n v="8"/>
    <x v="5"/>
    <x v="5"/>
    <x v="1"/>
    <x v="3"/>
    <x v="0"/>
    <n v="0"/>
  </r>
  <r>
    <x v="8"/>
    <x v="1"/>
    <x v="0"/>
    <n v="849"/>
    <x v="1"/>
    <n v="25"/>
    <x v="0"/>
    <x v="0"/>
    <x v="0"/>
    <n v="421"/>
    <x v="3"/>
    <x v="0"/>
    <n v="81"/>
    <x v="1"/>
    <x v="2"/>
    <x v="7"/>
    <x v="1"/>
    <x v="1"/>
    <x v="300"/>
    <n v="26707"/>
    <n v="3"/>
    <s v="Y"/>
    <x v="1"/>
    <n v="17"/>
    <x v="0"/>
    <x v="3"/>
    <n v="80"/>
    <n v="1"/>
    <n v="19"/>
    <n v="2"/>
    <x v="1"/>
    <x v="1"/>
    <n v="8"/>
    <x v="0"/>
    <x v="9"/>
    <x v="1"/>
    <x v="0"/>
    <x v="3"/>
    <n v="0"/>
  </r>
  <r>
    <x v="34"/>
    <x v="1"/>
    <x v="2"/>
    <n v="390"/>
    <x v="1"/>
    <n v="1"/>
    <x v="2"/>
    <x v="0"/>
    <x v="0"/>
    <n v="422"/>
    <x v="2"/>
    <x v="1"/>
    <n v="32"/>
    <x v="3"/>
    <x v="0"/>
    <x v="4"/>
    <x v="2"/>
    <x v="2"/>
    <x v="301"/>
    <n v="17056"/>
    <n v="2"/>
    <s v="Y"/>
    <x v="0"/>
    <n v="13"/>
    <x v="0"/>
    <x v="1"/>
    <n v="80"/>
    <n v="1"/>
    <n v="12"/>
    <n v="2"/>
    <x v="1"/>
    <x v="8"/>
    <n v="3"/>
    <x v="1"/>
    <x v="3"/>
    <x v="3"/>
    <x v="2"/>
    <x v="0"/>
    <n v="0"/>
  </r>
  <r>
    <x v="12"/>
    <x v="1"/>
    <x v="0"/>
    <n v="691"/>
    <x v="1"/>
    <n v="5"/>
    <x v="2"/>
    <x v="4"/>
    <x v="0"/>
    <n v="423"/>
    <x v="1"/>
    <x v="1"/>
    <n v="86"/>
    <x v="0"/>
    <x v="1"/>
    <x v="1"/>
    <x v="0"/>
    <x v="1"/>
    <x v="302"/>
    <n v="10077"/>
    <n v="0"/>
    <s v="Y"/>
    <x v="0"/>
    <n v="12"/>
    <x v="0"/>
    <x v="3"/>
    <n v="80"/>
    <n v="1"/>
    <n v="6"/>
    <n v="4"/>
    <x v="1"/>
    <x v="8"/>
    <n v="2"/>
    <x v="0"/>
    <x v="6"/>
    <x v="1"/>
    <x v="2"/>
    <x v="1"/>
    <n v="0"/>
  </r>
  <r>
    <x v="12"/>
    <x v="1"/>
    <x v="0"/>
    <n v="106"/>
    <x v="2"/>
    <n v="2"/>
    <x v="3"/>
    <x v="5"/>
    <x v="0"/>
    <n v="424"/>
    <x v="3"/>
    <x v="1"/>
    <n v="62"/>
    <x v="1"/>
    <x v="0"/>
    <x v="8"/>
    <x v="3"/>
    <x v="1"/>
    <x v="303"/>
    <n v="17822"/>
    <n v="3"/>
    <s v="Y"/>
    <x v="1"/>
    <n v="12"/>
    <x v="0"/>
    <x v="1"/>
    <n v="80"/>
    <n v="0"/>
    <n v="9"/>
    <n v="1"/>
    <x v="1"/>
    <x v="4"/>
    <n v="2"/>
    <x v="1"/>
    <x v="2"/>
    <x v="1"/>
    <x v="1"/>
    <x v="0"/>
    <n v="0"/>
  </r>
  <r>
    <x v="28"/>
    <x v="1"/>
    <x v="1"/>
    <n v="1249"/>
    <x v="1"/>
    <n v="7"/>
    <x v="3"/>
    <x v="0"/>
    <x v="0"/>
    <n v="425"/>
    <x v="3"/>
    <x v="1"/>
    <n v="97"/>
    <x v="0"/>
    <x v="2"/>
    <x v="2"/>
    <x v="3"/>
    <x v="2"/>
    <x v="304"/>
    <n v="20308"/>
    <n v="1"/>
    <s v="Y"/>
    <x v="1"/>
    <n v="18"/>
    <x v="0"/>
    <x v="0"/>
    <n v="80"/>
    <n v="1"/>
    <n v="24"/>
    <n v="2"/>
    <x v="1"/>
    <x v="25"/>
    <n v="9"/>
    <x v="10"/>
    <x v="7"/>
    <x v="0"/>
    <x v="3"/>
    <x v="0"/>
    <n v="0"/>
  </r>
  <r>
    <x v="12"/>
    <x v="1"/>
    <x v="0"/>
    <n v="192"/>
    <x v="1"/>
    <n v="2"/>
    <x v="2"/>
    <x v="0"/>
    <x v="0"/>
    <n v="426"/>
    <x v="1"/>
    <x v="1"/>
    <n v="32"/>
    <x v="0"/>
    <x v="1"/>
    <x v="1"/>
    <x v="0"/>
    <x v="2"/>
    <x v="305"/>
    <n v="7747"/>
    <n v="0"/>
    <s v="Y"/>
    <x v="0"/>
    <n v="18"/>
    <x v="0"/>
    <x v="2"/>
    <n v="80"/>
    <n v="1"/>
    <n v="3"/>
    <n v="2"/>
    <x v="0"/>
    <x v="4"/>
    <n v="2"/>
    <x v="3"/>
    <x v="3"/>
    <x v="1"/>
    <x v="1"/>
    <x v="1"/>
    <n v="0"/>
  </r>
  <r>
    <x v="3"/>
    <x v="1"/>
    <x v="1"/>
    <n v="553"/>
    <x v="1"/>
    <n v="5"/>
    <x v="2"/>
    <x v="0"/>
    <x v="0"/>
    <n v="428"/>
    <x v="2"/>
    <x v="0"/>
    <n v="74"/>
    <x v="0"/>
    <x v="2"/>
    <x v="5"/>
    <x v="1"/>
    <x v="1"/>
    <x v="306"/>
    <n v="23364"/>
    <n v="6"/>
    <s v="Y"/>
    <x v="1"/>
    <n v="11"/>
    <x v="0"/>
    <x v="2"/>
    <n v="80"/>
    <n v="2"/>
    <n v="12"/>
    <n v="2"/>
    <x v="1"/>
    <x v="1"/>
    <n v="6"/>
    <x v="6"/>
    <x v="5"/>
    <x v="1"/>
    <x v="0"/>
    <x v="3"/>
    <n v="0"/>
  </r>
  <r>
    <x v="22"/>
    <x v="1"/>
    <x v="0"/>
    <n v="117"/>
    <x v="1"/>
    <n v="10"/>
    <x v="1"/>
    <x v="2"/>
    <x v="0"/>
    <n v="429"/>
    <x v="1"/>
    <x v="1"/>
    <n v="99"/>
    <x v="0"/>
    <x v="3"/>
    <x v="5"/>
    <x v="3"/>
    <x v="1"/>
    <x v="307"/>
    <n v="5355"/>
    <n v="1"/>
    <s v="Y"/>
    <x v="0"/>
    <n v="14"/>
    <x v="0"/>
    <x v="1"/>
    <n v="80"/>
    <n v="0"/>
    <n v="21"/>
    <n v="3"/>
    <x v="1"/>
    <x v="17"/>
    <n v="9"/>
    <x v="14"/>
    <x v="13"/>
    <x v="1"/>
    <x v="3"/>
    <x v="2"/>
    <n v="0"/>
  </r>
  <r>
    <x v="23"/>
    <x v="1"/>
    <x v="1"/>
    <n v="185"/>
    <x v="1"/>
    <n v="10"/>
    <x v="2"/>
    <x v="0"/>
    <x v="0"/>
    <n v="430"/>
    <x v="1"/>
    <x v="0"/>
    <n v="33"/>
    <x v="0"/>
    <x v="1"/>
    <x v="2"/>
    <x v="0"/>
    <x v="0"/>
    <x v="308"/>
    <n v="10675"/>
    <n v="0"/>
    <s v="Y"/>
    <x v="1"/>
    <n v="19"/>
    <x v="0"/>
    <x v="0"/>
    <n v="80"/>
    <n v="0"/>
    <n v="9"/>
    <n v="5"/>
    <x v="1"/>
    <x v="3"/>
    <n v="7"/>
    <x v="1"/>
    <x v="1"/>
    <x v="0"/>
    <x v="0"/>
    <x v="1"/>
    <n v="0"/>
  </r>
  <r>
    <x v="1"/>
    <x v="1"/>
    <x v="0"/>
    <n v="1091"/>
    <x v="1"/>
    <n v="1"/>
    <x v="0"/>
    <x v="4"/>
    <x v="0"/>
    <n v="431"/>
    <x v="1"/>
    <x v="0"/>
    <n v="90"/>
    <x v="1"/>
    <x v="3"/>
    <x v="4"/>
    <x v="2"/>
    <x v="0"/>
    <x v="309"/>
    <n v="17810"/>
    <n v="7"/>
    <s v="Y"/>
    <x v="0"/>
    <n v="12"/>
    <x v="0"/>
    <x v="1"/>
    <n v="80"/>
    <n v="0"/>
    <n v="25"/>
    <n v="2"/>
    <x v="1"/>
    <x v="5"/>
    <n v="1"/>
    <x v="0"/>
    <x v="1"/>
    <x v="0"/>
    <x v="0"/>
    <x v="3"/>
    <n v="0"/>
  </r>
  <r>
    <x v="39"/>
    <x v="0"/>
    <x v="0"/>
    <n v="723"/>
    <x v="1"/>
    <n v="8"/>
    <x v="2"/>
    <x v="2"/>
    <x v="0"/>
    <n v="433"/>
    <x v="1"/>
    <x v="1"/>
    <n v="85"/>
    <x v="1"/>
    <x v="0"/>
    <x v="1"/>
    <x v="1"/>
    <x v="1"/>
    <x v="132"/>
    <n v="17747"/>
    <n v="2"/>
    <s v="Y"/>
    <x v="1"/>
    <n v="15"/>
    <x v="0"/>
    <x v="0"/>
    <n v="80"/>
    <n v="0"/>
    <n v="11"/>
    <n v="3"/>
    <x v="2"/>
    <x v="3"/>
    <n v="2"/>
    <x v="4"/>
    <x v="1"/>
    <x v="3"/>
    <x v="0"/>
    <x v="1"/>
    <n v="1"/>
  </r>
  <r>
    <x v="4"/>
    <x v="1"/>
    <x v="0"/>
    <n v="1220"/>
    <x v="1"/>
    <n v="5"/>
    <x v="3"/>
    <x v="0"/>
    <x v="0"/>
    <n v="434"/>
    <x v="1"/>
    <x v="0"/>
    <n v="85"/>
    <x v="0"/>
    <x v="1"/>
    <x v="1"/>
    <x v="1"/>
    <x v="0"/>
    <x v="310"/>
    <n v="20938"/>
    <n v="1"/>
    <s v="Y"/>
    <x v="0"/>
    <n v="12"/>
    <x v="0"/>
    <x v="2"/>
    <n v="80"/>
    <n v="0"/>
    <n v="4"/>
    <n v="2"/>
    <x v="2"/>
    <x v="9"/>
    <n v="3"/>
    <x v="1"/>
    <x v="3"/>
    <x v="2"/>
    <x v="2"/>
    <x v="1"/>
    <n v="0"/>
  </r>
  <r>
    <x v="5"/>
    <x v="1"/>
    <x v="0"/>
    <n v="588"/>
    <x v="0"/>
    <n v="8"/>
    <x v="0"/>
    <x v="4"/>
    <x v="0"/>
    <n v="436"/>
    <x v="1"/>
    <x v="0"/>
    <n v="65"/>
    <x v="1"/>
    <x v="0"/>
    <x v="0"/>
    <x v="1"/>
    <x v="1"/>
    <x v="311"/>
    <n v="24624"/>
    <n v="1"/>
    <s v="Y"/>
    <x v="0"/>
    <n v="11"/>
    <x v="0"/>
    <x v="1"/>
    <n v="80"/>
    <n v="0"/>
    <n v="13"/>
    <n v="2"/>
    <x v="1"/>
    <x v="20"/>
    <n v="12"/>
    <x v="14"/>
    <x v="12"/>
    <x v="1"/>
    <x v="3"/>
    <x v="0"/>
    <n v="0"/>
  </r>
  <r>
    <x v="4"/>
    <x v="1"/>
    <x v="0"/>
    <n v="1377"/>
    <x v="0"/>
    <n v="2"/>
    <x v="3"/>
    <x v="0"/>
    <x v="0"/>
    <n v="437"/>
    <x v="2"/>
    <x v="1"/>
    <n v="74"/>
    <x v="0"/>
    <x v="0"/>
    <x v="0"/>
    <x v="2"/>
    <x v="0"/>
    <x v="312"/>
    <n v="5242"/>
    <n v="1"/>
    <s v="Y"/>
    <x v="0"/>
    <n v="11"/>
    <x v="0"/>
    <x v="0"/>
    <n v="80"/>
    <n v="0"/>
    <n v="5"/>
    <n v="3"/>
    <x v="1"/>
    <x v="8"/>
    <n v="4"/>
    <x v="0"/>
    <x v="10"/>
    <x v="2"/>
    <x v="2"/>
    <x v="1"/>
    <n v="0"/>
  </r>
  <r>
    <x v="12"/>
    <x v="1"/>
    <x v="0"/>
    <n v="691"/>
    <x v="0"/>
    <n v="7"/>
    <x v="3"/>
    <x v="3"/>
    <x v="0"/>
    <n v="438"/>
    <x v="2"/>
    <x v="1"/>
    <n v="73"/>
    <x v="0"/>
    <x v="0"/>
    <x v="0"/>
    <x v="0"/>
    <x v="2"/>
    <x v="313"/>
    <n v="7143"/>
    <n v="4"/>
    <s v="Y"/>
    <x v="1"/>
    <n v="12"/>
    <x v="0"/>
    <x v="1"/>
    <n v="80"/>
    <n v="3"/>
    <n v="13"/>
    <n v="3"/>
    <x v="1"/>
    <x v="5"/>
    <n v="7"/>
    <x v="1"/>
    <x v="1"/>
    <x v="1"/>
    <x v="0"/>
    <x v="0"/>
    <n v="0"/>
  </r>
  <r>
    <x v="5"/>
    <x v="1"/>
    <x v="0"/>
    <n v="1018"/>
    <x v="1"/>
    <n v="2"/>
    <x v="2"/>
    <x v="2"/>
    <x v="0"/>
    <n v="439"/>
    <x v="3"/>
    <x v="0"/>
    <n v="74"/>
    <x v="2"/>
    <x v="0"/>
    <x v="1"/>
    <x v="0"/>
    <x v="0"/>
    <x v="314"/>
    <n v="10557"/>
    <n v="7"/>
    <s v="Y"/>
    <x v="1"/>
    <n v="16"/>
    <x v="0"/>
    <x v="3"/>
    <n v="80"/>
    <n v="0"/>
    <n v="10"/>
    <n v="0"/>
    <x v="2"/>
    <x v="5"/>
    <n v="7"/>
    <x v="0"/>
    <x v="1"/>
    <x v="1"/>
    <x v="0"/>
    <x v="0"/>
    <n v="0"/>
  </r>
  <r>
    <x v="14"/>
    <x v="0"/>
    <x v="0"/>
    <n v="1157"/>
    <x v="1"/>
    <n v="2"/>
    <x v="2"/>
    <x v="2"/>
    <x v="0"/>
    <n v="440"/>
    <x v="3"/>
    <x v="1"/>
    <n v="84"/>
    <x v="3"/>
    <x v="1"/>
    <x v="1"/>
    <x v="0"/>
    <x v="1"/>
    <x v="315"/>
    <n v="24737"/>
    <n v="5"/>
    <s v="Y"/>
    <x v="0"/>
    <n v="13"/>
    <x v="0"/>
    <x v="1"/>
    <n v="80"/>
    <n v="0"/>
    <n v="5"/>
    <n v="4"/>
    <x v="2"/>
    <x v="11"/>
    <n v="2"/>
    <x v="3"/>
    <x v="3"/>
    <x v="2"/>
    <x v="2"/>
    <x v="1"/>
    <n v="1"/>
  </r>
  <r>
    <x v="7"/>
    <x v="1"/>
    <x v="0"/>
    <n v="1275"/>
    <x v="1"/>
    <n v="28"/>
    <x v="0"/>
    <x v="2"/>
    <x v="0"/>
    <n v="441"/>
    <x v="2"/>
    <x v="0"/>
    <n v="64"/>
    <x v="0"/>
    <x v="0"/>
    <x v="1"/>
    <x v="0"/>
    <x v="1"/>
    <x v="316"/>
    <n v="11934"/>
    <n v="1"/>
    <s v="Y"/>
    <x v="1"/>
    <n v="13"/>
    <x v="0"/>
    <x v="1"/>
    <n v="80"/>
    <n v="2"/>
    <n v="11"/>
    <n v="2"/>
    <x v="1"/>
    <x v="1"/>
    <n v="8"/>
    <x v="1"/>
    <x v="12"/>
    <x v="1"/>
    <x v="0"/>
    <x v="0"/>
    <n v="0"/>
  </r>
  <r>
    <x v="12"/>
    <x v="1"/>
    <x v="1"/>
    <n v="798"/>
    <x v="1"/>
    <n v="7"/>
    <x v="0"/>
    <x v="0"/>
    <x v="0"/>
    <n v="442"/>
    <x v="1"/>
    <x v="0"/>
    <n v="48"/>
    <x v="1"/>
    <x v="2"/>
    <x v="3"/>
    <x v="2"/>
    <x v="1"/>
    <x v="317"/>
    <n v="14034"/>
    <n v="1"/>
    <s v="Y"/>
    <x v="1"/>
    <n v="24"/>
    <x v="1"/>
    <x v="0"/>
    <n v="80"/>
    <n v="1"/>
    <n v="10"/>
    <n v="2"/>
    <x v="1"/>
    <x v="1"/>
    <n v="9"/>
    <x v="6"/>
    <x v="12"/>
    <x v="1"/>
    <x v="0"/>
    <x v="0"/>
    <n v="0"/>
  </r>
  <r>
    <x v="22"/>
    <x v="1"/>
    <x v="1"/>
    <n v="672"/>
    <x v="1"/>
    <n v="7"/>
    <x v="0"/>
    <x v="2"/>
    <x v="0"/>
    <n v="444"/>
    <x v="1"/>
    <x v="1"/>
    <n v="54"/>
    <x v="1"/>
    <x v="4"/>
    <x v="5"/>
    <x v="0"/>
    <x v="1"/>
    <x v="318"/>
    <n v="21141"/>
    <n v="1"/>
    <s v="Y"/>
    <x v="1"/>
    <n v="15"/>
    <x v="0"/>
    <x v="0"/>
    <n v="80"/>
    <n v="1"/>
    <n v="21"/>
    <n v="2"/>
    <x v="1"/>
    <x v="17"/>
    <n v="9"/>
    <x v="11"/>
    <x v="6"/>
    <x v="1"/>
    <x v="3"/>
    <x v="2"/>
    <n v="0"/>
  </r>
  <r>
    <x v="22"/>
    <x v="0"/>
    <x v="0"/>
    <n v="1162"/>
    <x v="0"/>
    <n v="3"/>
    <x v="0"/>
    <x v="2"/>
    <x v="0"/>
    <n v="445"/>
    <x v="2"/>
    <x v="0"/>
    <n v="41"/>
    <x v="0"/>
    <x v="0"/>
    <x v="0"/>
    <x v="2"/>
    <x v="1"/>
    <x v="319"/>
    <n v="17778"/>
    <n v="4"/>
    <s v="Y"/>
    <x v="0"/>
    <n v="18"/>
    <x v="0"/>
    <x v="0"/>
    <n v="80"/>
    <n v="0"/>
    <n v="12"/>
    <n v="3"/>
    <x v="2"/>
    <x v="6"/>
    <n v="0"/>
    <x v="0"/>
    <x v="2"/>
    <x v="1"/>
    <x v="1"/>
    <x v="0"/>
    <n v="1"/>
  </r>
  <r>
    <x v="3"/>
    <x v="1"/>
    <x v="1"/>
    <n v="508"/>
    <x v="0"/>
    <n v="10"/>
    <x v="3"/>
    <x v="3"/>
    <x v="0"/>
    <n v="446"/>
    <x v="0"/>
    <x v="1"/>
    <n v="46"/>
    <x v="1"/>
    <x v="0"/>
    <x v="0"/>
    <x v="0"/>
    <x v="0"/>
    <x v="320"/>
    <n v="4317"/>
    <n v="3"/>
    <s v="Y"/>
    <x v="1"/>
    <n v="14"/>
    <x v="0"/>
    <x v="3"/>
    <n v="80"/>
    <n v="0"/>
    <n v="9"/>
    <n v="6"/>
    <x v="2"/>
    <x v="5"/>
    <n v="7"/>
    <x v="0"/>
    <x v="9"/>
    <x v="1"/>
    <x v="0"/>
    <x v="1"/>
    <n v="0"/>
  </r>
  <r>
    <x v="40"/>
    <x v="1"/>
    <x v="0"/>
    <n v="1482"/>
    <x v="1"/>
    <n v="5"/>
    <x v="4"/>
    <x v="0"/>
    <x v="0"/>
    <n v="447"/>
    <x v="2"/>
    <x v="1"/>
    <n v="42"/>
    <x v="0"/>
    <x v="4"/>
    <x v="7"/>
    <x v="2"/>
    <x v="1"/>
    <x v="321"/>
    <n v="16375"/>
    <n v="4"/>
    <s v="Y"/>
    <x v="1"/>
    <n v="11"/>
    <x v="0"/>
    <x v="2"/>
    <n v="80"/>
    <n v="1"/>
    <n v="21"/>
    <n v="2"/>
    <x v="1"/>
    <x v="11"/>
    <n v="2"/>
    <x v="1"/>
    <x v="9"/>
    <x v="0"/>
    <x v="2"/>
    <x v="2"/>
    <n v="0"/>
  </r>
  <r>
    <x v="23"/>
    <x v="1"/>
    <x v="1"/>
    <n v="559"/>
    <x v="1"/>
    <n v="10"/>
    <x v="2"/>
    <x v="0"/>
    <x v="0"/>
    <n v="448"/>
    <x v="1"/>
    <x v="0"/>
    <n v="82"/>
    <x v="1"/>
    <x v="0"/>
    <x v="2"/>
    <x v="2"/>
    <x v="2"/>
    <x v="322"/>
    <n v="6227"/>
    <n v="1"/>
    <s v="Y"/>
    <x v="1"/>
    <n v="11"/>
    <x v="0"/>
    <x v="2"/>
    <n v="80"/>
    <n v="1"/>
    <n v="9"/>
    <n v="3"/>
    <x v="3"/>
    <x v="7"/>
    <n v="7"/>
    <x v="0"/>
    <x v="2"/>
    <x v="0"/>
    <x v="0"/>
    <x v="0"/>
    <n v="0"/>
  </r>
  <r>
    <x v="4"/>
    <x v="1"/>
    <x v="2"/>
    <n v="210"/>
    <x v="0"/>
    <n v="1"/>
    <x v="1"/>
    <x v="3"/>
    <x v="0"/>
    <n v="449"/>
    <x v="1"/>
    <x v="1"/>
    <n v="73"/>
    <x v="0"/>
    <x v="0"/>
    <x v="0"/>
    <x v="1"/>
    <x v="1"/>
    <x v="323"/>
    <n v="22107"/>
    <n v="0"/>
    <s v="Y"/>
    <x v="0"/>
    <n v="13"/>
    <x v="0"/>
    <x v="1"/>
    <n v="80"/>
    <n v="1"/>
    <n v="6"/>
    <n v="0"/>
    <x v="1"/>
    <x v="8"/>
    <n v="4"/>
    <x v="1"/>
    <x v="10"/>
    <x v="2"/>
    <x v="2"/>
    <x v="0"/>
    <n v="0"/>
  </r>
  <r>
    <x v="33"/>
    <x v="1"/>
    <x v="1"/>
    <n v="928"/>
    <x v="1"/>
    <n v="20"/>
    <x v="2"/>
    <x v="0"/>
    <x v="0"/>
    <n v="450"/>
    <x v="2"/>
    <x v="0"/>
    <n v="31"/>
    <x v="0"/>
    <x v="0"/>
    <x v="1"/>
    <x v="2"/>
    <x v="0"/>
    <x v="324"/>
    <n v="16885"/>
    <n v="3"/>
    <s v="Y"/>
    <x v="1"/>
    <n v="12"/>
    <x v="0"/>
    <x v="1"/>
    <n v="80"/>
    <n v="0"/>
    <n v="20"/>
    <n v="4"/>
    <x v="2"/>
    <x v="9"/>
    <n v="3"/>
    <x v="0"/>
    <x v="6"/>
    <x v="3"/>
    <x v="2"/>
    <x v="1"/>
    <n v="0"/>
  </r>
  <r>
    <x v="23"/>
    <x v="1"/>
    <x v="0"/>
    <n v="1001"/>
    <x v="1"/>
    <n v="7"/>
    <x v="3"/>
    <x v="0"/>
    <x v="0"/>
    <n v="451"/>
    <x v="1"/>
    <x v="0"/>
    <n v="43"/>
    <x v="0"/>
    <x v="2"/>
    <x v="4"/>
    <x v="3"/>
    <x v="1"/>
    <x v="325"/>
    <n v="9262"/>
    <n v="8"/>
    <s v="Y"/>
    <x v="1"/>
    <n v="16"/>
    <x v="0"/>
    <x v="0"/>
    <n v="80"/>
    <n v="1"/>
    <n v="10"/>
    <n v="1"/>
    <x v="2"/>
    <x v="6"/>
    <n v="0"/>
    <x v="0"/>
    <x v="2"/>
    <x v="0"/>
    <x v="1"/>
    <x v="0"/>
    <n v="0"/>
  </r>
  <r>
    <x v="28"/>
    <x v="1"/>
    <x v="0"/>
    <n v="549"/>
    <x v="1"/>
    <n v="8"/>
    <x v="2"/>
    <x v="1"/>
    <x v="0"/>
    <n v="452"/>
    <x v="2"/>
    <x v="1"/>
    <n v="75"/>
    <x v="0"/>
    <x v="0"/>
    <x v="1"/>
    <x v="0"/>
    <x v="1"/>
    <x v="326"/>
    <n v="9278"/>
    <n v="9"/>
    <s v="Y"/>
    <x v="1"/>
    <n v="14"/>
    <x v="0"/>
    <x v="0"/>
    <n v="80"/>
    <n v="2"/>
    <n v="12"/>
    <n v="3"/>
    <x v="1"/>
    <x v="1"/>
    <n v="9"/>
    <x v="10"/>
    <x v="5"/>
    <x v="0"/>
    <x v="0"/>
    <x v="1"/>
    <n v="0"/>
  </r>
  <r>
    <x v="32"/>
    <x v="1"/>
    <x v="0"/>
    <n v="1124"/>
    <x v="0"/>
    <n v="1"/>
    <x v="0"/>
    <x v="2"/>
    <x v="0"/>
    <n v="453"/>
    <x v="0"/>
    <x v="1"/>
    <n v="57"/>
    <x v="3"/>
    <x v="0"/>
    <x v="0"/>
    <x v="0"/>
    <x v="1"/>
    <x v="327"/>
    <n v="13273"/>
    <n v="2"/>
    <s v="Y"/>
    <x v="0"/>
    <n v="22"/>
    <x v="1"/>
    <x v="3"/>
    <n v="80"/>
    <n v="3"/>
    <n v="6"/>
    <n v="2"/>
    <x v="2"/>
    <x v="9"/>
    <n v="3"/>
    <x v="0"/>
    <x v="3"/>
    <x v="0"/>
    <x v="2"/>
    <x v="0"/>
    <n v="0"/>
  </r>
  <r>
    <x v="11"/>
    <x v="0"/>
    <x v="0"/>
    <n v="318"/>
    <x v="1"/>
    <n v="8"/>
    <x v="2"/>
    <x v="1"/>
    <x v="0"/>
    <n v="454"/>
    <x v="0"/>
    <x v="1"/>
    <n v="77"/>
    <x v="3"/>
    <x v="1"/>
    <x v="2"/>
    <x v="3"/>
    <x v="1"/>
    <x v="328"/>
    <n v="4759"/>
    <n v="1"/>
    <s v="Y"/>
    <x v="0"/>
    <n v="11"/>
    <x v="0"/>
    <x v="1"/>
    <n v="80"/>
    <n v="0"/>
    <n v="7"/>
    <n v="4"/>
    <x v="2"/>
    <x v="5"/>
    <n v="7"/>
    <x v="0"/>
    <x v="1"/>
    <x v="2"/>
    <x v="0"/>
    <x v="1"/>
    <n v="1"/>
  </r>
  <r>
    <x v="11"/>
    <x v="1"/>
    <x v="0"/>
    <n v="738"/>
    <x v="1"/>
    <n v="9"/>
    <x v="4"/>
    <x v="1"/>
    <x v="0"/>
    <n v="455"/>
    <x v="0"/>
    <x v="1"/>
    <n v="30"/>
    <x v="1"/>
    <x v="1"/>
    <x v="2"/>
    <x v="0"/>
    <x v="0"/>
    <x v="329"/>
    <n v="7621"/>
    <n v="0"/>
    <s v="Y"/>
    <x v="1"/>
    <n v="17"/>
    <x v="0"/>
    <x v="3"/>
    <n v="80"/>
    <n v="0"/>
    <n v="4"/>
    <n v="2"/>
    <x v="1"/>
    <x v="11"/>
    <n v="2"/>
    <x v="3"/>
    <x v="3"/>
    <x v="2"/>
    <x v="2"/>
    <x v="1"/>
    <n v="0"/>
  </r>
  <r>
    <x v="7"/>
    <x v="1"/>
    <x v="0"/>
    <n v="570"/>
    <x v="0"/>
    <n v="5"/>
    <x v="3"/>
    <x v="3"/>
    <x v="0"/>
    <n v="456"/>
    <x v="2"/>
    <x v="0"/>
    <n v="30"/>
    <x v="1"/>
    <x v="0"/>
    <x v="0"/>
    <x v="2"/>
    <x v="2"/>
    <x v="330"/>
    <n v="5431"/>
    <n v="1"/>
    <s v="Y"/>
    <x v="1"/>
    <n v="13"/>
    <x v="0"/>
    <x v="3"/>
    <n v="80"/>
    <n v="3"/>
    <n v="10"/>
    <n v="2"/>
    <x v="1"/>
    <x v="1"/>
    <n v="9"/>
    <x v="1"/>
    <x v="3"/>
    <x v="1"/>
    <x v="0"/>
    <x v="0"/>
    <n v="0"/>
  </r>
  <r>
    <x v="4"/>
    <x v="1"/>
    <x v="0"/>
    <n v="1130"/>
    <x v="0"/>
    <n v="8"/>
    <x v="2"/>
    <x v="3"/>
    <x v="0"/>
    <n v="458"/>
    <x v="0"/>
    <x v="0"/>
    <n v="56"/>
    <x v="0"/>
    <x v="0"/>
    <x v="0"/>
    <x v="1"/>
    <x v="1"/>
    <x v="331"/>
    <n v="3415"/>
    <n v="1"/>
    <s v="Y"/>
    <x v="1"/>
    <n v="18"/>
    <x v="0"/>
    <x v="0"/>
    <n v="80"/>
    <n v="1"/>
    <n v="8"/>
    <n v="3"/>
    <x v="1"/>
    <x v="3"/>
    <n v="7"/>
    <x v="0"/>
    <x v="1"/>
    <x v="2"/>
    <x v="0"/>
    <x v="0"/>
    <n v="0"/>
  </r>
  <r>
    <x v="2"/>
    <x v="1"/>
    <x v="0"/>
    <n v="1192"/>
    <x v="1"/>
    <n v="5"/>
    <x v="0"/>
    <x v="2"/>
    <x v="0"/>
    <n v="460"/>
    <x v="2"/>
    <x v="1"/>
    <n v="61"/>
    <x v="0"/>
    <x v="0"/>
    <x v="3"/>
    <x v="0"/>
    <x v="2"/>
    <x v="136"/>
    <n v="23177"/>
    <n v="7"/>
    <s v="Y"/>
    <x v="1"/>
    <n v="16"/>
    <x v="0"/>
    <x v="3"/>
    <n v="80"/>
    <n v="2"/>
    <n v="8"/>
    <n v="2"/>
    <x v="2"/>
    <x v="0"/>
    <n v="2"/>
    <x v="0"/>
    <x v="10"/>
    <x v="1"/>
    <x v="0"/>
    <x v="0"/>
    <n v="0"/>
  </r>
  <r>
    <x v="8"/>
    <x v="1"/>
    <x v="0"/>
    <n v="343"/>
    <x v="1"/>
    <n v="15"/>
    <x v="0"/>
    <x v="0"/>
    <x v="0"/>
    <n v="461"/>
    <x v="1"/>
    <x v="1"/>
    <n v="92"/>
    <x v="1"/>
    <x v="2"/>
    <x v="7"/>
    <x v="0"/>
    <x v="2"/>
    <x v="332"/>
    <n v="15682"/>
    <n v="0"/>
    <s v="Y"/>
    <x v="0"/>
    <n v="14"/>
    <x v="0"/>
    <x v="2"/>
    <n v="80"/>
    <n v="1"/>
    <n v="12"/>
    <n v="3"/>
    <x v="1"/>
    <x v="19"/>
    <n v="10"/>
    <x v="3"/>
    <x v="12"/>
    <x v="1"/>
    <x v="3"/>
    <x v="3"/>
    <n v="0"/>
  </r>
  <r>
    <x v="12"/>
    <x v="1"/>
    <x v="0"/>
    <n v="1232"/>
    <x v="1"/>
    <n v="7"/>
    <x v="2"/>
    <x v="2"/>
    <x v="0"/>
    <n v="462"/>
    <x v="1"/>
    <x v="0"/>
    <n v="39"/>
    <x v="0"/>
    <x v="2"/>
    <x v="3"/>
    <x v="0"/>
    <x v="0"/>
    <x v="333"/>
    <n v="25713"/>
    <n v="1"/>
    <s v="Y"/>
    <x v="0"/>
    <n v="14"/>
    <x v="0"/>
    <x v="3"/>
    <n v="80"/>
    <n v="0"/>
    <n v="11"/>
    <n v="2"/>
    <x v="2"/>
    <x v="19"/>
    <n v="9"/>
    <x v="5"/>
    <x v="13"/>
    <x v="1"/>
    <x v="3"/>
    <x v="0"/>
    <n v="0"/>
  </r>
  <r>
    <x v="11"/>
    <x v="1"/>
    <x v="0"/>
    <n v="144"/>
    <x v="0"/>
    <n v="10"/>
    <x v="1"/>
    <x v="3"/>
    <x v="0"/>
    <n v="463"/>
    <x v="2"/>
    <x v="0"/>
    <n v="39"/>
    <x v="1"/>
    <x v="0"/>
    <x v="0"/>
    <x v="1"/>
    <x v="2"/>
    <x v="334"/>
    <n v="11866"/>
    <n v="1"/>
    <s v="Y"/>
    <x v="0"/>
    <n v="14"/>
    <x v="0"/>
    <x v="0"/>
    <n v="80"/>
    <n v="2"/>
    <n v="7"/>
    <n v="2"/>
    <x v="1"/>
    <x v="5"/>
    <n v="7"/>
    <x v="1"/>
    <x v="1"/>
    <x v="2"/>
    <x v="0"/>
    <x v="0"/>
    <n v="0"/>
  </r>
  <r>
    <x v="10"/>
    <x v="1"/>
    <x v="0"/>
    <n v="1296"/>
    <x v="1"/>
    <n v="5"/>
    <x v="2"/>
    <x v="4"/>
    <x v="0"/>
    <n v="464"/>
    <x v="1"/>
    <x v="1"/>
    <n v="62"/>
    <x v="0"/>
    <x v="2"/>
    <x v="3"/>
    <x v="1"/>
    <x v="0"/>
    <x v="335"/>
    <n v="18264"/>
    <n v="0"/>
    <s v="Y"/>
    <x v="1"/>
    <n v="13"/>
    <x v="0"/>
    <x v="1"/>
    <n v="80"/>
    <n v="0"/>
    <n v="17"/>
    <n v="5"/>
    <x v="1"/>
    <x v="22"/>
    <n v="6"/>
    <x v="0"/>
    <x v="15"/>
    <x v="1"/>
    <x v="3"/>
    <x v="0"/>
    <n v="0"/>
  </r>
  <r>
    <x v="30"/>
    <x v="1"/>
    <x v="0"/>
    <n v="1309"/>
    <x v="1"/>
    <n v="26"/>
    <x v="1"/>
    <x v="0"/>
    <x v="0"/>
    <n v="465"/>
    <x v="1"/>
    <x v="1"/>
    <n v="83"/>
    <x v="0"/>
    <x v="1"/>
    <x v="1"/>
    <x v="0"/>
    <x v="2"/>
    <x v="336"/>
    <n v="16092"/>
    <n v="1"/>
    <s v="Y"/>
    <x v="1"/>
    <n v="12"/>
    <x v="0"/>
    <x v="3"/>
    <n v="80"/>
    <n v="2"/>
    <n v="4"/>
    <n v="2"/>
    <x v="2"/>
    <x v="9"/>
    <n v="2"/>
    <x v="0"/>
    <x v="3"/>
    <x v="2"/>
    <x v="2"/>
    <x v="1"/>
    <n v="0"/>
  </r>
  <r>
    <x v="0"/>
    <x v="1"/>
    <x v="0"/>
    <n v="483"/>
    <x v="1"/>
    <n v="6"/>
    <x v="3"/>
    <x v="2"/>
    <x v="0"/>
    <n v="466"/>
    <x v="2"/>
    <x v="1"/>
    <n v="95"/>
    <x v="1"/>
    <x v="0"/>
    <x v="3"/>
    <x v="1"/>
    <x v="0"/>
    <x v="337"/>
    <n v="10110"/>
    <n v="6"/>
    <s v="Y"/>
    <x v="0"/>
    <n v="15"/>
    <x v="0"/>
    <x v="1"/>
    <n v="80"/>
    <n v="0"/>
    <n v="8"/>
    <n v="3"/>
    <x v="1"/>
    <x v="8"/>
    <n v="4"/>
    <x v="1"/>
    <x v="3"/>
    <x v="0"/>
    <x v="2"/>
    <x v="0"/>
    <n v="0"/>
  </r>
  <r>
    <x v="40"/>
    <x v="1"/>
    <x v="1"/>
    <n v="1309"/>
    <x v="0"/>
    <n v="4"/>
    <x v="1"/>
    <x v="2"/>
    <x v="0"/>
    <n v="467"/>
    <x v="0"/>
    <x v="1"/>
    <n v="99"/>
    <x v="0"/>
    <x v="0"/>
    <x v="6"/>
    <x v="2"/>
    <x v="0"/>
    <x v="338"/>
    <n v="25751"/>
    <n v="3"/>
    <s v="Y"/>
    <x v="1"/>
    <n v="19"/>
    <x v="0"/>
    <x v="0"/>
    <n v="80"/>
    <n v="0"/>
    <n v="5"/>
    <n v="3"/>
    <x v="1"/>
    <x v="2"/>
    <n v="0"/>
    <x v="0"/>
    <x v="2"/>
    <x v="0"/>
    <x v="1"/>
    <x v="1"/>
    <n v="0"/>
  </r>
  <r>
    <x v="19"/>
    <x v="1"/>
    <x v="0"/>
    <n v="810"/>
    <x v="1"/>
    <n v="23"/>
    <x v="4"/>
    <x v="0"/>
    <x v="0"/>
    <n v="468"/>
    <x v="3"/>
    <x v="0"/>
    <n v="44"/>
    <x v="0"/>
    <x v="3"/>
    <x v="7"/>
    <x v="0"/>
    <x v="0"/>
    <x v="339"/>
    <n v="15901"/>
    <n v="2"/>
    <s v="Y"/>
    <x v="1"/>
    <n v="14"/>
    <x v="0"/>
    <x v="2"/>
    <n v="80"/>
    <n v="0"/>
    <n v="16"/>
    <n v="2"/>
    <x v="1"/>
    <x v="6"/>
    <n v="0"/>
    <x v="0"/>
    <x v="2"/>
    <x v="0"/>
    <x v="1"/>
    <x v="2"/>
    <n v="0"/>
  </r>
  <r>
    <x v="11"/>
    <x v="1"/>
    <x v="2"/>
    <n v="746"/>
    <x v="0"/>
    <n v="2"/>
    <x v="3"/>
    <x v="0"/>
    <x v="0"/>
    <n v="469"/>
    <x v="2"/>
    <x v="1"/>
    <n v="61"/>
    <x v="0"/>
    <x v="0"/>
    <x v="0"/>
    <x v="2"/>
    <x v="1"/>
    <x v="340"/>
    <n v="16928"/>
    <n v="1"/>
    <s v="Y"/>
    <x v="1"/>
    <n v="14"/>
    <x v="0"/>
    <x v="0"/>
    <n v="80"/>
    <n v="1"/>
    <n v="4"/>
    <n v="3"/>
    <x v="2"/>
    <x v="9"/>
    <n v="3"/>
    <x v="0"/>
    <x v="3"/>
    <x v="2"/>
    <x v="2"/>
    <x v="1"/>
    <n v="0"/>
  </r>
  <r>
    <x v="19"/>
    <x v="1"/>
    <x v="0"/>
    <n v="544"/>
    <x v="2"/>
    <n v="2"/>
    <x v="1"/>
    <x v="4"/>
    <x v="0"/>
    <n v="470"/>
    <x v="1"/>
    <x v="1"/>
    <n v="52"/>
    <x v="0"/>
    <x v="1"/>
    <x v="8"/>
    <x v="2"/>
    <x v="2"/>
    <x v="341"/>
    <n v="24017"/>
    <n v="0"/>
    <s v="Y"/>
    <x v="0"/>
    <n v="11"/>
    <x v="0"/>
    <x v="3"/>
    <n v="80"/>
    <n v="1"/>
    <n v="4"/>
    <n v="5"/>
    <x v="1"/>
    <x v="11"/>
    <n v="2"/>
    <x v="1"/>
    <x v="2"/>
    <x v="0"/>
    <x v="2"/>
    <x v="1"/>
    <n v="0"/>
  </r>
  <r>
    <x v="5"/>
    <x v="1"/>
    <x v="0"/>
    <n v="1062"/>
    <x v="1"/>
    <n v="2"/>
    <x v="3"/>
    <x v="2"/>
    <x v="0"/>
    <n v="471"/>
    <x v="1"/>
    <x v="0"/>
    <n v="75"/>
    <x v="0"/>
    <x v="1"/>
    <x v="2"/>
    <x v="1"/>
    <x v="1"/>
    <x v="342"/>
    <n v="3956"/>
    <n v="1"/>
    <s v="Y"/>
    <x v="1"/>
    <n v="13"/>
    <x v="0"/>
    <x v="3"/>
    <n v="80"/>
    <n v="1"/>
    <n v="8"/>
    <n v="4"/>
    <x v="1"/>
    <x v="3"/>
    <n v="0"/>
    <x v="0"/>
    <x v="1"/>
    <x v="1"/>
    <x v="0"/>
    <x v="1"/>
    <n v="0"/>
  </r>
  <r>
    <x v="26"/>
    <x v="1"/>
    <x v="0"/>
    <n v="530"/>
    <x v="0"/>
    <n v="29"/>
    <x v="1"/>
    <x v="2"/>
    <x v="0"/>
    <n v="473"/>
    <x v="3"/>
    <x v="0"/>
    <n v="91"/>
    <x v="0"/>
    <x v="2"/>
    <x v="5"/>
    <x v="2"/>
    <x v="1"/>
    <x v="343"/>
    <n v="23978"/>
    <n v="3"/>
    <s v="Y"/>
    <x v="1"/>
    <n v="21"/>
    <x v="1"/>
    <x v="2"/>
    <n v="80"/>
    <n v="1"/>
    <n v="15"/>
    <n v="3"/>
    <x v="0"/>
    <x v="2"/>
    <n v="0"/>
    <x v="0"/>
    <x v="2"/>
    <x v="0"/>
    <x v="1"/>
    <x v="3"/>
    <n v="0"/>
  </r>
  <r>
    <x v="2"/>
    <x v="1"/>
    <x v="0"/>
    <n v="1319"/>
    <x v="1"/>
    <n v="6"/>
    <x v="3"/>
    <x v="2"/>
    <x v="0"/>
    <n v="474"/>
    <x v="1"/>
    <x v="1"/>
    <n v="51"/>
    <x v="2"/>
    <x v="0"/>
    <x v="1"/>
    <x v="3"/>
    <x v="2"/>
    <x v="344"/>
    <n v="17001"/>
    <n v="4"/>
    <s v="Y"/>
    <x v="0"/>
    <n v="13"/>
    <x v="0"/>
    <x v="0"/>
    <n v="80"/>
    <n v="2"/>
    <n v="13"/>
    <n v="2"/>
    <x v="1"/>
    <x v="5"/>
    <n v="7"/>
    <x v="7"/>
    <x v="1"/>
    <x v="1"/>
    <x v="0"/>
    <x v="0"/>
    <n v="0"/>
  </r>
  <r>
    <x v="7"/>
    <x v="1"/>
    <x v="2"/>
    <n v="641"/>
    <x v="0"/>
    <n v="25"/>
    <x v="0"/>
    <x v="4"/>
    <x v="0"/>
    <n v="475"/>
    <x v="2"/>
    <x v="0"/>
    <n v="85"/>
    <x v="0"/>
    <x v="0"/>
    <x v="0"/>
    <x v="2"/>
    <x v="1"/>
    <x v="345"/>
    <n v="6069"/>
    <n v="7"/>
    <s v="Y"/>
    <x v="0"/>
    <n v="12"/>
    <x v="0"/>
    <x v="2"/>
    <n v="80"/>
    <n v="1"/>
    <n v="4"/>
    <n v="2"/>
    <x v="3"/>
    <x v="4"/>
    <n v="2"/>
    <x v="3"/>
    <x v="3"/>
    <x v="1"/>
    <x v="1"/>
    <x v="1"/>
    <n v="0"/>
  </r>
  <r>
    <x v="25"/>
    <x v="1"/>
    <x v="0"/>
    <n v="933"/>
    <x v="0"/>
    <n v="1"/>
    <x v="3"/>
    <x v="0"/>
    <x v="0"/>
    <n v="476"/>
    <x v="1"/>
    <x v="1"/>
    <n v="57"/>
    <x v="0"/>
    <x v="0"/>
    <x v="0"/>
    <x v="2"/>
    <x v="1"/>
    <x v="346"/>
    <n v="20156"/>
    <n v="1"/>
    <s v="Y"/>
    <x v="1"/>
    <n v="17"/>
    <x v="0"/>
    <x v="2"/>
    <n v="80"/>
    <n v="1"/>
    <n v="8"/>
    <n v="3"/>
    <x v="1"/>
    <x v="3"/>
    <n v="7"/>
    <x v="4"/>
    <x v="1"/>
    <x v="2"/>
    <x v="0"/>
    <x v="0"/>
    <n v="0"/>
  </r>
  <r>
    <x v="19"/>
    <x v="1"/>
    <x v="0"/>
    <n v="1332"/>
    <x v="1"/>
    <n v="2"/>
    <x v="2"/>
    <x v="1"/>
    <x v="0"/>
    <n v="477"/>
    <x v="3"/>
    <x v="1"/>
    <n v="98"/>
    <x v="1"/>
    <x v="0"/>
    <x v="4"/>
    <x v="0"/>
    <x v="0"/>
    <x v="347"/>
    <n v="17078"/>
    <n v="3"/>
    <s v="Y"/>
    <x v="1"/>
    <n v="23"/>
    <x v="1"/>
    <x v="2"/>
    <n v="80"/>
    <n v="0"/>
    <n v="14"/>
    <n v="6"/>
    <x v="1"/>
    <x v="6"/>
    <n v="0"/>
    <x v="0"/>
    <x v="2"/>
    <x v="0"/>
    <x v="1"/>
    <x v="0"/>
    <n v="0"/>
  </r>
  <r>
    <x v="18"/>
    <x v="0"/>
    <x v="1"/>
    <n v="756"/>
    <x v="0"/>
    <n v="1"/>
    <x v="1"/>
    <x v="4"/>
    <x v="0"/>
    <n v="478"/>
    <x v="3"/>
    <x v="0"/>
    <n v="99"/>
    <x v="1"/>
    <x v="1"/>
    <x v="6"/>
    <x v="1"/>
    <x v="0"/>
    <x v="348"/>
    <n v="9150"/>
    <n v="1"/>
    <s v="Y"/>
    <x v="0"/>
    <n v="11"/>
    <x v="0"/>
    <x v="3"/>
    <n v="80"/>
    <n v="0"/>
    <n v="3"/>
    <n v="3"/>
    <x v="1"/>
    <x v="11"/>
    <n v="2"/>
    <x v="1"/>
    <x v="3"/>
    <x v="2"/>
    <x v="2"/>
    <x v="1"/>
    <n v="1"/>
  </r>
  <r>
    <x v="9"/>
    <x v="1"/>
    <x v="2"/>
    <n v="845"/>
    <x v="0"/>
    <n v="1"/>
    <x v="4"/>
    <x v="2"/>
    <x v="0"/>
    <n v="479"/>
    <x v="2"/>
    <x v="0"/>
    <n v="45"/>
    <x v="0"/>
    <x v="0"/>
    <x v="0"/>
    <x v="0"/>
    <x v="0"/>
    <x v="349"/>
    <n v="15276"/>
    <n v="4"/>
    <s v="Y"/>
    <x v="1"/>
    <n v="15"/>
    <x v="0"/>
    <x v="2"/>
    <n v="80"/>
    <n v="0"/>
    <n v="7"/>
    <n v="6"/>
    <x v="1"/>
    <x v="6"/>
    <n v="0"/>
    <x v="0"/>
    <x v="2"/>
    <x v="1"/>
    <x v="1"/>
    <x v="0"/>
    <n v="0"/>
  </r>
  <r>
    <x v="9"/>
    <x v="1"/>
    <x v="1"/>
    <n v="541"/>
    <x v="0"/>
    <n v="3"/>
    <x v="2"/>
    <x v="2"/>
    <x v="0"/>
    <n v="481"/>
    <x v="3"/>
    <x v="1"/>
    <n v="48"/>
    <x v="1"/>
    <x v="2"/>
    <x v="0"/>
    <x v="0"/>
    <x v="1"/>
    <x v="350"/>
    <n v="7246"/>
    <n v="4"/>
    <s v="Y"/>
    <x v="1"/>
    <n v="11"/>
    <x v="0"/>
    <x v="0"/>
    <n v="80"/>
    <n v="1"/>
    <n v="16"/>
    <n v="2"/>
    <x v="1"/>
    <x v="20"/>
    <n v="9"/>
    <x v="1"/>
    <x v="11"/>
    <x v="1"/>
    <x v="3"/>
    <x v="0"/>
    <n v="0"/>
  </r>
  <r>
    <x v="38"/>
    <x v="1"/>
    <x v="0"/>
    <n v="593"/>
    <x v="1"/>
    <n v="1"/>
    <x v="2"/>
    <x v="2"/>
    <x v="0"/>
    <n v="482"/>
    <x v="2"/>
    <x v="1"/>
    <n v="88"/>
    <x v="0"/>
    <x v="0"/>
    <x v="4"/>
    <x v="2"/>
    <x v="1"/>
    <x v="351"/>
    <n v="2967"/>
    <n v="2"/>
    <s v="Y"/>
    <x v="1"/>
    <n v="11"/>
    <x v="0"/>
    <x v="3"/>
    <n v="80"/>
    <n v="0"/>
    <n v="15"/>
    <n v="2"/>
    <x v="1"/>
    <x v="11"/>
    <n v="2"/>
    <x v="1"/>
    <x v="3"/>
    <x v="3"/>
    <x v="2"/>
    <x v="0"/>
    <n v="0"/>
  </r>
  <r>
    <x v="32"/>
    <x v="1"/>
    <x v="0"/>
    <n v="1171"/>
    <x v="1"/>
    <n v="10"/>
    <x v="2"/>
    <x v="0"/>
    <x v="0"/>
    <n v="483"/>
    <x v="2"/>
    <x v="0"/>
    <n v="46"/>
    <x v="2"/>
    <x v="1"/>
    <x v="2"/>
    <x v="2"/>
    <x v="1"/>
    <x v="352"/>
    <n v="22495"/>
    <n v="3"/>
    <s v="Y"/>
    <x v="0"/>
    <n v="13"/>
    <x v="0"/>
    <x v="3"/>
    <n v="80"/>
    <n v="1"/>
    <n v="10"/>
    <n v="3"/>
    <x v="1"/>
    <x v="5"/>
    <n v="7"/>
    <x v="1"/>
    <x v="1"/>
    <x v="0"/>
    <x v="0"/>
    <x v="1"/>
    <n v="0"/>
  </r>
  <r>
    <x v="18"/>
    <x v="1"/>
    <x v="2"/>
    <n v="895"/>
    <x v="0"/>
    <n v="9"/>
    <x v="0"/>
    <x v="2"/>
    <x v="0"/>
    <n v="484"/>
    <x v="3"/>
    <x v="1"/>
    <n v="39"/>
    <x v="0"/>
    <x v="1"/>
    <x v="6"/>
    <x v="0"/>
    <x v="0"/>
    <x v="353"/>
    <n v="2851"/>
    <n v="1"/>
    <s v="Y"/>
    <x v="1"/>
    <n v="24"/>
    <x v="1"/>
    <x v="3"/>
    <n v="80"/>
    <n v="0"/>
    <n v="3"/>
    <n v="3"/>
    <x v="2"/>
    <x v="11"/>
    <n v="2"/>
    <x v="3"/>
    <x v="3"/>
    <x v="2"/>
    <x v="2"/>
    <x v="1"/>
    <n v="0"/>
  </r>
  <r>
    <x v="3"/>
    <x v="0"/>
    <x v="0"/>
    <n v="350"/>
    <x v="0"/>
    <n v="5"/>
    <x v="3"/>
    <x v="3"/>
    <x v="0"/>
    <n v="485"/>
    <x v="2"/>
    <x v="0"/>
    <n v="34"/>
    <x v="0"/>
    <x v="1"/>
    <x v="6"/>
    <x v="2"/>
    <x v="0"/>
    <x v="354"/>
    <n v="9150"/>
    <n v="1"/>
    <s v="Y"/>
    <x v="0"/>
    <n v="13"/>
    <x v="0"/>
    <x v="2"/>
    <n v="80"/>
    <n v="0"/>
    <n v="1"/>
    <n v="2"/>
    <x v="1"/>
    <x v="6"/>
    <n v="0"/>
    <x v="0"/>
    <x v="2"/>
    <x v="1"/>
    <x v="1"/>
    <x v="1"/>
    <n v="1"/>
  </r>
  <r>
    <x v="2"/>
    <x v="1"/>
    <x v="0"/>
    <n v="921"/>
    <x v="1"/>
    <n v="10"/>
    <x v="3"/>
    <x v="2"/>
    <x v="0"/>
    <n v="486"/>
    <x v="1"/>
    <x v="0"/>
    <n v="98"/>
    <x v="0"/>
    <x v="1"/>
    <x v="2"/>
    <x v="3"/>
    <x v="1"/>
    <x v="138"/>
    <n v="17663"/>
    <n v="6"/>
    <s v="Y"/>
    <x v="1"/>
    <n v="20"/>
    <x v="1"/>
    <x v="2"/>
    <n v="80"/>
    <n v="1"/>
    <n v="17"/>
    <n v="3"/>
    <x v="1"/>
    <x v="8"/>
    <n v="4"/>
    <x v="0"/>
    <x v="6"/>
    <x v="1"/>
    <x v="2"/>
    <x v="1"/>
    <n v="0"/>
  </r>
  <r>
    <x v="21"/>
    <x v="1"/>
    <x v="2"/>
    <n v="1144"/>
    <x v="1"/>
    <n v="7"/>
    <x v="2"/>
    <x v="2"/>
    <x v="0"/>
    <n v="487"/>
    <x v="1"/>
    <x v="0"/>
    <n v="30"/>
    <x v="0"/>
    <x v="0"/>
    <x v="3"/>
    <x v="2"/>
    <x v="1"/>
    <x v="355"/>
    <n v="16044"/>
    <n v="2"/>
    <s v="Y"/>
    <x v="1"/>
    <n v="14"/>
    <x v="0"/>
    <x v="3"/>
    <n v="80"/>
    <n v="0"/>
    <n v="7"/>
    <n v="2"/>
    <x v="3"/>
    <x v="6"/>
    <n v="0"/>
    <x v="0"/>
    <x v="2"/>
    <x v="0"/>
    <x v="1"/>
    <x v="0"/>
    <n v="0"/>
  </r>
  <r>
    <x v="0"/>
    <x v="0"/>
    <x v="1"/>
    <n v="143"/>
    <x v="0"/>
    <n v="4"/>
    <x v="3"/>
    <x v="3"/>
    <x v="0"/>
    <n v="488"/>
    <x v="3"/>
    <x v="1"/>
    <n v="56"/>
    <x v="0"/>
    <x v="0"/>
    <x v="0"/>
    <x v="1"/>
    <x v="0"/>
    <x v="356"/>
    <n v="9558"/>
    <n v="1"/>
    <s v="Y"/>
    <x v="1"/>
    <n v="18"/>
    <x v="0"/>
    <x v="3"/>
    <n v="80"/>
    <n v="0"/>
    <n v="8"/>
    <n v="5"/>
    <x v="1"/>
    <x v="3"/>
    <n v="7"/>
    <x v="4"/>
    <x v="1"/>
    <x v="0"/>
    <x v="0"/>
    <x v="0"/>
    <n v="1"/>
  </r>
  <r>
    <x v="24"/>
    <x v="1"/>
    <x v="0"/>
    <n v="1046"/>
    <x v="1"/>
    <n v="10"/>
    <x v="3"/>
    <x v="4"/>
    <x v="0"/>
    <n v="491"/>
    <x v="2"/>
    <x v="1"/>
    <n v="100"/>
    <x v="1"/>
    <x v="2"/>
    <x v="4"/>
    <x v="0"/>
    <x v="0"/>
    <x v="357"/>
    <n v="2755"/>
    <n v="6"/>
    <s v="Y"/>
    <x v="1"/>
    <n v="15"/>
    <x v="0"/>
    <x v="1"/>
    <n v="80"/>
    <n v="0"/>
    <n v="20"/>
    <n v="2"/>
    <x v="1"/>
    <x v="9"/>
    <n v="3"/>
    <x v="1"/>
    <x v="6"/>
    <x v="3"/>
    <x v="2"/>
    <x v="3"/>
    <n v="0"/>
  </r>
  <r>
    <x v="32"/>
    <x v="0"/>
    <x v="0"/>
    <n v="575"/>
    <x v="0"/>
    <n v="22"/>
    <x v="0"/>
    <x v="3"/>
    <x v="0"/>
    <n v="492"/>
    <x v="1"/>
    <x v="1"/>
    <n v="68"/>
    <x v="1"/>
    <x v="0"/>
    <x v="0"/>
    <x v="2"/>
    <x v="1"/>
    <x v="358"/>
    <n v="6110"/>
    <n v="2"/>
    <s v="Y"/>
    <x v="0"/>
    <n v="12"/>
    <x v="0"/>
    <x v="0"/>
    <n v="80"/>
    <n v="2"/>
    <n v="8"/>
    <n v="6"/>
    <x v="1"/>
    <x v="0"/>
    <n v="4"/>
    <x v="1"/>
    <x v="2"/>
    <x v="0"/>
    <x v="0"/>
    <x v="0"/>
    <n v="1"/>
  </r>
  <r>
    <x v="12"/>
    <x v="1"/>
    <x v="0"/>
    <n v="408"/>
    <x v="1"/>
    <n v="9"/>
    <x v="2"/>
    <x v="0"/>
    <x v="0"/>
    <n v="493"/>
    <x v="1"/>
    <x v="1"/>
    <n v="42"/>
    <x v="1"/>
    <x v="1"/>
    <x v="1"/>
    <x v="1"/>
    <x v="0"/>
    <x v="210"/>
    <n v="7551"/>
    <n v="0"/>
    <s v="Y"/>
    <x v="0"/>
    <n v="16"/>
    <x v="0"/>
    <x v="1"/>
    <n v="80"/>
    <n v="0"/>
    <n v="3"/>
    <n v="5"/>
    <x v="1"/>
    <x v="4"/>
    <n v="2"/>
    <x v="3"/>
    <x v="3"/>
    <x v="1"/>
    <x v="1"/>
    <x v="1"/>
    <n v="0"/>
  </r>
  <r>
    <x v="18"/>
    <x v="0"/>
    <x v="0"/>
    <n v="156"/>
    <x v="0"/>
    <n v="12"/>
    <x v="3"/>
    <x v="0"/>
    <x v="0"/>
    <n v="494"/>
    <x v="1"/>
    <x v="0"/>
    <n v="90"/>
    <x v="2"/>
    <x v="1"/>
    <x v="6"/>
    <x v="1"/>
    <x v="0"/>
    <x v="359"/>
    <n v="25422"/>
    <n v="1"/>
    <s v="Y"/>
    <x v="1"/>
    <n v="15"/>
    <x v="0"/>
    <x v="1"/>
    <n v="80"/>
    <n v="0"/>
    <n v="1"/>
    <n v="0"/>
    <x v="1"/>
    <x v="6"/>
    <n v="0"/>
    <x v="0"/>
    <x v="2"/>
    <x v="2"/>
    <x v="1"/>
    <x v="1"/>
    <n v="1"/>
  </r>
  <r>
    <x v="11"/>
    <x v="1"/>
    <x v="0"/>
    <n v="1283"/>
    <x v="1"/>
    <n v="23"/>
    <x v="3"/>
    <x v="0"/>
    <x v="0"/>
    <n v="495"/>
    <x v="2"/>
    <x v="1"/>
    <n v="54"/>
    <x v="0"/>
    <x v="1"/>
    <x v="1"/>
    <x v="0"/>
    <x v="0"/>
    <x v="360"/>
    <n v="18168"/>
    <n v="9"/>
    <s v="Y"/>
    <x v="1"/>
    <n v="16"/>
    <x v="0"/>
    <x v="1"/>
    <n v="80"/>
    <n v="0"/>
    <n v="6"/>
    <n v="4"/>
    <x v="1"/>
    <x v="11"/>
    <n v="2"/>
    <x v="1"/>
    <x v="3"/>
    <x v="2"/>
    <x v="2"/>
    <x v="1"/>
    <n v="0"/>
  </r>
  <r>
    <x v="10"/>
    <x v="1"/>
    <x v="0"/>
    <n v="755"/>
    <x v="1"/>
    <n v="9"/>
    <x v="2"/>
    <x v="0"/>
    <x v="0"/>
    <n v="496"/>
    <x v="1"/>
    <x v="1"/>
    <n v="97"/>
    <x v="1"/>
    <x v="0"/>
    <x v="4"/>
    <x v="1"/>
    <x v="0"/>
    <x v="361"/>
    <n v="19394"/>
    <n v="9"/>
    <s v="Y"/>
    <x v="1"/>
    <n v="19"/>
    <x v="0"/>
    <x v="3"/>
    <n v="80"/>
    <n v="0"/>
    <n v="10"/>
    <n v="5"/>
    <x v="1"/>
    <x v="6"/>
    <n v="1"/>
    <x v="0"/>
    <x v="2"/>
    <x v="1"/>
    <x v="1"/>
    <x v="0"/>
    <n v="0"/>
  </r>
  <r>
    <x v="4"/>
    <x v="1"/>
    <x v="0"/>
    <n v="1469"/>
    <x v="1"/>
    <n v="1"/>
    <x v="0"/>
    <x v="2"/>
    <x v="0"/>
    <n v="497"/>
    <x v="2"/>
    <x v="1"/>
    <n v="82"/>
    <x v="0"/>
    <x v="1"/>
    <x v="2"/>
    <x v="1"/>
    <x v="2"/>
    <x v="362"/>
    <n v="17881"/>
    <n v="1"/>
    <s v="Y"/>
    <x v="1"/>
    <n v="11"/>
    <x v="0"/>
    <x v="2"/>
    <n v="80"/>
    <n v="1"/>
    <n v="5"/>
    <n v="2"/>
    <x v="1"/>
    <x v="8"/>
    <n v="2"/>
    <x v="0"/>
    <x v="10"/>
    <x v="2"/>
    <x v="2"/>
    <x v="1"/>
    <n v="0"/>
  </r>
  <r>
    <x v="14"/>
    <x v="1"/>
    <x v="0"/>
    <n v="304"/>
    <x v="0"/>
    <n v="9"/>
    <x v="2"/>
    <x v="0"/>
    <x v="0"/>
    <n v="498"/>
    <x v="0"/>
    <x v="1"/>
    <n v="92"/>
    <x v="0"/>
    <x v="0"/>
    <x v="0"/>
    <x v="0"/>
    <x v="0"/>
    <x v="363"/>
    <n v="20750"/>
    <n v="1"/>
    <s v="Y"/>
    <x v="1"/>
    <n v="16"/>
    <x v="0"/>
    <x v="1"/>
    <n v="80"/>
    <n v="0"/>
    <n v="7"/>
    <n v="1"/>
    <x v="1"/>
    <x v="5"/>
    <n v="5"/>
    <x v="0"/>
    <x v="1"/>
    <x v="2"/>
    <x v="0"/>
    <x v="0"/>
    <n v="0"/>
  </r>
  <r>
    <x v="1"/>
    <x v="1"/>
    <x v="0"/>
    <n v="1261"/>
    <x v="1"/>
    <n v="7"/>
    <x v="3"/>
    <x v="1"/>
    <x v="0"/>
    <n v="499"/>
    <x v="0"/>
    <x v="1"/>
    <n v="31"/>
    <x v="1"/>
    <x v="2"/>
    <x v="4"/>
    <x v="2"/>
    <x v="0"/>
    <x v="364"/>
    <n v="12066"/>
    <n v="8"/>
    <s v="Y"/>
    <x v="1"/>
    <n v="24"/>
    <x v="1"/>
    <x v="3"/>
    <n v="80"/>
    <n v="0"/>
    <n v="26"/>
    <n v="2"/>
    <x v="1"/>
    <x v="8"/>
    <n v="2"/>
    <x v="0"/>
    <x v="2"/>
    <x v="0"/>
    <x v="2"/>
    <x v="3"/>
    <n v="0"/>
  </r>
  <r>
    <x v="31"/>
    <x v="1"/>
    <x v="0"/>
    <n v="1178"/>
    <x v="0"/>
    <n v="14"/>
    <x v="0"/>
    <x v="0"/>
    <x v="0"/>
    <n v="500"/>
    <x v="1"/>
    <x v="0"/>
    <n v="87"/>
    <x v="0"/>
    <x v="0"/>
    <x v="0"/>
    <x v="0"/>
    <x v="1"/>
    <x v="365"/>
    <n v="14862"/>
    <n v="4"/>
    <s v="Y"/>
    <x v="1"/>
    <n v="11"/>
    <x v="0"/>
    <x v="3"/>
    <n v="80"/>
    <n v="1"/>
    <n v="18"/>
    <n v="2"/>
    <x v="2"/>
    <x v="5"/>
    <n v="7"/>
    <x v="0"/>
    <x v="1"/>
    <x v="3"/>
    <x v="0"/>
    <x v="1"/>
    <n v="0"/>
  </r>
  <r>
    <x v="9"/>
    <x v="1"/>
    <x v="0"/>
    <n v="329"/>
    <x v="1"/>
    <n v="2"/>
    <x v="3"/>
    <x v="0"/>
    <x v="0"/>
    <n v="501"/>
    <x v="2"/>
    <x v="0"/>
    <n v="96"/>
    <x v="0"/>
    <x v="1"/>
    <x v="1"/>
    <x v="2"/>
    <x v="1"/>
    <x v="366"/>
    <n v="11868"/>
    <n v="4"/>
    <s v="Y"/>
    <x v="1"/>
    <n v="13"/>
    <x v="0"/>
    <x v="2"/>
    <n v="80"/>
    <n v="1"/>
    <n v="6"/>
    <n v="3"/>
    <x v="1"/>
    <x v="4"/>
    <n v="2"/>
    <x v="3"/>
    <x v="3"/>
    <x v="1"/>
    <x v="1"/>
    <x v="1"/>
    <n v="0"/>
  </r>
  <r>
    <x v="13"/>
    <x v="0"/>
    <x v="2"/>
    <n v="1362"/>
    <x v="0"/>
    <n v="19"/>
    <x v="3"/>
    <x v="3"/>
    <x v="0"/>
    <n v="502"/>
    <x v="3"/>
    <x v="1"/>
    <n v="67"/>
    <x v="2"/>
    <x v="0"/>
    <x v="0"/>
    <x v="0"/>
    <x v="0"/>
    <x v="367"/>
    <n v="4652"/>
    <n v="8"/>
    <s v="Y"/>
    <x v="0"/>
    <n v="13"/>
    <x v="0"/>
    <x v="2"/>
    <n v="80"/>
    <n v="0"/>
    <n v="9"/>
    <n v="3"/>
    <x v="2"/>
    <x v="8"/>
    <n v="2"/>
    <x v="0"/>
    <x v="10"/>
    <x v="1"/>
    <x v="2"/>
    <x v="0"/>
    <n v="1"/>
  </r>
  <r>
    <x v="27"/>
    <x v="1"/>
    <x v="0"/>
    <n v="1311"/>
    <x v="1"/>
    <n v="2"/>
    <x v="3"/>
    <x v="0"/>
    <x v="0"/>
    <n v="505"/>
    <x v="1"/>
    <x v="0"/>
    <n v="97"/>
    <x v="0"/>
    <x v="3"/>
    <x v="5"/>
    <x v="0"/>
    <x v="0"/>
    <x v="368"/>
    <n v="23258"/>
    <n v="2"/>
    <s v="Y"/>
    <x v="0"/>
    <n v="13"/>
    <x v="0"/>
    <x v="3"/>
    <n v="80"/>
    <n v="0"/>
    <n v="30"/>
    <n v="2"/>
    <x v="1"/>
    <x v="8"/>
    <n v="4"/>
    <x v="1"/>
    <x v="3"/>
    <x v="3"/>
    <x v="2"/>
    <x v="2"/>
    <n v="0"/>
  </r>
  <r>
    <x v="17"/>
    <x v="1"/>
    <x v="0"/>
    <n v="1371"/>
    <x v="0"/>
    <n v="10"/>
    <x v="2"/>
    <x v="3"/>
    <x v="0"/>
    <n v="507"/>
    <x v="2"/>
    <x v="0"/>
    <n v="77"/>
    <x v="0"/>
    <x v="0"/>
    <x v="0"/>
    <x v="2"/>
    <x v="2"/>
    <x v="369"/>
    <n v="5915"/>
    <n v="1"/>
    <s v="Y"/>
    <x v="0"/>
    <n v="12"/>
    <x v="0"/>
    <x v="1"/>
    <n v="80"/>
    <n v="1"/>
    <n v="5"/>
    <n v="2"/>
    <x v="3"/>
    <x v="8"/>
    <n v="2"/>
    <x v="0"/>
    <x v="6"/>
    <x v="2"/>
    <x v="2"/>
    <x v="1"/>
    <n v="0"/>
  </r>
  <r>
    <x v="7"/>
    <x v="1"/>
    <x v="0"/>
    <n v="202"/>
    <x v="0"/>
    <n v="2"/>
    <x v="1"/>
    <x v="4"/>
    <x v="0"/>
    <n v="508"/>
    <x v="1"/>
    <x v="1"/>
    <n v="72"/>
    <x v="0"/>
    <x v="1"/>
    <x v="6"/>
    <x v="1"/>
    <x v="1"/>
    <x v="370"/>
    <n v="17434"/>
    <n v="1"/>
    <s v="Y"/>
    <x v="1"/>
    <n v="18"/>
    <x v="0"/>
    <x v="0"/>
    <n v="80"/>
    <n v="1"/>
    <n v="1"/>
    <n v="3"/>
    <x v="1"/>
    <x v="6"/>
    <n v="0"/>
    <x v="0"/>
    <x v="2"/>
    <x v="1"/>
    <x v="1"/>
    <x v="1"/>
    <n v="0"/>
  </r>
  <r>
    <x v="25"/>
    <x v="0"/>
    <x v="1"/>
    <n v="575"/>
    <x v="1"/>
    <n v="3"/>
    <x v="1"/>
    <x v="4"/>
    <x v="0"/>
    <n v="510"/>
    <x v="1"/>
    <x v="1"/>
    <n v="73"/>
    <x v="0"/>
    <x v="1"/>
    <x v="1"/>
    <x v="3"/>
    <x v="0"/>
    <x v="371"/>
    <n v="6582"/>
    <n v="0"/>
    <s v="Y"/>
    <x v="1"/>
    <n v="22"/>
    <x v="1"/>
    <x v="3"/>
    <n v="80"/>
    <n v="0"/>
    <n v="7"/>
    <n v="2"/>
    <x v="1"/>
    <x v="0"/>
    <n v="4"/>
    <x v="0"/>
    <x v="10"/>
    <x v="2"/>
    <x v="0"/>
    <x v="1"/>
    <n v="1"/>
  </r>
  <r>
    <x v="15"/>
    <x v="1"/>
    <x v="0"/>
    <n v="253"/>
    <x v="1"/>
    <n v="11"/>
    <x v="3"/>
    <x v="2"/>
    <x v="0"/>
    <n v="511"/>
    <x v="3"/>
    <x v="0"/>
    <n v="43"/>
    <x v="0"/>
    <x v="1"/>
    <x v="1"/>
    <x v="1"/>
    <x v="1"/>
    <x v="372"/>
    <n v="24440"/>
    <n v="1"/>
    <s v="Y"/>
    <x v="1"/>
    <n v="13"/>
    <x v="0"/>
    <x v="1"/>
    <n v="80"/>
    <n v="1"/>
    <n v="2"/>
    <n v="1"/>
    <x v="1"/>
    <x v="4"/>
    <n v="1"/>
    <x v="1"/>
    <x v="3"/>
    <x v="2"/>
    <x v="1"/>
    <x v="1"/>
    <n v="0"/>
  </r>
  <r>
    <x v="9"/>
    <x v="1"/>
    <x v="0"/>
    <n v="164"/>
    <x v="0"/>
    <n v="2"/>
    <x v="0"/>
    <x v="2"/>
    <x v="0"/>
    <n v="513"/>
    <x v="0"/>
    <x v="1"/>
    <n v="61"/>
    <x v="1"/>
    <x v="2"/>
    <x v="0"/>
    <x v="2"/>
    <x v="1"/>
    <x v="373"/>
    <n v="3809"/>
    <n v="1"/>
    <s v="Y"/>
    <x v="1"/>
    <n v="13"/>
    <x v="0"/>
    <x v="2"/>
    <n v="80"/>
    <n v="2"/>
    <n v="10"/>
    <n v="2"/>
    <x v="1"/>
    <x v="1"/>
    <n v="9"/>
    <x v="10"/>
    <x v="2"/>
    <x v="1"/>
    <x v="0"/>
    <x v="0"/>
    <n v="0"/>
  </r>
  <r>
    <x v="7"/>
    <x v="0"/>
    <x v="1"/>
    <n v="464"/>
    <x v="1"/>
    <n v="4"/>
    <x v="3"/>
    <x v="4"/>
    <x v="0"/>
    <n v="514"/>
    <x v="1"/>
    <x v="1"/>
    <n v="40"/>
    <x v="0"/>
    <x v="1"/>
    <x v="1"/>
    <x v="0"/>
    <x v="0"/>
    <x v="374"/>
    <n v="3427"/>
    <n v="9"/>
    <s v="Y"/>
    <x v="0"/>
    <n v="23"/>
    <x v="1"/>
    <x v="3"/>
    <n v="80"/>
    <n v="0"/>
    <n v="3"/>
    <n v="4"/>
    <x v="1"/>
    <x v="6"/>
    <n v="0"/>
    <x v="0"/>
    <x v="2"/>
    <x v="1"/>
    <x v="1"/>
    <x v="1"/>
    <n v="1"/>
  </r>
  <r>
    <x v="2"/>
    <x v="1"/>
    <x v="0"/>
    <n v="1107"/>
    <x v="1"/>
    <n v="14"/>
    <x v="3"/>
    <x v="0"/>
    <x v="0"/>
    <n v="515"/>
    <x v="2"/>
    <x v="0"/>
    <n v="95"/>
    <x v="0"/>
    <x v="1"/>
    <x v="2"/>
    <x v="3"/>
    <x v="2"/>
    <x v="375"/>
    <n v="26914"/>
    <n v="1"/>
    <s v="Y"/>
    <x v="1"/>
    <n v="12"/>
    <x v="0"/>
    <x v="3"/>
    <n v="80"/>
    <n v="1"/>
    <n v="18"/>
    <n v="2"/>
    <x v="2"/>
    <x v="29"/>
    <n v="7"/>
    <x v="12"/>
    <x v="8"/>
    <x v="1"/>
    <x v="3"/>
    <x v="1"/>
    <n v="0"/>
  </r>
  <r>
    <x v="32"/>
    <x v="1"/>
    <x v="0"/>
    <n v="759"/>
    <x v="0"/>
    <n v="2"/>
    <x v="0"/>
    <x v="3"/>
    <x v="0"/>
    <n v="516"/>
    <x v="2"/>
    <x v="0"/>
    <n v="46"/>
    <x v="0"/>
    <x v="0"/>
    <x v="0"/>
    <x v="1"/>
    <x v="2"/>
    <x v="376"/>
    <n v="22553"/>
    <n v="7"/>
    <s v="Y"/>
    <x v="1"/>
    <n v="12"/>
    <x v="0"/>
    <x v="3"/>
    <n v="80"/>
    <n v="2"/>
    <n v="8"/>
    <n v="5"/>
    <x v="1"/>
    <x v="8"/>
    <n v="4"/>
    <x v="1"/>
    <x v="6"/>
    <x v="0"/>
    <x v="2"/>
    <x v="0"/>
    <n v="0"/>
  </r>
  <r>
    <x v="19"/>
    <x v="1"/>
    <x v="0"/>
    <n v="201"/>
    <x v="1"/>
    <n v="1"/>
    <x v="2"/>
    <x v="0"/>
    <x v="0"/>
    <n v="517"/>
    <x v="0"/>
    <x v="0"/>
    <n v="95"/>
    <x v="0"/>
    <x v="1"/>
    <x v="2"/>
    <x v="3"/>
    <x v="2"/>
    <x v="377"/>
    <n v="20490"/>
    <n v="3"/>
    <s v="Y"/>
    <x v="1"/>
    <n v="16"/>
    <x v="0"/>
    <x v="2"/>
    <n v="80"/>
    <n v="1"/>
    <n v="8"/>
    <n v="5"/>
    <x v="1"/>
    <x v="8"/>
    <n v="2"/>
    <x v="1"/>
    <x v="3"/>
    <x v="0"/>
    <x v="2"/>
    <x v="1"/>
    <n v="0"/>
  </r>
  <r>
    <x v="2"/>
    <x v="1"/>
    <x v="0"/>
    <n v="1305"/>
    <x v="1"/>
    <n v="10"/>
    <x v="2"/>
    <x v="0"/>
    <x v="0"/>
    <n v="518"/>
    <x v="1"/>
    <x v="1"/>
    <n v="49"/>
    <x v="0"/>
    <x v="0"/>
    <x v="3"/>
    <x v="1"/>
    <x v="0"/>
    <x v="378"/>
    <n v="21123"/>
    <n v="2"/>
    <s v="Y"/>
    <x v="0"/>
    <n v="12"/>
    <x v="0"/>
    <x v="1"/>
    <n v="80"/>
    <n v="0"/>
    <n v="18"/>
    <n v="2"/>
    <x v="2"/>
    <x v="6"/>
    <n v="0"/>
    <x v="0"/>
    <x v="9"/>
    <x v="1"/>
    <x v="1"/>
    <x v="1"/>
    <n v="0"/>
  </r>
  <r>
    <x v="23"/>
    <x v="1"/>
    <x v="0"/>
    <n v="982"/>
    <x v="1"/>
    <n v="12"/>
    <x v="3"/>
    <x v="0"/>
    <x v="0"/>
    <n v="520"/>
    <x v="3"/>
    <x v="1"/>
    <n v="59"/>
    <x v="1"/>
    <x v="3"/>
    <x v="7"/>
    <x v="1"/>
    <x v="2"/>
    <x v="379"/>
    <n v="4345"/>
    <n v="1"/>
    <s v="Y"/>
    <x v="1"/>
    <n v="11"/>
    <x v="0"/>
    <x v="3"/>
    <n v="80"/>
    <n v="1"/>
    <n v="25"/>
    <n v="3"/>
    <x v="1"/>
    <x v="10"/>
    <n v="10"/>
    <x v="2"/>
    <x v="12"/>
    <x v="0"/>
    <x v="3"/>
    <x v="3"/>
    <n v="0"/>
  </r>
  <r>
    <x v="32"/>
    <x v="1"/>
    <x v="0"/>
    <n v="555"/>
    <x v="1"/>
    <n v="2"/>
    <x v="3"/>
    <x v="2"/>
    <x v="0"/>
    <n v="521"/>
    <x v="0"/>
    <x v="0"/>
    <n v="78"/>
    <x v="1"/>
    <x v="0"/>
    <x v="2"/>
    <x v="2"/>
    <x v="1"/>
    <x v="380"/>
    <n v="13436"/>
    <n v="6"/>
    <s v="Y"/>
    <x v="1"/>
    <n v="22"/>
    <x v="1"/>
    <x v="2"/>
    <n v="80"/>
    <n v="1"/>
    <n v="20"/>
    <n v="3"/>
    <x v="1"/>
    <x v="6"/>
    <n v="0"/>
    <x v="0"/>
    <x v="2"/>
    <x v="0"/>
    <x v="1"/>
    <x v="1"/>
    <n v="0"/>
  </r>
  <r>
    <x v="33"/>
    <x v="1"/>
    <x v="0"/>
    <n v="821"/>
    <x v="1"/>
    <n v="5"/>
    <x v="0"/>
    <x v="2"/>
    <x v="0"/>
    <n v="522"/>
    <x v="3"/>
    <x v="1"/>
    <n v="86"/>
    <x v="0"/>
    <x v="4"/>
    <x v="7"/>
    <x v="3"/>
    <x v="1"/>
    <x v="381"/>
    <n v="8509"/>
    <n v="4"/>
    <s v="Y"/>
    <x v="1"/>
    <n v="11"/>
    <x v="0"/>
    <x v="3"/>
    <n v="80"/>
    <n v="1"/>
    <n v="24"/>
    <n v="4"/>
    <x v="2"/>
    <x v="9"/>
    <n v="2"/>
    <x v="1"/>
    <x v="3"/>
    <x v="3"/>
    <x v="2"/>
    <x v="2"/>
    <n v="0"/>
  </r>
  <r>
    <x v="13"/>
    <x v="1"/>
    <x v="2"/>
    <n v="1381"/>
    <x v="0"/>
    <n v="4"/>
    <x v="2"/>
    <x v="3"/>
    <x v="0"/>
    <n v="523"/>
    <x v="1"/>
    <x v="0"/>
    <n v="72"/>
    <x v="0"/>
    <x v="0"/>
    <x v="0"/>
    <x v="2"/>
    <x v="1"/>
    <x v="382"/>
    <n v="12740"/>
    <n v="9"/>
    <s v="Y"/>
    <x v="1"/>
    <n v="15"/>
    <x v="0"/>
    <x v="0"/>
    <n v="80"/>
    <n v="1"/>
    <n v="6"/>
    <n v="3"/>
    <x v="1"/>
    <x v="11"/>
    <n v="2"/>
    <x v="1"/>
    <x v="3"/>
    <x v="1"/>
    <x v="2"/>
    <x v="0"/>
    <n v="0"/>
  </r>
  <r>
    <x v="12"/>
    <x v="1"/>
    <x v="0"/>
    <n v="480"/>
    <x v="1"/>
    <n v="7"/>
    <x v="0"/>
    <x v="2"/>
    <x v="0"/>
    <n v="524"/>
    <x v="0"/>
    <x v="0"/>
    <n v="31"/>
    <x v="0"/>
    <x v="0"/>
    <x v="3"/>
    <x v="3"/>
    <x v="1"/>
    <x v="383"/>
    <n v="4156"/>
    <n v="1"/>
    <s v="Y"/>
    <x v="1"/>
    <n v="12"/>
    <x v="0"/>
    <x v="2"/>
    <n v="80"/>
    <n v="1"/>
    <n v="13"/>
    <n v="5"/>
    <x v="0"/>
    <x v="20"/>
    <n v="10"/>
    <x v="2"/>
    <x v="11"/>
    <x v="1"/>
    <x v="3"/>
    <x v="1"/>
    <n v="0"/>
  </r>
  <r>
    <x v="23"/>
    <x v="1"/>
    <x v="1"/>
    <n v="313"/>
    <x v="1"/>
    <n v="21"/>
    <x v="3"/>
    <x v="2"/>
    <x v="0"/>
    <n v="525"/>
    <x v="2"/>
    <x v="1"/>
    <n v="61"/>
    <x v="0"/>
    <x v="1"/>
    <x v="2"/>
    <x v="0"/>
    <x v="1"/>
    <x v="384"/>
    <n v="15238"/>
    <n v="7"/>
    <s v="Y"/>
    <x v="1"/>
    <n v="20"/>
    <x v="1"/>
    <x v="0"/>
    <n v="80"/>
    <n v="1"/>
    <n v="8"/>
    <n v="1"/>
    <x v="1"/>
    <x v="11"/>
    <n v="2"/>
    <x v="1"/>
    <x v="3"/>
    <x v="0"/>
    <x v="2"/>
    <x v="1"/>
    <n v="0"/>
  </r>
  <r>
    <x v="23"/>
    <x v="1"/>
    <x v="0"/>
    <n v="1473"/>
    <x v="1"/>
    <n v="8"/>
    <x v="2"/>
    <x v="1"/>
    <x v="0"/>
    <n v="526"/>
    <x v="1"/>
    <x v="0"/>
    <n v="74"/>
    <x v="0"/>
    <x v="0"/>
    <x v="4"/>
    <x v="2"/>
    <x v="2"/>
    <x v="385"/>
    <n v="2227"/>
    <n v="4"/>
    <s v="Y"/>
    <x v="0"/>
    <n v="14"/>
    <x v="0"/>
    <x v="1"/>
    <n v="80"/>
    <n v="0"/>
    <n v="8"/>
    <n v="3"/>
    <x v="1"/>
    <x v="8"/>
    <n v="2"/>
    <x v="0"/>
    <x v="3"/>
    <x v="0"/>
    <x v="2"/>
    <x v="1"/>
    <n v="0"/>
  </r>
  <r>
    <x v="36"/>
    <x v="1"/>
    <x v="0"/>
    <n v="891"/>
    <x v="0"/>
    <n v="4"/>
    <x v="0"/>
    <x v="0"/>
    <x v="0"/>
    <n v="527"/>
    <x v="0"/>
    <x v="0"/>
    <n v="99"/>
    <x v="1"/>
    <x v="0"/>
    <x v="0"/>
    <x v="0"/>
    <x v="0"/>
    <x v="386"/>
    <n v="12090"/>
    <n v="1"/>
    <s v="Y"/>
    <x v="0"/>
    <n v="11"/>
    <x v="0"/>
    <x v="2"/>
    <n v="80"/>
    <n v="0"/>
    <n v="5"/>
    <n v="3"/>
    <x v="1"/>
    <x v="8"/>
    <n v="4"/>
    <x v="1"/>
    <x v="6"/>
    <x v="2"/>
    <x v="2"/>
    <x v="1"/>
    <n v="0"/>
  </r>
  <r>
    <x v="2"/>
    <x v="1"/>
    <x v="2"/>
    <n v="1063"/>
    <x v="1"/>
    <n v="25"/>
    <x v="4"/>
    <x v="2"/>
    <x v="0"/>
    <n v="529"/>
    <x v="0"/>
    <x v="0"/>
    <n v="72"/>
    <x v="0"/>
    <x v="0"/>
    <x v="1"/>
    <x v="2"/>
    <x v="1"/>
    <x v="387"/>
    <n v="23866"/>
    <n v="3"/>
    <s v="Y"/>
    <x v="0"/>
    <n v="15"/>
    <x v="0"/>
    <x v="0"/>
    <n v="80"/>
    <n v="2"/>
    <n v="15"/>
    <n v="2"/>
    <x v="1"/>
    <x v="20"/>
    <n v="11"/>
    <x v="13"/>
    <x v="1"/>
    <x v="1"/>
    <x v="3"/>
    <x v="1"/>
    <n v="0"/>
  </r>
  <r>
    <x v="12"/>
    <x v="1"/>
    <x v="0"/>
    <n v="329"/>
    <x v="1"/>
    <n v="1"/>
    <x v="0"/>
    <x v="0"/>
    <x v="0"/>
    <n v="530"/>
    <x v="2"/>
    <x v="1"/>
    <n v="98"/>
    <x v="1"/>
    <x v="1"/>
    <x v="2"/>
    <x v="3"/>
    <x v="1"/>
    <x v="388"/>
    <n v="16193"/>
    <n v="1"/>
    <s v="Y"/>
    <x v="1"/>
    <n v="12"/>
    <x v="0"/>
    <x v="3"/>
    <n v="80"/>
    <n v="1"/>
    <n v="4"/>
    <n v="3"/>
    <x v="1"/>
    <x v="9"/>
    <n v="2"/>
    <x v="2"/>
    <x v="3"/>
    <x v="1"/>
    <x v="2"/>
    <x v="1"/>
    <n v="0"/>
  </r>
  <r>
    <x v="22"/>
    <x v="1"/>
    <x v="1"/>
    <n v="1218"/>
    <x v="1"/>
    <n v="1"/>
    <x v="1"/>
    <x v="0"/>
    <x v="0"/>
    <n v="531"/>
    <x v="0"/>
    <x v="1"/>
    <n v="52"/>
    <x v="0"/>
    <x v="4"/>
    <x v="5"/>
    <x v="2"/>
    <x v="2"/>
    <x v="389"/>
    <n v="8213"/>
    <n v="1"/>
    <s v="Y"/>
    <x v="0"/>
    <n v="14"/>
    <x v="0"/>
    <x v="3"/>
    <n v="80"/>
    <n v="1"/>
    <n v="21"/>
    <n v="3"/>
    <x v="1"/>
    <x v="17"/>
    <n v="8"/>
    <x v="1"/>
    <x v="4"/>
    <x v="1"/>
    <x v="3"/>
    <x v="2"/>
    <n v="0"/>
  </r>
  <r>
    <x v="29"/>
    <x v="1"/>
    <x v="1"/>
    <n v="906"/>
    <x v="0"/>
    <n v="6"/>
    <x v="3"/>
    <x v="0"/>
    <x v="0"/>
    <n v="532"/>
    <x v="1"/>
    <x v="0"/>
    <n v="86"/>
    <x v="2"/>
    <x v="3"/>
    <x v="0"/>
    <x v="3"/>
    <x v="1"/>
    <x v="390"/>
    <n v="18256"/>
    <n v="9"/>
    <s v="Y"/>
    <x v="1"/>
    <n v="11"/>
    <x v="0"/>
    <x v="1"/>
    <n v="80"/>
    <n v="3"/>
    <n v="36"/>
    <n v="0"/>
    <x v="2"/>
    <x v="5"/>
    <n v="7"/>
    <x v="4"/>
    <x v="1"/>
    <x v="3"/>
    <x v="0"/>
    <x v="3"/>
    <n v="0"/>
  </r>
  <r>
    <x v="7"/>
    <x v="1"/>
    <x v="0"/>
    <n v="1082"/>
    <x v="0"/>
    <n v="12"/>
    <x v="3"/>
    <x v="4"/>
    <x v="0"/>
    <n v="533"/>
    <x v="0"/>
    <x v="0"/>
    <n v="83"/>
    <x v="0"/>
    <x v="0"/>
    <x v="0"/>
    <x v="2"/>
    <x v="0"/>
    <x v="391"/>
    <n v="19558"/>
    <n v="0"/>
    <s v="Y"/>
    <x v="1"/>
    <n v="11"/>
    <x v="0"/>
    <x v="2"/>
    <n v="80"/>
    <n v="0"/>
    <n v="6"/>
    <n v="6"/>
    <x v="1"/>
    <x v="8"/>
    <n v="4"/>
    <x v="5"/>
    <x v="10"/>
    <x v="1"/>
    <x v="2"/>
    <x v="0"/>
    <n v="0"/>
  </r>
  <r>
    <x v="0"/>
    <x v="1"/>
    <x v="0"/>
    <n v="645"/>
    <x v="0"/>
    <n v="1"/>
    <x v="3"/>
    <x v="3"/>
    <x v="0"/>
    <n v="534"/>
    <x v="0"/>
    <x v="1"/>
    <n v="49"/>
    <x v="2"/>
    <x v="2"/>
    <x v="0"/>
    <x v="3"/>
    <x v="1"/>
    <x v="392"/>
    <n v="19566"/>
    <n v="1"/>
    <s v="Y"/>
    <x v="1"/>
    <n v="16"/>
    <x v="0"/>
    <x v="3"/>
    <n v="80"/>
    <n v="1"/>
    <n v="10"/>
    <n v="2"/>
    <x v="1"/>
    <x v="1"/>
    <n v="7"/>
    <x v="0"/>
    <x v="1"/>
    <x v="0"/>
    <x v="0"/>
    <x v="0"/>
    <n v="0"/>
  </r>
  <r>
    <x v="14"/>
    <x v="1"/>
    <x v="0"/>
    <n v="1300"/>
    <x v="1"/>
    <n v="17"/>
    <x v="0"/>
    <x v="2"/>
    <x v="0"/>
    <n v="536"/>
    <x v="1"/>
    <x v="1"/>
    <n v="79"/>
    <x v="0"/>
    <x v="0"/>
    <x v="2"/>
    <x v="3"/>
    <x v="2"/>
    <x v="393"/>
    <n v="13535"/>
    <n v="1"/>
    <s v="Y"/>
    <x v="1"/>
    <n v="12"/>
    <x v="0"/>
    <x v="1"/>
    <n v="80"/>
    <n v="1"/>
    <n v="10"/>
    <n v="2"/>
    <x v="1"/>
    <x v="1"/>
    <n v="0"/>
    <x v="1"/>
    <x v="5"/>
    <x v="2"/>
    <x v="0"/>
    <x v="1"/>
    <n v="0"/>
  </r>
  <r>
    <x v="36"/>
    <x v="0"/>
    <x v="0"/>
    <n v="688"/>
    <x v="1"/>
    <n v="3"/>
    <x v="3"/>
    <x v="2"/>
    <x v="0"/>
    <n v="538"/>
    <x v="3"/>
    <x v="1"/>
    <n v="91"/>
    <x v="0"/>
    <x v="1"/>
    <x v="2"/>
    <x v="3"/>
    <x v="1"/>
    <x v="394"/>
    <n v="9396"/>
    <n v="5"/>
    <s v="Y"/>
    <x v="1"/>
    <n v="13"/>
    <x v="0"/>
    <x v="3"/>
    <n v="80"/>
    <n v="1"/>
    <n v="6"/>
    <n v="5"/>
    <x v="1"/>
    <x v="4"/>
    <n v="2"/>
    <x v="0"/>
    <x v="3"/>
    <x v="2"/>
    <x v="1"/>
    <x v="1"/>
    <n v="1"/>
  </r>
  <r>
    <x v="39"/>
    <x v="1"/>
    <x v="0"/>
    <n v="319"/>
    <x v="1"/>
    <n v="3"/>
    <x v="3"/>
    <x v="2"/>
    <x v="0"/>
    <n v="543"/>
    <x v="2"/>
    <x v="1"/>
    <n v="39"/>
    <x v="1"/>
    <x v="2"/>
    <x v="3"/>
    <x v="2"/>
    <x v="1"/>
    <x v="395"/>
    <n v="19609"/>
    <n v="2"/>
    <s v="Y"/>
    <x v="0"/>
    <n v="14"/>
    <x v="0"/>
    <x v="3"/>
    <n v="80"/>
    <n v="0"/>
    <n v="28"/>
    <n v="4"/>
    <x v="1"/>
    <x v="8"/>
    <n v="4"/>
    <x v="0"/>
    <x v="10"/>
    <x v="3"/>
    <x v="2"/>
    <x v="0"/>
    <n v="0"/>
  </r>
  <r>
    <x v="28"/>
    <x v="1"/>
    <x v="0"/>
    <n v="192"/>
    <x v="1"/>
    <n v="10"/>
    <x v="0"/>
    <x v="0"/>
    <x v="0"/>
    <n v="544"/>
    <x v="3"/>
    <x v="1"/>
    <n v="69"/>
    <x v="0"/>
    <x v="1"/>
    <x v="1"/>
    <x v="0"/>
    <x v="1"/>
    <x v="396"/>
    <n v="9655"/>
    <n v="3"/>
    <s v="Y"/>
    <x v="1"/>
    <n v="21"/>
    <x v="1"/>
    <x v="1"/>
    <n v="80"/>
    <n v="2"/>
    <n v="8"/>
    <n v="3"/>
    <x v="2"/>
    <x v="4"/>
    <n v="2"/>
    <x v="0"/>
    <x v="3"/>
    <x v="0"/>
    <x v="1"/>
    <x v="1"/>
    <n v="0"/>
  </r>
  <r>
    <x v="39"/>
    <x v="1"/>
    <x v="0"/>
    <n v="1490"/>
    <x v="1"/>
    <n v="4"/>
    <x v="0"/>
    <x v="0"/>
    <x v="0"/>
    <n v="546"/>
    <x v="2"/>
    <x v="0"/>
    <n v="30"/>
    <x v="0"/>
    <x v="3"/>
    <x v="5"/>
    <x v="0"/>
    <x v="1"/>
    <x v="397"/>
    <n v="10310"/>
    <n v="2"/>
    <s v="Y"/>
    <x v="1"/>
    <n v="13"/>
    <x v="0"/>
    <x v="1"/>
    <n v="80"/>
    <n v="0"/>
    <n v="31"/>
    <n v="2"/>
    <x v="0"/>
    <x v="8"/>
    <n v="2"/>
    <x v="1"/>
    <x v="10"/>
    <x v="3"/>
    <x v="2"/>
    <x v="2"/>
    <n v="0"/>
  </r>
  <r>
    <x v="19"/>
    <x v="1"/>
    <x v="1"/>
    <n v="532"/>
    <x v="1"/>
    <n v="29"/>
    <x v="0"/>
    <x v="0"/>
    <x v="0"/>
    <n v="547"/>
    <x v="3"/>
    <x v="0"/>
    <n v="92"/>
    <x v="0"/>
    <x v="0"/>
    <x v="1"/>
    <x v="2"/>
    <x v="2"/>
    <x v="398"/>
    <n v="12932"/>
    <n v="2"/>
    <s v="Y"/>
    <x v="1"/>
    <n v="11"/>
    <x v="0"/>
    <x v="2"/>
    <n v="80"/>
    <n v="1"/>
    <n v="19"/>
    <n v="3"/>
    <x v="1"/>
    <x v="8"/>
    <n v="4"/>
    <x v="0"/>
    <x v="3"/>
    <x v="0"/>
    <x v="2"/>
    <x v="1"/>
    <n v="0"/>
  </r>
  <r>
    <x v="7"/>
    <x v="1"/>
    <x v="0"/>
    <n v="317"/>
    <x v="1"/>
    <n v="2"/>
    <x v="3"/>
    <x v="0"/>
    <x v="0"/>
    <n v="548"/>
    <x v="1"/>
    <x v="0"/>
    <n v="43"/>
    <x v="3"/>
    <x v="0"/>
    <x v="3"/>
    <x v="0"/>
    <x v="0"/>
    <x v="399"/>
    <n v="24793"/>
    <n v="2"/>
    <s v="Y"/>
    <x v="1"/>
    <n v="20"/>
    <x v="1"/>
    <x v="3"/>
    <n v="80"/>
    <n v="0"/>
    <n v="11"/>
    <n v="2"/>
    <x v="1"/>
    <x v="8"/>
    <n v="4"/>
    <x v="0"/>
    <x v="3"/>
    <x v="1"/>
    <x v="2"/>
    <x v="0"/>
    <n v="0"/>
  </r>
  <r>
    <x v="42"/>
    <x v="1"/>
    <x v="0"/>
    <n v="422"/>
    <x v="1"/>
    <n v="7"/>
    <x v="3"/>
    <x v="0"/>
    <x v="0"/>
    <n v="549"/>
    <x v="3"/>
    <x v="0"/>
    <n v="41"/>
    <x v="0"/>
    <x v="4"/>
    <x v="5"/>
    <x v="3"/>
    <x v="1"/>
    <x v="400"/>
    <n v="3854"/>
    <n v="5"/>
    <s v="Y"/>
    <x v="1"/>
    <n v="11"/>
    <x v="0"/>
    <x v="1"/>
    <n v="80"/>
    <n v="0"/>
    <n v="33"/>
    <n v="5"/>
    <x v="0"/>
    <x v="30"/>
    <n v="8"/>
    <x v="14"/>
    <x v="13"/>
    <x v="3"/>
    <x v="3"/>
    <x v="2"/>
    <n v="0"/>
  </r>
  <r>
    <x v="21"/>
    <x v="1"/>
    <x v="0"/>
    <n v="1485"/>
    <x v="1"/>
    <n v="18"/>
    <x v="3"/>
    <x v="2"/>
    <x v="0"/>
    <n v="550"/>
    <x v="1"/>
    <x v="0"/>
    <n v="87"/>
    <x v="0"/>
    <x v="0"/>
    <x v="3"/>
    <x v="2"/>
    <x v="2"/>
    <x v="401"/>
    <n v="26314"/>
    <n v="2"/>
    <s v="Y"/>
    <x v="1"/>
    <n v="14"/>
    <x v="0"/>
    <x v="3"/>
    <n v="80"/>
    <n v="1"/>
    <n v="19"/>
    <n v="5"/>
    <x v="2"/>
    <x v="1"/>
    <n v="7"/>
    <x v="0"/>
    <x v="5"/>
    <x v="0"/>
    <x v="0"/>
    <x v="1"/>
    <n v="0"/>
  </r>
  <r>
    <x v="19"/>
    <x v="1"/>
    <x v="1"/>
    <n v="1368"/>
    <x v="1"/>
    <n v="28"/>
    <x v="2"/>
    <x v="4"/>
    <x v="0"/>
    <n v="551"/>
    <x v="2"/>
    <x v="0"/>
    <n v="88"/>
    <x v="1"/>
    <x v="0"/>
    <x v="4"/>
    <x v="0"/>
    <x v="1"/>
    <x v="402"/>
    <n v="4386"/>
    <n v="0"/>
    <s v="Y"/>
    <x v="1"/>
    <n v="11"/>
    <x v="0"/>
    <x v="1"/>
    <n v="80"/>
    <n v="3"/>
    <n v="7"/>
    <n v="4"/>
    <x v="3"/>
    <x v="0"/>
    <n v="5"/>
    <x v="0"/>
    <x v="10"/>
    <x v="0"/>
    <x v="0"/>
    <x v="1"/>
    <n v="0"/>
  </r>
  <r>
    <x v="17"/>
    <x v="0"/>
    <x v="0"/>
    <n v="1448"/>
    <x v="0"/>
    <n v="1"/>
    <x v="1"/>
    <x v="4"/>
    <x v="0"/>
    <n v="554"/>
    <x v="3"/>
    <x v="0"/>
    <n v="62"/>
    <x v="0"/>
    <x v="1"/>
    <x v="6"/>
    <x v="1"/>
    <x v="0"/>
    <x v="403"/>
    <n v="21972"/>
    <n v="1"/>
    <s v="Y"/>
    <x v="0"/>
    <n v="16"/>
    <x v="0"/>
    <x v="2"/>
    <n v="80"/>
    <n v="0"/>
    <n v="6"/>
    <n v="4"/>
    <x v="1"/>
    <x v="8"/>
    <n v="3"/>
    <x v="1"/>
    <x v="10"/>
    <x v="2"/>
    <x v="2"/>
    <x v="1"/>
    <n v="1"/>
  </r>
  <r>
    <x v="13"/>
    <x v="0"/>
    <x v="1"/>
    <n v="296"/>
    <x v="0"/>
    <n v="6"/>
    <x v="0"/>
    <x v="3"/>
    <x v="0"/>
    <n v="555"/>
    <x v="2"/>
    <x v="0"/>
    <n v="33"/>
    <x v="3"/>
    <x v="1"/>
    <x v="6"/>
    <x v="2"/>
    <x v="2"/>
    <x v="404"/>
    <n v="12253"/>
    <n v="0"/>
    <s v="Y"/>
    <x v="1"/>
    <n v="16"/>
    <x v="0"/>
    <x v="1"/>
    <n v="80"/>
    <n v="1"/>
    <n v="3"/>
    <n v="3"/>
    <x v="2"/>
    <x v="4"/>
    <n v="2"/>
    <x v="1"/>
    <x v="2"/>
    <x v="1"/>
    <x v="1"/>
    <x v="1"/>
    <n v="1"/>
  </r>
  <r>
    <x v="8"/>
    <x v="1"/>
    <x v="1"/>
    <n v="1490"/>
    <x v="1"/>
    <n v="2"/>
    <x v="0"/>
    <x v="0"/>
    <x v="0"/>
    <n v="556"/>
    <x v="2"/>
    <x v="1"/>
    <n v="42"/>
    <x v="0"/>
    <x v="1"/>
    <x v="2"/>
    <x v="0"/>
    <x v="1"/>
    <x v="405"/>
    <n v="12106"/>
    <n v="1"/>
    <s v="Y"/>
    <x v="0"/>
    <n v="23"/>
    <x v="1"/>
    <x v="3"/>
    <n v="80"/>
    <n v="1"/>
    <n v="1"/>
    <n v="3"/>
    <x v="1"/>
    <x v="6"/>
    <n v="0"/>
    <x v="0"/>
    <x v="2"/>
    <x v="1"/>
    <x v="1"/>
    <x v="1"/>
    <n v="0"/>
  </r>
  <r>
    <x v="32"/>
    <x v="1"/>
    <x v="0"/>
    <n v="1398"/>
    <x v="0"/>
    <n v="2"/>
    <x v="2"/>
    <x v="0"/>
    <x v="0"/>
    <n v="558"/>
    <x v="1"/>
    <x v="0"/>
    <n v="79"/>
    <x v="0"/>
    <x v="4"/>
    <x v="5"/>
    <x v="2"/>
    <x v="1"/>
    <x v="406"/>
    <n v="13022"/>
    <n v="0"/>
    <s v="Y"/>
    <x v="1"/>
    <n v="14"/>
    <x v="0"/>
    <x v="1"/>
    <n v="80"/>
    <n v="0"/>
    <n v="21"/>
    <n v="2"/>
    <x v="1"/>
    <x v="23"/>
    <n v="15"/>
    <x v="1"/>
    <x v="11"/>
    <x v="0"/>
    <x v="3"/>
    <x v="2"/>
    <n v="0"/>
  </r>
  <r>
    <x v="25"/>
    <x v="1"/>
    <x v="0"/>
    <n v="1349"/>
    <x v="1"/>
    <n v="23"/>
    <x v="3"/>
    <x v="0"/>
    <x v="0"/>
    <n v="560"/>
    <x v="3"/>
    <x v="0"/>
    <n v="90"/>
    <x v="0"/>
    <x v="1"/>
    <x v="1"/>
    <x v="0"/>
    <x v="2"/>
    <x v="407"/>
    <n v="3032"/>
    <n v="1"/>
    <s v="Y"/>
    <x v="1"/>
    <n v="22"/>
    <x v="1"/>
    <x v="2"/>
    <n v="80"/>
    <n v="2"/>
    <n v="3"/>
    <n v="3"/>
    <x v="0"/>
    <x v="11"/>
    <n v="2"/>
    <x v="0"/>
    <x v="3"/>
    <x v="2"/>
    <x v="2"/>
    <x v="1"/>
    <n v="0"/>
  </r>
  <r>
    <x v="7"/>
    <x v="1"/>
    <x v="2"/>
    <n v="1400"/>
    <x v="1"/>
    <n v="3"/>
    <x v="3"/>
    <x v="0"/>
    <x v="0"/>
    <n v="562"/>
    <x v="1"/>
    <x v="1"/>
    <n v="53"/>
    <x v="0"/>
    <x v="1"/>
    <x v="2"/>
    <x v="0"/>
    <x v="1"/>
    <x v="408"/>
    <n v="16734"/>
    <n v="4"/>
    <s v="Y"/>
    <x v="1"/>
    <n v="15"/>
    <x v="0"/>
    <x v="3"/>
    <n v="80"/>
    <n v="1"/>
    <n v="9"/>
    <n v="3"/>
    <x v="0"/>
    <x v="8"/>
    <n v="3"/>
    <x v="1"/>
    <x v="10"/>
    <x v="1"/>
    <x v="2"/>
    <x v="1"/>
    <n v="0"/>
  </r>
  <r>
    <x v="11"/>
    <x v="1"/>
    <x v="0"/>
    <n v="986"/>
    <x v="1"/>
    <n v="3"/>
    <x v="2"/>
    <x v="2"/>
    <x v="0"/>
    <n v="564"/>
    <x v="0"/>
    <x v="1"/>
    <n v="93"/>
    <x v="1"/>
    <x v="2"/>
    <x v="7"/>
    <x v="2"/>
    <x v="1"/>
    <x v="409"/>
    <n v="21526"/>
    <n v="1"/>
    <s v="Y"/>
    <x v="1"/>
    <n v="18"/>
    <x v="0"/>
    <x v="3"/>
    <n v="80"/>
    <n v="0"/>
    <n v="10"/>
    <n v="2"/>
    <x v="1"/>
    <x v="1"/>
    <n v="2"/>
    <x v="0"/>
    <x v="1"/>
    <x v="2"/>
    <x v="0"/>
    <x v="3"/>
    <n v="0"/>
  </r>
  <r>
    <x v="11"/>
    <x v="0"/>
    <x v="0"/>
    <n v="408"/>
    <x v="1"/>
    <n v="25"/>
    <x v="4"/>
    <x v="4"/>
    <x v="0"/>
    <n v="565"/>
    <x v="1"/>
    <x v="0"/>
    <n v="71"/>
    <x v="1"/>
    <x v="1"/>
    <x v="1"/>
    <x v="1"/>
    <x v="1"/>
    <x v="410"/>
    <n v="18300"/>
    <n v="5"/>
    <s v="Y"/>
    <x v="1"/>
    <n v="16"/>
    <x v="0"/>
    <x v="2"/>
    <n v="80"/>
    <n v="0"/>
    <n v="6"/>
    <n v="2"/>
    <x v="3"/>
    <x v="4"/>
    <n v="2"/>
    <x v="1"/>
    <x v="9"/>
    <x v="2"/>
    <x v="1"/>
    <x v="1"/>
    <n v="1"/>
  </r>
  <r>
    <x v="37"/>
    <x v="0"/>
    <x v="0"/>
    <n v="489"/>
    <x v="2"/>
    <n v="2"/>
    <x v="0"/>
    <x v="4"/>
    <x v="0"/>
    <n v="566"/>
    <x v="3"/>
    <x v="1"/>
    <n v="52"/>
    <x v="1"/>
    <x v="1"/>
    <x v="8"/>
    <x v="0"/>
    <x v="0"/>
    <x v="411"/>
    <n v="18437"/>
    <n v="1"/>
    <s v="Y"/>
    <x v="1"/>
    <n v="12"/>
    <x v="0"/>
    <x v="3"/>
    <n v="80"/>
    <n v="0"/>
    <n v="1"/>
    <n v="3"/>
    <x v="3"/>
    <x v="6"/>
    <n v="0"/>
    <x v="0"/>
    <x v="2"/>
    <x v="4"/>
    <x v="1"/>
    <x v="1"/>
    <n v="1"/>
  </r>
  <r>
    <x v="7"/>
    <x v="1"/>
    <x v="2"/>
    <n v="1398"/>
    <x v="0"/>
    <n v="22"/>
    <x v="2"/>
    <x v="1"/>
    <x v="0"/>
    <n v="567"/>
    <x v="1"/>
    <x v="0"/>
    <n v="69"/>
    <x v="0"/>
    <x v="2"/>
    <x v="0"/>
    <x v="3"/>
    <x v="1"/>
    <x v="412"/>
    <n v="2890"/>
    <n v="0"/>
    <s v="Y"/>
    <x v="1"/>
    <n v="11"/>
    <x v="0"/>
    <x v="3"/>
    <n v="80"/>
    <n v="0"/>
    <n v="10"/>
    <n v="3"/>
    <x v="1"/>
    <x v="7"/>
    <n v="8"/>
    <x v="4"/>
    <x v="5"/>
    <x v="1"/>
    <x v="0"/>
    <x v="0"/>
    <n v="0"/>
  </r>
  <r>
    <x v="38"/>
    <x v="1"/>
    <x v="0"/>
    <n v="210"/>
    <x v="0"/>
    <n v="29"/>
    <x v="3"/>
    <x v="3"/>
    <x v="0"/>
    <n v="568"/>
    <x v="3"/>
    <x v="1"/>
    <n v="56"/>
    <x v="1"/>
    <x v="3"/>
    <x v="5"/>
    <x v="0"/>
    <x v="2"/>
    <x v="413"/>
    <n v="22102"/>
    <n v="3"/>
    <s v="Y"/>
    <x v="1"/>
    <n v="12"/>
    <x v="0"/>
    <x v="3"/>
    <n v="80"/>
    <n v="1"/>
    <n v="32"/>
    <n v="3"/>
    <x v="2"/>
    <x v="6"/>
    <n v="0"/>
    <x v="0"/>
    <x v="2"/>
    <x v="3"/>
    <x v="1"/>
    <x v="3"/>
    <n v="0"/>
  </r>
  <r>
    <x v="24"/>
    <x v="1"/>
    <x v="0"/>
    <n v="1099"/>
    <x v="1"/>
    <n v="29"/>
    <x v="2"/>
    <x v="0"/>
    <x v="0"/>
    <n v="569"/>
    <x v="0"/>
    <x v="1"/>
    <n v="88"/>
    <x v="1"/>
    <x v="3"/>
    <x v="5"/>
    <x v="2"/>
    <x v="1"/>
    <x v="414"/>
    <n v="9314"/>
    <n v="0"/>
    <s v="Y"/>
    <x v="1"/>
    <n v="15"/>
    <x v="0"/>
    <x v="2"/>
    <n v="80"/>
    <n v="1"/>
    <n v="28"/>
    <n v="2"/>
    <x v="1"/>
    <x v="16"/>
    <n v="10"/>
    <x v="9"/>
    <x v="1"/>
    <x v="3"/>
    <x v="3"/>
    <x v="2"/>
    <n v="0"/>
  </r>
  <r>
    <x v="7"/>
    <x v="1"/>
    <x v="2"/>
    <n v="1116"/>
    <x v="1"/>
    <n v="2"/>
    <x v="3"/>
    <x v="2"/>
    <x v="0"/>
    <n v="571"/>
    <x v="1"/>
    <x v="0"/>
    <n v="49"/>
    <x v="0"/>
    <x v="1"/>
    <x v="2"/>
    <x v="0"/>
    <x v="0"/>
    <x v="411"/>
    <n v="7181"/>
    <n v="0"/>
    <s v="Y"/>
    <x v="1"/>
    <n v="14"/>
    <x v="0"/>
    <x v="3"/>
    <n v="80"/>
    <n v="0"/>
    <n v="12"/>
    <n v="2"/>
    <x v="2"/>
    <x v="19"/>
    <n v="7"/>
    <x v="7"/>
    <x v="1"/>
    <x v="1"/>
    <x v="3"/>
    <x v="1"/>
    <n v="0"/>
  </r>
  <r>
    <x v="42"/>
    <x v="1"/>
    <x v="1"/>
    <n v="1499"/>
    <x v="0"/>
    <n v="28"/>
    <x v="3"/>
    <x v="3"/>
    <x v="0"/>
    <n v="573"/>
    <x v="1"/>
    <x v="0"/>
    <n v="80"/>
    <x v="1"/>
    <x v="2"/>
    <x v="0"/>
    <x v="3"/>
    <x v="1"/>
    <x v="415"/>
    <n v="2845"/>
    <n v="4"/>
    <s v="Y"/>
    <x v="1"/>
    <n v="19"/>
    <x v="0"/>
    <x v="1"/>
    <n v="80"/>
    <n v="0"/>
    <n v="22"/>
    <n v="5"/>
    <x v="3"/>
    <x v="29"/>
    <n v="13"/>
    <x v="11"/>
    <x v="7"/>
    <x v="3"/>
    <x v="3"/>
    <x v="3"/>
    <n v="0"/>
  </r>
  <r>
    <x v="40"/>
    <x v="1"/>
    <x v="0"/>
    <n v="983"/>
    <x v="1"/>
    <n v="2"/>
    <x v="0"/>
    <x v="2"/>
    <x v="0"/>
    <n v="574"/>
    <x v="3"/>
    <x v="0"/>
    <n v="65"/>
    <x v="0"/>
    <x v="0"/>
    <x v="3"/>
    <x v="0"/>
    <x v="2"/>
    <x v="416"/>
    <n v="7389"/>
    <n v="5"/>
    <s v="Y"/>
    <x v="1"/>
    <n v="13"/>
    <x v="0"/>
    <x v="3"/>
    <n v="80"/>
    <n v="3"/>
    <n v="20"/>
    <n v="2"/>
    <x v="1"/>
    <x v="8"/>
    <n v="0"/>
    <x v="0"/>
    <x v="10"/>
    <x v="0"/>
    <x v="2"/>
    <x v="0"/>
    <n v="0"/>
  </r>
  <r>
    <x v="21"/>
    <x v="1"/>
    <x v="0"/>
    <n v="1009"/>
    <x v="1"/>
    <n v="2"/>
    <x v="3"/>
    <x v="0"/>
    <x v="0"/>
    <n v="575"/>
    <x v="3"/>
    <x v="1"/>
    <n v="51"/>
    <x v="0"/>
    <x v="3"/>
    <x v="7"/>
    <x v="2"/>
    <x v="1"/>
    <x v="417"/>
    <n v="2288"/>
    <n v="6"/>
    <s v="Y"/>
    <x v="1"/>
    <n v="13"/>
    <x v="0"/>
    <x v="3"/>
    <n v="80"/>
    <n v="0"/>
    <n v="26"/>
    <n v="2"/>
    <x v="0"/>
    <x v="11"/>
    <n v="2"/>
    <x v="0"/>
    <x v="9"/>
    <x v="0"/>
    <x v="2"/>
    <x v="2"/>
    <n v="0"/>
  </r>
  <r>
    <x v="10"/>
    <x v="1"/>
    <x v="0"/>
    <n v="144"/>
    <x v="1"/>
    <n v="22"/>
    <x v="3"/>
    <x v="0"/>
    <x v="0"/>
    <n v="577"/>
    <x v="2"/>
    <x v="1"/>
    <n v="46"/>
    <x v="3"/>
    <x v="1"/>
    <x v="2"/>
    <x v="2"/>
    <x v="0"/>
    <x v="418"/>
    <n v="19225"/>
    <n v="0"/>
    <s v="Y"/>
    <x v="1"/>
    <n v="15"/>
    <x v="0"/>
    <x v="3"/>
    <n v="80"/>
    <n v="0"/>
    <n v="6"/>
    <n v="2"/>
    <x v="1"/>
    <x v="8"/>
    <n v="4"/>
    <x v="5"/>
    <x v="6"/>
    <x v="1"/>
    <x v="2"/>
    <x v="1"/>
    <n v="0"/>
  </r>
  <r>
    <x v="33"/>
    <x v="1"/>
    <x v="0"/>
    <n v="548"/>
    <x v="1"/>
    <n v="8"/>
    <x v="2"/>
    <x v="0"/>
    <x v="0"/>
    <n v="578"/>
    <x v="1"/>
    <x v="0"/>
    <n v="42"/>
    <x v="0"/>
    <x v="0"/>
    <x v="2"/>
    <x v="2"/>
    <x v="0"/>
    <x v="419"/>
    <n v="23428"/>
    <n v="7"/>
    <s v="Y"/>
    <x v="1"/>
    <n v="11"/>
    <x v="0"/>
    <x v="3"/>
    <n v="80"/>
    <n v="0"/>
    <n v="19"/>
    <n v="3"/>
    <x v="1"/>
    <x v="6"/>
    <n v="0"/>
    <x v="0"/>
    <x v="2"/>
    <x v="3"/>
    <x v="1"/>
    <x v="1"/>
    <n v="0"/>
  </r>
  <r>
    <x v="13"/>
    <x v="1"/>
    <x v="0"/>
    <n v="1303"/>
    <x v="1"/>
    <n v="2"/>
    <x v="2"/>
    <x v="0"/>
    <x v="0"/>
    <n v="579"/>
    <x v="2"/>
    <x v="1"/>
    <n v="62"/>
    <x v="1"/>
    <x v="1"/>
    <x v="1"/>
    <x v="2"/>
    <x v="2"/>
    <x v="420"/>
    <n v="8416"/>
    <n v="3"/>
    <s v="Y"/>
    <x v="1"/>
    <n v="12"/>
    <x v="0"/>
    <x v="3"/>
    <n v="80"/>
    <n v="1"/>
    <n v="14"/>
    <n v="3"/>
    <x v="1"/>
    <x v="5"/>
    <n v="3"/>
    <x v="8"/>
    <x v="1"/>
    <x v="1"/>
    <x v="0"/>
    <x v="1"/>
    <n v="0"/>
  </r>
  <r>
    <x v="21"/>
    <x v="1"/>
    <x v="0"/>
    <n v="1125"/>
    <x v="0"/>
    <n v="10"/>
    <x v="3"/>
    <x v="3"/>
    <x v="0"/>
    <n v="580"/>
    <x v="1"/>
    <x v="0"/>
    <n v="94"/>
    <x v="1"/>
    <x v="2"/>
    <x v="0"/>
    <x v="0"/>
    <x v="1"/>
    <x v="421"/>
    <n v="11563"/>
    <n v="2"/>
    <s v="Y"/>
    <x v="0"/>
    <n v="19"/>
    <x v="0"/>
    <x v="3"/>
    <n v="80"/>
    <n v="1"/>
    <n v="15"/>
    <n v="3"/>
    <x v="1"/>
    <x v="11"/>
    <n v="2"/>
    <x v="1"/>
    <x v="3"/>
    <x v="0"/>
    <x v="2"/>
    <x v="0"/>
    <n v="0"/>
  </r>
  <r>
    <x v="12"/>
    <x v="1"/>
    <x v="0"/>
    <n v="1274"/>
    <x v="1"/>
    <n v="9"/>
    <x v="1"/>
    <x v="0"/>
    <x v="0"/>
    <n v="581"/>
    <x v="1"/>
    <x v="1"/>
    <n v="33"/>
    <x v="0"/>
    <x v="2"/>
    <x v="3"/>
    <x v="1"/>
    <x v="2"/>
    <x v="422"/>
    <n v="14394"/>
    <n v="1"/>
    <s v="Y"/>
    <x v="1"/>
    <n v="25"/>
    <x v="1"/>
    <x v="1"/>
    <n v="80"/>
    <n v="1"/>
    <n v="13"/>
    <n v="6"/>
    <x v="3"/>
    <x v="20"/>
    <n v="8"/>
    <x v="0"/>
    <x v="5"/>
    <x v="1"/>
    <x v="3"/>
    <x v="3"/>
    <n v="0"/>
  </r>
  <r>
    <x v="3"/>
    <x v="0"/>
    <x v="0"/>
    <n v="1277"/>
    <x v="1"/>
    <n v="15"/>
    <x v="1"/>
    <x v="2"/>
    <x v="0"/>
    <n v="582"/>
    <x v="0"/>
    <x v="1"/>
    <n v="56"/>
    <x v="0"/>
    <x v="2"/>
    <x v="5"/>
    <x v="2"/>
    <x v="1"/>
    <x v="423"/>
    <n v="24619"/>
    <n v="7"/>
    <s v="Y"/>
    <x v="0"/>
    <n v="12"/>
    <x v="0"/>
    <x v="1"/>
    <n v="80"/>
    <n v="0"/>
    <n v="15"/>
    <n v="2"/>
    <x v="3"/>
    <x v="5"/>
    <n v="6"/>
    <x v="4"/>
    <x v="1"/>
    <x v="1"/>
    <x v="0"/>
    <x v="3"/>
    <n v="1"/>
  </r>
  <r>
    <x v="3"/>
    <x v="0"/>
    <x v="0"/>
    <n v="587"/>
    <x v="1"/>
    <n v="10"/>
    <x v="1"/>
    <x v="2"/>
    <x v="0"/>
    <n v="584"/>
    <x v="3"/>
    <x v="1"/>
    <n v="38"/>
    <x v="3"/>
    <x v="1"/>
    <x v="2"/>
    <x v="0"/>
    <x v="2"/>
    <x v="424"/>
    <n v="6705"/>
    <n v="7"/>
    <s v="Y"/>
    <x v="1"/>
    <n v="13"/>
    <x v="0"/>
    <x v="0"/>
    <n v="80"/>
    <n v="3"/>
    <n v="8"/>
    <n v="2"/>
    <x v="1"/>
    <x v="9"/>
    <n v="3"/>
    <x v="1"/>
    <x v="6"/>
    <x v="1"/>
    <x v="2"/>
    <x v="1"/>
    <n v="1"/>
  </r>
  <r>
    <x v="7"/>
    <x v="1"/>
    <x v="0"/>
    <n v="413"/>
    <x v="0"/>
    <n v="7"/>
    <x v="1"/>
    <x v="3"/>
    <x v="0"/>
    <n v="585"/>
    <x v="2"/>
    <x v="1"/>
    <n v="57"/>
    <x v="0"/>
    <x v="1"/>
    <x v="6"/>
    <x v="1"/>
    <x v="0"/>
    <x v="425"/>
    <n v="18398"/>
    <n v="0"/>
    <s v="Y"/>
    <x v="1"/>
    <n v="14"/>
    <x v="0"/>
    <x v="0"/>
    <n v="80"/>
    <n v="0"/>
    <n v="4"/>
    <n v="3"/>
    <x v="1"/>
    <x v="11"/>
    <n v="2"/>
    <x v="1"/>
    <x v="3"/>
    <x v="1"/>
    <x v="2"/>
    <x v="1"/>
    <n v="0"/>
  </r>
  <r>
    <x v="10"/>
    <x v="1"/>
    <x v="0"/>
    <n v="1276"/>
    <x v="1"/>
    <n v="16"/>
    <x v="3"/>
    <x v="0"/>
    <x v="0"/>
    <n v="586"/>
    <x v="2"/>
    <x v="1"/>
    <n v="72"/>
    <x v="0"/>
    <x v="2"/>
    <x v="4"/>
    <x v="2"/>
    <x v="1"/>
    <x v="426"/>
    <n v="14295"/>
    <n v="4"/>
    <s v="Y"/>
    <x v="0"/>
    <n v="12"/>
    <x v="0"/>
    <x v="3"/>
    <n v="80"/>
    <n v="0"/>
    <n v="10"/>
    <n v="2"/>
    <x v="1"/>
    <x v="3"/>
    <n v="7"/>
    <x v="0"/>
    <x v="2"/>
    <x v="1"/>
    <x v="0"/>
    <x v="0"/>
    <n v="0"/>
  </r>
  <r>
    <x v="12"/>
    <x v="0"/>
    <x v="1"/>
    <n v="534"/>
    <x v="1"/>
    <n v="20"/>
    <x v="3"/>
    <x v="0"/>
    <x v="0"/>
    <n v="587"/>
    <x v="3"/>
    <x v="1"/>
    <n v="66"/>
    <x v="0"/>
    <x v="2"/>
    <x v="4"/>
    <x v="2"/>
    <x v="1"/>
    <x v="427"/>
    <n v="22908"/>
    <n v="3"/>
    <s v="Y"/>
    <x v="1"/>
    <n v="12"/>
    <x v="0"/>
    <x v="0"/>
    <n v="80"/>
    <n v="0"/>
    <n v="12"/>
    <n v="2"/>
    <x v="1"/>
    <x v="6"/>
    <n v="0"/>
    <x v="0"/>
    <x v="2"/>
    <x v="1"/>
    <x v="1"/>
    <x v="0"/>
    <n v="1"/>
  </r>
  <r>
    <x v="13"/>
    <x v="0"/>
    <x v="1"/>
    <n v="988"/>
    <x v="2"/>
    <n v="23"/>
    <x v="3"/>
    <x v="5"/>
    <x v="0"/>
    <n v="590"/>
    <x v="0"/>
    <x v="0"/>
    <n v="43"/>
    <x v="0"/>
    <x v="2"/>
    <x v="8"/>
    <x v="3"/>
    <x v="2"/>
    <x v="428"/>
    <n v="11533"/>
    <n v="9"/>
    <s v="Y"/>
    <x v="0"/>
    <n v="15"/>
    <x v="0"/>
    <x v="3"/>
    <n v="80"/>
    <n v="3"/>
    <n v="11"/>
    <n v="2"/>
    <x v="1"/>
    <x v="11"/>
    <n v="2"/>
    <x v="0"/>
    <x v="3"/>
    <x v="1"/>
    <x v="2"/>
    <x v="0"/>
    <n v="1"/>
  </r>
  <r>
    <x v="19"/>
    <x v="1"/>
    <x v="1"/>
    <n v="1474"/>
    <x v="1"/>
    <n v="5"/>
    <x v="0"/>
    <x v="1"/>
    <x v="0"/>
    <n v="591"/>
    <x v="0"/>
    <x v="1"/>
    <n v="97"/>
    <x v="0"/>
    <x v="1"/>
    <x v="2"/>
    <x v="2"/>
    <x v="1"/>
    <x v="429"/>
    <n v="9260"/>
    <n v="4"/>
    <s v="Y"/>
    <x v="1"/>
    <n v="17"/>
    <x v="0"/>
    <x v="1"/>
    <n v="80"/>
    <n v="1"/>
    <n v="8"/>
    <n v="4"/>
    <x v="1"/>
    <x v="4"/>
    <n v="2"/>
    <x v="3"/>
    <x v="2"/>
    <x v="0"/>
    <x v="1"/>
    <x v="1"/>
    <n v="0"/>
  </r>
  <r>
    <x v="9"/>
    <x v="1"/>
    <x v="2"/>
    <n v="635"/>
    <x v="0"/>
    <n v="10"/>
    <x v="2"/>
    <x v="2"/>
    <x v="0"/>
    <n v="592"/>
    <x v="0"/>
    <x v="1"/>
    <n v="32"/>
    <x v="0"/>
    <x v="2"/>
    <x v="0"/>
    <x v="0"/>
    <x v="0"/>
    <x v="15"/>
    <n v="15318"/>
    <n v="1"/>
    <s v="Y"/>
    <x v="1"/>
    <n v="14"/>
    <x v="0"/>
    <x v="1"/>
    <n v="80"/>
    <n v="0"/>
    <n v="10"/>
    <n v="3"/>
    <x v="2"/>
    <x v="1"/>
    <n v="3"/>
    <x v="10"/>
    <x v="1"/>
    <x v="1"/>
    <x v="0"/>
    <x v="0"/>
    <n v="0"/>
  </r>
  <r>
    <x v="15"/>
    <x v="0"/>
    <x v="1"/>
    <n v="1368"/>
    <x v="1"/>
    <n v="4"/>
    <x v="1"/>
    <x v="4"/>
    <x v="0"/>
    <n v="593"/>
    <x v="1"/>
    <x v="1"/>
    <n v="99"/>
    <x v="1"/>
    <x v="1"/>
    <x v="2"/>
    <x v="2"/>
    <x v="0"/>
    <x v="430"/>
    <n v="9129"/>
    <n v="5"/>
    <s v="Y"/>
    <x v="1"/>
    <n v="16"/>
    <x v="0"/>
    <x v="3"/>
    <n v="80"/>
    <n v="0"/>
    <n v="4"/>
    <n v="3"/>
    <x v="1"/>
    <x v="4"/>
    <n v="2"/>
    <x v="1"/>
    <x v="3"/>
    <x v="2"/>
    <x v="1"/>
    <x v="1"/>
    <n v="1"/>
  </r>
  <r>
    <x v="26"/>
    <x v="1"/>
    <x v="0"/>
    <n v="163"/>
    <x v="0"/>
    <n v="2"/>
    <x v="4"/>
    <x v="3"/>
    <x v="0"/>
    <n v="595"/>
    <x v="0"/>
    <x v="0"/>
    <n v="37"/>
    <x v="0"/>
    <x v="0"/>
    <x v="0"/>
    <x v="0"/>
    <x v="1"/>
    <x v="431"/>
    <n v="19658"/>
    <n v="2"/>
    <s v="Y"/>
    <x v="1"/>
    <n v="14"/>
    <x v="0"/>
    <x v="0"/>
    <n v="80"/>
    <n v="1"/>
    <n v="14"/>
    <n v="2"/>
    <x v="1"/>
    <x v="7"/>
    <n v="7"/>
    <x v="7"/>
    <x v="1"/>
    <x v="0"/>
    <x v="0"/>
    <x v="1"/>
    <n v="0"/>
  </r>
  <r>
    <x v="27"/>
    <x v="1"/>
    <x v="0"/>
    <n v="1117"/>
    <x v="0"/>
    <n v="18"/>
    <x v="4"/>
    <x v="0"/>
    <x v="0"/>
    <n v="597"/>
    <x v="3"/>
    <x v="0"/>
    <n v="83"/>
    <x v="0"/>
    <x v="3"/>
    <x v="5"/>
    <x v="1"/>
    <x v="0"/>
    <x v="432"/>
    <n v="9873"/>
    <n v="3"/>
    <s v="Y"/>
    <x v="1"/>
    <n v="23"/>
    <x v="1"/>
    <x v="1"/>
    <n v="80"/>
    <n v="0"/>
    <n v="37"/>
    <n v="2"/>
    <x v="1"/>
    <x v="1"/>
    <n v="9"/>
    <x v="4"/>
    <x v="1"/>
    <x v="3"/>
    <x v="0"/>
    <x v="2"/>
    <n v="0"/>
  </r>
  <r>
    <x v="0"/>
    <x v="1"/>
    <x v="2"/>
    <n v="267"/>
    <x v="0"/>
    <n v="10"/>
    <x v="0"/>
    <x v="0"/>
    <x v="0"/>
    <n v="599"/>
    <x v="2"/>
    <x v="1"/>
    <n v="56"/>
    <x v="0"/>
    <x v="0"/>
    <x v="0"/>
    <x v="0"/>
    <x v="0"/>
    <x v="433"/>
    <n v="13430"/>
    <n v="7"/>
    <s v="Y"/>
    <x v="1"/>
    <n v="14"/>
    <x v="0"/>
    <x v="1"/>
    <n v="80"/>
    <n v="0"/>
    <n v="16"/>
    <n v="3"/>
    <x v="1"/>
    <x v="13"/>
    <n v="3"/>
    <x v="1"/>
    <x v="13"/>
    <x v="0"/>
    <x v="3"/>
    <x v="0"/>
    <n v="0"/>
  </r>
  <r>
    <x v="10"/>
    <x v="1"/>
    <x v="0"/>
    <n v="619"/>
    <x v="0"/>
    <n v="1"/>
    <x v="3"/>
    <x v="3"/>
    <x v="0"/>
    <n v="600"/>
    <x v="0"/>
    <x v="1"/>
    <n v="85"/>
    <x v="0"/>
    <x v="0"/>
    <x v="0"/>
    <x v="2"/>
    <x v="1"/>
    <x v="434"/>
    <n v="18659"/>
    <n v="9"/>
    <s v="Y"/>
    <x v="1"/>
    <n v="11"/>
    <x v="0"/>
    <x v="3"/>
    <n v="80"/>
    <n v="0"/>
    <n v="15"/>
    <n v="2"/>
    <x v="1"/>
    <x v="19"/>
    <n v="9"/>
    <x v="7"/>
    <x v="12"/>
    <x v="1"/>
    <x v="3"/>
    <x v="1"/>
    <n v="0"/>
  </r>
  <r>
    <x v="32"/>
    <x v="1"/>
    <x v="0"/>
    <n v="302"/>
    <x v="1"/>
    <n v="6"/>
    <x v="3"/>
    <x v="0"/>
    <x v="0"/>
    <n v="601"/>
    <x v="0"/>
    <x v="0"/>
    <n v="75"/>
    <x v="0"/>
    <x v="3"/>
    <x v="3"/>
    <x v="2"/>
    <x v="0"/>
    <x v="435"/>
    <n v="20364"/>
    <n v="7"/>
    <s v="Y"/>
    <x v="1"/>
    <n v="15"/>
    <x v="0"/>
    <x v="3"/>
    <n v="80"/>
    <n v="0"/>
    <n v="22"/>
    <n v="3"/>
    <x v="1"/>
    <x v="23"/>
    <n v="6"/>
    <x v="8"/>
    <x v="15"/>
    <x v="0"/>
    <x v="3"/>
    <x v="3"/>
    <n v="0"/>
  </r>
  <r>
    <x v="22"/>
    <x v="1"/>
    <x v="1"/>
    <n v="443"/>
    <x v="1"/>
    <n v="8"/>
    <x v="1"/>
    <x v="0"/>
    <x v="0"/>
    <n v="602"/>
    <x v="1"/>
    <x v="0"/>
    <n v="48"/>
    <x v="0"/>
    <x v="1"/>
    <x v="2"/>
    <x v="2"/>
    <x v="1"/>
    <x v="436"/>
    <n v="17872"/>
    <n v="1"/>
    <s v="Y"/>
    <x v="1"/>
    <n v="11"/>
    <x v="0"/>
    <x v="0"/>
    <n v="80"/>
    <n v="1"/>
    <n v="8"/>
    <n v="3"/>
    <x v="1"/>
    <x v="3"/>
    <n v="3"/>
    <x v="0"/>
    <x v="1"/>
    <x v="1"/>
    <x v="0"/>
    <x v="1"/>
    <n v="0"/>
  </r>
  <r>
    <x v="12"/>
    <x v="1"/>
    <x v="0"/>
    <n v="828"/>
    <x v="0"/>
    <n v="2"/>
    <x v="1"/>
    <x v="0"/>
    <x v="0"/>
    <n v="604"/>
    <x v="0"/>
    <x v="1"/>
    <n v="77"/>
    <x v="0"/>
    <x v="0"/>
    <x v="0"/>
    <x v="0"/>
    <x v="0"/>
    <x v="437"/>
    <n v="8346"/>
    <n v="4"/>
    <s v="Y"/>
    <x v="0"/>
    <n v="13"/>
    <x v="0"/>
    <x v="3"/>
    <n v="80"/>
    <n v="0"/>
    <n v="10"/>
    <n v="2"/>
    <x v="3"/>
    <x v="0"/>
    <n v="5"/>
    <x v="0"/>
    <x v="0"/>
    <x v="1"/>
    <x v="0"/>
    <x v="0"/>
    <n v="0"/>
  </r>
  <r>
    <x v="19"/>
    <x v="1"/>
    <x v="0"/>
    <n v="319"/>
    <x v="1"/>
    <n v="24"/>
    <x v="3"/>
    <x v="2"/>
    <x v="0"/>
    <n v="605"/>
    <x v="2"/>
    <x v="1"/>
    <n v="56"/>
    <x v="0"/>
    <x v="2"/>
    <x v="3"/>
    <x v="3"/>
    <x v="1"/>
    <x v="438"/>
    <n v="6950"/>
    <n v="1"/>
    <s v="Y"/>
    <x v="0"/>
    <n v="21"/>
    <x v="1"/>
    <x v="1"/>
    <n v="80"/>
    <n v="1"/>
    <n v="10"/>
    <n v="5"/>
    <x v="2"/>
    <x v="1"/>
    <n v="9"/>
    <x v="8"/>
    <x v="5"/>
    <x v="0"/>
    <x v="0"/>
    <x v="0"/>
    <n v="0"/>
  </r>
  <r>
    <x v="28"/>
    <x v="1"/>
    <x v="0"/>
    <n v="561"/>
    <x v="0"/>
    <n v="2"/>
    <x v="3"/>
    <x v="1"/>
    <x v="0"/>
    <n v="606"/>
    <x v="2"/>
    <x v="1"/>
    <n v="61"/>
    <x v="0"/>
    <x v="0"/>
    <x v="0"/>
    <x v="1"/>
    <x v="1"/>
    <x v="439"/>
    <n v="16177"/>
    <n v="0"/>
    <s v="Y"/>
    <x v="1"/>
    <n v="19"/>
    <x v="0"/>
    <x v="2"/>
    <n v="80"/>
    <n v="1"/>
    <n v="9"/>
    <n v="3"/>
    <x v="3"/>
    <x v="3"/>
    <n v="7"/>
    <x v="2"/>
    <x v="1"/>
    <x v="0"/>
    <x v="0"/>
    <x v="1"/>
    <n v="0"/>
  </r>
  <r>
    <x v="25"/>
    <x v="0"/>
    <x v="1"/>
    <n v="426"/>
    <x v="2"/>
    <n v="17"/>
    <x v="2"/>
    <x v="0"/>
    <x v="0"/>
    <n v="608"/>
    <x v="0"/>
    <x v="0"/>
    <n v="58"/>
    <x v="0"/>
    <x v="1"/>
    <x v="8"/>
    <x v="2"/>
    <x v="2"/>
    <x v="199"/>
    <n v="22808"/>
    <n v="0"/>
    <s v="Y"/>
    <x v="0"/>
    <n v="11"/>
    <x v="0"/>
    <x v="2"/>
    <n v="80"/>
    <n v="1"/>
    <n v="8"/>
    <n v="2"/>
    <x v="2"/>
    <x v="5"/>
    <n v="7"/>
    <x v="1"/>
    <x v="2"/>
    <x v="2"/>
    <x v="0"/>
    <x v="1"/>
    <n v="1"/>
  </r>
  <r>
    <x v="11"/>
    <x v="1"/>
    <x v="0"/>
    <n v="232"/>
    <x v="1"/>
    <n v="19"/>
    <x v="3"/>
    <x v="4"/>
    <x v="0"/>
    <n v="611"/>
    <x v="2"/>
    <x v="1"/>
    <n v="34"/>
    <x v="0"/>
    <x v="0"/>
    <x v="3"/>
    <x v="0"/>
    <x v="2"/>
    <x v="440"/>
    <n v="22645"/>
    <n v="4"/>
    <s v="Y"/>
    <x v="1"/>
    <n v="12"/>
    <x v="0"/>
    <x v="2"/>
    <n v="80"/>
    <n v="2"/>
    <n v="8"/>
    <n v="2"/>
    <x v="3"/>
    <x v="11"/>
    <n v="2"/>
    <x v="1"/>
    <x v="3"/>
    <x v="2"/>
    <x v="2"/>
    <x v="1"/>
    <n v="0"/>
  </r>
  <r>
    <x v="3"/>
    <x v="1"/>
    <x v="0"/>
    <n v="922"/>
    <x v="1"/>
    <n v="1"/>
    <x v="4"/>
    <x v="2"/>
    <x v="0"/>
    <n v="612"/>
    <x v="3"/>
    <x v="0"/>
    <n v="95"/>
    <x v="2"/>
    <x v="3"/>
    <x v="7"/>
    <x v="2"/>
    <x v="2"/>
    <x v="441"/>
    <n v="22578"/>
    <n v="4"/>
    <s v="Y"/>
    <x v="1"/>
    <n v="19"/>
    <x v="0"/>
    <x v="3"/>
    <n v="80"/>
    <n v="1"/>
    <n v="10"/>
    <n v="2"/>
    <x v="1"/>
    <x v="0"/>
    <n v="1"/>
    <x v="0"/>
    <x v="0"/>
    <x v="1"/>
    <x v="0"/>
    <x v="2"/>
    <n v="0"/>
  </r>
  <r>
    <x v="12"/>
    <x v="1"/>
    <x v="0"/>
    <n v="688"/>
    <x v="0"/>
    <n v="7"/>
    <x v="3"/>
    <x v="0"/>
    <x v="0"/>
    <n v="613"/>
    <x v="1"/>
    <x v="1"/>
    <n v="44"/>
    <x v="1"/>
    <x v="2"/>
    <x v="5"/>
    <x v="0"/>
    <x v="2"/>
    <x v="442"/>
    <n v="25291"/>
    <n v="9"/>
    <s v="Y"/>
    <x v="1"/>
    <n v="21"/>
    <x v="1"/>
    <x v="3"/>
    <n v="80"/>
    <n v="1"/>
    <n v="10"/>
    <n v="3"/>
    <x v="2"/>
    <x v="8"/>
    <n v="4"/>
    <x v="0"/>
    <x v="9"/>
    <x v="1"/>
    <x v="2"/>
    <x v="3"/>
    <n v="0"/>
  </r>
  <r>
    <x v="41"/>
    <x v="0"/>
    <x v="1"/>
    <n v="1306"/>
    <x v="0"/>
    <n v="5"/>
    <x v="3"/>
    <x v="3"/>
    <x v="0"/>
    <n v="614"/>
    <x v="0"/>
    <x v="1"/>
    <n v="69"/>
    <x v="0"/>
    <x v="1"/>
    <x v="6"/>
    <x v="1"/>
    <x v="0"/>
    <x v="443"/>
    <n v="8059"/>
    <n v="1"/>
    <s v="Y"/>
    <x v="0"/>
    <n v="14"/>
    <x v="0"/>
    <x v="1"/>
    <n v="80"/>
    <n v="0"/>
    <n v="0"/>
    <n v="3"/>
    <x v="1"/>
    <x v="2"/>
    <n v="0"/>
    <x v="0"/>
    <x v="2"/>
    <x v="4"/>
    <x v="1"/>
    <x v="1"/>
    <n v="1"/>
  </r>
  <r>
    <x v="32"/>
    <x v="1"/>
    <x v="2"/>
    <n v="1094"/>
    <x v="0"/>
    <n v="28"/>
    <x v="3"/>
    <x v="1"/>
    <x v="0"/>
    <n v="615"/>
    <x v="1"/>
    <x v="1"/>
    <n v="58"/>
    <x v="3"/>
    <x v="2"/>
    <x v="0"/>
    <x v="3"/>
    <x v="2"/>
    <x v="444"/>
    <n v="11373"/>
    <n v="3"/>
    <s v="Y"/>
    <x v="1"/>
    <n v="15"/>
    <x v="0"/>
    <x v="3"/>
    <n v="80"/>
    <n v="1"/>
    <n v="20"/>
    <n v="2"/>
    <x v="1"/>
    <x v="6"/>
    <n v="0"/>
    <x v="0"/>
    <x v="9"/>
    <x v="0"/>
    <x v="1"/>
    <x v="3"/>
    <n v="0"/>
  </r>
  <r>
    <x v="0"/>
    <x v="1"/>
    <x v="2"/>
    <n v="509"/>
    <x v="1"/>
    <n v="2"/>
    <x v="2"/>
    <x v="1"/>
    <x v="0"/>
    <n v="616"/>
    <x v="3"/>
    <x v="0"/>
    <n v="62"/>
    <x v="1"/>
    <x v="0"/>
    <x v="4"/>
    <x v="2"/>
    <x v="0"/>
    <x v="445"/>
    <n v="2112"/>
    <n v="2"/>
    <s v="Y"/>
    <x v="0"/>
    <n v="17"/>
    <x v="0"/>
    <x v="0"/>
    <n v="80"/>
    <n v="0"/>
    <n v="10"/>
    <n v="3"/>
    <x v="1"/>
    <x v="3"/>
    <n v="7"/>
    <x v="0"/>
    <x v="1"/>
    <x v="0"/>
    <x v="0"/>
    <x v="0"/>
    <n v="0"/>
  </r>
  <r>
    <x v="25"/>
    <x v="1"/>
    <x v="0"/>
    <n v="775"/>
    <x v="0"/>
    <n v="29"/>
    <x v="0"/>
    <x v="2"/>
    <x v="0"/>
    <n v="618"/>
    <x v="3"/>
    <x v="1"/>
    <n v="45"/>
    <x v="0"/>
    <x v="0"/>
    <x v="0"/>
    <x v="2"/>
    <x v="2"/>
    <x v="383"/>
    <n v="4267"/>
    <n v="5"/>
    <s v="Y"/>
    <x v="1"/>
    <n v="12"/>
    <x v="0"/>
    <x v="0"/>
    <n v="80"/>
    <n v="2"/>
    <n v="8"/>
    <n v="5"/>
    <x v="1"/>
    <x v="2"/>
    <n v="0"/>
    <x v="0"/>
    <x v="2"/>
    <x v="2"/>
    <x v="1"/>
    <x v="1"/>
    <n v="0"/>
  </r>
  <r>
    <x v="10"/>
    <x v="1"/>
    <x v="0"/>
    <n v="195"/>
    <x v="0"/>
    <n v="1"/>
    <x v="3"/>
    <x v="2"/>
    <x v="0"/>
    <n v="620"/>
    <x v="3"/>
    <x v="0"/>
    <n v="80"/>
    <x v="0"/>
    <x v="0"/>
    <x v="0"/>
    <x v="2"/>
    <x v="0"/>
    <x v="446"/>
    <n v="6698"/>
    <n v="1"/>
    <s v="Y"/>
    <x v="1"/>
    <n v="16"/>
    <x v="0"/>
    <x v="1"/>
    <n v="80"/>
    <n v="0"/>
    <n v="5"/>
    <n v="3"/>
    <x v="1"/>
    <x v="8"/>
    <n v="4"/>
    <x v="0"/>
    <x v="6"/>
    <x v="1"/>
    <x v="2"/>
    <x v="1"/>
    <n v="0"/>
  </r>
  <r>
    <x v="13"/>
    <x v="1"/>
    <x v="0"/>
    <n v="258"/>
    <x v="0"/>
    <n v="21"/>
    <x v="2"/>
    <x v="0"/>
    <x v="0"/>
    <n v="621"/>
    <x v="2"/>
    <x v="1"/>
    <n v="74"/>
    <x v="2"/>
    <x v="0"/>
    <x v="0"/>
    <x v="0"/>
    <x v="0"/>
    <x v="447"/>
    <n v="19921"/>
    <n v="1"/>
    <s v="Y"/>
    <x v="1"/>
    <n v="12"/>
    <x v="0"/>
    <x v="1"/>
    <n v="80"/>
    <n v="0"/>
    <n v="10"/>
    <n v="3"/>
    <x v="1"/>
    <x v="1"/>
    <n v="7"/>
    <x v="8"/>
    <x v="1"/>
    <x v="1"/>
    <x v="0"/>
    <x v="0"/>
    <n v="0"/>
  </r>
  <r>
    <x v="25"/>
    <x v="0"/>
    <x v="0"/>
    <n v="471"/>
    <x v="1"/>
    <n v="24"/>
    <x v="3"/>
    <x v="4"/>
    <x v="0"/>
    <n v="622"/>
    <x v="1"/>
    <x v="1"/>
    <n v="66"/>
    <x v="3"/>
    <x v="1"/>
    <x v="2"/>
    <x v="0"/>
    <x v="0"/>
    <x v="246"/>
    <n v="23213"/>
    <n v="1"/>
    <s v="Y"/>
    <x v="0"/>
    <n v="18"/>
    <x v="0"/>
    <x v="2"/>
    <n v="80"/>
    <n v="0"/>
    <n v="1"/>
    <n v="3"/>
    <x v="0"/>
    <x v="6"/>
    <n v="0"/>
    <x v="0"/>
    <x v="2"/>
    <x v="2"/>
    <x v="1"/>
    <x v="1"/>
    <n v="1"/>
  </r>
  <r>
    <x v="2"/>
    <x v="1"/>
    <x v="0"/>
    <n v="799"/>
    <x v="1"/>
    <n v="1"/>
    <x v="3"/>
    <x v="4"/>
    <x v="0"/>
    <n v="623"/>
    <x v="0"/>
    <x v="0"/>
    <n v="59"/>
    <x v="0"/>
    <x v="2"/>
    <x v="3"/>
    <x v="0"/>
    <x v="0"/>
    <x v="448"/>
    <n v="23848"/>
    <n v="4"/>
    <s v="Y"/>
    <x v="1"/>
    <n v="17"/>
    <x v="0"/>
    <x v="1"/>
    <n v="80"/>
    <n v="0"/>
    <n v="12"/>
    <n v="3"/>
    <x v="3"/>
    <x v="0"/>
    <n v="5"/>
    <x v="1"/>
    <x v="3"/>
    <x v="1"/>
    <x v="0"/>
    <x v="0"/>
    <n v="0"/>
  </r>
  <r>
    <x v="21"/>
    <x v="1"/>
    <x v="1"/>
    <n v="1034"/>
    <x v="1"/>
    <n v="18"/>
    <x v="1"/>
    <x v="2"/>
    <x v="0"/>
    <n v="624"/>
    <x v="3"/>
    <x v="0"/>
    <n v="86"/>
    <x v="0"/>
    <x v="2"/>
    <x v="4"/>
    <x v="2"/>
    <x v="1"/>
    <x v="449"/>
    <n v="8984"/>
    <n v="5"/>
    <s v="Y"/>
    <x v="1"/>
    <n v="11"/>
    <x v="0"/>
    <x v="1"/>
    <n v="80"/>
    <n v="0"/>
    <n v="28"/>
    <n v="3"/>
    <x v="2"/>
    <x v="4"/>
    <n v="2"/>
    <x v="1"/>
    <x v="3"/>
    <x v="0"/>
    <x v="1"/>
    <x v="3"/>
    <n v="0"/>
  </r>
  <r>
    <x v="0"/>
    <x v="1"/>
    <x v="0"/>
    <n v="1276"/>
    <x v="0"/>
    <n v="2"/>
    <x v="4"/>
    <x v="0"/>
    <x v="0"/>
    <n v="625"/>
    <x v="0"/>
    <x v="0"/>
    <n v="91"/>
    <x v="0"/>
    <x v="3"/>
    <x v="5"/>
    <x v="3"/>
    <x v="1"/>
    <x v="450"/>
    <n v="5626"/>
    <n v="7"/>
    <s v="Y"/>
    <x v="1"/>
    <n v="16"/>
    <x v="0"/>
    <x v="2"/>
    <n v="80"/>
    <n v="1"/>
    <n v="22"/>
    <n v="2"/>
    <x v="1"/>
    <x v="29"/>
    <n v="16"/>
    <x v="14"/>
    <x v="5"/>
    <x v="0"/>
    <x v="3"/>
    <x v="2"/>
    <n v="0"/>
  </r>
  <r>
    <x v="2"/>
    <x v="1"/>
    <x v="2"/>
    <n v="142"/>
    <x v="0"/>
    <n v="9"/>
    <x v="2"/>
    <x v="2"/>
    <x v="0"/>
    <n v="626"/>
    <x v="3"/>
    <x v="1"/>
    <n v="69"/>
    <x v="0"/>
    <x v="2"/>
    <x v="0"/>
    <x v="1"/>
    <x v="2"/>
    <x v="451"/>
    <n v="24666"/>
    <n v="1"/>
    <s v="Y"/>
    <x v="1"/>
    <n v="13"/>
    <x v="0"/>
    <x v="1"/>
    <n v="80"/>
    <n v="1"/>
    <n v="9"/>
    <n v="6"/>
    <x v="1"/>
    <x v="7"/>
    <n v="5"/>
    <x v="4"/>
    <x v="1"/>
    <x v="1"/>
    <x v="0"/>
    <x v="0"/>
    <n v="0"/>
  </r>
  <r>
    <x v="39"/>
    <x v="1"/>
    <x v="0"/>
    <n v="956"/>
    <x v="1"/>
    <n v="6"/>
    <x v="0"/>
    <x v="4"/>
    <x v="0"/>
    <n v="630"/>
    <x v="2"/>
    <x v="1"/>
    <n v="78"/>
    <x v="0"/>
    <x v="0"/>
    <x v="1"/>
    <x v="3"/>
    <x v="2"/>
    <x v="452"/>
    <n v="22087"/>
    <n v="3"/>
    <s v="Y"/>
    <x v="0"/>
    <n v="12"/>
    <x v="0"/>
    <x v="2"/>
    <n v="80"/>
    <n v="2"/>
    <n v="18"/>
    <n v="3"/>
    <x v="1"/>
    <x v="1"/>
    <n v="9"/>
    <x v="7"/>
    <x v="12"/>
    <x v="3"/>
    <x v="0"/>
    <x v="0"/>
    <n v="0"/>
  </r>
  <r>
    <x v="5"/>
    <x v="0"/>
    <x v="2"/>
    <n v="1474"/>
    <x v="0"/>
    <n v="11"/>
    <x v="2"/>
    <x v="1"/>
    <x v="0"/>
    <n v="631"/>
    <x v="2"/>
    <x v="1"/>
    <n v="60"/>
    <x v="2"/>
    <x v="0"/>
    <x v="0"/>
    <x v="2"/>
    <x v="1"/>
    <x v="453"/>
    <n v="23914"/>
    <n v="8"/>
    <s v="Y"/>
    <x v="1"/>
    <n v="12"/>
    <x v="0"/>
    <x v="1"/>
    <n v="80"/>
    <n v="0"/>
    <n v="6"/>
    <n v="2"/>
    <x v="1"/>
    <x v="9"/>
    <n v="2"/>
    <x v="1"/>
    <x v="3"/>
    <x v="1"/>
    <x v="2"/>
    <x v="1"/>
    <n v="1"/>
  </r>
  <r>
    <x v="17"/>
    <x v="1"/>
    <x v="1"/>
    <n v="535"/>
    <x v="0"/>
    <n v="24"/>
    <x v="3"/>
    <x v="2"/>
    <x v="0"/>
    <n v="632"/>
    <x v="2"/>
    <x v="1"/>
    <n v="38"/>
    <x v="0"/>
    <x v="1"/>
    <x v="6"/>
    <x v="0"/>
    <x v="1"/>
    <x v="454"/>
    <n v="5530"/>
    <n v="0"/>
    <s v="Y"/>
    <x v="1"/>
    <n v="13"/>
    <x v="0"/>
    <x v="3"/>
    <n v="80"/>
    <n v="2"/>
    <n v="3"/>
    <n v="3"/>
    <x v="1"/>
    <x v="4"/>
    <n v="2"/>
    <x v="3"/>
    <x v="9"/>
    <x v="2"/>
    <x v="1"/>
    <x v="1"/>
    <n v="0"/>
  </r>
  <r>
    <x v="8"/>
    <x v="1"/>
    <x v="0"/>
    <n v="1495"/>
    <x v="1"/>
    <n v="10"/>
    <x v="3"/>
    <x v="2"/>
    <x v="0"/>
    <n v="634"/>
    <x v="1"/>
    <x v="0"/>
    <n v="76"/>
    <x v="0"/>
    <x v="0"/>
    <x v="4"/>
    <x v="2"/>
    <x v="1"/>
    <x v="427"/>
    <n v="22174"/>
    <n v="3"/>
    <s v="Y"/>
    <x v="1"/>
    <n v="19"/>
    <x v="0"/>
    <x v="3"/>
    <n v="80"/>
    <n v="1"/>
    <n v="18"/>
    <n v="4"/>
    <x v="1"/>
    <x v="6"/>
    <n v="0"/>
    <x v="0"/>
    <x v="2"/>
    <x v="1"/>
    <x v="1"/>
    <x v="0"/>
    <n v="0"/>
  </r>
  <r>
    <x v="2"/>
    <x v="1"/>
    <x v="0"/>
    <n v="446"/>
    <x v="1"/>
    <n v="1"/>
    <x v="2"/>
    <x v="0"/>
    <x v="0"/>
    <n v="635"/>
    <x v="0"/>
    <x v="0"/>
    <n v="65"/>
    <x v="0"/>
    <x v="0"/>
    <x v="3"/>
    <x v="1"/>
    <x v="1"/>
    <x v="455"/>
    <n v="15701"/>
    <n v="6"/>
    <s v="Y"/>
    <x v="1"/>
    <n v="12"/>
    <x v="0"/>
    <x v="2"/>
    <n v="80"/>
    <n v="1"/>
    <n v="8"/>
    <n v="2"/>
    <x v="2"/>
    <x v="0"/>
    <n v="5"/>
    <x v="5"/>
    <x v="6"/>
    <x v="1"/>
    <x v="0"/>
    <x v="0"/>
    <n v="0"/>
  </r>
  <r>
    <x v="1"/>
    <x v="1"/>
    <x v="0"/>
    <n v="1245"/>
    <x v="1"/>
    <n v="18"/>
    <x v="2"/>
    <x v="0"/>
    <x v="0"/>
    <n v="638"/>
    <x v="2"/>
    <x v="1"/>
    <n v="58"/>
    <x v="1"/>
    <x v="4"/>
    <x v="7"/>
    <x v="2"/>
    <x v="2"/>
    <x v="456"/>
    <n v="2125"/>
    <n v="1"/>
    <s v="Y"/>
    <x v="0"/>
    <n v="17"/>
    <x v="0"/>
    <x v="3"/>
    <n v="80"/>
    <n v="1"/>
    <n v="31"/>
    <n v="5"/>
    <x v="1"/>
    <x v="31"/>
    <n v="9"/>
    <x v="0"/>
    <x v="12"/>
    <x v="0"/>
    <x v="3"/>
    <x v="2"/>
    <n v="0"/>
  </r>
  <r>
    <x v="17"/>
    <x v="1"/>
    <x v="0"/>
    <n v="691"/>
    <x v="1"/>
    <n v="23"/>
    <x v="3"/>
    <x v="2"/>
    <x v="0"/>
    <n v="639"/>
    <x v="0"/>
    <x v="1"/>
    <n v="89"/>
    <x v="2"/>
    <x v="1"/>
    <x v="1"/>
    <x v="0"/>
    <x v="1"/>
    <x v="457"/>
    <n v="21630"/>
    <n v="1"/>
    <s v="Y"/>
    <x v="0"/>
    <n v="11"/>
    <x v="0"/>
    <x v="2"/>
    <n v="80"/>
    <n v="2"/>
    <n v="6"/>
    <n v="3"/>
    <x v="1"/>
    <x v="0"/>
    <n v="5"/>
    <x v="1"/>
    <x v="10"/>
    <x v="2"/>
    <x v="0"/>
    <x v="1"/>
    <n v="0"/>
  </r>
  <r>
    <x v="25"/>
    <x v="1"/>
    <x v="0"/>
    <n v="703"/>
    <x v="0"/>
    <n v="28"/>
    <x v="0"/>
    <x v="3"/>
    <x v="0"/>
    <n v="641"/>
    <x v="3"/>
    <x v="1"/>
    <n v="66"/>
    <x v="0"/>
    <x v="0"/>
    <x v="0"/>
    <x v="1"/>
    <x v="1"/>
    <x v="458"/>
    <n v="7428"/>
    <n v="1"/>
    <s v="Y"/>
    <x v="1"/>
    <n v="20"/>
    <x v="1"/>
    <x v="1"/>
    <n v="80"/>
    <n v="2"/>
    <n v="6"/>
    <n v="5"/>
    <x v="3"/>
    <x v="8"/>
    <n v="3"/>
    <x v="1"/>
    <x v="10"/>
    <x v="2"/>
    <x v="2"/>
    <x v="0"/>
    <n v="0"/>
  </r>
  <r>
    <x v="17"/>
    <x v="1"/>
    <x v="0"/>
    <n v="823"/>
    <x v="1"/>
    <n v="17"/>
    <x v="0"/>
    <x v="1"/>
    <x v="0"/>
    <n v="643"/>
    <x v="2"/>
    <x v="1"/>
    <n v="94"/>
    <x v="1"/>
    <x v="1"/>
    <x v="2"/>
    <x v="1"/>
    <x v="1"/>
    <x v="459"/>
    <n v="9100"/>
    <n v="1"/>
    <s v="Y"/>
    <x v="1"/>
    <n v="21"/>
    <x v="1"/>
    <x v="1"/>
    <n v="80"/>
    <n v="1"/>
    <n v="1"/>
    <n v="2"/>
    <x v="1"/>
    <x v="6"/>
    <n v="0"/>
    <x v="0"/>
    <x v="2"/>
    <x v="2"/>
    <x v="1"/>
    <x v="1"/>
    <n v="0"/>
  </r>
  <r>
    <x v="24"/>
    <x v="1"/>
    <x v="1"/>
    <n v="1246"/>
    <x v="2"/>
    <n v="3"/>
    <x v="3"/>
    <x v="2"/>
    <x v="0"/>
    <n v="644"/>
    <x v="3"/>
    <x v="1"/>
    <n v="99"/>
    <x v="0"/>
    <x v="4"/>
    <x v="5"/>
    <x v="1"/>
    <x v="1"/>
    <x v="460"/>
    <n v="7999"/>
    <n v="1"/>
    <s v="Y"/>
    <x v="1"/>
    <n v="11"/>
    <x v="0"/>
    <x v="3"/>
    <n v="80"/>
    <n v="1"/>
    <n v="32"/>
    <n v="2"/>
    <x v="1"/>
    <x v="32"/>
    <n v="5"/>
    <x v="13"/>
    <x v="1"/>
    <x v="3"/>
    <x v="3"/>
    <x v="2"/>
    <n v="0"/>
  </r>
  <r>
    <x v="36"/>
    <x v="1"/>
    <x v="0"/>
    <n v="622"/>
    <x v="0"/>
    <n v="13"/>
    <x v="1"/>
    <x v="2"/>
    <x v="0"/>
    <n v="645"/>
    <x v="0"/>
    <x v="1"/>
    <n v="40"/>
    <x v="0"/>
    <x v="1"/>
    <x v="6"/>
    <x v="2"/>
    <x v="1"/>
    <x v="461"/>
    <n v="26376"/>
    <n v="1"/>
    <s v="Y"/>
    <x v="1"/>
    <n v="11"/>
    <x v="0"/>
    <x v="3"/>
    <n v="80"/>
    <n v="0"/>
    <n v="7"/>
    <n v="1"/>
    <x v="1"/>
    <x v="5"/>
    <n v="4"/>
    <x v="0"/>
    <x v="4"/>
    <x v="2"/>
    <x v="0"/>
    <x v="1"/>
    <n v="0"/>
  </r>
  <r>
    <x v="17"/>
    <x v="0"/>
    <x v="1"/>
    <n v="1287"/>
    <x v="1"/>
    <n v="7"/>
    <x v="3"/>
    <x v="0"/>
    <x v="0"/>
    <n v="647"/>
    <x v="3"/>
    <x v="0"/>
    <n v="55"/>
    <x v="0"/>
    <x v="1"/>
    <x v="2"/>
    <x v="2"/>
    <x v="1"/>
    <x v="407"/>
    <n v="14168"/>
    <n v="1"/>
    <s v="Y"/>
    <x v="0"/>
    <n v="16"/>
    <x v="0"/>
    <x v="1"/>
    <n v="80"/>
    <n v="1"/>
    <n v="6"/>
    <n v="4"/>
    <x v="1"/>
    <x v="0"/>
    <n v="3"/>
    <x v="1"/>
    <x v="3"/>
    <x v="2"/>
    <x v="0"/>
    <x v="1"/>
    <n v="1"/>
  </r>
  <r>
    <x v="7"/>
    <x v="0"/>
    <x v="1"/>
    <n v="448"/>
    <x v="0"/>
    <n v="12"/>
    <x v="2"/>
    <x v="0"/>
    <x v="0"/>
    <n v="648"/>
    <x v="0"/>
    <x v="1"/>
    <n v="74"/>
    <x v="1"/>
    <x v="1"/>
    <x v="6"/>
    <x v="3"/>
    <x v="1"/>
    <x v="462"/>
    <n v="14470"/>
    <n v="1"/>
    <s v="Y"/>
    <x v="1"/>
    <n v="18"/>
    <x v="0"/>
    <x v="3"/>
    <n v="80"/>
    <n v="1"/>
    <n v="1"/>
    <n v="2"/>
    <x v="3"/>
    <x v="6"/>
    <n v="0"/>
    <x v="0"/>
    <x v="2"/>
    <x v="1"/>
    <x v="1"/>
    <x v="1"/>
    <n v="1"/>
  </r>
  <r>
    <x v="13"/>
    <x v="1"/>
    <x v="0"/>
    <n v="254"/>
    <x v="1"/>
    <n v="1"/>
    <x v="0"/>
    <x v="0"/>
    <x v="0"/>
    <n v="649"/>
    <x v="0"/>
    <x v="1"/>
    <n v="83"/>
    <x v="1"/>
    <x v="1"/>
    <x v="1"/>
    <x v="0"/>
    <x v="1"/>
    <x v="463"/>
    <n v="22794"/>
    <n v="1"/>
    <s v="Y"/>
    <x v="0"/>
    <n v="13"/>
    <x v="0"/>
    <x v="1"/>
    <n v="80"/>
    <n v="1"/>
    <n v="6"/>
    <n v="3"/>
    <x v="1"/>
    <x v="0"/>
    <n v="5"/>
    <x v="1"/>
    <x v="6"/>
    <x v="1"/>
    <x v="0"/>
    <x v="1"/>
    <n v="0"/>
  </r>
  <r>
    <x v="12"/>
    <x v="0"/>
    <x v="0"/>
    <n v="1365"/>
    <x v="0"/>
    <n v="13"/>
    <x v="2"/>
    <x v="2"/>
    <x v="0"/>
    <n v="650"/>
    <x v="0"/>
    <x v="1"/>
    <n v="46"/>
    <x v="0"/>
    <x v="0"/>
    <x v="0"/>
    <x v="3"/>
    <x v="2"/>
    <x v="464"/>
    <n v="11512"/>
    <n v="2"/>
    <s v="Y"/>
    <x v="1"/>
    <n v="17"/>
    <x v="0"/>
    <x v="3"/>
    <n v="80"/>
    <n v="0"/>
    <n v="9"/>
    <n v="2"/>
    <x v="0"/>
    <x v="11"/>
    <n v="1"/>
    <x v="1"/>
    <x v="3"/>
    <x v="1"/>
    <x v="2"/>
    <x v="1"/>
    <n v="1"/>
  </r>
  <r>
    <x v="10"/>
    <x v="1"/>
    <x v="0"/>
    <n v="538"/>
    <x v="1"/>
    <n v="25"/>
    <x v="0"/>
    <x v="1"/>
    <x v="0"/>
    <n v="652"/>
    <x v="3"/>
    <x v="1"/>
    <n v="54"/>
    <x v="1"/>
    <x v="0"/>
    <x v="2"/>
    <x v="0"/>
    <x v="0"/>
    <x v="465"/>
    <n v="14004"/>
    <n v="4"/>
    <s v="Y"/>
    <x v="1"/>
    <n v="14"/>
    <x v="0"/>
    <x v="1"/>
    <n v="80"/>
    <n v="0"/>
    <n v="9"/>
    <n v="3"/>
    <x v="1"/>
    <x v="11"/>
    <n v="2"/>
    <x v="0"/>
    <x v="3"/>
    <x v="1"/>
    <x v="2"/>
    <x v="1"/>
    <n v="0"/>
  </r>
  <r>
    <x v="12"/>
    <x v="1"/>
    <x v="0"/>
    <n v="525"/>
    <x v="0"/>
    <n v="6"/>
    <x v="2"/>
    <x v="2"/>
    <x v="0"/>
    <n v="653"/>
    <x v="3"/>
    <x v="1"/>
    <n v="66"/>
    <x v="2"/>
    <x v="0"/>
    <x v="0"/>
    <x v="0"/>
    <x v="2"/>
    <x v="466"/>
    <n v="6219"/>
    <n v="4"/>
    <s v="Y"/>
    <x v="1"/>
    <n v="22"/>
    <x v="1"/>
    <x v="1"/>
    <n v="80"/>
    <n v="2"/>
    <n v="13"/>
    <n v="4"/>
    <x v="3"/>
    <x v="5"/>
    <n v="7"/>
    <x v="8"/>
    <x v="1"/>
    <x v="1"/>
    <x v="0"/>
    <x v="0"/>
    <n v="0"/>
  </r>
  <r>
    <x v="4"/>
    <x v="1"/>
    <x v="0"/>
    <n v="798"/>
    <x v="1"/>
    <n v="6"/>
    <x v="2"/>
    <x v="2"/>
    <x v="0"/>
    <n v="655"/>
    <x v="3"/>
    <x v="0"/>
    <n v="66"/>
    <x v="1"/>
    <x v="1"/>
    <x v="1"/>
    <x v="2"/>
    <x v="2"/>
    <x v="467"/>
    <n v="5013"/>
    <n v="0"/>
    <s v="Y"/>
    <x v="1"/>
    <n v="12"/>
    <x v="0"/>
    <x v="3"/>
    <n v="80"/>
    <n v="2"/>
    <n v="6"/>
    <n v="5"/>
    <x v="2"/>
    <x v="8"/>
    <n v="3"/>
    <x v="0"/>
    <x v="6"/>
    <x v="2"/>
    <x v="2"/>
    <x v="1"/>
    <n v="0"/>
  </r>
  <r>
    <x v="2"/>
    <x v="1"/>
    <x v="0"/>
    <n v="558"/>
    <x v="0"/>
    <n v="2"/>
    <x v="3"/>
    <x v="3"/>
    <x v="0"/>
    <n v="656"/>
    <x v="2"/>
    <x v="1"/>
    <n v="75"/>
    <x v="0"/>
    <x v="0"/>
    <x v="0"/>
    <x v="2"/>
    <x v="1"/>
    <x v="468"/>
    <n v="3010"/>
    <n v="4"/>
    <s v="Y"/>
    <x v="0"/>
    <n v="11"/>
    <x v="0"/>
    <x v="3"/>
    <n v="80"/>
    <n v="1"/>
    <n v="17"/>
    <n v="3"/>
    <x v="2"/>
    <x v="11"/>
    <n v="0"/>
    <x v="1"/>
    <x v="2"/>
    <x v="1"/>
    <x v="2"/>
    <x v="0"/>
    <n v="0"/>
  </r>
  <r>
    <x v="35"/>
    <x v="1"/>
    <x v="0"/>
    <n v="959"/>
    <x v="1"/>
    <n v="1"/>
    <x v="3"/>
    <x v="0"/>
    <x v="0"/>
    <n v="657"/>
    <x v="2"/>
    <x v="0"/>
    <n v="83"/>
    <x v="1"/>
    <x v="1"/>
    <x v="1"/>
    <x v="1"/>
    <x v="0"/>
    <x v="469"/>
    <n v="11757"/>
    <n v="1"/>
    <s v="Y"/>
    <x v="1"/>
    <n v="13"/>
    <x v="0"/>
    <x v="1"/>
    <n v="80"/>
    <n v="0"/>
    <n v="1"/>
    <n v="0"/>
    <x v="3"/>
    <x v="6"/>
    <n v="0"/>
    <x v="0"/>
    <x v="2"/>
    <x v="2"/>
    <x v="1"/>
    <x v="1"/>
    <n v="0"/>
  </r>
  <r>
    <x v="19"/>
    <x v="1"/>
    <x v="0"/>
    <n v="622"/>
    <x v="1"/>
    <n v="2"/>
    <x v="2"/>
    <x v="0"/>
    <x v="0"/>
    <n v="659"/>
    <x v="1"/>
    <x v="0"/>
    <n v="81"/>
    <x v="0"/>
    <x v="0"/>
    <x v="4"/>
    <x v="0"/>
    <x v="1"/>
    <x v="470"/>
    <n v="5718"/>
    <n v="1"/>
    <s v="Y"/>
    <x v="1"/>
    <n v="13"/>
    <x v="0"/>
    <x v="2"/>
    <n v="80"/>
    <n v="2"/>
    <n v="10"/>
    <n v="4"/>
    <x v="1"/>
    <x v="1"/>
    <n v="2"/>
    <x v="3"/>
    <x v="3"/>
    <x v="0"/>
    <x v="0"/>
    <x v="1"/>
    <n v="0"/>
  </r>
  <r>
    <x v="23"/>
    <x v="1"/>
    <x v="0"/>
    <n v="782"/>
    <x v="1"/>
    <n v="6"/>
    <x v="2"/>
    <x v="1"/>
    <x v="0"/>
    <n v="661"/>
    <x v="0"/>
    <x v="1"/>
    <n v="50"/>
    <x v="1"/>
    <x v="3"/>
    <x v="7"/>
    <x v="0"/>
    <x v="2"/>
    <x v="471"/>
    <n v="2671"/>
    <n v="4"/>
    <s v="Y"/>
    <x v="0"/>
    <n v="14"/>
    <x v="0"/>
    <x v="3"/>
    <n v="80"/>
    <n v="1"/>
    <n v="21"/>
    <n v="3"/>
    <x v="2"/>
    <x v="6"/>
    <n v="0"/>
    <x v="0"/>
    <x v="2"/>
    <x v="0"/>
    <x v="1"/>
    <x v="2"/>
    <n v="0"/>
  </r>
  <r>
    <x v="8"/>
    <x v="1"/>
    <x v="0"/>
    <n v="362"/>
    <x v="1"/>
    <n v="1"/>
    <x v="1"/>
    <x v="0"/>
    <x v="0"/>
    <n v="662"/>
    <x v="1"/>
    <x v="0"/>
    <n v="43"/>
    <x v="0"/>
    <x v="1"/>
    <x v="1"/>
    <x v="3"/>
    <x v="0"/>
    <x v="472"/>
    <n v="14561"/>
    <n v="3"/>
    <s v="Y"/>
    <x v="1"/>
    <n v="17"/>
    <x v="0"/>
    <x v="1"/>
    <n v="80"/>
    <n v="0"/>
    <n v="8"/>
    <n v="3"/>
    <x v="2"/>
    <x v="2"/>
    <n v="0"/>
    <x v="0"/>
    <x v="2"/>
    <x v="1"/>
    <x v="1"/>
    <x v="1"/>
    <n v="0"/>
  </r>
  <r>
    <x v="23"/>
    <x v="1"/>
    <x v="1"/>
    <n v="1001"/>
    <x v="1"/>
    <n v="9"/>
    <x v="4"/>
    <x v="2"/>
    <x v="0"/>
    <n v="663"/>
    <x v="2"/>
    <x v="1"/>
    <n v="72"/>
    <x v="0"/>
    <x v="0"/>
    <x v="2"/>
    <x v="2"/>
    <x v="2"/>
    <x v="473"/>
    <n v="19627"/>
    <n v="3"/>
    <s v="Y"/>
    <x v="0"/>
    <n v="13"/>
    <x v="0"/>
    <x v="2"/>
    <n v="80"/>
    <n v="1"/>
    <n v="10"/>
    <n v="3"/>
    <x v="1"/>
    <x v="3"/>
    <n v="7"/>
    <x v="5"/>
    <x v="1"/>
    <x v="0"/>
    <x v="0"/>
    <x v="0"/>
    <n v="0"/>
  </r>
  <r>
    <x v="26"/>
    <x v="1"/>
    <x v="0"/>
    <n v="1236"/>
    <x v="1"/>
    <n v="1"/>
    <x v="2"/>
    <x v="0"/>
    <x v="0"/>
    <n v="664"/>
    <x v="2"/>
    <x v="0"/>
    <n v="40"/>
    <x v="1"/>
    <x v="3"/>
    <x v="5"/>
    <x v="3"/>
    <x v="1"/>
    <x v="474"/>
    <n v="17997"/>
    <n v="7"/>
    <s v="Y"/>
    <x v="1"/>
    <n v="11"/>
    <x v="0"/>
    <x v="0"/>
    <n v="80"/>
    <n v="1"/>
    <n v="21"/>
    <n v="3"/>
    <x v="0"/>
    <x v="11"/>
    <n v="2"/>
    <x v="0"/>
    <x v="3"/>
    <x v="0"/>
    <x v="2"/>
    <x v="2"/>
    <n v="0"/>
  </r>
  <r>
    <x v="20"/>
    <x v="1"/>
    <x v="0"/>
    <n v="1112"/>
    <x v="2"/>
    <n v="1"/>
    <x v="2"/>
    <x v="0"/>
    <x v="0"/>
    <n v="665"/>
    <x v="3"/>
    <x v="0"/>
    <n v="50"/>
    <x v="1"/>
    <x v="0"/>
    <x v="8"/>
    <x v="2"/>
    <x v="0"/>
    <x v="475"/>
    <n v="26894"/>
    <n v="4"/>
    <s v="Y"/>
    <x v="1"/>
    <n v="11"/>
    <x v="0"/>
    <x v="2"/>
    <n v="80"/>
    <n v="0"/>
    <n v="10"/>
    <n v="1"/>
    <x v="3"/>
    <x v="4"/>
    <n v="2"/>
    <x v="0"/>
    <x v="3"/>
    <x v="0"/>
    <x v="1"/>
    <x v="0"/>
    <n v="0"/>
  </r>
  <r>
    <x v="13"/>
    <x v="1"/>
    <x v="0"/>
    <n v="204"/>
    <x v="0"/>
    <n v="14"/>
    <x v="3"/>
    <x v="4"/>
    <x v="0"/>
    <n v="666"/>
    <x v="1"/>
    <x v="0"/>
    <n v="31"/>
    <x v="0"/>
    <x v="1"/>
    <x v="6"/>
    <x v="2"/>
    <x v="2"/>
    <x v="476"/>
    <n v="2912"/>
    <n v="1"/>
    <s v="Y"/>
    <x v="0"/>
    <n v="18"/>
    <x v="0"/>
    <x v="1"/>
    <n v="80"/>
    <n v="2"/>
    <n v="8"/>
    <n v="3"/>
    <x v="1"/>
    <x v="3"/>
    <n v="2"/>
    <x v="0"/>
    <x v="4"/>
    <x v="1"/>
    <x v="0"/>
    <x v="1"/>
    <n v="0"/>
  </r>
  <r>
    <x v="4"/>
    <x v="0"/>
    <x v="0"/>
    <n v="1420"/>
    <x v="0"/>
    <n v="2"/>
    <x v="1"/>
    <x v="3"/>
    <x v="0"/>
    <n v="667"/>
    <x v="1"/>
    <x v="1"/>
    <n v="85"/>
    <x v="0"/>
    <x v="1"/>
    <x v="6"/>
    <x v="3"/>
    <x v="2"/>
    <x v="477"/>
    <n v="16346"/>
    <n v="0"/>
    <s v="Y"/>
    <x v="1"/>
    <n v="11"/>
    <x v="0"/>
    <x v="2"/>
    <n v="80"/>
    <n v="1"/>
    <n v="5"/>
    <n v="3"/>
    <x v="1"/>
    <x v="9"/>
    <n v="3"/>
    <x v="0"/>
    <x v="3"/>
    <x v="2"/>
    <x v="2"/>
    <x v="1"/>
    <n v="1"/>
  </r>
  <r>
    <x v="18"/>
    <x v="1"/>
    <x v="0"/>
    <n v="1343"/>
    <x v="0"/>
    <n v="22"/>
    <x v="1"/>
    <x v="4"/>
    <x v="0"/>
    <n v="669"/>
    <x v="1"/>
    <x v="1"/>
    <n v="49"/>
    <x v="0"/>
    <x v="1"/>
    <x v="6"/>
    <x v="2"/>
    <x v="0"/>
    <x v="478"/>
    <n v="24444"/>
    <n v="1"/>
    <s v="Y"/>
    <x v="1"/>
    <n v="11"/>
    <x v="0"/>
    <x v="3"/>
    <n v="80"/>
    <n v="0"/>
    <n v="3"/>
    <n v="2"/>
    <x v="1"/>
    <x v="11"/>
    <n v="2"/>
    <x v="1"/>
    <x v="3"/>
    <x v="2"/>
    <x v="2"/>
    <x v="1"/>
    <n v="0"/>
  </r>
  <r>
    <x v="20"/>
    <x v="1"/>
    <x v="0"/>
    <n v="1315"/>
    <x v="1"/>
    <n v="3"/>
    <x v="2"/>
    <x v="1"/>
    <x v="0"/>
    <n v="671"/>
    <x v="2"/>
    <x v="1"/>
    <n v="35"/>
    <x v="0"/>
    <x v="4"/>
    <x v="5"/>
    <x v="0"/>
    <x v="1"/>
    <x v="479"/>
    <n v="9358"/>
    <n v="4"/>
    <s v="Y"/>
    <x v="0"/>
    <n v="12"/>
    <x v="0"/>
    <x v="0"/>
    <n v="80"/>
    <n v="1"/>
    <n v="26"/>
    <n v="2"/>
    <x v="3"/>
    <x v="4"/>
    <n v="2"/>
    <x v="0"/>
    <x v="9"/>
    <x v="0"/>
    <x v="1"/>
    <x v="2"/>
    <n v="0"/>
  </r>
  <r>
    <x v="15"/>
    <x v="1"/>
    <x v="0"/>
    <n v="604"/>
    <x v="1"/>
    <n v="6"/>
    <x v="1"/>
    <x v="2"/>
    <x v="0"/>
    <n v="675"/>
    <x v="3"/>
    <x v="1"/>
    <n v="69"/>
    <x v="0"/>
    <x v="1"/>
    <x v="1"/>
    <x v="2"/>
    <x v="1"/>
    <x v="480"/>
    <n v="12145"/>
    <n v="0"/>
    <s v="Y"/>
    <x v="1"/>
    <n v="20"/>
    <x v="1"/>
    <x v="1"/>
    <n v="80"/>
    <n v="0"/>
    <n v="3"/>
    <n v="3"/>
    <x v="1"/>
    <x v="4"/>
    <n v="2"/>
    <x v="3"/>
    <x v="3"/>
    <x v="2"/>
    <x v="1"/>
    <x v="1"/>
    <n v="0"/>
  </r>
  <r>
    <x v="3"/>
    <x v="1"/>
    <x v="0"/>
    <n v="1216"/>
    <x v="0"/>
    <n v="8"/>
    <x v="2"/>
    <x v="3"/>
    <x v="0"/>
    <n v="677"/>
    <x v="1"/>
    <x v="1"/>
    <n v="39"/>
    <x v="0"/>
    <x v="0"/>
    <x v="0"/>
    <x v="2"/>
    <x v="2"/>
    <x v="481"/>
    <n v="20431"/>
    <n v="0"/>
    <s v="Y"/>
    <x v="1"/>
    <n v="12"/>
    <x v="0"/>
    <x v="1"/>
    <n v="80"/>
    <n v="0"/>
    <n v="6"/>
    <n v="3"/>
    <x v="1"/>
    <x v="8"/>
    <n v="0"/>
    <x v="1"/>
    <x v="3"/>
    <x v="1"/>
    <x v="2"/>
    <x v="0"/>
    <n v="0"/>
  </r>
  <r>
    <x v="5"/>
    <x v="1"/>
    <x v="0"/>
    <n v="646"/>
    <x v="1"/>
    <n v="9"/>
    <x v="2"/>
    <x v="0"/>
    <x v="0"/>
    <n v="679"/>
    <x v="3"/>
    <x v="0"/>
    <n v="92"/>
    <x v="0"/>
    <x v="0"/>
    <x v="1"/>
    <x v="0"/>
    <x v="1"/>
    <x v="482"/>
    <n v="18089"/>
    <n v="1"/>
    <s v="Y"/>
    <x v="0"/>
    <n v="12"/>
    <x v="0"/>
    <x v="1"/>
    <n v="80"/>
    <n v="1"/>
    <n v="6"/>
    <n v="2"/>
    <x v="2"/>
    <x v="0"/>
    <n v="4"/>
    <x v="0"/>
    <x v="0"/>
    <x v="1"/>
    <x v="0"/>
    <x v="0"/>
    <n v="0"/>
  </r>
  <r>
    <x v="7"/>
    <x v="1"/>
    <x v="1"/>
    <n v="160"/>
    <x v="1"/>
    <n v="3"/>
    <x v="3"/>
    <x v="2"/>
    <x v="0"/>
    <n v="680"/>
    <x v="1"/>
    <x v="0"/>
    <n v="71"/>
    <x v="0"/>
    <x v="1"/>
    <x v="1"/>
    <x v="2"/>
    <x v="2"/>
    <x v="483"/>
    <n v="22653"/>
    <n v="1"/>
    <s v="Y"/>
    <x v="1"/>
    <n v="20"/>
    <x v="1"/>
    <x v="3"/>
    <n v="80"/>
    <n v="1"/>
    <n v="1"/>
    <n v="2"/>
    <x v="1"/>
    <x v="6"/>
    <n v="0"/>
    <x v="0"/>
    <x v="2"/>
    <x v="1"/>
    <x v="1"/>
    <x v="1"/>
    <n v="0"/>
  </r>
  <r>
    <x v="16"/>
    <x v="1"/>
    <x v="0"/>
    <n v="238"/>
    <x v="0"/>
    <n v="1"/>
    <x v="1"/>
    <x v="2"/>
    <x v="0"/>
    <n v="682"/>
    <x v="2"/>
    <x v="0"/>
    <n v="34"/>
    <x v="0"/>
    <x v="0"/>
    <x v="0"/>
    <x v="3"/>
    <x v="0"/>
    <x v="484"/>
    <n v="7507"/>
    <n v="7"/>
    <s v="Y"/>
    <x v="1"/>
    <n v="20"/>
    <x v="1"/>
    <x v="1"/>
    <n v="80"/>
    <n v="0"/>
    <n v="18"/>
    <n v="2"/>
    <x v="3"/>
    <x v="13"/>
    <n v="7"/>
    <x v="6"/>
    <x v="13"/>
    <x v="3"/>
    <x v="3"/>
    <x v="0"/>
    <n v="0"/>
  </r>
  <r>
    <x v="13"/>
    <x v="1"/>
    <x v="0"/>
    <n v="1397"/>
    <x v="1"/>
    <n v="1"/>
    <x v="4"/>
    <x v="0"/>
    <x v="0"/>
    <n v="683"/>
    <x v="0"/>
    <x v="1"/>
    <n v="42"/>
    <x v="0"/>
    <x v="1"/>
    <x v="1"/>
    <x v="0"/>
    <x v="1"/>
    <x v="485"/>
    <n v="7660"/>
    <n v="1"/>
    <s v="Y"/>
    <x v="1"/>
    <n v="12"/>
    <x v="0"/>
    <x v="1"/>
    <n v="80"/>
    <n v="1"/>
    <n v="10"/>
    <n v="4"/>
    <x v="2"/>
    <x v="1"/>
    <n v="9"/>
    <x v="6"/>
    <x v="5"/>
    <x v="1"/>
    <x v="0"/>
    <x v="1"/>
    <n v="0"/>
  </r>
  <r>
    <x v="28"/>
    <x v="0"/>
    <x v="1"/>
    <n v="306"/>
    <x v="0"/>
    <n v="26"/>
    <x v="2"/>
    <x v="0"/>
    <x v="0"/>
    <n v="684"/>
    <x v="3"/>
    <x v="0"/>
    <n v="100"/>
    <x v="0"/>
    <x v="0"/>
    <x v="0"/>
    <x v="3"/>
    <x v="1"/>
    <x v="486"/>
    <n v="5630"/>
    <n v="2"/>
    <s v="Y"/>
    <x v="1"/>
    <n v="14"/>
    <x v="0"/>
    <x v="1"/>
    <n v="80"/>
    <n v="2"/>
    <n v="5"/>
    <n v="4"/>
    <x v="1"/>
    <x v="6"/>
    <n v="1"/>
    <x v="0"/>
    <x v="2"/>
    <x v="0"/>
    <x v="1"/>
    <x v="1"/>
    <n v="1"/>
  </r>
  <r>
    <x v="25"/>
    <x v="1"/>
    <x v="0"/>
    <n v="991"/>
    <x v="1"/>
    <n v="6"/>
    <x v="3"/>
    <x v="0"/>
    <x v="0"/>
    <n v="686"/>
    <x v="1"/>
    <x v="0"/>
    <n v="71"/>
    <x v="0"/>
    <x v="1"/>
    <x v="2"/>
    <x v="0"/>
    <x v="1"/>
    <x v="487"/>
    <n v="17759"/>
    <n v="1"/>
    <s v="Y"/>
    <x v="0"/>
    <n v="13"/>
    <x v="0"/>
    <x v="3"/>
    <n v="80"/>
    <n v="1"/>
    <n v="3"/>
    <n v="2"/>
    <x v="1"/>
    <x v="11"/>
    <n v="2"/>
    <x v="0"/>
    <x v="3"/>
    <x v="2"/>
    <x v="2"/>
    <x v="1"/>
    <n v="0"/>
  </r>
  <r>
    <x v="2"/>
    <x v="1"/>
    <x v="0"/>
    <n v="482"/>
    <x v="1"/>
    <n v="3"/>
    <x v="3"/>
    <x v="1"/>
    <x v="0"/>
    <n v="689"/>
    <x v="1"/>
    <x v="1"/>
    <n v="36"/>
    <x v="0"/>
    <x v="2"/>
    <x v="3"/>
    <x v="2"/>
    <x v="1"/>
    <x v="488"/>
    <n v="9606"/>
    <n v="1"/>
    <s v="Y"/>
    <x v="1"/>
    <n v="15"/>
    <x v="0"/>
    <x v="3"/>
    <n v="80"/>
    <n v="1"/>
    <n v="10"/>
    <n v="2"/>
    <x v="1"/>
    <x v="1"/>
    <n v="7"/>
    <x v="4"/>
    <x v="5"/>
    <x v="1"/>
    <x v="0"/>
    <x v="0"/>
    <n v="0"/>
  </r>
  <r>
    <x v="11"/>
    <x v="1"/>
    <x v="0"/>
    <n v="1176"/>
    <x v="0"/>
    <n v="3"/>
    <x v="0"/>
    <x v="2"/>
    <x v="0"/>
    <n v="690"/>
    <x v="0"/>
    <x v="0"/>
    <n v="62"/>
    <x v="0"/>
    <x v="0"/>
    <x v="0"/>
    <x v="2"/>
    <x v="1"/>
    <x v="489"/>
    <n v="3487"/>
    <n v="1"/>
    <s v="Y"/>
    <x v="1"/>
    <n v="14"/>
    <x v="0"/>
    <x v="0"/>
    <n v="80"/>
    <n v="1"/>
    <n v="6"/>
    <n v="5"/>
    <x v="2"/>
    <x v="0"/>
    <n v="0"/>
    <x v="1"/>
    <x v="3"/>
    <x v="2"/>
    <x v="0"/>
    <x v="0"/>
    <n v="0"/>
  </r>
  <r>
    <x v="10"/>
    <x v="1"/>
    <x v="0"/>
    <n v="1017"/>
    <x v="1"/>
    <n v="6"/>
    <x v="2"/>
    <x v="0"/>
    <x v="0"/>
    <n v="691"/>
    <x v="0"/>
    <x v="1"/>
    <n v="82"/>
    <x v="3"/>
    <x v="0"/>
    <x v="1"/>
    <x v="0"/>
    <x v="0"/>
    <x v="490"/>
    <n v="19368"/>
    <n v="1"/>
    <s v="Y"/>
    <x v="1"/>
    <n v="13"/>
    <x v="0"/>
    <x v="2"/>
    <n v="80"/>
    <n v="0"/>
    <n v="17"/>
    <n v="3"/>
    <x v="1"/>
    <x v="18"/>
    <n v="11"/>
    <x v="14"/>
    <x v="5"/>
    <x v="1"/>
    <x v="3"/>
    <x v="0"/>
    <n v="0"/>
  </r>
  <r>
    <x v="3"/>
    <x v="1"/>
    <x v="1"/>
    <n v="1296"/>
    <x v="1"/>
    <n v="6"/>
    <x v="3"/>
    <x v="0"/>
    <x v="0"/>
    <n v="692"/>
    <x v="1"/>
    <x v="1"/>
    <n v="30"/>
    <x v="0"/>
    <x v="0"/>
    <x v="4"/>
    <x v="0"/>
    <x v="2"/>
    <x v="491"/>
    <n v="5335"/>
    <n v="3"/>
    <s v="Y"/>
    <x v="1"/>
    <n v="23"/>
    <x v="1"/>
    <x v="3"/>
    <n v="80"/>
    <n v="1"/>
    <n v="15"/>
    <n v="2"/>
    <x v="0"/>
    <x v="20"/>
    <n v="11"/>
    <x v="5"/>
    <x v="1"/>
    <x v="1"/>
    <x v="3"/>
    <x v="0"/>
    <n v="0"/>
  </r>
  <r>
    <x v="33"/>
    <x v="1"/>
    <x v="0"/>
    <n v="397"/>
    <x v="2"/>
    <n v="19"/>
    <x v="2"/>
    <x v="2"/>
    <x v="0"/>
    <n v="698"/>
    <x v="1"/>
    <x v="1"/>
    <n v="88"/>
    <x v="0"/>
    <x v="2"/>
    <x v="8"/>
    <x v="1"/>
    <x v="1"/>
    <x v="492"/>
    <n v="6729"/>
    <n v="2"/>
    <s v="Y"/>
    <x v="1"/>
    <n v="15"/>
    <x v="0"/>
    <x v="3"/>
    <n v="80"/>
    <n v="1"/>
    <n v="16"/>
    <n v="1"/>
    <x v="3"/>
    <x v="7"/>
    <n v="7"/>
    <x v="4"/>
    <x v="9"/>
    <x v="3"/>
    <x v="0"/>
    <x v="3"/>
    <n v="0"/>
  </r>
  <r>
    <x v="9"/>
    <x v="1"/>
    <x v="0"/>
    <n v="913"/>
    <x v="1"/>
    <n v="9"/>
    <x v="0"/>
    <x v="2"/>
    <x v="0"/>
    <n v="699"/>
    <x v="0"/>
    <x v="1"/>
    <n v="48"/>
    <x v="1"/>
    <x v="0"/>
    <x v="3"/>
    <x v="1"/>
    <x v="2"/>
    <x v="493"/>
    <n v="13934"/>
    <n v="2"/>
    <s v="Y"/>
    <x v="0"/>
    <n v="11"/>
    <x v="0"/>
    <x v="3"/>
    <n v="80"/>
    <n v="1"/>
    <n v="13"/>
    <n v="2"/>
    <x v="1"/>
    <x v="11"/>
    <n v="2"/>
    <x v="0"/>
    <x v="3"/>
    <x v="1"/>
    <x v="2"/>
    <x v="0"/>
    <n v="0"/>
  </r>
  <r>
    <x v="4"/>
    <x v="1"/>
    <x v="0"/>
    <n v="1115"/>
    <x v="1"/>
    <n v="3"/>
    <x v="2"/>
    <x v="2"/>
    <x v="0"/>
    <n v="700"/>
    <x v="3"/>
    <x v="1"/>
    <n v="54"/>
    <x v="1"/>
    <x v="1"/>
    <x v="1"/>
    <x v="0"/>
    <x v="0"/>
    <x v="494"/>
    <n v="15174"/>
    <n v="0"/>
    <s v="Y"/>
    <x v="1"/>
    <n v="13"/>
    <x v="0"/>
    <x v="1"/>
    <n v="80"/>
    <n v="0"/>
    <n v="5"/>
    <n v="0"/>
    <x v="1"/>
    <x v="9"/>
    <n v="2"/>
    <x v="1"/>
    <x v="9"/>
    <x v="2"/>
    <x v="2"/>
    <x v="1"/>
    <n v="0"/>
  </r>
  <r>
    <x v="35"/>
    <x v="0"/>
    <x v="0"/>
    <n v="1362"/>
    <x v="1"/>
    <n v="10"/>
    <x v="1"/>
    <x v="2"/>
    <x v="0"/>
    <n v="701"/>
    <x v="2"/>
    <x v="1"/>
    <n v="32"/>
    <x v="0"/>
    <x v="1"/>
    <x v="1"/>
    <x v="2"/>
    <x v="0"/>
    <x v="495"/>
    <n v="26999"/>
    <n v="1"/>
    <s v="Y"/>
    <x v="0"/>
    <n v="11"/>
    <x v="0"/>
    <x v="1"/>
    <n v="80"/>
    <n v="0"/>
    <n v="1"/>
    <n v="5"/>
    <x v="1"/>
    <x v="6"/>
    <n v="0"/>
    <x v="1"/>
    <x v="9"/>
    <x v="2"/>
    <x v="1"/>
    <x v="1"/>
    <n v="1"/>
  </r>
  <r>
    <x v="3"/>
    <x v="0"/>
    <x v="1"/>
    <n v="1076"/>
    <x v="1"/>
    <n v="3"/>
    <x v="3"/>
    <x v="0"/>
    <x v="0"/>
    <n v="702"/>
    <x v="3"/>
    <x v="1"/>
    <n v="70"/>
    <x v="0"/>
    <x v="1"/>
    <x v="1"/>
    <x v="3"/>
    <x v="0"/>
    <x v="496"/>
    <n v="3164"/>
    <n v="1"/>
    <s v="Y"/>
    <x v="0"/>
    <n v="11"/>
    <x v="0"/>
    <x v="0"/>
    <n v="80"/>
    <n v="0"/>
    <n v="10"/>
    <n v="3"/>
    <x v="1"/>
    <x v="1"/>
    <n v="8"/>
    <x v="10"/>
    <x v="1"/>
    <x v="1"/>
    <x v="0"/>
    <x v="1"/>
    <n v="1"/>
  </r>
  <r>
    <x v="10"/>
    <x v="1"/>
    <x v="2"/>
    <n v="727"/>
    <x v="1"/>
    <n v="3"/>
    <x v="3"/>
    <x v="0"/>
    <x v="0"/>
    <n v="704"/>
    <x v="1"/>
    <x v="1"/>
    <n v="41"/>
    <x v="1"/>
    <x v="1"/>
    <x v="2"/>
    <x v="2"/>
    <x v="1"/>
    <x v="497"/>
    <n v="16900"/>
    <n v="1"/>
    <s v="Y"/>
    <x v="1"/>
    <n v="18"/>
    <x v="0"/>
    <x v="3"/>
    <n v="80"/>
    <n v="2"/>
    <n v="1"/>
    <n v="3"/>
    <x v="1"/>
    <x v="6"/>
    <n v="0"/>
    <x v="0"/>
    <x v="2"/>
    <x v="1"/>
    <x v="1"/>
    <x v="1"/>
    <n v="0"/>
  </r>
  <r>
    <x v="30"/>
    <x v="1"/>
    <x v="0"/>
    <n v="885"/>
    <x v="1"/>
    <n v="4"/>
    <x v="3"/>
    <x v="2"/>
    <x v="0"/>
    <n v="705"/>
    <x v="3"/>
    <x v="1"/>
    <n v="58"/>
    <x v="2"/>
    <x v="1"/>
    <x v="1"/>
    <x v="3"/>
    <x v="1"/>
    <x v="498"/>
    <n v="8544"/>
    <n v="2"/>
    <s v="Y"/>
    <x v="1"/>
    <n v="16"/>
    <x v="0"/>
    <x v="0"/>
    <n v="80"/>
    <n v="1"/>
    <n v="5"/>
    <n v="3"/>
    <x v="3"/>
    <x v="11"/>
    <n v="2"/>
    <x v="0"/>
    <x v="3"/>
    <x v="2"/>
    <x v="2"/>
    <x v="1"/>
    <n v="0"/>
  </r>
  <r>
    <x v="36"/>
    <x v="1"/>
    <x v="0"/>
    <n v="810"/>
    <x v="0"/>
    <n v="8"/>
    <x v="3"/>
    <x v="0"/>
    <x v="0"/>
    <n v="707"/>
    <x v="2"/>
    <x v="1"/>
    <n v="57"/>
    <x v="2"/>
    <x v="0"/>
    <x v="0"/>
    <x v="1"/>
    <x v="1"/>
    <x v="499"/>
    <n v="15678"/>
    <n v="0"/>
    <s v="Y"/>
    <x v="1"/>
    <n v="22"/>
    <x v="1"/>
    <x v="3"/>
    <n v="80"/>
    <n v="1"/>
    <n v="4"/>
    <n v="4"/>
    <x v="1"/>
    <x v="11"/>
    <n v="2"/>
    <x v="1"/>
    <x v="3"/>
    <x v="2"/>
    <x v="2"/>
    <x v="1"/>
    <n v="0"/>
  </r>
  <r>
    <x v="8"/>
    <x v="1"/>
    <x v="0"/>
    <n v="243"/>
    <x v="0"/>
    <n v="7"/>
    <x v="2"/>
    <x v="3"/>
    <x v="0"/>
    <n v="709"/>
    <x v="2"/>
    <x v="0"/>
    <n v="46"/>
    <x v="1"/>
    <x v="0"/>
    <x v="0"/>
    <x v="0"/>
    <x v="0"/>
    <x v="500"/>
    <n v="7791"/>
    <n v="0"/>
    <s v="Y"/>
    <x v="1"/>
    <n v="20"/>
    <x v="1"/>
    <x v="0"/>
    <n v="80"/>
    <n v="0"/>
    <n v="8"/>
    <n v="2"/>
    <x v="1"/>
    <x v="5"/>
    <n v="7"/>
    <x v="0"/>
    <x v="0"/>
    <x v="1"/>
    <x v="0"/>
    <x v="1"/>
    <n v="0"/>
  </r>
  <r>
    <x v="11"/>
    <x v="1"/>
    <x v="1"/>
    <n v="806"/>
    <x v="1"/>
    <n v="1"/>
    <x v="2"/>
    <x v="0"/>
    <x v="0"/>
    <n v="710"/>
    <x v="0"/>
    <x v="1"/>
    <n v="76"/>
    <x v="3"/>
    <x v="1"/>
    <x v="1"/>
    <x v="0"/>
    <x v="2"/>
    <x v="143"/>
    <n v="18959"/>
    <n v="1"/>
    <s v="Y"/>
    <x v="1"/>
    <n v="18"/>
    <x v="0"/>
    <x v="1"/>
    <n v="80"/>
    <n v="1"/>
    <n v="10"/>
    <n v="5"/>
    <x v="1"/>
    <x v="1"/>
    <n v="7"/>
    <x v="3"/>
    <x v="5"/>
    <x v="2"/>
    <x v="0"/>
    <x v="1"/>
    <n v="0"/>
  </r>
  <r>
    <x v="26"/>
    <x v="1"/>
    <x v="0"/>
    <n v="817"/>
    <x v="0"/>
    <n v="2"/>
    <x v="1"/>
    <x v="3"/>
    <x v="0"/>
    <n v="712"/>
    <x v="0"/>
    <x v="1"/>
    <n v="56"/>
    <x v="2"/>
    <x v="0"/>
    <x v="0"/>
    <x v="1"/>
    <x v="1"/>
    <x v="501"/>
    <n v="18597"/>
    <n v="3"/>
    <s v="Y"/>
    <x v="1"/>
    <n v="12"/>
    <x v="0"/>
    <x v="1"/>
    <n v="80"/>
    <n v="0"/>
    <n v="12"/>
    <n v="3"/>
    <x v="1"/>
    <x v="4"/>
    <n v="2"/>
    <x v="3"/>
    <x v="3"/>
    <x v="0"/>
    <x v="1"/>
    <x v="0"/>
    <n v="0"/>
  </r>
  <r>
    <x v="4"/>
    <x v="1"/>
    <x v="1"/>
    <n v="1410"/>
    <x v="0"/>
    <n v="3"/>
    <x v="1"/>
    <x v="2"/>
    <x v="0"/>
    <n v="714"/>
    <x v="2"/>
    <x v="0"/>
    <n v="71"/>
    <x v="2"/>
    <x v="0"/>
    <x v="0"/>
    <x v="0"/>
    <x v="2"/>
    <x v="502"/>
    <n v="16673"/>
    <n v="1"/>
    <s v="Y"/>
    <x v="0"/>
    <n v="20"/>
    <x v="1"/>
    <x v="2"/>
    <n v="80"/>
    <n v="2"/>
    <n v="6"/>
    <n v="3"/>
    <x v="1"/>
    <x v="0"/>
    <n v="5"/>
    <x v="0"/>
    <x v="10"/>
    <x v="2"/>
    <x v="0"/>
    <x v="1"/>
    <n v="0"/>
  </r>
  <r>
    <x v="2"/>
    <x v="1"/>
    <x v="0"/>
    <n v="1225"/>
    <x v="1"/>
    <n v="10"/>
    <x v="0"/>
    <x v="0"/>
    <x v="0"/>
    <n v="715"/>
    <x v="2"/>
    <x v="1"/>
    <n v="80"/>
    <x v="2"/>
    <x v="1"/>
    <x v="1"/>
    <x v="0"/>
    <x v="0"/>
    <x v="503"/>
    <n v="15232"/>
    <n v="3"/>
    <s v="Y"/>
    <x v="1"/>
    <n v="17"/>
    <x v="0"/>
    <x v="0"/>
    <n v="80"/>
    <n v="0"/>
    <n v="4"/>
    <n v="2"/>
    <x v="1"/>
    <x v="6"/>
    <n v="0"/>
    <x v="0"/>
    <x v="2"/>
    <x v="1"/>
    <x v="1"/>
    <x v="1"/>
    <n v="0"/>
  </r>
  <r>
    <x v="24"/>
    <x v="1"/>
    <x v="0"/>
    <n v="1207"/>
    <x v="1"/>
    <n v="28"/>
    <x v="1"/>
    <x v="2"/>
    <x v="0"/>
    <n v="716"/>
    <x v="2"/>
    <x v="1"/>
    <n v="74"/>
    <x v="2"/>
    <x v="1"/>
    <x v="2"/>
    <x v="2"/>
    <x v="1"/>
    <x v="504"/>
    <n v="3297"/>
    <n v="1"/>
    <s v="Y"/>
    <x v="0"/>
    <n v="11"/>
    <x v="0"/>
    <x v="3"/>
    <n v="80"/>
    <n v="3"/>
    <n v="20"/>
    <n v="3"/>
    <x v="1"/>
    <x v="23"/>
    <n v="8"/>
    <x v="2"/>
    <x v="5"/>
    <x v="3"/>
    <x v="3"/>
    <x v="1"/>
    <n v="0"/>
  </r>
  <r>
    <x v="13"/>
    <x v="1"/>
    <x v="0"/>
    <n v="1442"/>
    <x v="1"/>
    <n v="9"/>
    <x v="3"/>
    <x v="2"/>
    <x v="0"/>
    <n v="717"/>
    <x v="2"/>
    <x v="0"/>
    <n v="46"/>
    <x v="1"/>
    <x v="2"/>
    <x v="4"/>
    <x v="1"/>
    <x v="0"/>
    <x v="505"/>
    <n v="17654"/>
    <n v="1"/>
    <s v="Y"/>
    <x v="1"/>
    <n v="14"/>
    <x v="0"/>
    <x v="2"/>
    <n v="80"/>
    <n v="0"/>
    <n v="9"/>
    <n v="3"/>
    <x v="3"/>
    <x v="3"/>
    <n v="7"/>
    <x v="4"/>
    <x v="1"/>
    <x v="1"/>
    <x v="0"/>
    <x v="0"/>
    <n v="0"/>
  </r>
  <r>
    <x v="17"/>
    <x v="0"/>
    <x v="0"/>
    <n v="693"/>
    <x v="0"/>
    <n v="3"/>
    <x v="0"/>
    <x v="0"/>
    <x v="0"/>
    <n v="720"/>
    <x v="3"/>
    <x v="0"/>
    <n v="65"/>
    <x v="0"/>
    <x v="0"/>
    <x v="0"/>
    <x v="2"/>
    <x v="0"/>
    <x v="506"/>
    <n v="24785"/>
    <n v="9"/>
    <s v="Y"/>
    <x v="1"/>
    <n v="14"/>
    <x v="0"/>
    <x v="0"/>
    <n v="80"/>
    <n v="0"/>
    <n v="4"/>
    <n v="3"/>
    <x v="1"/>
    <x v="4"/>
    <n v="2"/>
    <x v="3"/>
    <x v="2"/>
    <x v="2"/>
    <x v="1"/>
    <x v="1"/>
    <n v="1"/>
  </r>
  <r>
    <x v="22"/>
    <x v="1"/>
    <x v="0"/>
    <n v="408"/>
    <x v="1"/>
    <n v="2"/>
    <x v="2"/>
    <x v="4"/>
    <x v="0"/>
    <n v="721"/>
    <x v="2"/>
    <x v="0"/>
    <n v="80"/>
    <x v="1"/>
    <x v="0"/>
    <x v="4"/>
    <x v="2"/>
    <x v="0"/>
    <x v="507"/>
    <n v="20978"/>
    <n v="1"/>
    <s v="Y"/>
    <x v="1"/>
    <n v="11"/>
    <x v="0"/>
    <x v="0"/>
    <n v="80"/>
    <n v="0"/>
    <n v="20"/>
    <n v="4"/>
    <x v="1"/>
    <x v="23"/>
    <n v="7"/>
    <x v="14"/>
    <x v="13"/>
    <x v="1"/>
    <x v="3"/>
    <x v="1"/>
    <n v="0"/>
  </r>
  <r>
    <x v="5"/>
    <x v="1"/>
    <x v="0"/>
    <n v="929"/>
    <x v="0"/>
    <n v="10"/>
    <x v="3"/>
    <x v="3"/>
    <x v="0"/>
    <n v="722"/>
    <x v="2"/>
    <x v="1"/>
    <n v="55"/>
    <x v="0"/>
    <x v="0"/>
    <x v="0"/>
    <x v="0"/>
    <x v="0"/>
    <x v="508"/>
    <n v="21703"/>
    <n v="1"/>
    <s v="Y"/>
    <x v="1"/>
    <n v="12"/>
    <x v="0"/>
    <x v="1"/>
    <n v="80"/>
    <n v="0"/>
    <n v="10"/>
    <n v="2"/>
    <x v="2"/>
    <x v="1"/>
    <n v="7"/>
    <x v="0"/>
    <x v="5"/>
    <x v="1"/>
    <x v="0"/>
    <x v="0"/>
    <n v="0"/>
  </r>
  <r>
    <x v="24"/>
    <x v="0"/>
    <x v="1"/>
    <n v="562"/>
    <x v="0"/>
    <n v="8"/>
    <x v="0"/>
    <x v="4"/>
    <x v="0"/>
    <n v="723"/>
    <x v="0"/>
    <x v="1"/>
    <n v="50"/>
    <x v="0"/>
    <x v="0"/>
    <x v="0"/>
    <x v="2"/>
    <x v="1"/>
    <x v="509"/>
    <n v="23452"/>
    <n v="3"/>
    <s v="Y"/>
    <x v="0"/>
    <n v="14"/>
    <x v="0"/>
    <x v="0"/>
    <n v="80"/>
    <n v="1"/>
    <n v="18"/>
    <n v="4"/>
    <x v="1"/>
    <x v="9"/>
    <n v="3"/>
    <x v="1"/>
    <x v="6"/>
    <x v="3"/>
    <x v="2"/>
    <x v="0"/>
    <n v="1"/>
  </r>
  <r>
    <x v="8"/>
    <x v="1"/>
    <x v="0"/>
    <n v="827"/>
    <x v="1"/>
    <n v="1"/>
    <x v="2"/>
    <x v="0"/>
    <x v="0"/>
    <n v="724"/>
    <x v="0"/>
    <x v="0"/>
    <n v="33"/>
    <x v="2"/>
    <x v="0"/>
    <x v="4"/>
    <x v="0"/>
    <x v="0"/>
    <x v="510"/>
    <n v="19383"/>
    <n v="0"/>
    <s v="Y"/>
    <x v="1"/>
    <n v="13"/>
    <x v="0"/>
    <x v="3"/>
    <n v="80"/>
    <n v="0"/>
    <n v="10"/>
    <n v="4"/>
    <x v="2"/>
    <x v="7"/>
    <n v="7"/>
    <x v="1"/>
    <x v="5"/>
    <x v="1"/>
    <x v="0"/>
    <x v="0"/>
    <n v="0"/>
  </r>
  <r>
    <x v="4"/>
    <x v="1"/>
    <x v="0"/>
    <n v="608"/>
    <x v="1"/>
    <n v="1"/>
    <x v="0"/>
    <x v="0"/>
    <x v="0"/>
    <n v="725"/>
    <x v="1"/>
    <x v="0"/>
    <n v="68"/>
    <x v="0"/>
    <x v="2"/>
    <x v="3"/>
    <x v="3"/>
    <x v="1"/>
    <x v="511"/>
    <n v="6009"/>
    <n v="1"/>
    <s v="Y"/>
    <x v="1"/>
    <n v="11"/>
    <x v="0"/>
    <x v="1"/>
    <n v="80"/>
    <n v="0"/>
    <n v="9"/>
    <n v="3"/>
    <x v="1"/>
    <x v="7"/>
    <n v="7"/>
    <x v="0"/>
    <x v="1"/>
    <x v="2"/>
    <x v="0"/>
    <x v="0"/>
    <n v="0"/>
  </r>
  <r>
    <x v="5"/>
    <x v="1"/>
    <x v="0"/>
    <n v="1018"/>
    <x v="1"/>
    <n v="3"/>
    <x v="0"/>
    <x v="0"/>
    <x v="0"/>
    <n v="727"/>
    <x v="1"/>
    <x v="0"/>
    <n v="39"/>
    <x v="0"/>
    <x v="2"/>
    <x v="7"/>
    <x v="0"/>
    <x v="0"/>
    <x v="512"/>
    <n v="19373"/>
    <n v="3"/>
    <s v="Y"/>
    <x v="1"/>
    <n v="15"/>
    <x v="0"/>
    <x v="1"/>
    <n v="80"/>
    <n v="0"/>
    <n v="10"/>
    <n v="6"/>
    <x v="1"/>
    <x v="5"/>
    <n v="7"/>
    <x v="4"/>
    <x v="1"/>
    <x v="1"/>
    <x v="0"/>
    <x v="3"/>
    <n v="0"/>
  </r>
  <r>
    <x v="40"/>
    <x v="1"/>
    <x v="0"/>
    <n v="703"/>
    <x v="0"/>
    <n v="14"/>
    <x v="2"/>
    <x v="3"/>
    <x v="0"/>
    <n v="728"/>
    <x v="2"/>
    <x v="1"/>
    <n v="42"/>
    <x v="0"/>
    <x v="0"/>
    <x v="0"/>
    <x v="3"/>
    <x v="0"/>
    <x v="513"/>
    <n v="11825"/>
    <n v="2"/>
    <s v="Y"/>
    <x v="1"/>
    <n v="12"/>
    <x v="0"/>
    <x v="1"/>
    <n v="80"/>
    <n v="0"/>
    <n v="20"/>
    <n v="2"/>
    <x v="1"/>
    <x v="5"/>
    <n v="7"/>
    <x v="1"/>
    <x v="1"/>
    <x v="0"/>
    <x v="0"/>
    <x v="1"/>
    <n v="0"/>
  </r>
  <r>
    <x v="32"/>
    <x v="1"/>
    <x v="1"/>
    <n v="580"/>
    <x v="0"/>
    <n v="5"/>
    <x v="2"/>
    <x v="0"/>
    <x v="0"/>
    <n v="729"/>
    <x v="2"/>
    <x v="1"/>
    <n v="48"/>
    <x v="1"/>
    <x v="2"/>
    <x v="0"/>
    <x v="3"/>
    <x v="1"/>
    <x v="514"/>
    <n v="23772"/>
    <n v="5"/>
    <s v="Y"/>
    <x v="0"/>
    <n v="21"/>
    <x v="1"/>
    <x v="3"/>
    <n v="80"/>
    <n v="1"/>
    <n v="20"/>
    <n v="2"/>
    <x v="1"/>
    <x v="29"/>
    <n v="13"/>
    <x v="1"/>
    <x v="11"/>
    <x v="0"/>
    <x v="3"/>
    <x v="3"/>
    <n v="0"/>
  </r>
  <r>
    <x v="16"/>
    <x v="1"/>
    <x v="0"/>
    <n v="970"/>
    <x v="1"/>
    <n v="7"/>
    <x v="3"/>
    <x v="0"/>
    <x v="0"/>
    <n v="730"/>
    <x v="1"/>
    <x v="1"/>
    <n v="59"/>
    <x v="2"/>
    <x v="3"/>
    <x v="7"/>
    <x v="2"/>
    <x v="1"/>
    <x v="515"/>
    <n v="13514"/>
    <n v="3"/>
    <s v="Y"/>
    <x v="1"/>
    <n v="19"/>
    <x v="0"/>
    <x v="3"/>
    <n v="80"/>
    <n v="0"/>
    <n v="32"/>
    <n v="3"/>
    <x v="1"/>
    <x v="8"/>
    <n v="1"/>
    <x v="1"/>
    <x v="6"/>
    <x v="3"/>
    <x v="2"/>
    <x v="3"/>
    <n v="0"/>
  </r>
  <r>
    <x v="0"/>
    <x v="1"/>
    <x v="0"/>
    <n v="427"/>
    <x v="2"/>
    <n v="10"/>
    <x v="2"/>
    <x v="5"/>
    <x v="0"/>
    <n v="731"/>
    <x v="0"/>
    <x v="1"/>
    <n v="73"/>
    <x v="1"/>
    <x v="4"/>
    <x v="5"/>
    <x v="0"/>
    <x v="2"/>
    <x v="516"/>
    <n v="8861"/>
    <n v="3"/>
    <s v="Y"/>
    <x v="1"/>
    <n v="15"/>
    <x v="0"/>
    <x v="2"/>
    <n v="80"/>
    <n v="3"/>
    <n v="23"/>
    <n v="2"/>
    <x v="2"/>
    <x v="17"/>
    <n v="6"/>
    <x v="12"/>
    <x v="4"/>
    <x v="0"/>
    <x v="3"/>
    <x v="2"/>
    <n v="0"/>
  </r>
  <r>
    <x v="42"/>
    <x v="1"/>
    <x v="0"/>
    <n v="1179"/>
    <x v="0"/>
    <n v="16"/>
    <x v="2"/>
    <x v="3"/>
    <x v="0"/>
    <n v="732"/>
    <x v="3"/>
    <x v="1"/>
    <n v="84"/>
    <x v="0"/>
    <x v="0"/>
    <x v="0"/>
    <x v="3"/>
    <x v="0"/>
    <x v="517"/>
    <n v="11924"/>
    <n v="8"/>
    <s v="Y"/>
    <x v="1"/>
    <n v="14"/>
    <x v="0"/>
    <x v="1"/>
    <n v="80"/>
    <n v="0"/>
    <n v="10"/>
    <n v="1"/>
    <x v="1"/>
    <x v="4"/>
    <n v="2"/>
    <x v="3"/>
    <x v="3"/>
    <x v="3"/>
    <x v="1"/>
    <x v="0"/>
    <n v="0"/>
  </r>
  <r>
    <x v="4"/>
    <x v="1"/>
    <x v="1"/>
    <n v="294"/>
    <x v="1"/>
    <n v="10"/>
    <x v="0"/>
    <x v="0"/>
    <x v="0"/>
    <n v="733"/>
    <x v="2"/>
    <x v="1"/>
    <n v="32"/>
    <x v="0"/>
    <x v="2"/>
    <x v="3"/>
    <x v="3"/>
    <x v="2"/>
    <x v="518"/>
    <n v="4809"/>
    <n v="1"/>
    <s v="Y"/>
    <x v="1"/>
    <n v="21"/>
    <x v="1"/>
    <x v="3"/>
    <n v="80"/>
    <n v="2"/>
    <n v="9"/>
    <n v="4"/>
    <x v="2"/>
    <x v="7"/>
    <n v="7"/>
    <x v="1"/>
    <x v="1"/>
    <x v="2"/>
    <x v="0"/>
    <x v="0"/>
    <n v="0"/>
  </r>
  <r>
    <x v="0"/>
    <x v="1"/>
    <x v="0"/>
    <n v="314"/>
    <x v="2"/>
    <n v="1"/>
    <x v="3"/>
    <x v="5"/>
    <x v="0"/>
    <n v="734"/>
    <x v="2"/>
    <x v="1"/>
    <n v="59"/>
    <x v="1"/>
    <x v="4"/>
    <x v="5"/>
    <x v="2"/>
    <x v="1"/>
    <x v="519"/>
    <n v="19562"/>
    <n v="1"/>
    <s v="Y"/>
    <x v="1"/>
    <n v="12"/>
    <x v="0"/>
    <x v="2"/>
    <n v="80"/>
    <n v="1"/>
    <n v="22"/>
    <n v="3"/>
    <x v="1"/>
    <x v="14"/>
    <n v="7"/>
    <x v="3"/>
    <x v="13"/>
    <x v="0"/>
    <x v="3"/>
    <x v="2"/>
    <n v="0"/>
  </r>
  <r>
    <x v="24"/>
    <x v="1"/>
    <x v="0"/>
    <n v="316"/>
    <x v="0"/>
    <n v="8"/>
    <x v="2"/>
    <x v="3"/>
    <x v="0"/>
    <n v="738"/>
    <x v="2"/>
    <x v="1"/>
    <n v="54"/>
    <x v="0"/>
    <x v="1"/>
    <x v="6"/>
    <x v="1"/>
    <x v="1"/>
    <x v="520"/>
    <n v="9983"/>
    <n v="7"/>
    <s v="Y"/>
    <x v="1"/>
    <n v="15"/>
    <x v="0"/>
    <x v="1"/>
    <n v="80"/>
    <n v="1"/>
    <n v="4"/>
    <n v="2"/>
    <x v="1"/>
    <x v="4"/>
    <n v="2"/>
    <x v="3"/>
    <x v="3"/>
    <x v="3"/>
    <x v="1"/>
    <x v="1"/>
    <n v="0"/>
  </r>
  <r>
    <x v="14"/>
    <x v="0"/>
    <x v="0"/>
    <n v="654"/>
    <x v="1"/>
    <n v="1"/>
    <x v="0"/>
    <x v="0"/>
    <x v="0"/>
    <n v="741"/>
    <x v="3"/>
    <x v="0"/>
    <n v="67"/>
    <x v="3"/>
    <x v="1"/>
    <x v="1"/>
    <x v="1"/>
    <x v="0"/>
    <x v="521"/>
    <n v="3872"/>
    <n v="7"/>
    <s v="Y"/>
    <x v="0"/>
    <n v="13"/>
    <x v="0"/>
    <x v="1"/>
    <n v="80"/>
    <n v="0"/>
    <n v="10"/>
    <n v="4"/>
    <x v="1"/>
    <x v="5"/>
    <n v="7"/>
    <x v="2"/>
    <x v="1"/>
    <x v="2"/>
    <x v="0"/>
    <x v="1"/>
    <n v="1"/>
  </r>
  <r>
    <x v="9"/>
    <x v="1"/>
    <x v="2"/>
    <n v="427"/>
    <x v="1"/>
    <n v="8"/>
    <x v="3"/>
    <x v="0"/>
    <x v="0"/>
    <n v="742"/>
    <x v="3"/>
    <x v="0"/>
    <n v="63"/>
    <x v="2"/>
    <x v="2"/>
    <x v="7"/>
    <x v="3"/>
    <x v="1"/>
    <x v="522"/>
    <n v="20335"/>
    <n v="9"/>
    <s v="Y"/>
    <x v="1"/>
    <n v="14"/>
    <x v="0"/>
    <x v="0"/>
    <n v="80"/>
    <n v="1"/>
    <n v="10"/>
    <n v="2"/>
    <x v="1"/>
    <x v="3"/>
    <n v="7"/>
    <x v="0"/>
    <x v="0"/>
    <x v="1"/>
    <x v="0"/>
    <x v="3"/>
    <n v="0"/>
  </r>
  <r>
    <x v="8"/>
    <x v="1"/>
    <x v="0"/>
    <n v="168"/>
    <x v="1"/>
    <n v="1"/>
    <x v="3"/>
    <x v="0"/>
    <x v="0"/>
    <n v="743"/>
    <x v="1"/>
    <x v="0"/>
    <n v="81"/>
    <x v="0"/>
    <x v="2"/>
    <x v="3"/>
    <x v="2"/>
    <x v="0"/>
    <x v="523"/>
    <n v="15397"/>
    <n v="4"/>
    <s v="Y"/>
    <x v="0"/>
    <n v="14"/>
    <x v="0"/>
    <x v="1"/>
    <n v="80"/>
    <n v="0"/>
    <n v="10"/>
    <n v="4"/>
    <x v="3"/>
    <x v="6"/>
    <n v="0"/>
    <x v="0"/>
    <x v="2"/>
    <x v="1"/>
    <x v="1"/>
    <x v="0"/>
    <n v="0"/>
  </r>
  <r>
    <x v="20"/>
    <x v="1"/>
    <x v="2"/>
    <n v="381"/>
    <x v="1"/>
    <n v="24"/>
    <x v="3"/>
    <x v="2"/>
    <x v="0"/>
    <n v="744"/>
    <x v="3"/>
    <x v="1"/>
    <n v="49"/>
    <x v="3"/>
    <x v="1"/>
    <x v="2"/>
    <x v="2"/>
    <x v="0"/>
    <x v="524"/>
    <n v="2104"/>
    <n v="2"/>
    <s v="Y"/>
    <x v="1"/>
    <n v="14"/>
    <x v="0"/>
    <x v="3"/>
    <n v="80"/>
    <n v="0"/>
    <n v="9"/>
    <n v="5"/>
    <x v="1"/>
    <x v="8"/>
    <n v="2"/>
    <x v="1"/>
    <x v="10"/>
    <x v="0"/>
    <x v="2"/>
    <x v="1"/>
    <n v="0"/>
  </r>
  <r>
    <x v="40"/>
    <x v="1"/>
    <x v="1"/>
    <n v="217"/>
    <x v="0"/>
    <n v="3"/>
    <x v="3"/>
    <x v="2"/>
    <x v="0"/>
    <n v="746"/>
    <x v="2"/>
    <x v="0"/>
    <n v="49"/>
    <x v="0"/>
    <x v="3"/>
    <x v="0"/>
    <x v="2"/>
    <x v="2"/>
    <x v="525"/>
    <n v="10225"/>
    <n v="9"/>
    <s v="Y"/>
    <x v="0"/>
    <n v="12"/>
    <x v="0"/>
    <x v="1"/>
    <n v="80"/>
    <n v="2"/>
    <n v="28"/>
    <n v="2"/>
    <x v="2"/>
    <x v="14"/>
    <n v="2"/>
    <x v="14"/>
    <x v="15"/>
    <x v="0"/>
    <x v="3"/>
    <x v="3"/>
    <n v="0"/>
  </r>
  <r>
    <x v="7"/>
    <x v="1"/>
    <x v="0"/>
    <n v="501"/>
    <x v="0"/>
    <n v="27"/>
    <x v="4"/>
    <x v="3"/>
    <x v="0"/>
    <n v="747"/>
    <x v="1"/>
    <x v="1"/>
    <n v="99"/>
    <x v="0"/>
    <x v="0"/>
    <x v="0"/>
    <x v="0"/>
    <x v="2"/>
    <x v="367"/>
    <n v="25275"/>
    <n v="7"/>
    <s v="Y"/>
    <x v="1"/>
    <n v="23"/>
    <x v="1"/>
    <x v="1"/>
    <n v="80"/>
    <n v="1"/>
    <n v="10"/>
    <n v="2"/>
    <x v="2"/>
    <x v="3"/>
    <n v="7"/>
    <x v="4"/>
    <x v="1"/>
    <x v="1"/>
    <x v="0"/>
    <x v="0"/>
    <n v="0"/>
  </r>
  <r>
    <x v="11"/>
    <x v="1"/>
    <x v="0"/>
    <n v="1396"/>
    <x v="0"/>
    <n v="10"/>
    <x v="3"/>
    <x v="0"/>
    <x v="0"/>
    <n v="749"/>
    <x v="1"/>
    <x v="1"/>
    <n v="99"/>
    <x v="0"/>
    <x v="1"/>
    <x v="6"/>
    <x v="2"/>
    <x v="0"/>
    <x v="526"/>
    <n v="2755"/>
    <n v="1"/>
    <s v="Y"/>
    <x v="1"/>
    <n v="11"/>
    <x v="0"/>
    <x v="3"/>
    <n v="80"/>
    <n v="0"/>
    <n v="1"/>
    <n v="6"/>
    <x v="1"/>
    <x v="6"/>
    <n v="0"/>
    <x v="0"/>
    <x v="2"/>
    <x v="2"/>
    <x v="1"/>
    <x v="1"/>
    <n v="0"/>
  </r>
  <r>
    <x v="19"/>
    <x v="0"/>
    <x v="1"/>
    <n v="933"/>
    <x v="1"/>
    <n v="19"/>
    <x v="3"/>
    <x v="2"/>
    <x v="0"/>
    <n v="752"/>
    <x v="1"/>
    <x v="1"/>
    <n v="57"/>
    <x v="2"/>
    <x v="1"/>
    <x v="1"/>
    <x v="2"/>
    <x v="2"/>
    <x v="527"/>
    <n v="20366"/>
    <n v="6"/>
    <s v="Y"/>
    <x v="0"/>
    <n v="12"/>
    <x v="0"/>
    <x v="1"/>
    <n v="80"/>
    <n v="0"/>
    <n v="7"/>
    <n v="2"/>
    <x v="1"/>
    <x v="4"/>
    <n v="2"/>
    <x v="3"/>
    <x v="3"/>
    <x v="0"/>
    <x v="1"/>
    <x v="1"/>
    <n v="1"/>
  </r>
  <r>
    <x v="23"/>
    <x v="1"/>
    <x v="1"/>
    <n v="775"/>
    <x v="0"/>
    <n v="15"/>
    <x v="3"/>
    <x v="0"/>
    <x v="0"/>
    <n v="754"/>
    <x v="2"/>
    <x v="1"/>
    <n v="47"/>
    <x v="1"/>
    <x v="0"/>
    <x v="0"/>
    <x v="0"/>
    <x v="1"/>
    <x v="197"/>
    <n v="23683"/>
    <n v="3"/>
    <s v="Y"/>
    <x v="1"/>
    <n v="18"/>
    <x v="0"/>
    <x v="3"/>
    <n v="80"/>
    <n v="1"/>
    <n v="7"/>
    <n v="5"/>
    <x v="1"/>
    <x v="4"/>
    <n v="2"/>
    <x v="3"/>
    <x v="3"/>
    <x v="0"/>
    <x v="1"/>
    <x v="0"/>
    <n v="0"/>
  </r>
  <r>
    <x v="13"/>
    <x v="1"/>
    <x v="0"/>
    <n v="970"/>
    <x v="1"/>
    <n v="8"/>
    <x v="0"/>
    <x v="2"/>
    <x v="0"/>
    <n v="757"/>
    <x v="0"/>
    <x v="0"/>
    <n v="96"/>
    <x v="0"/>
    <x v="0"/>
    <x v="4"/>
    <x v="2"/>
    <x v="0"/>
    <x v="528"/>
    <n v="7360"/>
    <n v="3"/>
    <s v="Y"/>
    <x v="1"/>
    <n v="11"/>
    <x v="0"/>
    <x v="1"/>
    <n v="80"/>
    <n v="0"/>
    <n v="10"/>
    <n v="2"/>
    <x v="1"/>
    <x v="8"/>
    <n v="1"/>
    <x v="5"/>
    <x v="6"/>
    <x v="1"/>
    <x v="2"/>
    <x v="0"/>
    <n v="0"/>
  </r>
  <r>
    <x v="30"/>
    <x v="1"/>
    <x v="0"/>
    <n v="650"/>
    <x v="1"/>
    <n v="9"/>
    <x v="1"/>
    <x v="2"/>
    <x v="0"/>
    <n v="758"/>
    <x v="0"/>
    <x v="1"/>
    <n v="37"/>
    <x v="0"/>
    <x v="1"/>
    <x v="2"/>
    <x v="3"/>
    <x v="1"/>
    <x v="172"/>
    <n v="4344"/>
    <n v="1"/>
    <s v="Y"/>
    <x v="1"/>
    <n v="14"/>
    <x v="0"/>
    <x v="1"/>
    <n v="80"/>
    <n v="1"/>
    <n v="5"/>
    <n v="2"/>
    <x v="3"/>
    <x v="9"/>
    <n v="3"/>
    <x v="0"/>
    <x v="3"/>
    <x v="2"/>
    <x v="2"/>
    <x v="1"/>
    <n v="0"/>
  </r>
  <r>
    <x v="22"/>
    <x v="1"/>
    <x v="0"/>
    <n v="141"/>
    <x v="2"/>
    <n v="3"/>
    <x v="3"/>
    <x v="5"/>
    <x v="0"/>
    <n v="760"/>
    <x v="1"/>
    <x v="0"/>
    <n v="44"/>
    <x v="2"/>
    <x v="0"/>
    <x v="8"/>
    <x v="1"/>
    <x v="1"/>
    <x v="529"/>
    <n v="18767"/>
    <n v="9"/>
    <s v="Y"/>
    <x v="1"/>
    <n v="15"/>
    <x v="0"/>
    <x v="3"/>
    <n v="80"/>
    <n v="1"/>
    <n v="12"/>
    <n v="3"/>
    <x v="0"/>
    <x v="3"/>
    <n v="3"/>
    <x v="2"/>
    <x v="4"/>
    <x v="1"/>
    <x v="0"/>
    <x v="0"/>
    <n v="0"/>
  </r>
  <r>
    <x v="29"/>
    <x v="1"/>
    <x v="0"/>
    <n v="832"/>
    <x v="1"/>
    <n v="9"/>
    <x v="3"/>
    <x v="2"/>
    <x v="0"/>
    <n v="762"/>
    <x v="1"/>
    <x v="1"/>
    <n v="81"/>
    <x v="0"/>
    <x v="3"/>
    <x v="4"/>
    <x v="0"/>
    <x v="1"/>
    <x v="530"/>
    <n v="20420"/>
    <n v="7"/>
    <s v="Y"/>
    <x v="1"/>
    <n v="11"/>
    <x v="0"/>
    <x v="3"/>
    <n v="80"/>
    <n v="0"/>
    <n v="30"/>
    <n v="1"/>
    <x v="2"/>
    <x v="1"/>
    <n v="7"/>
    <x v="1"/>
    <x v="9"/>
    <x v="3"/>
    <x v="0"/>
    <x v="3"/>
    <n v="0"/>
  </r>
  <r>
    <x v="32"/>
    <x v="1"/>
    <x v="0"/>
    <n v="804"/>
    <x v="1"/>
    <n v="2"/>
    <x v="1"/>
    <x v="2"/>
    <x v="0"/>
    <n v="763"/>
    <x v="2"/>
    <x v="0"/>
    <n v="86"/>
    <x v="1"/>
    <x v="1"/>
    <x v="1"/>
    <x v="0"/>
    <x v="0"/>
    <x v="531"/>
    <n v="22929"/>
    <n v="0"/>
    <s v="Y"/>
    <x v="0"/>
    <n v="20"/>
    <x v="1"/>
    <x v="1"/>
    <n v="80"/>
    <n v="0"/>
    <n v="5"/>
    <n v="2"/>
    <x v="2"/>
    <x v="9"/>
    <n v="2"/>
    <x v="3"/>
    <x v="6"/>
    <x v="0"/>
    <x v="2"/>
    <x v="1"/>
    <n v="0"/>
  </r>
  <r>
    <x v="4"/>
    <x v="1"/>
    <x v="0"/>
    <n v="975"/>
    <x v="1"/>
    <n v="7"/>
    <x v="3"/>
    <x v="2"/>
    <x v="0"/>
    <n v="764"/>
    <x v="2"/>
    <x v="0"/>
    <n v="55"/>
    <x v="1"/>
    <x v="0"/>
    <x v="4"/>
    <x v="3"/>
    <x v="0"/>
    <x v="445"/>
    <n v="23398"/>
    <n v="8"/>
    <s v="Y"/>
    <x v="1"/>
    <n v="19"/>
    <x v="0"/>
    <x v="0"/>
    <n v="80"/>
    <n v="0"/>
    <n v="9"/>
    <n v="2"/>
    <x v="0"/>
    <x v="5"/>
    <n v="6"/>
    <x v="0"/>
    <x v="1"/>
    <x v="2"/>
    <x v="0"/>
    <x v="0"/>
    <n v="0"/>
  </r>
  <r>
    <x v="11"/>
    <x v="1"/>
    <x v="0"/>
    <n v="1090"/>
    <x v="0"/>
    <n v="10"/>
    <x v="3"/>
    <x v="3"/>
    <x v="0"/>
    <n v="766"/>
    <x v="2"/>
    <x v="1"/>
    <n v="83"/>
    <x v="0"/>
    <x v="1"/>
    <x v="6"/>
    <x v="1"/>
    <x v="2"/>
    <x v="532"/>
    <n v="17967"/>
    <n v="1"/>
    <s v="Y"/>
    <x v="1"/>
    <n v="14"/>
    <x v="0"/>
    <x v="1"/>
    <n v="80"/>
    <n v="2"/>
    <n v="2"/>
    <n v="2"/>
    <x v="1"/>
    <x v="4"/>
    <n v="2"/>
    <x v="3"/>
    <x v="3"/>
    <x v="2"/>
    <x v="1"/>
    <x v="1"/>
    <n v="0"/>
  </r>
  <r>
    <x v="16"/>
    <x v="1"/>
    <x v="0"/>
    <n v="346"/>
    <x v="1"/>
    <n v="6"/>
    <x v="3"/>
    <x v="0"/>
    <x v="0"/>
    <n v="769"/>
    <x v="2"/>
    <x v="1"/>
    <n v="86"/>
    <x v="0"/>
    <x v="0"/>
    <x v="2"/>
    <x v="0"/>
    <x v="0"/>
    <x v="533"/>
    <n v="10919"/>
    <n v="2"/>
    <s v="Y"/>
    <x v="1"/>
    <n v="17"/>
    <x v="0"/>
    <x v="1"/>
    <n v="80"/>
    <n v="0"/>
    <n v="19"/>
    <n v="4"/>
    <x v="1"/>
    <x v="4"/>
    <n v="2"/>
    <x v="3"/>
    <x v="3"/>
    <x v="3"/>
    <x v="1"/>
    <x v="1"/>
    <n v="0"/>
  </r>
  <r>
    <x v="10"/>
    <x v="1"/>
    <x v="2"/>
    <n v="1225"/>
    <x v="1"/>
    <n v="2"/>
    <x v="2"/>
    <x v="0"/>
    <x v="0"/>
    <n v="771"/>
    <x v="2"/>
    <x v="0"/>
    <n v="61"/>
    <x v="0"/>
    <x v="0"/>
    <x v="4"/>
    <x v="3"/>
    <x v="2"/>
    <x v="534"/>
    <n v="4761"/>
    <n v="2"/>
    <s v="Y"/>
    <x v="1"/>
    <n v="11"/>
    <x v="0"/>
    <x v="0"/>
    <n v="80"/>
    <n v="1"/>
    <n v="16"/>
    <n v="2"/>
    <x v="3"/>
    <x v="6"/>
    <n v="0"/>
    <x v="0"/>
    <x v="2"/>
    <x v="1"/>
    <x v="1"/>
    <x v="0"/>
    <n v="0"/>
  </r>
  <r>
    <x v="5"/>
    <x v="1"/>
    <x v="1"/>
    <n v="430"/>
    <x v="1"/>
    <n v="24"/>
    <x v="2"/>
    <x v="0"/>
    <x v="0"/>
    <n v="772"/>
    <x v="3"/>
    <x v="1"/>
    <n v="80"/>
    <x v="0"/>
    <x v="0"/>
    <x v="2"/>
    <x v="0"/>
    <x v="1"/>
    <x v="535"/>
    <n v="21146"/>
    <n v="1"/>
    <s v="Y"/>
    <x v="1"/>
    <n v="15"/>
    <x v="0"/>
    <x v="1"/>
    <n v="80"/>
    <n v="2"/>
    <n v="10"/>
    <n v="2"/>
    <x v="1"/>
    <x v="1"/>
    <n v="8"/>
    <x v="5"/>
    <x v="1"/>
    <x v="1"/>
    <x v="0"/>
    <x v="0"/>
    <n v="0"/>
  </r>
  <r>
    <x v="8"/>
    <x v="1"/>
    <x v="0"/>
    <n v="268"/>
    <x v="1"/>
    <n v="2"/>
    <x v="4"/>
    <x v="2"/>
    <x v="0"/>
    <n v="773"/>
    <x v="2"/>
    <x v="1"/>
    <n v="92"/>
    <x v="0"/>
    <x v="1"/>
    <x v="1"/>
    <x v="2"/>
    <x v="1"/>
    <x v="536"/>
    <n v="20471"/>
    <n v="6"/>
    <s v="Y"/>
    <x v="0"/>
    <n v="13"/>
    <x v="0"/>
    <x v="2"/>
    <n v="80"/>
    <n v="1"/>
    <n v="6"/>
    <n v="0"/>
    <x v="0"/>
    <x v="6"/>
    <n v="0"/>
    <x v="0"/>
    <x v="9"/>
    <x v="1"/>
    <x v="1"/>
    <x v="1"/>
    <n v="0"/>
  </r>
  <r>
    <x v="13"/>
    <x v="1"/>
    <x v="0"/>
    <n v="167"/>
    <x v="1"/>
    <n v="8"/>
    <x v="4"/>
    <x v="0"/>
    <x v="0"/>
    <n v="775"/>
    <x v="0"/>
    <x v="0"/>
    <n v="32"/>
    <x v="0"/>
    <x v="0"/>
    <x v="3"/>
    <x v="3"/>
    <x v="2"/>
    <x v="537"/>
    <n v="4187"/>
    <n v="3"/>
    <s v="Y"/>
    <x v="1"/>
    <n v="14"/>
    <x v="0"/>
    <x v="3"/>
    <n v="80"/>
    <n v="1"/>
    <n v="7"/>
    <n v="3"/>
    <x v="1"/>
    <x v="2"/>
    <n v="0"/>
    <x v="0"/>
    <x v="2"/>
    <x v="1"/>
    <x v="1"/>
    <x v="0"/>
    <n v="0"/>
  </r>
  <r>
    <x v="39"/>
    <x v="1"/>
    <x v="0"/>
    <n v="621"/>
    <x v="0"/>
    <n v="3"/>
    <x v="2"/>
    <x v="3"/>
    <x v="0"/>
    <n v="776"/>
    <x v="1"/>
    <x v="1"/>
    <n v="31"/>
    <x v="1"/>
    <x v="3"/>
    <x v="5"/>
    <x v="3"/>
    <x v="1"/>
    <x v="538"/>
    <n v="10084"/>
    <n v="1"/>
    <s v="Y"/>
    <x v="1"/>
    <n v="11"/>
    <x v="0"/>
    <x v="0"/>
    <n v="80"/>
    <n v="0"/>
    <n v="34"/>
    <n v="3"/>
    <x v="3"/>
    <x v="33"/>
    <n v="6"/>
    <x v="1"/>
    <x v="16"/>
    <x v="3"/>
    <x v="3"/>
    <x v="2"/>
    <n v="0"/>
  </r>
  <r>
    <x v="3"/>
    <x v="0"/>
    <x v="0"/>
    <n v="527"/>
    <x v="1"/>
    <n v="1"/>
    <x v="2"/>
    <x v="1"/>
    <x v="0"/>
    <n v="780"/>
    <x v="2"/>
    <x v="1"/>
    <n v="63"/>
    <x v="0"/>
    <x v="1"/>
    <x v="1"/>
    <x v="0"/>
    <x v="0"/>
    <x v="539"/>
    <n v="5207"/>
    <n v="1"/>
    <s v="Y"/>
    <x v="0"/>
    <n v="13"/>
    <x v="0"/>
    <x v="3"/>
    <n v="80"/>
    <n v="0"/>
    <n v="10"/>
    <n v="2"/>
    <x v="2"/>
    <x v="1"/>
    <n v="9"/>
    <x v="4"/>
    <x v="5"/>
    <x v="1"/>
    <x v="0"/>
    <x v="1"/>
    <n v="1"/>
  </r>
  <r>
    <x v="36"/>
    <x v="1"/>
    <x v="0"/>
    <n v="883"/>
    <x v="0"/>
    <n v="26"/>
    <x v="1"/>
    <x v="2"/>
    <x v="0"/>
    <n v="781"/>
    <x v="1"/>
    <x v="0"/>
    <n v="32"/>
    <x v="0"/>
    <x v="0"/>
    <x v="0"/>
    <x v="0"/>
    <x v="0"/>
    <x v="540"/>
    <n v="22807"/>
    <n v="1"/>
    <s v="Y"/>
    <x v="1"/>
    <n v="23"/>
    <x v="1"/>
    <x v="2"/>
    <n v="80"/>
    <n v="0"/>
    <n v="6"/>
    <n v="5"/>
    <x v="2"/>
    <x v="0"/>
    <n v="5"/>
    <x v="1"/>
    <x v="10"/>
    <x v="2"/>
    <x v="0"/>
    <x v="0"/>
    <n v="0"/>
  </r>
  <r>
    <x v="28"/>
    <x v="1"/>
    <x v="0"/>
    <n v="954"/>
    <x v="0"/>
    <n v="2"/>
    <x v="0"/>
    <x v="4"/>
    <x v="0"/>
    <n v="783"/>
    <x v="0"/>
    <x v="1"/>
    <n v="46"/>
    <x v="3"/>
    <x v="0"/>
    <x v="6"/>
    <x v="2"/>
    <x v="0"/>
    <x v="541"/>
    <n v="12388"/>
    <n v="0"/>
    <s v="Y"/>
    <x v="1"/>
    <n v="13"/>
    <x v="0"/>
    <x v="0"/>
    <n v="80"/>
    <n v="0"/>
    <n v="9"/>
    <n v="3"/>
    <x v="1"/>
    <x v="3"/>
    <n v="7"/>
    <x v="2"/>
    <x v="9"/>
    <x v="0"/>
    <x v="0"/>
    <x v="0"/>
    <n v="0"/>
  </r>
  <r>
    <x v="30"/>
    <x v="1"/>
    <x v="0"/>
    <n v="310"/>
    <x v="1"/>
    <n v="10"/>
    <x v="1"/>
    <x v="2"/>
    <x v="0"/>
    <n v="784"/>
    <x v="3"/>
    <x v="1"/>
    <n v="79"/>
    <x v="2"/>
    <x v="1"/>
    <x v="1"/>
    <x v="2"/>
    <x v="0"/>
    <x v="542"/>
    <n v="19630"/>
    <n v="1"/>
    <s v="Y"/>
    <x v="1"/>
    <n v="18"/>
    <x v="0"/>
    <x v="1"/>
    <n v="80"/>
    <n v="0"/>
    <n v="2"/>
    <n v="3"/>
    <x v="1"/>
    <x v="4"/>
    <n v="2"/>
    <x v="0"/>
    <x v="3"/>
    <x v="2"/>
    <x v="1"/>
    <x v="1"/>
    <n v="0"/>
  </r>
  <r>
    <x v="40"/>
    <x v="0"/>
    <x v="1"/>
    <n v="719"/>
    <x v="0"/>
    <n v="27"/>
    <x v="0"/>
    <x v="0"/>
    <x v="0"/>
    <n v="785"/>
    <x v="0"/>
    <x v="0"/>
    <n v="77"/>
    <x v="2"/>
    <x v="0"/>
    <x v="0"/>
    <x v="2"/>
    <x v="0"/>
    <x v="271"/>
    <n v="10339"/>
    <n v="4"/>
    <s v="Y"/>
    <x v="0"/>
    <n v="12"/>
    <x v="0"/>
    <x v="1"/>
    <n v="80"/>
    <n v="0"/>
    <n v="8"/>
    <n v="2"/>
    <x v="1"/>
    <x v="8"/>
    <n v="4"/>
    <x v="1"/>
    <x v="6"/>
    <x v="0"/>
    <x v="2"/>
    <x v="0"/>
    <n v="1"/>
  </r>
  <r>
    <x v="13"/>
    <x v="1"/>
    <x v="0"/>
    <n v="304"/>
    <x v="0"/>
    <n v="2"/>
    <x v="3"/>
    <x v="1"/>
    <x v="0"/>
    <n v="786"/>
    <x v="2"/>
    <x v="1"/>
    <n v="60"/>
    <x v="0"/>
    <x v="0"/>
    <x v="0"/>
    <x v="0"/>
    <x v="0"/>
    <x v="543"/>
    <n v="18686"/>
    <n v="1"/>
    <s v="Y"/>
    <x v="1"/>
    <n v="22"/>
    <x v="1"/>
    <x v="3"/>
    <n v="80"/>
    <n v="0"/>
    <n v="6"/>
    <n v="5"/>
    <x v="1"/>
    <x v="0"/>
    <n v="5"/>
    <x v="1"/>
    <x v="10"/>
    <x v="1"/>
    <x v="0"/>
    <x v="0"/>
    <n v="0"/>
  </r>
  <r>
    <x v="27"/>
    <x v="0"/>
    <x v="0"/>
    <n v="725"/>
    <x v="1"/>
    <n v="2"/>
    <x v="3"/>
    <x v="2"/>
    <x v="0"/>
    <n v="787"/>
    <x v="2"/>
    <x v="1"/>
    <n v="78"/>
    <x v="0"/>
    <x v="4"/>
    <x v="5"/>
    <x v="3"/>
    <x v="1"/>
    <x v="544"/>
    <n v="21199"/>
    <n v="5"/>
    <s v="Y"/>
    <x v="0"/>
    <n v="13"/>
    <x v="0"/>
    <x v="1"/>
    <n v="80"/>
    <n v="1"/>
    <n v="24"/>
    <n v="2"/>
    <x v="1"/>
    <x v="8"/>
    <n v="2"/>
    <x v="1"/>
    <x v="10"/>
    <x v="3"/>
    <x v="2"/>
    <x v="2"/>
    <n v="1"/>
  </r>
  <r>
    <x v="9"/>
    <x v="1"/>
    <x v="2"/>
    <n v="1434"/>
    <x v="0"/>
    <n v="8"/>
    <x v="2"/>
    <x v="0"/>
    <x v="0"/>
    <n v="789"/>
    <x v="3"/>
    <x v="1"/>
    <n v="76"/>
    <x v="1"/>
    <x v="2"/>
    <x v="0"/>
    <x v="3"/>
    <x v="0"/>
    <x v="545"/>
    <n v="14229"/>
    <n v="1"/>
    <s v="Y"/>
    <x v="1"/>
    <n v="15"/>
    <x v="0"/>
    <x v="2"/>
    <n v="80"/>
    <n v="0"/>
    <n v="10"/>
    <n v="1"/>
    <x v="1"/>
    <x v="1"/>
    <n v="7"/>
    <x v="0"/>
    <x v="12"/>
    <x v="1"/>
    <x v="0"/>
    <x v="0"/>
    <n v="0"/>
  </r>
  <r>
    <x v="39"/>
    <x v="1"/>
    <x v="2"/>
    <n v="715"/>
    <x v="1"/>
    <n v="19"/>
    <x v="2"/>
    <x v="2"/>
    <x v="0"/>
    <n v="791"/>
    <x v="2"/>
    <x v="1"/>
    <n v="41"/>
    <x v="0"/>
    <x v="1"/>
    <x v="1"/>
    <x v="0"/>
    <x v="1"/>
    <x v="546"/>
    <n v="26589"/>
    <n v="0"/>
    <s v="Y"/>
    <x v="1"/>
    <n v="18"/>
    <x v="0"/>
    <x v="0"/>
    <n v="80"/>
    <n v="1"/>
    <n v="5"/>
    <n v="3"/>
    <x v="1"/>
    <x v="9"/>
    <n v="3"/>
    <x v="1"/>
    <x v="3"/>
    <x v="3"/>
    <x v="2"/>
    <x v="1"/>
    <n v="0"/>
  </r>
  <r>
    <x v="25"/>
    <x v="1"/>
    <x v="1"/>
    <n v="575"/>
    <x v="1"/>
    <n v="1"/>
    <x v="0"/>
    <x v="0"/>
    <x v="0"/>
    <n v="792"/>
    <x v="3"/>
    <x v="0"/>
    <n v="71"/>
    <x v="3"/>
    <x v="1"/>
    <x v="2"/>
    <x v="0"/>
    <x v="2"/>
    <x v="547"/>
    <n v="5288"/>
    <n v="3"/>
    <s v="Y"/>
    <x v="1"/>
    <n v="14"/>
    <x v="0"/>
    <x v="0"/>
    <n v="80"/>
    <n v="1"/>
    <n v="5"/>
    <n v="2"/>
    <x v="1"/>
    <x v="4"/>
    <n v="2"/>
    <x v="3"/>
    <x v="2"/>
    <x v="2"/>
    <x v="1"/>
    <x v="1"/>
    <n v="0"/>
  </r>
  <r>
    <x v="11"/>
    <x v="1"/>
    <x v="0"/>
    <n v="657"/>
    <x v="1"/>
    <n v="27"/>
    <x v="3"/>
    <x v="2"/>
    <x v="0"/>
    <n v="793"/>
    <x v="0"/>
    <x v="0"/>
    <n v="66"/>
    <x v="0"/>
    <x v="0"/>
    <x v="4"/>
    <x v="2"/>
    <x v="1"/>
    <x v="548"/>
    <n v="25549"/>
    <n v="4"/>
    <s v="Y"/>
    <x v="1"/>
    <n v="12"/>
    <x v="0"/>
    <x v="0"/>
    <n v="80"/>
    <n v="1"/>
    <n v="11"/>
    <n v="3"/>
    <x v="2"/>
    <x v="3"/>
    <n v="7"/>
    <x v="1"/>
    <x v="9"/>
    <x v="2"/>
    <x v="0"/>
    <x v="1"/>
    <n v="0"/>
  </r>
  <r>
    <x v="25"/>
    <x v="0"/>
    <x v="0"/>
    <n v="1146"/>
    <x v="0"/>
    <n v="8"/>
    <x v="3"/>
    <x v="4"/>
    <x v="0"/>
    <n v="796"/>
    <x v="2"/>
    <x v="1"/>
    <n v="38"/>
    <x v="1"/>
    <x v="0"/>
    <x v="0"/>
    <x v="3"/>
    <x v="0"/>
    <x v="549"/>
    <n v="3064"/>
    <n v="6"/>
    <s v="Y"/>
    <x v="1"/>
    <n v="17"/>
    <x v="0"/>
    <x v="3"/>
    <n v="80"/>
    <n v="0"/>
    <n v="6"/>
    <n v="2"/>
    <x v="2"/>
    <x v="9"/>
    <n v="3"/>
    <x v="1"/>
    <x v="3"/>
    <x v="2"/>
    <x v="2"/>
    <x v="0"/>
    <n v="1"/>
  </r>
  <r>
    <x v="13"/>
    <x v="1"/>
    <x v="0"/>
    <n v="182"/>
    <x v="1"/>
    <n v="1"/>
    <x v="2"/>
    <x v="0"/>
    <x v="0"/>
    <n v="797"/>
    <x v="0"/>
    <x v="0"/>
    <n v="72"/>
    <x v="2"/>
    <x v="1"/>
    <x v="1"/>
    <x v="0"/>
    <x v="0"/>
    <x v="550"/>
    <n v="13551"/>
    <n v="2"/>
    <s v="Y"/>
    <x v="1"/>
    <n v="16"/>
    <x v="0"/>
    <x v="3"/>
    <n v="80"/>
    <n v="0"/>
    <n v="10"/>
    <n v="2"/>
    <x v="1"/>
    <x v="9"/>
    <n v="2"/>
    <x v="1"/>
    <x v="6"/>
    <x v="1"/>
    <x v="2"/>
    <x v="1"/>
    <n v="0"/>
  </r>
  <r>
    <x v="33"/>
    <x v="1"/>
    <x v="0"/>
    <n v="376"/>
    <x v="1"/>
    <n v="19"/>
    <x v="2"/>
    <x v="2"/>
    <x v="0"/>
    <n v="799"/>
    <x v="2"/>
    <x v="0"/>
    <n v="95"/>
    <x v="0"/>
    <x v="0"/>
    <x v="3"/>
    <x v="3"/>
    <x v="2"/>
    <x v="551"/>
    <n v="22670"/>
    <n v="9"/>
    <s v="Y"/>
    <x v="0"/>
    <n v="11"/>
    <x v="0"/>
    <x v="2"/>
    <n v="80"/>
    <n v="2"/>
    <n v="9"/>
    <n v="4"/>
    <x v="1"/>
    <x v="8"/>
    <n v="3"/>
    <x v="1"/>
    <x v="10"/>
    <x v="3"/>
    <x v="2"/>
    <x v="0"/>
    <n v="0"/>
  </r>
  <r>
    <x v="4"/>
    <x v="1"/>
    <x v="1"/>
    <n v="829"/>
    <x v="0"/>
    <n v="8"/>
    <x v="1"/>
    <x v="3"/>
    <x v="0"/>
    <n v="800"/>
    <x v="1"/>
    <x v="1"/>
    <n v="84"/>
    <x v="0"/>
    <x v="0"/>
    <x v="0"/>
    <x v="0"/>
    <x v="1"/>
    <x v="552"/>
    <n v="24008"/>
    <n v="0"/>
    <s v="Y"/>
    <x v="1"/>
    <n v="19"/>
    <x v="0"/>
    <x v="2"/>
    <n v="80"/>
    <n v="1"/>
    <n v="5"/>
    <n v="3"/>
    <x v="1"/>
    <x v="9"/>
    <n v="2"/>
    <x v="1"/>
    <x v="9"/>
    <x v="2"/>
    <x v="2"/>
    <x v="1"/>
    <n v="0"/>
  </r>
  <r>
    <x v="2"/>
    <x v="1"/>
    <x v="0"/>
    <n v="571"/>
    <x v="1"/>
    <n v="10"/>
    <x v="1"/>
    <x v="0"/>
    <x v="0"/>
    <n v="802"/>
    <x v="2"/>
    <x v="0"/>
    <n v="82"/>
    <x v="0"/>
    <x v="1"/>
    <x v="1"/>
    <x v="3"/>
    <x v="2"/>
    <x v="553"/>
    <n v="19905"/>
    <n v="0"/>
    <s v="Y"/>
    <x v="0"/>
    <n v="13"/>
    <x v="0"/>
    <x v="2"/>
    <n v="80"/>
    <n v="2"/>
    <n v="6"/>
    <n v="3"/>
    <x v="2"/>
    <x v="8"/>
    <n v="3"/>
    <x v="5"/>
    <x v="6"/>
    <x v="1"/>
    <x v="2"/>
    <x v="1"/>
    <n v="0"/>
  </r>
  <r>
    <x v="8"/>
    <x v="1"/>
    <x v="1"/>
    <n v="240"/>
    <x v="1"/>
    <n v="2"/>
    <x v="2"/>
    <x v="0"/>
    <x v="0"/>
    <n v="803"/>
    <x v="3"/>
    <x v="0"/>
    <n v="75"/>
    <x v="2"/>
    <x v="0"/>
    <x v="3"/>
    <x v="3"/>
    <x v="0"/>
    <x v="554"/>
    <n v="26085"/>
    <n v="6"/>
    <s v="Y"/>
    <x v="0"/>
    <n v="12"/>
    <x v="0"/>
    <x v="1"/>
    <n v="80"/>
    <n v="0"/>
    <n v="17"/>
    <n v="2"/>
    <x v="1"/>
    <x v="15"/>
    <n v="7"/>
    <x v="5"/>
    <x v="11"/>
    <x v="1"/>
    <x v="3"/>
    <x v="0"/>
    <n v="0"/>
  </r>
  <r>
    <x v="13"/>
    <x v="1"/>
    <x v="0"/>
    <n v="121"/>
    <x v="1"/>
    <n v="2"/>
    <x v="2"/>
    <x v="2"/>
    <x v="0"/>
    <n v="804"/>
    <x v="1"/>
    <x v="0"/>
    <n v="86"/>
    <x v="1"/>
    <x v="1"/>
    <x v="1"/>
    <x v="3"/>
    <x v="0"/>
    <x v="555"/>
    <n v="7530"/>
    <n v="1"/>
    <s v="Y"/>
    <x v="1"/>
    <n v="11"/>
    <x v="0"/>
    <x v="3"/>
    <n v="80"/>
    <n v="0"/>
    <n v="6"/>
    <n v="3"/>
    <x v="1"/>
    <x v="0"/>
    <n v="5"/>
    <x v="1"/>
    <x v="6"/>
    <x v="1"/>
    <x v="0"/>
    <x v="1"/>
    <n v="0"/>
  </r>
  <r>
    <x v="10"/>
    <x v="1"/>
    <x v="0"/>
    <n v="384"/>
    <x v="0"/>
    <n v="8"/>
    <x v="2"/>
    <x v="0"/>
    <x v="0"/>
    <n v="805"/>
    <x v="3"/>
    <x v="0"/>
    <n v="72"/>
    <x v="0"/>
    <x v="1"/>
    <x v="6"/>
    <x v="0"/>
    <x v="1"/>
    <x v="556"/>
    <n v="20317"/>
    <n v="1"/>
    <s v="Y"/>
    <x v="1"/>
    <n v="16"/>
    <x v="0"/>
    <x v="2"/>
    <n v="80"/>
    <n v="1"/>
    <n v="3"/>
    <n v="1"/>
    <x v="2"/>
    <x v="11"/>
    <n v="2"/>
    <x v="0"/>
    <x v="3"/>
    <x v="1"/>
    <x v="2"/>
    <x v="1"/>
    <n v="0"/>
  </r>
  <r>
    <x v="7"/>
    <x v="1"/>
    <x v="0"/>
    <n v="921"/>
    <x v="1"/>
    <n v="1"/>
    <x v="3"/>
    <x v="0"/>
    <x v="0"/>
    <n v="806"/>
    <x v="2"/>
    <x v="1"/>
    <n v="38"/>
    <x v="3"/>
    <x v="1"/>
    <x v="2"/>
    <x v="2"/>
    <x v="1"/>
    <x v="557"/>
    <n v="24375"/>
    <n v="3"/>
    <s v="Y"/>
    <x v="1"/>
    <n v="21"/>
    <x v="1"/>
    <x v="3"/>
    <n v="80"/>
    <n v="2"/>
    <n v="7"/>
    <n v="2"/>
    <x v="1"/>
    <x v="4"/>
    <n v="2"/>
    <x v="0"/>
    <x v="3"/>
    <x v="1"/>
    <x v="1"/>
    <x v="1"/>
    <n v="0"/>
  </r>
  <r>
    <x v="32"/>
    <x v="1"/>
    <x v="1"/>
    <n v="791"/>
    <x v="1"/>
    <n v="2"/>
    <x v="0"/>
    <x v="2"/>
    <x v="0"/>
    <n v="807"/>
    <x v="1"/>
    <x v="0"/>
    <n v="38"/>
    <x v="2"/>
    <x v="0"/>
    <x v="4"/>
    <x v="1"/>
    <x v="1"/>
    <x v="558"/>
    <n v="9931"/>
    <n v="1"/>
    <s v="Y"/>
    <x v="1"/>
    <n v="24"/>
    <x v="1"/>
    <x v="1"/>
    <n v="80"/>
    <n v="1"/>
    <n v="8"/>
    <n v="2"/>
    <x v="1"/>
    <x v="3"/>
    <n v="7"/>
    <x v="2"/>
    <x v="1"/>
    <x v="0"/>
    <x v="0"/>
    <x v="1"/>
    <n v="0"/>
  </r>
  <r>
    <x v="13"/>
    <x v="1"/>
    <x v="0"/>
    <n v="1111"/>
    <x v="0"/>
    <n v="8"/>
    <x v="0"/>
    <x v="0"/>
    <x v="0"/>
    <n v="808"/>
    <x v="1"/>
    <x v="0"/>
    <n v="93"/>
    <x v="0"/>
    <x v="0"/>
    <x v="0"/>
    <x v="3"/>
    <x v="1"/>
    <x v="559"/>
    <n v="13305"/>
    <n v="5"/>
    <s v="Y"/>
    <x v="1"/>
    <n v="17"/>
    <x v="0"/>
    <x v="2"/>
    <n v="80"/>
    <n v="1"/>
    <n v="6"/>
    <n v="1"/>
    <x v="1"/>
    <x v="11"/>
    <n v="2"/>
    <x v="1"/>
    <x v="3"/>
    <x v="1"/>
    <x v="2"/>
    <x v="0"/>
    <n v="0"/>
  </r>
  <r>
    <x v="19"/>
    <x v="1"/>
    <x v="1"/>
    <n v="570"/>
    <x v="1"/>
    <n v="8"/>
    <x v="3"/>
    <x v="0"/>
    <x v="0"/>
    <n v="809"/>
    <x v="0"/>
    <x v="1"/>
    <n v="66"/>
    <x v="0"/>
    <x v="4"/>
    <x v="5"/>
    <x v="0"/>
    <x v="2"/>
    <x v="560"/>
    <n v="16225"/>
    <n v="1"/>
    <s v="Y"/>
    <x v="1"/>
    <n v="13"/>
    <x v="0"/>
    <x v="2"/>
    <n v="80"/>
    <n v="1"/>
    <n v="24"/>
    <n v="4"/>
    <x v="2"/>
    <x v="25"/>
    <n v="7"/>
    <x v="15"/>
    <x v="12"/>
    <x v="0"/>
    <x v="3"/>
    <x v="2"/>
    <n v="0"/>
  </r>
  <r>
    <x v="30"/>
    <x v="0"/>
    <x v="0"/>
    <n v="1243"/>
    <x v="1"/>
    <n v="6"/>
    <x v="3"/>
    <x v="0"/>
    <x v="0"/>
    <n v="811"/>
    <x v="1"/>
    <x v="1"/>
    <n v="63"/>
    <x v="2"/>
    <x v="1"/>
    <x v="2"/>
    <x v="3"/>
    <x v="1"/>
    <x v="561"/>
    <n v="3445"/>
    <n v="1"/>
    <s v="Y"/>
    <x v="0"/>
    <n v="21"/>
    <x v="1"/>
    <x v="3"/>
    <n v="80"/>
    <n v="2"/>
    <n v="1"/>
    <n v="2"/>
    <x v="1"/>
    <x v="2"/>
    <n v="0"/>
    <x v="0"/>
    <x v="2"/>
    <x v="2"/>
    <x v="1"/>
    <x v="1"/>
    <n v="1"/>
  </r>
  <r>
    <x v="17"/>
    <x v="1"/>
    <x v="2"/>
    <n v="1092"/>
    <x v="1"/>
    <n v="9"/>
    <x v="3"/>
    <x v="0"/>
    <x v="0"/>
    <n v="812"/>
    <x v="1"/>
    <x v="1"/>
    <n v="60"/>
    <x v="1"/>
    <x v="1"/>
    <x v="2"/>
    <x v="1"/>
    <x v="2"/>
    <x v="562"/>
    <n v="26551"/>
    <n v="1"/>
    <s v="Y"/>
    <x v="1"/>
    <n v="11"/>
    <x v="0"/>
    <x v="3"/>
    <n v="80"/>
    <n v="3"/>
    <n v="1"/>
    <n v="4"/>
    <x v="1"/>
    <x v="6"/>
    <n v="0"/>
    <x v="0"/>
    <x v="2"/>
    <x v="2"/>
    <x v="1"/>
    <x v="1"/>
    <n v="0"/>
  </r>
  <r>
    <x v="39"/>
    <x v="1"/>
    <x v="0"/>
    <n v="1325"/>
    <x v="1"/>
    <n v="11"/>
    <x v="2"/>
    <x v="0"/>
    <x v="0"/>
    <n v="813"/>
    <x v="2"/>
    <x v="0"/>
    <n v="82"/>
    <x v="0"/>
    <x v="0"/>
    <x v="2"/>
    <x v="2"/>
    <x v="1"/>
    <x v="563"/>
    <n v="21821"/>
    <n v="8"/>
    <s v="Y"/>
    <x v="1"/>
    <n v="20"/>
    <x v="1"/>
    <x v="2"/>
    <n v="80"/>
    <n v="1"/>
    <n v="9"/>
    <n v="3"/>
    <x v="1"/>
    <x v="8"/>
    <n v="2"/>
    <x v="1"/>
    <x v="10"/>
    <x v="3"/>
    <x v="2"/>
    <x v="1"/>
    <n v="0"/>
  </r>
  <r>
    <x v="24"/>
    <x v="1"/>
    <x v="0"/>
    <n v="691"/>
    <x v="1"/>
    <n v="2"/>
    <x v="3"/>
    <x v="2"/>
    <x v="0"/>
    <n v="815"/>
    <x v="1"/>
    <x v="1"/>
    <n v="64"/>
    <x v="0"/>
    <x v="3"/>
    <x v="7"/>
    <x v="2"/>
    <x v="1"/>
    <x v="564"/>
    <n v="6881"/>
    <n v="5"/>
    <s v="Y"/>
    <x v="1"/>
    <n v="16"/>
    <x v="0"/>
    <x v="1"/>
    <n v="80"/>
    <n v="0"/>
    <n v="30"/>
    <n v="3"/>
    <x v="1"/>
    <x v="9"/>
    <n v="3"/>
    <x v="0"/>
    <x v="6"/>
    <x v="3"/>
    <x v="2"/>
    <x v="2"/>
    <n v="0"/>
  </r>
  <r>
    <x v="11"/>
    <x v="0"/>
    <x v="0"/>
    <n v="805"/>
    <x v="1"/>
    <n v="1"/>
    <x v="0"/>
    <x v="0"/>
    <x v="0"/>
    <n v="816"/>
    <x v="0"/>
    <x v="0"/>
    <n v="36"/>
    <x v="1"/>
    <x v="1"/>
    <x v="2"/>
    <x v="3"/>
    <x v="1"/>
    <x v="565"/>
    <n v="6689"/>
    <n v="1"/>
    <s v="Y"/>
    <x v="0"/>
    <n v="11"/>
    <x v="0"/>
    <x v="1"/>
    <n v="80"/>
    <n v="1"/>
    <n v="1"/>
    <n v="1"/>
    <x v="1"/>
    <x v="6"/>
    <n v="0"/>
    <x v="0"/>
    <x v="2"/>
    <x v="2"/>
    <x v="1"/>
    <x v="1"/>
    <n v="1"/>
  </r>
  <r>
    <x v="3"/>
    <x v="1"/>
    <x v="0"/>
    <n v="213"/>
    <x v="1"/>
    <n v="7"/>
    <x v="3"/>
    <x v="2"/>
    <x v="0"/>
    <n v="817"/>
    <x v="1"/>
    <x v="1"/>
    <n v="49"/>
    <x v="0"/>
    <x v="2"/>
    <x v="7"/>
    <x v="2"/>
    <x v="1"/>
    <x v="566"/>
    <n v="25995"/>
    <n v="0"/>
    <s v="Y"/>
    <x v="1"/>
    <n v="11"/>
    <x v="0"/>
    <x v="1"/>
    <n v="80"/>
    <n v="0"/>
    <n v="14"/>
    <n v="3"/>
    <x v="3"/>
    <x v="20"/>
    <n v="9"/>
    <x v="2"/>
    <x v="1"/>
    <x v="1"/>
    <x v="3"/>
    <x v="3"/>
    <n v="0"/>
  </r>
  <r>
    <x v="3"/>
    <x v="0"/>
    <x v="0"/>
    <n v="118"/>
    <x v="0"/>
    <n v="16"/>
    <x v="3"/>
    <x v="3"/>
    <x v="0"/>
    <n v="819"/>
    <x v="3"/>
    <x v="0"/>
    <n v="69"/>
    <x v="0"/>
    <x v="0"/>
    <x v="0"/>
    <x v="3"/>
    <x v="0"/>
    <x v="567"/>
    <n v="26507"/>
    <n v="5"/>
    <s v="Y"/>
    <x v="1"/>
    <n v="15"/>
    <x v="0"/>
    <x v="3"/>
    <n v="80"/>
    <n v="0"/>
    <n v="6"/>
    <n v="3"/>
    <x v="1"/>
    <x v="11"/>
    <n v="2"/>
    <x v="0"/>
    <x v="3"/>
    <x v="1"/>
    <x v="2"/>
    <x v="0"/>
    <n v="1"/>
  </r>
  <r>
    <x v="40"/>
    <x v="1"/>
    <x v="0"/>
    <n v="202"/>
    <x v="1"/>
    <n v="2"/>
    <x v="0"/>
    <x v="1"/>
    <x v="0"/>
    <n v="820"/>
    <x v="1"/>
    <x v="0"/>
    <n v="33"/>
    <x v="0"/>
    <x v="3"/>
    <x v="5"/>
    <x v="0"/>
    <x v="1"/>
    <x v="568"/>
    <n v="12982"/>
    <n v="1"/>
    <s v="Y"/>
    <x v="0"/>
    <n v="11"/>
    <x v="0"/>
    <x v="3"/>
    <n v="80"/>
    <n v="1"/>
    <n v="26"/>
    <n v="3"/>
    <x v="2"/>
    <x v="34"/>
    <n v="14"/>
    <x v="2"/>
    <x v="2"/>
    <x v="0"/>
    <x v="3"/>
    <x v="2"/>
    <n v="0"/>
  </r>
  <r>
    <x v="9"/>
    <x v="1"/>
    <x v="0"/>
    <n v="676"/>
    <x v="1"/>
    <n v="1"/>
    <x v="3"/>
    <x v="1"/>
    <x v="0"/>
    <n v="823"/>
    <x v="1"/>
    <x v="0"/>
    <n v="35"/>
    <x v="0"/>
    <x v="0"/>
    <x v="3"/>
    <x v="1"/>
    <x v="1"/>
    <x v="311"/>
    <n v="23361"/>
    <n v="0"/>
    <s v="Y"/>
    <x v="1"/>
    <n v="15"/>
    <x v="0"/>
    <x v="0"/>
    <n v="80"/>
    <n v="1"/>
    <n v="10"/>
    <n v="2"/>
    <x v="1"/>
    <x v="7"/>
    <n v="7"/>
    <x v="0"/>
    <x v="0"/>
    <x v="1"/>
    <x v="0"/>
    <x v="0"/>
    <n v="0"/>
  </r>
  <r>
    <x v="11"/>
    <x v="1"/>
    <x v="0"/>
    <n v="1252"/>
    <x v="1"/>
    <n v="23"/>
    <x v="0"/>
    <x v="0"/>
    <x v="0"/>
    <n v="824"/>
    <x v="1"/>
    <x v="1"/>
    <n v="81"/>
    <x v="2"/>
    <x v="1"/>
    <x v="1"/>
    <x v="2"/>
    <x v="1"/>
    <x v="569"/>
    <n v="23779"/>
    <n v="1"/>
    <s v="Y"/>
    <x v="1"/>
    <n v="24"/>
    <x v="1"/>
    <x v="3"/>
    <n v="80"/>
    <n v="1"/>
    <n v="10"/>
    <n v="3"/>
    <x v="1"/>
    <x v="1"/>
    <n v="7"/>
    <x v="0"/>
    <x v="1"/>
    <x v="2"/>
    <x v="0"/>
    <x v="1"/>
    <n v="0"/>
  </r>
  <r>
    <x v="34"/>
    <x v="0"/>
    <x v="0"/>
    <n v="286"/>
    <x v="1"/>
    <n v="2"/>
    <x v="2"/>
    <x v="0"/>
    <x v="0"/>
    <n v="825"/>
    <x v="2"/>
    <x v="1"/>
    <n v="31"/>
    <x v="0"/>
    <x v="4"/>
    <x v="7"/>
    <x v="1"/>
    <x v="0"/>
    <x v="570"/>
    <n v="25761"/>
    <n v="7"/>
    <s v="Y"/>
    <x v="0"/>
    <n v="12"/>
    <x v="0"/>
    <x v="1"/>
    <n v="80"/>
    <n v="0"/>
    <n v="40"/>
    <n v="2"/>
    <x v="1"/>
    <x v="31"/>
    <n v="15"/>
    <x v="11"/>
    <x v="5"/>
    <x v="3"/>
    <x v="3"/>
    <x v="2"/>
    <n v="1"/>
  </r>
  <r>
    <x v="10"/>
    <x v="1"/>
    <x v="0"/>
    <n v="1258"/>
    <x v="1"/>
    <n v="1"/>
    <x v="2"/>
    <x v="0"/>
    <x v="0"/>
    <n v="826"/>
    <x v="2"/>
    <x v="0"/>
    <n v="40"/>
    <x v="2"/>
    <x v="1"/>
    <x v="1"/>
    <x v="2"/>
    <x v="0"/>
    <x v="571"/>
    <n v="13301"/>
    <n v="3"/>
    <s v="Y"/>
    <x v="1"/>
    <n v="13"/>
    <x v="0"/>
    <x v="3"/>
    <n v="80"/>
    <n v="0"/>
    <n v="7"/>
    <n v="0"/>
    <x v="1"/>
    <x v="4"/>
    <n v="2"/>
    <x v="3"/>
    <x v="3"/>
    <x v="1"/>
    <x v="1"/>
    <x v="1"/>
    <n v="0"/>
  </r>
  <r>
    <x v="19"/>
    <x v="1"/>
    <x v="0"/>
    <n v="932"/>
    <x v="1"/>
    <n v="1"/>
    <x v="0"/>
    <x v="0"/>
    <x v="0"/>
    <n v="827"/>
    <x v="2"/>
    <x v="0"/>
    <n v="43"/>
    <x v="1"/>
    <x v="0"/>
    <x v="3"/>
    <x v="0"/>
    <x v="1"/>
    <x v="572"/>
    <n v="4051"/>
    <n v="9"/>
    <s v="Y"/>
    <x v="0"/>
    <n v="13"/>
    <x v="0"/>
    <x v="1"/>
    <n v="80"/>
    <n v="1"/>
    <n v="8"/>
    <n v="4"/>
    <x v="1"/>
    <x v="9"/>
    <n v="3"/>
    <x v="0"/>
    <x v="3"/>
    <x v="0"/>
    <x v="2"/>
    <x v="0"/>
    <n v="0"/>
  </r>
  <r>
    <x v="14"/>
    <x v="0"/>
    <x v="0"/>
    <n v="890"/>
    <x v="1"/>
    <n v="2"/>
    <x v="2"/>
    <x v="2"/>
    <x v="0"/>
    <n v="828"/>
    <x v="1"/>
    <x v="1"/>
    <n v="46"/>
    <x v="0"/>
    <x v="1"/>
    <x v="1"/>
    <x v="2"/>
    <x v="0"/>
    <x v="573"/>
    <n v="16374"/>
    <n v="6"/>
    <s v="Y"/>
    <x v="1"/>
    <n v="17"/>
    <x v="0"/>
    <x v="1"/>
    <n v="80"/>
    <n v="0"/>
    <n v="5"/>
    <n v="3"/>
    <x v="2"/>
    <x v="4"/>
    <n v="2"/>
    <x v="3"/>
    <x v="9"/>
    <x v="2"/>
    <x v="1"/>
    <x v="1"/>
    <n v="1"/>
  </r>
  <r>
    <x v="9"/>
    <x v="1"/>
    <x v="0"/>
    <n v="1041"/>
    <x v="2"/>
    <n v="13"/>
    <x v="3"/>
    <x v="5"/>
    <x v="0"/>
    <n v="829"/>
    <x v="1"/>
    <x v="1"/>
    <n v="36"/>
    <x v="0"/>
    <x v="1"/>
    <x v="8"/>
    <x v="1"/>
    <x v="1"/>
    <x v="574"/>
    <n v="25527"/>
    <n v="4"/>
    <s v="Y"/>
    <x v="1"/>
    <n v="13"/>
    <x v="0"/>
    <x v="2"/>
    <n v="80"/>
    <n v="1"/>
    <n v="8"/>
    <n v="2"/>
    <x v="1"/>
    <x v="8"/>
    <n v="2"/>
    <x v="0"/>
    <x v="10"/>
    <x v="1"/>
    <x v="2"/>
    <x v="1"/>
    <n v="0"/>
  </r>
  <r>
    <x v="5"/>
    <x v="1"/>
    <x v="0"/>
    <n v="859"/>
    <x v="1"/>
    <n v="4"/>
    <x v="3"/>
    <x v="0"/>
    <x v="0"/>
    <n v="830"/>
    <x v="1"/>
    <x v="0"/>
    <n v="98"/>
    <x v="1"/>
    <x v="0"/>
    <x v="3"/>
    <x v="2"/>
    <x v="1"/>
    <x v="57"/>
    <n v="19124"/>
    <n v="1"/>
    <s v="Y"/>
    <x v="1"/>
    <n v="12"/>
    <x v="0"/>
    <x v="3"/>
    <n v="80"/>
    <n v="1"/>
    <n v="14"/>
    <n v="3"/>
    <x v="1"/>
    <x v="13"/>
    <n v="13"/>
    <x v="7"/>
    <x v="5"/>
    <x v="1"/>
    <x v="3"/>
    <x v="0"/>
    <n v="0"/>
  </r>
  <r>
    <x v="32"/>
    <x v="1"/>
    <x v="1"/>
    <n v="720"/>
    <x v="1"/>
    <n v="16"/>
    <x v="2"/>
    <x v="2"/>
    <x v="0"/>
    <n v="832"/>
    <x v="3"/>
    <x v="1"/>
    <n v="51"/>
    <x v="1"/>
    <x v="0"/>
    <x v="2"/>
    <x v="2"/>
    <x v="0"/>
    <x v="575"/>
    <n v="11983"/>
    <n v="6"/>
    <s v="Y"/>
    <x v="1"/>
    <n v="14"/>
    <x v="0"/>
    <x v="1"/>
    <n v="80"/>
    <n v="0"/>
    <n v="10"/>
    <n v="6"/>
    <x v="1"/>
    <x v="6"/>
    <n v="0"/>
    <x v="0"/>
    <x v="2"/>
    <x v="0"/>
    <x v="1"/>
    <x v="0"/>
    <n v="0"/>
  </r>
  <r>
    <x v="7"/>
    <x v="1"/>
    <x v="0"/>
    <n v="946"/>
    <x v="1"/>
    <n v="2"/>
    <x v="3"/>
    <x v="2"/>
    <x v="0"/>
    <n v="833"/>
    <x v="1"/>
    <x v="0"/>
    <n v="52"/>
    <x v="1"/>
    <x v="0"/>
    <x v="3"/>
    <x v="0"/>
    <x v="0"/>
    <x v="576"/>
    <n v="20234"/>
    <n v="5"/>
    <s v="Y"/>
    <x v="0"/>
    <n v="24"/>
    <x v="1"/>
    <x v="2"/>
    <n v="80"/>
    <n v="0"/>
    <n v="12"/>
    <n v="4"/>
    <x v="2"/>
    <x v="2"/>
    <n v="0"/>
    <x v="0"/>
    <x v="2"/>
    <x v="1"/>
    <x v="1"/>
    <x v="0"/>
    <n v="0"/>
  </r>
  <r>
    <x v="28"/>
    <x v="1"/>
    <x v="0"/>
    <n v="252"/>
    <x v="1"/>
    <n v="2"/>
    <x v="3"/>
    <x v="0"/>
    <x v="0"/>
    <n v="834"/>
    <x v="0"/>
    <x v="0"/>
    <n v="95"/>
    <x v="1"/>
    <x v="1"/>
    <x v="1"/>
    <x v="2"/>
    <x v="0"/>
    <x v="577"/>
    <n v="6153"/>
    <n v="1"/>
    <s v="Y"/>
    <x v="1"/>
    <n v="14"/>
    <x v="0"/>
    <x v="1"/>
    <n v="80"/>
    <n v="0"/>
    <n v="1"/>
    <n v="3"/>
    <x v="1"/>
    <x v="6"/>
    <n v="0"/>
    <x v="0"/>
    <x v="2"/>
    <x v="0"/>
    <x v="1"/>
    <x v="1"/>
    <n v="0"/>
  </r>
  <r>
    <x v="19"/>
    <x v="1"/>
    <x v="0"/>
    <n v="933"/>
    <x v="1"/>
    <n v="29"/>
    <x v="3"/>
    <x v="0"/>
    <x v="0"/>
    <n v="836"/>
    <x v="0"/>
    <x v="1"/>
    <n v="98"/>
    <x v="0"/>
    <x v="0"/>
    <x v="3"/>
    <x v="1"/>
    <x v="1"/>
    <x v="578"/>
    <n v="11806"/>
    <n v="1"/>
    <s v="Y"/>
    <x v="1"/>
    <n v="13"/>
    <x v="0"/>
    <x v="1"/>
    <n v="80"/>
    <n v="1"/>
    <n v="10"/>
    <n v="3"/>
    <x v="2"/>
    <x v="7"/>
    <n v="8"/>
    <x v="4"/>
    <x v="5"/>
    <x v="0"/>
    <x v="0"/>
    <x v="1"/>
    <n v="0"/>
  </r>
  <r>
    <x v="8"/>
    <x v="1"/>
    <x v="1"/>
    <n v="471"/>
    <x v="1"/>
    <n v="12"/>
    <x v="3"/>
    <x v="0"/>
    <x v="0"/>
    <n v="837"/>
    <x v="3"/>
    <x v="1"/>
    <n v="45"/>
    <x v="1"/>
    <x v="0"/>
    <x v="4"/>
    <x v="3"/>
    <x v="2"/>
    <x v="579"/>
    <n v="4284"/>
    <n v="2"/>
    <s v="Y"/>
    <x v="1"/>
    <n v="15"/>
    <x v="0"/>
    <x v="3"/>
    <n v="80"/>
    <n v="1"/>
    <n v="13"/>
    <n v="3"/>
    <x v="2"/>
    <x v="9"/>
    <n v="3"/>
    <x v="1"/>
    <x v="3"/>
    <x v="1"/>
    <x v="2"/>
    <x v="0"/>
    <n v="0"/>
  </r>
  <r>
    <x v="13"/>
    <x v="1"/>
    <x v="1"/>
    <n v="702"/>
    <x v="1"/>
    <n v="16"/>
    <x v="2"/>
    <x v="0"/>
    <x v="0"/>
    <n v="838"/>
    <x v="1"/>
    <x v="0"/>
    <n v="100"/>
    <x v="1"/>
    <x v="1"/>
    <x v="1"/>
    <x v="0"/>
    <x v="0"/>
    <x v="580"/>
    <n v="8306"/>
    <n v="1"/>
    <s v="Y"/>
    <x v="1"/>
    <n v="16"/>
    <x v="0"/>
    <x v="3"/>
    <n v="80"/>
    <n v="0"/>
    <n v="6"/>
    <n v="3"/>
    <x v="1"/>
    <x v="8"/>
    <n v="2"/>
    <x v="1"/>
    <x v="6"/>
    <x v="1"/>
    <x v="2"/>
    <x v="1"/>
    <n v="0"/>
  </r>
  <r>
    <x v="1"/>
    <x v="0"/>
    <x v="0"/>
    <n v="1184"/>
    <x v="0"/>
    <n v="11"/>
    <x v="3"/>
    <x v="3"/>
    <x v="0"/>
    <n v="840"/>
    <x v="1"/>
    <x v="0"/>
    <n v="43"/>
    <x v="0"/>
    <x v="2"/>
    <x v="0"/>
    <x v="0"/>
    <x v="1"/>
    <x v="581"/>
    <n v="5860"/>
    <n v="1"/>
    <s v="Y"/>
    <x v="1"/>
    <n v="18"/>
    <x v="0"/>
    <x v="0"/>
    <n v="80"/>
    <n v="2"/>
    <n v="9"/>
    <n v="3"/>
    <x v="3"/>
    <x v="7"/>
    <n v="8"/>
    <x v="4"/>
    <x v="1"/>
    <x v="0"/>
    <x v="0"/>
    <x v="0"/>
    <n v="1"/>
  </r>
  <r>
    <x v="27"/>
    <x v="0"/>
    <x v="0"/>
    <n v="436"/>
    <x v="0"/>
    <n v="2"/>
    <x v="1"/>
    <x v="2"/>
    <x v="0"/>
    <n v="842"/>
    <x v="1"/>
    <x v="1"/>
    <n v="37"/>
    <x v="0"/>
    <x v="0"/>
    <x v="0"/>
    <x v="0"/>
    <x v="0"/>
    <x v="582"/>
    <n v="21519"/>
    <n v="4"/>
    <s v="Y"/>
    <x v="1"/>
    <n v="16"/>
    <x v="0"/>
    <x v="3"/>
    <n v="80"/>
    <n v="0"/>
    <n v="12"/>
    <n v="3"/>
    <x v="2"/>
    <x v="7"/>
    <n v="7"/>
    <x v="4"/>
    <x v="6"/>
    <x v="3"/>
    <x v="0"/>
    <x v="0"/>
    <n v="1"/>
  </r>
  <r>
    <x v="23"/>
    <x v="1"/>
    <x v="0"/>
    <n v="589"/>
    <x v="1"/>
    <n v="14"/>
    <x v="0"/>
    <x v="0"/>
    <x v="0"/>
    <n v="843"/>
    <x v="0"/>
    <x v="1"/>
    <n v="94"/>
    <x v="0"/>
    <x v="3"/>
    <x v="7"/>
    <x v="3"/>
    <x v="1"/>
    <x v="583"/>
    <n v="5200"/>
    <n v="6"/>
    <s v="Y"/>
    <x v="1"/>
    <n v="24"/>
    <x v="1"/>
    <x v="3"/>
    <n v="80"/>
    <n v="1"/>
    <n v="22"/>
    <n v="3"/>
    <x v="1"/>
    <x v="9"/>
    <n v="1"/>
    <x v="1"/>
    <x v="2"/>
    <x v="0"/>
    <x v="2"/>
    <x v="2"/>
    <n v="0"/>
  </r>
  <r>
    <x v="4"/>
    <x v="1"/>
    <x v="0"/>
    <n v="269"/>
    <x v="1"/>
    <n v="5"/>
    <x v="1"/>
    <x v="4"/>
    <x v="0"/>
    <n v="844"/>
    <x v="1"/>
    <x v="1"/>
    <n v="42"/>
    <x v="1"/>
    <x v="2"/>
    <x v="7"/>
    <x v="0"/>
    <x v="2"/>
    <x v="584"/>
    <n v="8842"/>
    <n v="1"/>
    <s v="Y"/>
    <x v="0"/>
    <n v="16"/>
    <x v="0"/>
    <x v="2"/>
    <n v="80"/>
    <n v="1"/>
    <n v="9"/>
    <n v="3"/>
    <x v="1"/>
    <x v="7"/>
    <n v="8"/>
    <x v="0"/>
    <x v="5"/>
    <x v="2"/>
    <x v="0"/>
    <x v="3"/>
    <n v="0"/>
  </r>
  <r>
    <x v="10"/>
    <x v="1"/>
    <x v="0"/>
    <n v="950"/>
    <x v="1"/>
    <n v="7"/>
    <x v="3"/>
    <x v="1"/>
    <x v="0"/>
    <n v="845"/>
    <x v="1"/>
    <x v="1"/>
    <n v="59"/>
    <x v="0"/>
    <x v="2"/>
    <x v="3"/>
    <x v="2"/>
    <x v="0"/>
    <x v="585"/>
    <n v="18869"/>
    <n v="3"/>
    <s v="Y"/>
    <x v="1"/>
    <n v="21"/>
    <x v="1"/>
    <x v="2"/>
    <n v="80"/>
    <n v="0"/>
    <n v="17"/>
    <n v="3"/>
    <x v="3"/>
    <x v="3"/>
    <n v="5"/>
    <x v="1"/>
    <x v="4"/>
    <x v="1"/>
    <x v="0"/>
    <x v="3"/>
    <n v="0"/>
  </r>
  <r>
    <x v="14"/>
    <x v="1"/>
    <x v="0"/>
    <n v="760"/>
    <x v="0"/>
    <n v="2"/>
    <x v="2"/>
    <x v="3"/>
    <x v="0"/>
    <n v="846"/>
    <x v="0"/>
    <x v="0"/>
    <n v="81"/>
    <x v="0"/>
    <x v="0"/>
    <x v="0"/>
    <x v="1"/>
    <x v="1"/>
    <x v="586"/>
    <n v="3698"/>
    <n v="1"/>
    <s v="Y"/>
    <x v="0"/>
    <n v="20"/>
    <x v="1"/>
    <x v="0"/>
    <n v="80"/>
    <n v="0"/>
    <n v="8"/>
    <n v="2"/>
    <x v="1"/>
    <x v="3"/>
    <n v="7"/>
    <x v="4"/>
    <x v="0"/>
    <x v="2"/>
    <x v="0"/>
    <x v="1"/>
    <n v="0"/>
  </r>
  <r>
    <x v="13"/>
    <x v="1"/>
    <x v="0"/>
    <n v="829"/>
    <x v="2"/>
    <n v="3"/>
    <x v="0"/>
    <x v="5"/>
    <x v="0"/>
    <n v="847"/>
    <x v="1"/>
    <x v="1"/>
    <n v="88"/>
    <x v="0"/>
    <x v="1"/>
    <x v="8"/>
    <x v="0"/>
    <x v="1"/>
    <x v="587"/>
    <n v="2243"/>
    <n v="0"/>
    <s v="Y"/>
    <x v="1"/>
    <n v="19"/>
    <x v="0"/>
    <x v="3"/>
    <n v="80"/>
    <n v="1"/>
    <n v="4"/>
    <n v="1"/>
    <x v="0"/>
    <x v="11"/>
    <n v="2"/>
    <x v="0"/>
    <x v="3"/>
    <x v="1"/>
    <x v="2"/>
    <x v="1"/>
    <n v="0"/>
  </r>
  <r>
    <x v="25"/>
    <x v="0"/>
    <x v="1"/>
    <n v="887"/>
    <x v="1"/>
    <n v="5"/>
    <x v="0"/>
    <x v="2"/>
    <x v="0"/>
    <n v="848"/>
    <x v="1"/>
    <x v="0"/>
    <n v="88"/>
    <x v="1"/>
    <x v="1"/>
    <x v="1"/>
    <x v="2"/>
    <x v="1"/>
    <x v="588"/>
    <n v="20898"/>
    <n v="1"/>
    <s v="Y"/>
    <x v="0"/>
    <n v="14"/>
    <x v="0"/>
    <x v="0"/>
    <n v="80"/>
    <n v="1"/>
    <n v="8"/>
    <n v="2"/>
    <x v="1"/>
    <x v="3"/>
    <n v="7"/>
    <x v="1"/>
    <x v="1"/>
    <x v="2"/>
    <x v="0"/>
    <x v="1"/>
    <n v="1"/>
  </r>
  <r>
    <x v="4"/>
    <x v="1"/>
    <x v="2"/>
    <n v="443"/>
    <x v="1"/>
    <n v="3"/>
    <x v="3"/>
    <x v="2"/>
    <x v="0"/>
    <n v="850"/>
    <x v="2"/>
    <x v="1"/>
    <n v="50"/>
    <x v="0"/>
    <x v="1"/>
    <x v="1"/>
    <x v="0"/>
    <x v="1"/>
    <x v="589"/>
    <n v="16571"/>
    <n v="1"/>
    <s v="Y"/>
    <x v="1"/>
    <n v="11"/>
    <x v="0"/>
    <x v="3"/>
    <n v="80"/>
    <n v="3"/>
    <n v="0"/>
    <n v="6"/>
    <x v="2"/>
    <x v="2"/>
    <n v="0"/>
    <x v="0"/>
    <x v="2"/>
    <x v="2"/>
    <x v="1"/>
    <x v="1"/>
    <n v="0"/>
  </r>
  <r>
    <x v="31"/>
    <x v="1"/>
    <x v="0"/>
    <n v="1318"/>
    <x v="0"/>
    <n v="26"/>
    <x v="2"/>
    <x v="3"/>
    <x v="0"/>
    <n v="851"/>
    <x v="3"/>
    <x v="0"/>
    <n v="66"/>
    <x v="0"/>
    <x v="3"/>
    <x v="5"/>
    <x v="2"/>
    <x v="1"/>
    <x v="590"/>
    <n v="5594"/>
    <n v="2"/>
    <s v="Y"/>
    <x v="1"/>
    <n v="14"/>
    <x v="0"/>
    <x v="3"/>
    <n v="80"/>
    <n v="1"/>
    <n v="29"/>
    <n v="2"/>
    <x v="2"/>
    <x v="23"/>
    <n v="6"/>
    <x v="5"/>
    <x v="8"/>
    <x v="3"/>
    <x v="3"/>
    <x v="2"/>
    <n v="0"/>
  </r>
  <r>
    <x v="20"/>
    <x v="1"/>
    <x v="0"/>
    <n v="625"/>
    <x v="1"/>
    <n v="4"/>
    <x v="3"/>
    <x v="2"/>
    <x v="0"/>
    <n v="852"/>
    <x v="2"/>
    <x v="1"/>
    <n v="50"/>
    <x v="0"/>
    <x v="0"/>
    <x v="4"/>
    <x v="1"/>
    <x v="0"/>
    <x v="591"/>
    <n v="5197"/>
    <n v="9"/>
    <s v="Y"/>
    <x v="1"/>
    <n v="12"/>
    <x v="0"/>
    <x v="1"/>
    <n v="80"/>
    <n v="0"/>
    <n v="10"/>
    <n v="2"/>
    <x v="2"/>
    <x v="8"/>
    <n v="2"/>
    <x v="3"/>
    <x v="6"/>
    <x v="0"/>
    <x v="2"/>
    <x v="0"/>
    <n v="0"/>
  </r>
  <r>
    <x v="36"/>
    <x v="1"/>
    <x v="0"/>
    <n v="180"/>
    <x v="1"/>
    <n v="2"/>
    <x v="1"/>
    <x v="2"/>
    <x v="0"/>
    <n v="854"/>
    <x v="3"/>
    <x v="1"/>
    <n v="65"/>
    <x v="2"/>
    <x v="1"/>
    <x v="1"/>
    <x v="3"/>
    <x v="0"/>
    <x v="592"/>
    <n v="21632"/>
    <n v="7"/>
    <s v="Y"/>
    <x v="1"/>
    <n v="13"/>
    <x v="0"/>
    <x v="3"/>
    <n v="80"/>
    <n v="0"/>
    <n v="6"/>
    <n v="3"/>
    <x v="2"/>
    <x v="9"/>
    <n v="3"/>
    <x v="0"/>
    <x v="9"/>
    <x v="2"/>
    <x v="2"/>
    <x v="1"/>
    <n v="0"/>
  </r>
  <r>
    <x v="3"/>
    <x v="1"/>
    <x v="0"/>
    <n v="586"/>
    <x v="0"/>
    <n v="1"/>
    <x v="3"/>
    <x v="2"/>
    <x v="0"/>
    <n v="855"/>
    <x v="3"/>
    <x v="1"/>
    <n v="48"/>
    <x v="2"/>
    <x v="0"/>
    <x v="0"/>
    <x v="3"/>
    <x v="2"/>
    <x v="593"/>
    <n v="21816"/>
    <n v="1"/>
    <s v="Y"/>
    <x v="1"/>
    <n v="22"/>
    <x v="1"/>
    <x v="0"/>
    <n v="80"/>
    <n v="1"/>
    <n v="9"/>
    <n v="5"/>
    <x v="1"/>
    <x v="7"/>
    <n v="8"/>
    <x v="0"/>
    <x v="5"/>
    <x v="1"/>
    <x v="0"/>
    <x v="1"/>
    <n v="0"/>
  </r>
  <r>
    <x v="10"/>
    <x v="1"/>
    <x v="0"/>
    <n v="1343"/>
    <x v="1"/>
    <n v="27"/>
    <x v="1"/>
    <x v="2"/>
    <x v="0"/>
    <n v="856"/>
    <x v="1"/>
    <x v="0"/>
    <n v="53"/>
    <x v="1"/>
    <x v="1"/>
    <x v="1"/>
    <x v="3"/>
    <x v="0"/>
    <x v="594"/>
    <n v="17852"/>
    <n v="1"/>
    <s v="Y"/>
    <x v="1"/>
    <n v="11"/>
    <x v="0"/>
    <x v="1"/>
    <n v="80"/>
    <n v="0"/>
    <n v="6"/>
    <n v="3"/>
    <x v="2"/>
    <x v="0"/>
    <n v="5"/>
    <x v="1"/>
    <x v="9"/>
    <x v="1"/>
    <x v="0"/>
    <x v="1"/>
    <n v="0"/>
  </r>
  <r>
    <x v="9"/>
    <x v="1"/>
    <x v="0"/>
    <n v="928"/>
    <x v="0"/>
    <n v="1"/>
    <x v="0"/>
    <x v="0"/>
    <x v="0"/>
    <n v="857"/>
    <x v="0"/>
    <x v="1"/>
    <n v="56"/>
    <x v="0"/>
    <x v="0"/>
    <x v="0"/>
    <x v="0"/>
    <x v="1"/>
    <x v="595"/>
    <n v="2823"/>
    <n v="1"/>
    <s v="Y"/>
    <x v="0"/>
    <n v="14"/>
    <x v="0"/>
    <x v="1"/>
    <n v="80"/>
    <n v="1"/>
    <n v="18"/>
    <n v="1"/>
    <x v="2"/>
    <x v="29"/>
    <n v="14"/>
    <x v="5"/>
    <x v="7"/>
    <x v="1"/>
    <x v="3"/>
    <x v="0"/>
    <n v="0"/>
  </r>
  <r>
    <x v="5"/>
    <x v="1"/>
    <x v="0"/>
    <n v="117"/>
    <x v="0"/>
    <n v="13"/>
    <x v="2"/>
    <x v="0"/>
    <x v="0"/>
    <n v="859"/>
    <x v="0"/>
    <x v="1"/>
    <n v="73"/>
    <x v="0"/>
    <x v="0"/>
    <x v="0"/>
    <x v="0"/>
    <x v="2"/>
    <x v="596"/>
    <n v="9250"/>
    <n v="2"/>
    <s v="Y"/>
    <x v="1"/>
    <n v="11"/>
    <x v="0"/>
    <x v="3"/>
    <n v="80"/>
    <n v="1"/>
    <n v="8"/>
    <n v="3"/>
    <x v="2"/>
    <x v="8"/>
    <n v="2"/>
    <x v="0"/>
    <x v="6"/>
    <x v="1"/>
    <x v="2"/>
    <x v="1"/>
    <n v="0"/>
  </r>
  <r>
    <x v="7"/>
    <x v="1"/>
    <x v="1"/>
    <n v="1012"/>
    <x v="1"/>
    <n v="5"/>
    <x v="2"/>
    <x v="0"/>
    <x v="0"/>
    <n v="861"/>
    <x v="0"/>
    <x v="1"/>
    <n v="75"/>
    <x v="1"/>
    <x v="1"/>
    <x v="1"/>
    <x v="0"/>
    <x v="2"/>
    <x v="597"/>
    <n v="2373"/>
    <n v="9"/>
    <s v="Y"/>
    <x v="1"/>
    <n v="12"/>
    <x v="0"/>
    <x v="2"/>
    <n v="80"/>
    <n v="1"/>
    <n v="10"/>
    <n v="3"/>
    <x v="2"/>
    <x v="8"/>
    <n v="4"/>
    <x v="0"/>
    <x v="6"/>
    <x v="1"/>
    <x v="2"/>
    <x v="1"/>
    <n v="0"/>
  </r>
  <r>
    <x v="16"/>
    <x v="1"/>
    <x v="0"/>
    <n v="661"/>
    <x v="0"/>
    <n v="7"/>
    <x v="0"/>
    <x v="3"/>
    <x v="0"/>
    <n v="862"/>
    <x v="3"/>
    <x v="0"/>
    <n v="78"/>
    <x v="1"/>
    <x v="2"/>
    <x v="0"/>
    <x v="0"/>
    <x v="1"/>
    <x v="598"/>
    <n v="20715"/>
    <n v="7"/>
    <s v="Y"/>
    <x v="0"/>
    <n v="18"/>
    <x v="0"/>
    <x v="1"/>
    <n v="80"/>
    <n v="1"/>
    <n v="35"/>
    <n v="3"/>
    <x v="1"/>
    <x v="8"/>
    <n v="2"/>
    <x v="0"/>
    <x v="10"/>
    <x v="3"/>
    <x v="2"/>
    <x v="3"/>
    <n v="0"/>
  </r>
  <r>
    <x v="28"/>
    <x v="1"/>
    <x v="0"/>
    <n v="930"/>
    <x v="0"/>
    <n v="9"/>
    <x v="3"/>
    <x v="3"/>
    <x v="0"/>
    <n v="864"/>
    <x v="2"/>
    <x v="1"/>
    <n v="74"/>
    <x v="0"/>
    <x v="2"/>
    <x v="0"/>
    <x v="3"/>
    <x v="2"/>
    <x v="599"/>
    <n v="19239"/>
    <n v="4"/>
    <s v="Y"/>
    <x v="0"/>
    <n v="12"/>
    <x v="0"/>
    <x v="3"/>
    <n v="80"/>
    <n v="1"/>
    <n v="18"/>
    <n v="2"/>
    <x v="1"/>
    <x v="8"/>
    <n v="4"/>
    <x v="0"/>
    <x v="3"/>
    <x v="0"/>
    <x v="2"/>
    <x v="3"/>
    <n v="0"/>
  </r>
  <r>
    <x v="5"/>
    <x v="1"/>
    <x v="0"/>
    <n v="638"/>
    <x v="1"/>
    <n v="8"/>
    <x v="0"/>
    <x v="2"/>
    <x v="0"/>
    <n v="865"/>
    <x v="1"/>
    <x v="0"/>
    <n v="91"/>
    <x v="2"/>
    <x v="0"/>
    <x v="1"/>
    <x v="2"/>
    <x v="1"/>
    <x v="600"/>
    <n v="22162"/>
    <n v="5"/>
    <s v="Y"/>
    <x v="1"/>
    <n v="12"/>
    <x v="0"/>
    <x v="3"/>
    <n v="80"/>
    <n v="1"/>
    <n v="9"/>
    <n v="3"/>
    <x v="2"/>
    <x v="8"/>
    <n v="3"/>
    <x v="1"/>
    <x v="6"/>
    <x v="1"/>
    <x v="2"/>
    <x v="0"/>
    <n v="0"/>
  </r>
  <r>
    <x v="39"/>
    <x v="1"/>
    <x v="1"/>
    <n v="890"/>
    <x v="1"/>
    <n v="25"/>
    <x v="2"/>
    <x v="2"/>
    <x v="0"/>
    <n v="867"/>
    <x v="1"/>
    <x v="0"/>
    <n v="81"/>
    <x v="1"/>
    <x v="3"/>
    <x v="3"/>
    <x v="0"/>
    <x v="1"/>
    <x v="601"/>
    <n v="19028"/>
    <n v="3"/>
    <s v="Y"/>
    <x v="1"/>
    <n v="22"/>
    <x v="1"/>
    <x v="3"/>
    <n v="80"/>
    <n v="0"/>
    <n v="31"/>
    <n v="3"/>
    <x v="1"/>
    <x v="7"/>
    <n v="8"/>
    <x v="0"/>
    <x v="2"/>
    <x v="3"/>
    <x v="0"/>
    <x v="3"/>
    <n v="0"/>
  </r>
  <r>
    <x v="2"/>
    <x v="1"/>
    <x v="0"/>
    <n v="342"/>
    <x v="0"/>
    <n v="16"/>
    <x v="2"/>
    <x v="3"/>
    <x v="0"/>
    <n v="868"/>
    <x v="2"/>
    <x v="1"/>
    <n v="66"/>
    <x v="1"/>
    <x v="0"/>
    <x v="0"/>
    <x v="2"/>
    <x v="2"/>
    <x v="602"/>
    <n v="24558"/>
    <n v="4"/>
    <s v="Y"/>
    <x v="1"/>
    <n v="19"/>
    <x v="0"/>
    <x v="1"/>
    <n v="80"/>
    <n v="2"/>
    <n v="9"/>
    <n v="2"/>
    <x v="1"/>
    <x v="6"/>
    <n v="0"/>
    <x v="0"/>
    <x v="2"/>
    <x v="1"/>
    <x v="1"/>
    <x v="0"/>
    <n v="0"/>
  </r>
  <r>
    <x v="14"/>
    <x v="1"/>
    <x v="0"/>
    <n v="1169"/>
    <x v="2"/>
    <n v="8"/>
    <x v="0"/>
    <x v="2"/>
    <x v="0"/>
    <n v="869"/>
    <x v="0"/>
    <x v="1"/>
    <n v="63"/>
    <x v="1"/>
    <x v="1"/>
    <x v="8"/>
    <x v="0"/>
    <x v="2"/>
    <x v="365"/>
    <n v="23965"/>
    <n v="1"/>
    <s v="Y"/>
    <x v="1"/>
    <n v="13"/>
    <x v="0"/>
    <x v="1"/>
    <n v="80"/>
    <n v="1"/>
    <n v="6"/>
    <n v="6"/>
    <x v="1"/>
    <x v="8"/>
    <n v="1"/>
    <x v="0"/>
    <x v="10"/>
    <x v="2"/>
    <x v="2"/>
    <x v="1"/>
    <n v="0"/>
  </r>
  <r>
    <x v="15"/>
    <x v="1"/>
    <x v="0"/>
    <n v="1230"/>
    <x v="1"/>
    <n v="1"/>
    <x v="0"/>
    <x v="0"/>
    <x v="0"/>
    <n v="872"/>
    <x v="2"/>
    <x v="1"/>
    <n v="33"/>
    <x v="1"/>
    <x v="0"/>
    <x v="3"/>
    <x v="0"/>
    <x v="1"/>
    <x v="603"/>
    <n v="19146"/>
    <n v="6"/>
    <s v="Y"/>
    <x v="1"/>
    <n v="22"/>
    <x v="1"/>
    <x v="0"/>
    <n v="80"/>
    <n v="2"/>
    <n v="4"/>
    <n v="2"/>
    <x v="0"/>
    <x v="4"/>
    <n v="2"/>
    <x v="3"/>
    <x v="3"/>
    <x v="2"/>
    <x v="1"/>
    <x v="1"/>
    <n v="0"/>
  </r>
  <r>
    <x v="20"/>
    <x v="1"/>
    <x v="0"/>
    <n v="986"/>
    <x v="1"/>
    <n v="8"/>
    <x v="2"/>
    <x v="0"/>
    <x v="0"/>
    <n v="874"/>
    <x v="3"/>
    <x v="1"/>
    <n v="62"/>
    <x v="2"/>
    <x v="1"/>
    <x v="2"/>
    <x v="0"/>
    <x v="1"/>
    <x v="604"/>
    <n v="5044"/>
    <n v="2"/>
    <s v="Y"/>
    <x v="0"/>
    <n v="24"/>
    <x v="1"/>
    <x v="3"/>
    <n v="80"/>
    <n v="1"/>
    <n v="10"/>
    <n v="2"/>
    <x v="2"/>
    <x v="11"/>
    <n v="2"/>
    <x v="0"/>
    <x v="3"/>
    <x v="0"/>
    <x v="2"/>
    <x v="1"/>
    <n v="0"/>
  </r>
  <r>
    <x v="19"/>
    <x v="1"/>
    <x v="1"/>
    <n v="1271"/>
    <x v="1"/>
    <n v="2"/>
    <x v="1"/>
    <x v="2"/>
    <x v="0"/>
    <n v="875"/>
    <x v="0"/>
    <x v="1"/>
    <n v="35"/>
    <x v="0"/>
    <x v="1"/>
    <x v="1"/>
    <x v="0"/>
    <x v="0"/>
    <x v="605"/>
    <n v="9068"/>
    <n v="5"/>
    <s v="Y"/>
    <x v="0"/>
    <n v="14"/>
    <x v="0"/>
    <x v="1"/>
    <n v="80"/>
    <n v="0"/>
    <n v="8"/>
    <n v="2"/>
    <x v="1"/>
    <x v="4"/>
    <n v="1"/>
    <x v="3"/>
    <x v="3"/>
    <x v="0"/>
    <x v="1"/>
    <x v="1"/>
    <n v="0"/>
  </r>
  <r>
    <x v="9"/>
    <x v="1"/>
    <x v="0"/>
    <n v="1278"/>
    <x v="2"/>
    <n v="8"/>
    <x v="3"/>
    <x v="0"/>
    <x v="0"/>
    <n v="878"/>
    <x v="3"/>
    <x v="1"/>
    <n v="77"/>
    <x v="1"/>
    <x v="1"/>
    <x v="8"/>
    <x v="3"/>
    <x v="1"/>
    <x v="531"/>
    <n v="8635"/>
    <n v="0"/>
    <s v="Y"/>
    <x v="1"/>
    <n v="21"/>
    <x v="1"/>
    <x v="3"/>
    <n v="80"/>
    <n v="0"/>
    <n v="6"/>
    <n v="3"/>
    <x v="1"/>
    <x v="8"/>
    <n v="4"/>
    <x v="0"/>
    <x v="6"/>
    <x v="1"/>
    <x v="2"/>
    <x v="1"/>
    <n v="0"/>
  </r>
  <r>
    <x v="36"/>
    <x v="1"/>
    <x v="0"/>
    <n v="141"/>
    <x v="0"/>
    <n v="3"/>
    <x v="1"/>
    <x v="1"/>
    <x v="0"/>
    <n v="879"/>
    <x v="1"/>
    <x v="1"/>
    <n v="98"/>
    <x v="0"/>
    <x v="0"/>
    <x v="0"/>
    <x v="3"/>
    <x v="1"/>
    <x v="606"/>
    <n v="14363"/>
    <n v="1"/>
    <s v="Y"/>
    <x v="0"/>
    <n v="18"/>
    <x v="0"/>
    <x v="1"/>
    <n v="80"/>
    <n v="0"/>
    <n v="5"/>
    <n v="3"/>
    <x v="1"/>
    <x v="8"/>
    <n v="3"/>
    <x v="0"/>
    <x v="6"/>
    <x v="2"/>
    <x v="2"/>
    <x v="1"/>
    <n v="0"/>
  </r>
  <r>
    <x v="10"/>
    <x v="1"/>
    <x v="0"/>
    <n v="607"/>
    <x v="1"/>
    <n v="9"/>
    <x v="3"/>
    <x v="0"/>
    <x v="0"/>
    <n v="880"/>
    <x v="2"/>
    <x v="0"/>
    <n v="66"/>
    <x v="1"/>
    <x v="2"/>
    <x v="3"/>
    <x v="2"/>
    <x v="1"/>
    <x v="607"/>
    <n v="23457"/>
    <n v="1"/>
    <s v="Y"/>
    <x v="0"/>
    <n v="20"/>
    <x v="1"/>
    <x v="2"/>
    <n v="80"/>
    <n v="1"/>
    <n v="17"/>
    <n v="2"/>
    <x v="1"/>
    <x v="18"/>
    <n v="14"/>
    <x v="8"/>
    <x v="14"/>
    <x v="1"/>
    <x v="3"/>
    <x v="3"/>
    <n v="0"/>
  </r>
  <r>
    <x v="10"/>
    <x v="0"/>
    <x v="1"/>
    <n v="130"/>
    <x v="1"/>
    <n v="25"/>
    <x v="2"/>
    <x v="0"/>
    <x v="0"/>
    <n v="881"/>
    <x v="2"/>
    <x v="0"/>
    <n v="96"/>
    <x v="0"/>
    <x v="1"/>
    <x v="1"/>
    <x v="1"/>
    <x v="2"/>
    <x v="608"/>
    <n v="16612"/>
    <n v="1"/>
    <s v="Y"/>
    <x v="0"/>
    <n v="19"/>
    <x v="0"/>
    <x v="0"/>
    <n v="80"/>
    <n v="1"/>
    <n v="10"/>
    <n v="3"/>
    <x v="2"/>
    <x v="1"/>
    <n v="2"/>
    <x v="4"/>
    <x v="5"/>
    <x v="1"/>
    <x v="0"/>
    <x v="1"/>
    <n v="1"/>
  </r>
  <r>
    <x v="5"/>
    <x v="1"/>
    <x v="2"/>
    <n v="300"/>
    <x v="1"/>
    <n v="1"/>
    <x v="3"/>
    <x v="0"/>
    <x v="0"/>
    <n v="882"/>
    <x v="2"/>
    <x v="1"/>
    <n v="61"/>
    <x v="0"/>
    <x v="1"/>
    <x v="2"/>
    <x v="0"/>
    <x v="2"/>
    <x v="609"/>
    <n v="9148"/>
    <n v="0"/>
    <s v="Y"/>
    <x v="1"/>
    <n v="12"/>
    <x v="0"/>
    <x v="2"/>
    <n v="80"/>
    <n v="1"/>
    <n v="4"/>
    <n v="2"/>
    <x v="1"/>
    <x v="11"/>
    <n v="0"/>
    <x v="0"/>
    <x v="3"/>
    <x v="1"/>
    <x v="2"/>
    <x v="1"/>
    <n v="0"/>
  </r>
  <r>
    <x v="36"/>
    <x v="1"/>
    <x v="0"/>
    <n v="583"/>
    <x v="0"/>
    <n v="4"/>
    <x v="1"/>
    <x v="3"/>
    <x v="0"/>
    <n v="885"/>
    <x v="1"/>
    <x v="1"/>
    <n v="87"/>
    <x v="1"/>
    <x v="0"/>
    <x v="0"/>
    <x v="3"/>
    <x v="1"/>
    <x v="610"/>
    <n v="18154"/>
    <n v="1"/>
    <s v="Y"/>
    <x v="1"/>
    <n v="12"/>
    <x v="0"/>
    <x v="0"/>
    <n v="80"/>
    <n v="0"/>
    <n v="5"/>
    <n v="1"/>
    <x v="3"/>
    <x v="8"/>
    <n v="2"/>
    <x v="0"/>
    <x v="6"/>
    <x v="2"/>
    <x v="2"/>
    <x v="1"/>
    <n v="0"/>
  </r>
  <r>
    <x v="1"/>
    <x v="1"/>
    <x v="0"/>
    <n v="1418"/>
    <x v="1"/>
    <n v="1"/>
    <x v="3"/>
    <x v="4"/>
    <x v="0"/>
    <n v="887"/>
    <x v="1"/>
    <x v="0"/>
    <n v="36"/>
    <x v="0"/>
    <x v="1"/>
    <x v="1"/>
    <x v="3"/>
    <x v="1"/>
    <x v="611"/>
    <n v="10554"/>
    <n v="2"/>
    <s v="Y"/>
    <x v="1"/>
    <n v="16"/>
    <x v="0"/>
    <x v="2"/>
    <n v="80"/>
    <n v="1"/>
    <n v="7"/>
    <n v="2"/>
    <x v="1"/>
    <x v="9"/>
    <n v="2"/>
    <x v="0"/>
    <x v="3"/>
    <x v="0"/>
    <x v="2"/>
    <x v="1"/>
    <n v="0"/>
  </r>
  <r>
    <x v="17"/>
    <x v="1"/>
    <x v="2"/>
    <n v="1269"/>
    <x v="1"/>
    <n v="4"/>
    <x v="1"/>
    <x v="0"/>
    <x v="0"/>
    <n v="888"/>
    <x v="3"/>
    <x v="1"/>
    <n v="46"/>
    <x v="1"/>
    <x v="1"/>
    <x v="2"/>
    <x v="0"/>
    <x v="1"/>
    <x v="612"/>
    <n v="10778"/>
    <n v="0"/>
    <s v="Y"/>
    <x v="1"/>
    <n v="17"/>
    <x v="0"/>
    <x v="1"/>
    <n v="80"/>
    <n v="0"/>
    <n v="6"/>
    <n v="2"/>
    <x v="2"/>
    <x v="8"/>
    <n v="2"/>
    <x v="2"/>
    <x v="10"/>
    <x v="2"/>
    <x v="2"/>
    <x v="1"/>
    <n v="0"/>
  </r>
  <r>
    <x v="5"/>
    <x v="1"/>
    <x v="1"/>
    <n v="379"/>
    <x v="0"/>
    <n v="5"/>
    <x v="0"/>
    <x v="0"/>
    <x v="0"/>
    <n v="889"/>
    <x v="0"/>
    <x v="1"/>
    <n v="48"/>
    <x v="0"/>
    <x v="0"/>
    <x v="0"/>
    <x v="1"/>
    <x v="1"/>
    <x v="613"/>
    <n v="8891"/>
    <n v="1"/>
    <s v="Y"/>
    <x v="1"/>
    <n v="14"/>
    <x v="0"/>
    <x v="1"/>
    <n v="80"/>
    <n v="1"/>
    <n v="10"/>
    <n v="3"/>
    <x v="1"/>
    <x v="1"/>
    <n v="8"/>
    <x v="8"/>
    <x v="6"/>
    <x v="1"/>
    <x v="0"/>
    <x v="0"/>
    <n v="0"/>
  </r>
  <r>
    <x v="8"/>
    <x v="1"/>
    <x v="0"/>
    <n v="395"/>
    <x v="0"/>
    <n v="9"/>
    <x v="3"/>
    <x v="3"/>
    <x v="0"/>
    <n v="893"/>
    <x v="0"/>
    <x v="1"/>
    <n v="98"/>
    <x v="1"/>
    <x v="1"/>
    <x v="6"/>
    <x v="1"/>
    <x v="1"/>
    <x v="614"/>
    <n v="12102"/>
    <n v="0"/>
    <s v="Y"/>
    <x v="1"/>
    <n v="19"/>
    <x v="0"/>
    <x v="1"/>
    <n v="80"/>
    <n v="1"/>
    <n v="3"/>
    <n v="3"/>
    <x v="1"/>
    <x v="4"/>
    <n v="2"/>
    <x v="1"/>
    <x v="3"/>
    <x v="1"/>
    <x v="1"/>
    <x v="1"/>
    <n v="0"/>
  </r>
  <r>
    <x v="19"/>
    <x v="1"/>
    <x v="0"/>
    <n v="1265"/>
    <x v="1"/>
    <n v="3"/>
    <x v="3"/>
    <x v="0"/>
    <x v="0"/>
    <n v="894"/>
    <x v="1"/>
    <x v="0"/>
    <n v="95"/>
    <x v="2"/>
    <x v="0"/>
    <x v="2"/>
    <x v="0"/>
    <x v="1"/>
    <x v="615"/>
    <n v="23726"/>
    <n v="2"/>
    <s v="Y"/>
    <x v="0"/>
    <n v="13"/>
    <x v="0"/>
    <x v="2"/>
    <n v="80"/>
    <n v="1"/>
    <n v="17"/>
    <n v="1"/>
    <x v="2"/>
    <x v="8"/>
    <n v="3"/>
    <x v="1"/>
    <x v="6"/>
    <x v="0"/>
    <x v="2"/>
    <x v="0"/>
    <n v="0"/>
  </r>
  <r>
    <x v="12"/>
    <x v="1"/>
    <x v="0"/>
    <n v="1222"/>
    <x v="1"/>
    <n v="11"/>
    <x v="2"/>
    <x v="0"/>
    <x v="0"/>
    <n v="895"/>
    <x v="2"/>
    <x v="1"/>
    <n v="48"/>
    <x v="0"/>
    <x v="1"/>
    <x v="1"/>
    <x v="0"/>
    <x v="1"/>
    <x v="616"/>
    <n v="14871"/>
    <n v="3"/>
    <s v="Y"/>
    <x v="0"/>
    <n v="19"/>
    <x v="0"/>
    <x v="2"/>
    <n v="80"/>
    <n v="1"/>
    <n v="8"/>
    <n v="2"/>
    <x v="1"/>
    <x v="0"/>
    <n v="4"/>
    <x v="0"/>
    <x v="3"/>
    <x v="1"/>
    <x v="0"/>
    <x v="1"/>
    <n v="0"/>
  </r>
  <r>
    <x v="11"/>
    <x v="0"/>
    <x v="0"/>
    <n v="341"/>
    <x v="0"/>
    <n v="1"/>
    <x v="3"/>
    <x v="2"/>
    <x v="0"/>
    <n v="896"/>
    <x v="0"/>
    <x v="0"/>
    <n v="48"/>
    <x v="1"/>
    <x v="1"/>
    <x v="6"/>
    <x v="2"/>
    <x v="2"/>
    <x v="617"/>
    <n v="23522"/>
    <n v="6"/>
    <s v="Y"/>
    <x v="0"/>
    <n v="19"/>
    <x v="0"/>
    <x v="3"/>
    <n v="80"/>
    <n v="3"/>
    <n v="5"/>
    <n v="3"/>
    <x v="1"/>
    <x v="11"/>
    <n v="2"/>
    <x v="0"/>
    <x v="3"/>
    <x v="2"/>
    <x v="2"/>
    <x v="1"/>
    <n v="1"/>
  </r>
  <r>
    <x v="16"/>
    <x v="1"/>
    <x v="0"/>
    <n v="868"/>
    <x v="0"/>
    <n v="8"/>
    <x v="3"/>
    <x v="3"/>
    <x v="0"/>
    <n v="897"/>
    <x v="3"/>
    <x v="1"/>
    <n v="73"/>
    <x v="0"/>
    <x v="3"/>
    <x v="0"/>
    <x v="0"/>
    <x v="1"/>
    <x v="618"/>
    <n v="22789"/>
    <n v="5"/>
    <s v="Y"/>
    <x v="1"/>
    <n v="14"/>
    <x v="0"/>
    <x v="3"/>
    <n v="80"/>
    <n v="1"/>
    <n v="28"/>
    <n v="3"/>
    <x v="1"/>
    <x v="4"/>
    <n v="0"/>
    <x v="3"/>
    <x v="3"/>
    <x v="3"/>
    <x v="1"/>
    <x v="3"/>
    <n v="0"/>
  </r>
  <r>
    <x v="10"/>
    <x v="1"/>
    <x v="0"/>
    <n v="672"/>
    <x v="1"/>
    <n v="25"/>
    <x v="3"/>
    <x v="4"/>
    <x v="0"/>
    <n v="899"/>
    <x v="2"/>
    <x v="1"/>
    <n v="78"/>
    <x v="1"/>
    <x v="2"/>
    <x v="3"/>
    <x v="1"/>
    <x v="1"/>
    <x v="619"/>
    <n v="9129"/>
    <n v="3"/>
    <s v="Y"/>
    <x v="1"/>
    <n v="16"/>
    <x v="0"/>
    <x v="0"/>
    <n v="80"/>
    <n v="0"/>
    <n v="16"/>
    <n v="2"/>
    <x v="1"/>
    <x v="20"/>
    <n v="10"/>
    <x v="5"/>
    <x v="5"/>
    <x v="1"/>
    <x v="3"/>
    <x v="3"/>
    <n v="0"/>
  </r>
  <r>
    <x v="2"/>
    <x v="1"/>
    <x v="1"/>
    <n v="1231"/>
    <x v="0"/>
    <n v="21"/>
    <x v="0"/>
    <x v="2"/>
    <x v="0"/>
    <n v="900"/>
    <x v="1"/>
    <x v="0"/>
    <n v="54"/>
    <x v="0"/>
    <x v="1"/>
    <x v="6"/>
    <x v="0"/>
    <x v="1"/>
    <x v="620"/>
    <n v="21222"/>
    <n v="5"/>
    <s v="Y"/>
    <x v="1"/>
    <n v="15"/>
    <x v="0"/>
    <x v="2"/>
    <n v="80"/>
    <n v="1"/>
    <n v="10"/>
    <n v="3"/>
    <x v="1"/>
    <x v="8"/>
    <n v="4"/>
    <x v="0"/>
    <x v="2"/>
    <x v="1"/>
    <x v="2"/>
    <x v="1"/>
    <n v="0"/>
  </r>
  <r>
    <x v="16"/>
    <x v="1"/>
    <x v="0"/>
    <n v="102"/>
    <x v="1"/>
    <n v="23"/>
    <x v="2"/>
    <x v="0"/>
    <x v="0"/>
    <n v="901"/>
    <x v="2"/>
    <x v="0"/>
    <n v="72"/>
    <x v="0"/>
    <x v="3"/>
    <x v="7"/>
    <x v="0"/>
    <x v="0"/>
    <x v="621"/>
    <n v="20206"/>
    <n v="6"/>
    <s v="Y"/>
    <x v="1"/>
    <n v="18"/>
    <x v="0"/>
    <x v="3"/>
    <n v="80"/>
    <n v="0"/>
    <n v="33"/>
    <n v="0"/>
    <x v="1"/>
    <x v="12"/>
    <n v="9"/>
    <x v="2"/>
    <x v="5"/>
    <x v="3"/>
    <x v="3"/>
    <x v="3"/>
    <n v="0"/>
  </r>
  <r>
    <x v="23"/>
    <x v="1"/>
    <x v="1"/>
    <n v="422"/>
    <x v="1"/>
    <n v="1"/>
    <x v="3"/>
    <x v="0"/>
    <x v="0"/>
    <n v="902"/>
    <x v="2"/>
    <x v="0"/>
    <n v="33"/>
    <x v="0"/>
    <x v="0"/>
    <x v="4"/>
    <x v="0"/>
    <x v="1"/>
    <x v="622"/>
    <n v="21782"/>
    <n v="4"/>
    <s v="Y"/>
    <x v="1"/>
    <n v="13"/>
    <x v="0"/>
    <x v="2"/>
    <n v="80"/>
    <n v="1"/>
    <n v="12"/>
    <n v="2"/>
    <x v="2"/>
    <x v="8"/>
    <n v="2"/>
    <x v="3"/>
    <x v="3"/>
    <x v="0"/>
    <x v="2"/>
    <x v="0"/>
    <n v="0"/>
  </r>
  <r>
    <x v="40"/>
    <x v="1"/>
    <x v="0"/>
    <n v="249"/>
    <x v="0"/>
    <n v="2"/>
    <x v="0"/>
    <x v="3"/>
    <x v="0"/>
    <n v="903"/>
    <x v="1"/>
    <x v="0"/>
    <n v="35"/>
    <x v="0"/>
    <x v="0"/>
    <x v="0"/>
    <x v="0"/>
    <x v="1"/>
    <x v="623"/>
    <n v="17783"/>
    <n v="0"/>
    <s v="Y"/>
    <x v="0"/>
    <n v="22"/>
    <x v="1"/>
    <x v="0"/>
    <n v="80"/>
    <n v="1"/>
    <n v="8"/>
    <n v="2"/>
    <x v="1"/>
    <x v="5"/>
    <n v="6"/>
    <x v="4"/>
    <x v="1"/>
    <x v="0"/>
    <x v="0"/>
    <x v="1"/>
    <n v="0"/>
  </r>
  <r>
    <x v="2"/>
    <x v="1"/>
    <x v="2"/>
    <n v="1252"/>
    <x v="0"/>
    <n v="19"/>
    <x v="0"/>
    <x v="2"/>
    <x v="0"/>
    <n v="904"/>
    <x v="3"/>
    <x v="1"/>
    <n v="32"/>
    <x v="0"/>
    <x v="2"/>
    <x v="0"/>
    <x v="1"/>
    <x v="0"/>
    <x v="624"/>
    <n v="4814"/>
    <n v="1"/>
    <s v="Y"/>
    <x v="0"/>
    <n v="13"/>
    <x v="0"/>
    <x v="1"/>
    <n v="80"/>
    <n v="0"/>
    <n v="10"/>
    <n v="2"/>
    <x v="1"/>
    <x v="1"/>
    <n v="0"/>
    <x v="0"/>
    <x v="12"/>
    <x v="1"/>
    <x v="0"/>
    <x v="0"/>
    <n v="0"/>
  </r>
  <r>
    <x v="24"/>
    <x v="1"/>
    <x v="2"/>
    <n v="881"/>
    <x v="1"/>
    <n v="2"/>
    <x v="2"/>
    <x v="0"/>
    <x v="0"/>
    <n v="905"/>
    <x v="3"/>
    <x v="1"/>
    <n v="98"/>
    <x v="0"/>
    <x v="3"/>
    <x v="5"/>
    <x v="3"/>
    <x v="2"/>
    <x v="625"/>
    <n v="4544"/>
    <n v="1"/>
    <s v="Y"/>
    <x v="1"/>
    <n v="11"/>
    <x v="0"/>
    <x v="1"/>
    <n v="80"/>
    <n v="1"/>
    <n v="31"/>
    <n v="3"/>
    <x v="1"/>
    <x v="31"/>
    <n v="6"/>
    <x v="15"/>
    <x v="1"/>
    <x v="3"/>
    <x v="3"/>
    <x v="2"/>
    <n v="0"/>
  </r>
  <r>
    <x v="22"/>
    <x v="1"/>
    <x v="0"/>
    <n v="1383"/>
    <x v="2"/>
    <n v="2"/>
    <x v="3"/>
    <x v="0"/>
    <x v="0"/>
    <n v="909"/>
    <x v="2"/>
    <x v="0"/>
    <n v="42"/>
    <x v="1"/>
    <x v="0"/>
    <x v="8"/>
    <x v="0"/>
    <x v="1"/>
    <x v="626"/>
    <n v="7790"/>
    <n v="8"/>
    <s v="Y"/>
    <x v="1"/>
    <n v="11"/>
    <x v="0"/>
    <x v="3"/>
    <n v="80"/>
    <n v="2"/>
    <n v="13"/>
    <n v="2"/>
    <x v="1"/>
    <x v="8"/>
    <n v="4"/>
    <x v="0"/>
    <x v="10"/>
    <x v="1"/>
    <x v="2"/>
    <x v="0"/>
    <n v="0"/>
  </r>
  <r>
    <x v="3"/>
    <x v="1"/>
    <x v="0"/>
    <n v="1075"/>
    <x v="2"/>
    <n v="3"/>
    <x v="0"/>
    <x v="5"/>
    <x v="0"/>
    <n v="910"/>
    <x v="2"/>
    <x v="1"/>
    <n v="57"/>
    <x v="0"/>
    <x v="1"/>
    <x v="8"/>
    <x v="1"/>
    <x v="2"/>
    <x v="627"/>
    <n v="22650"/>
    <n v="3"/>
    <s v="Y"/>
    <x v="0"/>
    <n v="11"/>
    <x v="0"/>
    <x v="3"/>
    <n v="80"/>
    <n v="1"/>
    <n v="7"/>
    <n v="4"/>
    <x v="3"/>
    <x v="9"/>
    <n v="3"/>
    <x v="0"/>
    <x v="6"/>
    <x v="1"/>
    <x v="2"/>
    <x v="1"/>
    <n v="0"/>
  </r>
  <r>
    <x v="5"/>
    <x v="0"/>
    <x v="0"/>
    <n v="374"/>
    <x v="1"/>
    <n v="25"/>
    <x v="2"/>
    <x v="0"/>
    <x v="0"/>
    <n v="911"/>
    <x v="3"/>
    <x v="1"/>
    <n v="87"/>
    <x v="0"/>
    <x v="1"/>
    <x v="2"/>
    <x v="0"/>
    <x v="0"/>
    <x v="628"/>
    <n v="18016"/>
    <n v="1"/>
    <s v="Y"/>
    <x v="0"/>
    <n v="24"/>
    <x v="1"/>
    <x v="3"/>
    <n v="80"/>
    <n v="0"/>
    <n v="1"/>
    <n v="2"/>
    <x v="0"/>
    <x v="6"/>
    <n v="0"/>
    <x v="0"/>
    <x v="9"/>
    <x v="1"/>
    <x v="1"/>
    <x v="1"/>
    <n v="1"/>
  </r>
  <r>
    <x v="11"/>
    <x v="1"/>
    <x v="0"/>
    <n v="1086"/>
    <x v="1"/>
    <n v="7"/>
    <x v="1"/>
    <x v="2"/>
    <x v="0"/>
    <n v="912"/>
    <x v="3"/>
    <x v="0"/>
    <n v="62"/>
    <x v="1"/>
    <x v="1"/>
    <x v="2"/>
    <x v="0"/>
    <x v="2"/>
    <x v="629"/>
    <n v="6054"/>
    <n v="6"/>
    <s v="Y"/>
    <x v="1"/>
    <n v="14"/>
    <x v="0"/>
    <x v="3"/>
    <n v="80"/>
    <n v="3"/>
    <n v="8"/>
    <n v="5"/>
    <x v="1"/>
    <x v="9"/>
    <n v="3"/>
    <x v="0"/>
    <x v="6"/>
    <x v="2"/>
    <x v="2"/>
    <x v="1"/>
    <n v="0"/>
  </r>
  <r>
    <x v="20"/>
    <x v="1"/>
    <x v="0"/>
    <n v="661"/>
    <x v="1"/>
    <n v="9"/>
    <x v="0"/>
    <x v="0"/>
    <x v="0"/>
    <n v="913"/>
    <x v="0"/>
    <x v="1"/>
    <n v="61"/>
    <x v="0"/>
    <x v="1"/>
    <x v="1"/>
    <x v="3"/>
    <x v="1"/>
    <x v="594"/>
    <n v="7508"/>
    <n v="1"/>
    <s v="Y"/>
    <x v="0"/>
    <n v="13"/>
    <x v="0"/>
    <x v="1"/>
    <n v="80"/>
    <n v="0"/>
    <n v="8"/>
    <n v="0"/>
    <x v="1"/>
    <x v="3"/>
    <n v="7"/>
    <x v="4"/>
    <x v="9"/>
    <x v="0"/>
    <x v="0"/>
    <x v="1"/>
    <n v="0"/>
  </r>
  <r>
    <x v="14"/>
    <x v="1"/>
    <x v="0"/>
    <n v="821"/>
    <x v="0"/>
    <n v="5"/>
    <x v="2"/>
    <x v="2"/>
    <x v="0"/>
    <n v="916"/>
    <x v="3"/>
    <x v="1"/>
    <n v="98"/>
    <x v="0"/>
    <x v="0"/>
    <x v="0"/>
    <x v="0"/>
    <x v="0"/>
    <x v="630"/>
    <n v="24252"/>
    <n v="1"/>
    <s v="Y"/>
    <x v="1"/>
    <n v="14"/>
    <x v="0"/>
    <x v="2"/>
    <n v="80"/>
    <n v="0"/>
    <n v="4"/>
    <n v="3"/>
    <x v="1"/>
    <x v="9"/>
    <n v="2"/>
    <x v="0"/>
    <x v="3"/>
    <x v="2"/>
    <x v="2"/>
    <x v="1"/>
    <n v="0"/>
  </r>
  <r>
    <x v="34"/>
    <x v="0"/>
    <x v="1"/>
    <n v="781"/>
    <x v="1"/>
    <n v="2"/>
    <x v="1"/>
    <x v="0"/>
    <x v="0"/>
    <n v="918"/>
    <x v="2"/>
    <x v="1"/>
    <n v="57"/>
    <x v="1"/>
    <x v="1"/>
    <x v="2"/>
    <x v="0"/>
    <x v="2"/>
    <x v="631"/>
    <n v="13384"/>
    <n v="9"/>
    <s v="Y"/>
    <x v="0"/>
    <n v="14"/>
    <x v="0"/>
    <x v="1"/>
    <n v="80"/>
    <n v="1"/>
    <n v="3"/>
    <n v="3"/>
    <x v="2"/>
    <x v="6"/>
    <n v="0"/>
    <x v="0"/>
    <x v="2"/>
    <x v="3"/>
    <x v="1"/>
    <x v="1"/>
    <n v="1"/>
  </r>
  <r>
    <x v="23"/>
    <x v="1"/>
    <x v="0"/>
    <n v="177"/>
    <x v="1"/>
    <n v="8"/>
    <x v="3"/>
    <x v="0"/>
    <x v="0"/>
    <n v="920"/>
    <x v="3"/>
    <x v="0"/>
    <n v="55"/>
    <x v="0"/>
    <x v="0"/>
    <x v="3"/>
    <x v="1"/>
    <x v="2"/>
    <x v="632"/>
    <n v="23814"/>
    <n v="4"/>
    <s v="Y"/>
    <x v="1"/>
    <n v="21"/>
    <x v="1"/>
    <x v="3"/>
    <n v="80"/>
    <n v="1"/>
    <n v="4"/>
    <n v="2"/>
    <x v="3"/>
    <x v="6"/>
    <n v="0"/>
    <x v="0"/>
    <x v="2"/>
    <x v="0"/>
    <x v="1"/>
    <x v="1"/>
    <n v="0"/>
  </r>
  <r>
    <x v="35"/>
    <x v="0"/>
    <x v="0"/>
    <n v="500"/>
    <x v="0"/>
    <n v="2"/>
    <x v="3"/>
    <x v="2"/>
    <x v="0"/>
    <n v="922"/>
    <x v="1"/>
    <x v="0"/>
    <n v="49"/>
    <x v="1"/>
    <x v="1"/>
    <x v="6"/>
    <x v="2"/>
    <x v="0"/>
    <x v="633"/>
    <n v="22052"/>
    <n v="1"/>
    <s v="Y"/>
    <x v="1"/>
    <n v="13"/>
    <x v="0"/>
    <x v="1"/>
    <n v="80"/>
    <n v="0"/>
    <n v="2"/>
    <n v="3"/>
    <x v="2"/>
    <x v="4"/>
    <n v="2"/>
    <x v="0"/>
    <x v="3"/>
    <x v="2"/>
    <x v="1"/>
    <x v="1"/>
    <n v="1"/>
  </r>
  <r>
    <x v="18"/>
    <x v="0"/>
    <x v="0"/>
    <n v="1427"/>
    <x v="1"/>
    <n v="18"/>
    <x v="1"/>
    <x v="1"/>
    <x v="0"/>
    <n v="923"/>
    <x v="2"/>
    <x v="0"/>
    <n v="65"/>
    <x v="0"/>
    <x v="1"/>
    <x v="1"/>
    <x v="0"/>
    <x v="0"/>
    <x v="7"/>
    <n v="8870"/>
    <n v="1"/>
    <s v="Y"/>
    <x v="1"/>
    <n v="19"/>
    <x v="0"/>
    <x v="0"/>
    <n v="80"/>
    <n v="0"/>
    <n v="1"/>
    <n v="3"/>
    <x v="2"/>
    <x v="6"/>
    <n v="0"/>
    <x v="0"/>
    <x v="2"/>
    <x v="2"/>
    <x v="1"/>
    <x v="1"/>
    <n v="1"/>
  </r>
  <r>
    <x v="9"/>
    <x v="1"/>
    <x v="0"/>
    <n v="1425"/>
    <x v="1"/>
    <n v="14"/>
    <x v="1"/>
    <x v="0"/>
    <x v="0"/>
    <n v="924"/>
    <x v="1"/>
    <x v="1"/>
    <n v="68"/>
    <x v="0"/>
    <x v="0"/>
    <x v="4"/>
    <x v="0"/>
    <x v="1"/>
    <x v="634"/>
    <n v="4821"/>
    <n v="0"/>
    <s v="Y"/>
    <x v="0"/>
    <n v="17"/>
    <x v="0"/>
    <x v="0"/>
    <n v="80"/>
    <n v="1"/>
    <n v="17"/>
    <n v="2"/>
    <x v="2"/>
    <x v="22"/>
    <n v="8"/>
    <x v="5"/>
    <x v="7"/>
    <x v="1"/>
    <x v="3"/>
    <x v="0"/>
    <n v="0"/>
  </r>
  <r>
    <x v="40"/>
    <x v="1"/>
    <x v="0"/>
    <n v="1454"/>
    <x v="0"/>
    <n v="2"/>
    <x v="2"/>
    <x v="0"/>
    <x v="0"/>
    <n v="925"/>
    <x v="2"/>
    <x v="0"/>
    <n v="65"/>
    <x v="1"/>
    <x v="1"/>
    <x v="6"/>
    <x v="0"/>
    <x v="0"/>
    <x v="635"/>
    <n v="13137"/>
    <n v="1"/>
    <s v="Y"/>
    <x v="0"/>
    <n v="18"/>
    <x v="0"/>
    <x v="0"/>
    <n v="80"/>
    <n v="0"/>
    <n v="3"/>
    <n v="3"/>
    <x v="2"/>
    <x v="11"/>
    <n v="2"/>
    <x v="1"/>
    <x v="3"/>
    <x v="0"/>
    <x v="2"/>
    <x v="1"/>
    <n v="0"/>
  </r>
  <r>
    <x v="15"/>
    <x v="0"/>
    <x v="0"/>
    <n v="617"/>
    <x v="1"/>
    <n v="3"/>
    <x v="1"/>
    <x v="0"/>
    <x v="0"/>
    <n v="926"/>
    <x v="0"/>
    <x v="0"/>
    <n v="34"/>
    <x v="0"/>
    <x v="0"/>
    <x v="3"/>
    <x v="2"/>
    <x v="1"/>
    <x v="636"/>
    <n v="10022"/>
    <n v="0"/>
    <s v="Y"/>
    <x v="0"/>
    <n v="19"/>
    <x v="0"/>
    <x v="0"/>
    <n v="80"/>
    <n v="1"/>
    <n v="4"/>
    <n v="3"/>
    <x v="3"/>
    <x v="11"/>
    <n v="2"/>
    <x v="0"/>
    <x v="3"/>
    <x v="2"/>
    <x v="2"/>
    <x v="1"/>
    <n v="1"/>
  </r>
  <r>
    <x v="0"/>
    <x v="0"/>
    <x v="0"/>
    <n v="1085"/>
    <x v="1"/>
    <n v="2"/>
    <x v="2"/>
    <x v="0"/>
    <x v="0"/>
    <n v="927"/>
    <x v="0"/>
    <x v="0"/>
    <n v="57"/>
    <x v="3"/>
    <x v="1"/>
    <x v="2"/>
    <x v="0"/>
    <x v="2"/>
    <x v="637"/>
    <n v="17725"/>
    <n v="4"/>
    <s v="Y"/>
    <x v="0"/>
    <n v="13"/>
    <x v="0"/>
    <x v="3"/>
    <n v="80"/>
    <n v="1"/>
    <n v="10"/>
    <n v="1"/>
    <x v="2"/>
    <x v="5"/>
    <n v="7"/>
    <x v="1"/>
    <x v="2"/>
    <x v="0"/>
    <x v="0"/>
    <x v="1"/>
    <n v="1"/>
  </r>
  <r>
    <x v="14"/>
    <x v="1"/>
    <x v="0"/>
    <n v="995"/>
    <x v="1"/>
    <n v="9"/>
    <x v="3"/>
    <x v="2"/>
    <x v="0"/>
    <n v="930"/>
    <x v="1"/>
    <x v="0"/>
    <n v="77"/>
    <x v="0"/>
    <x v="1"/>
    <x v="1"/>
    <x v="2"/>
    <x v="2"/>
    <x v="638"/>
    <n v="9834"/>
    <n v="5"/>
    <s v="Y"/>
    <x v="1"/>
    <n v="18"/>
    <x v="0"/>
    <x v="2"/>
    <n v="80"/>
    <n v="1"/>
    <n v="6"/>
    <n v="2"/>
    <x v="1"/>
    <x v="4"/>
    <n v="2"/>
    <x v="3"/>
    <x v="3"/>
    <x v="2"/>
    <x v="1"/>
    <x v="1"/>
    <n v="0"/>
  </r>
  <r>
    <x v="22"/>
    <x v="0"/>
    <x v="0"/>
    <n v="1122"/>
    <x v="1"/>
    <n v="6"/>
    <x v="3"/>
    <x v="2"/>
    <x v="0"/>
    <n v="932"/>
    <x v="2"/>
    <x v="1"/>
    <n v="70"/>
    <x v="0"/>
    <x v="1"/>
    <x v="2"/>
    <x v="3"/>
    <x v="1"/>
    <x v="639"/>
    <n v="4303"/>
    <n v="7"/>
    <s v="Y"/>
    <x v="0"/>
    <n v="21"/>
    <x v="1"/>
    <x v="1"/>
    <n v="80"/>
    <n v="0"/>
    <n v="8"/>
    <n v="2"/>
    <x v="0"/>
    <x v="4"/>
    <n v="2"/>
    <x v="3"/>
    <x v="3"/>
    <x v="1"/>
    <x v="1"/>
    <x v="1"/>
    <n v="1"/>
  </r>
  <r>
    <x v="4"/>
    <x v="1"/>
    <x v="0"/>
    <n v="618"/>
    <x v="1"/>
    <n v="4"/>
    <x v="3"/>
    <x v="0"/>
    <x v="0"/>
    <n v="933"/>
    <x v="0"/>
    <x v="0"/>
    <n v="76"/>
    <x v="0"/>
    <x v="1"/>
    <x v="1"/>
    <x v="2"/>
    <x v="0"/>
    <x v="640"/>
    <n v="17808"/>
    <n v="1"/>
    <s v="Y"/>
    <x v="1"/>
    <n v="19"/>
    <x v="0"/>
    <x v="3"/>
    <n v="80"/>
    <n v="0"/>
    <n v="1"/>
    <n v="2"/>
    <x v="1"/>
    <x v="6"/>
    <n v="1"/>
    <x v="0"/>
    <x v="2"/>
    <x v="2"/>
    <x v="1"/>
    <x v="1"/>
    <n v="0"/>
  </r>
  <r>
    <x v="13"/>
    <x v="1"/>
    <x v="0"/>
    <n v="546"/>
    <x v="1"/>
    <n v="10"/>
    <x v="3"/>
    <x v="0"/>
    <x v="0"/>
    <n v="934"/>
    <x v="0"/>
    <x v="1"/>
    <n v="83"/>
    <x v="0"/>
    <x v="1"/>
    <x v="2"/>
    <x v="1"/>
    <x v="2"/>
    <x v="641"/>
    <n v="6896"/>
    <n v="1"/>
    <s v="Y"/>
    <x v="1"/>
    <n v="14"/>
    <x v="0"/>
    <x v="2"/>
    <n v="80"/>
    <n v="2"/>
    <n v="1"/>
    <n v="3"/>
    <x v="1"/>
    <x v="6"/>
    <n v="0"/>
    <x v="1"/>
    <x v="2"/>
    <x v="1"/>
    <x v="1"/>
    <x v="1"/>
    <n v="0"/>
  </r>
  <r>
    <x v="19"/>
    <x v="1"/>
    <x v="0"/>
    <n v="462"/>
    <x v="0"/>
    <n v="14"/>
    <x v="0"/>
    <x v="2"/>
    <x v="0"/>
    <n v="936"/>
    <x v="1"/>
    <x v="0"/>
    <n v="68"/>
    <x v="1"/>
    <x v="0"/>
    <x v="0"/>
    <x v="2"/>
    <x v="0"/>
    <x v="642"/>
    <n v="7824"/>
    <n v="7"/>
    <s v="Y"/>
    <x v="1"/>
    <n v="17"/>
    <x v="0"/>
    <x v="0"/>
    <n v="80"/>
    <n v="0"/>
    <n v="10"/>
    <n v="6"/>
    <x v="1"/>
    <x v="8"/>
    <n v="4"/>
    <x v="0"/>
    <x v="6"/>
    <x v="0"/>
    <x v="2"/>
    <x v="0"/>
    <n v="0"/>
  </r>
  <r>
    <x v="3"/>
    <x v="1"/>
    <x v="0"/>
    <n v="1198"/>
    <x v="1"/>
    <n v="1"/>
    <x v="2"/>
    <x v="1"/>
    <x v="0"/>
    <n v="939"/>
    <x v="1"/>
    <x v="1"/>
    <n v="100"/>
    <x v="1"/>
    <x v="1"/>
    <x v="1"/>
    <x v="3"/>
    <x v="0"/>
    <x v="643"/>
    <n v="3339"/>
    <n v="3"/>
    <s v="Y"/>
    <x v="0"/>
    <n v="11"/>
    <x v="0"/>
    <x v="2"/>
    <n v="80"/>
    <n v="0"/>
    <n v="6"/>
    <n v="1"/>
    <x v="1"/>
    <x v="11"/>
    <n v="2"/>
    <x v="0"/>
    <x v="3"/>
    <x v="1"/>
    <x v="2"/>
    <x v="1"/>
    <n v="0"/>
  </r>
  <r>
    <x v="34"/>
    <x v="1"/>
    <x v="0"/>
    <n v="1272"/>
    <x v="1"/>
    <n v="5"/>
    <x v="3"/>
    <x v="4"/>
    <x v="0"/>
    <n v="940"/>
    <x v="1"/>
    <x v="0"/>
    <n v="37"/>
    <x v="1"/>
    <x v="2"/>
    <x v="4"/>
    <x v="1"/>
    <x v="2"/>
    <x v="644"/>
    <n v="9255"/>
    <n v="2"/>
    <s v="Y"/>
    <x v="0"/>
    <n v="13"/>
    <x v="0"/>
    <x v="1"/>
    <n v="80"/>
    <n v="1"/>
    <n v="24"/>
    <n v="3"/>
    <x v="1"/>
    <x v="0"/>
    <n v="0"/>
    <x v="0"/>
    <x v="10"/>
    <x v="3"/>
    <x v="0"/>
    <x v="3"/>
    <n v="0"/>
  </r>
  <r>
    <x v="12"/>
    <x v="1"/>
    <x v="0"/>
    <n v="154"/>
    <x v="0"/>
    <n v="7"/>
    <x v="2"/>
    <x v="0"/>
    <x v="0"/>
    <n v="941"/>
    <x v="0"/>
    <x v="1"/>
    <n v="41"/>
    <x v="1"/>
    <x v="1"/>
    <x v="6"/>
    <x v="2"/>
    <x v="1"/>
    <x v="645"/>
    <n v="11737"/>
    <n v="3"/>
    <s v="Y"/>
    <x v="1"/>
    <n v="15"/>
    <x v="0"/>
    <x v="2"/>
    <n v="80"/>
    <n v="0"/>
    <n v="13"/>
    <n v="2"/>
    <x v="3"/>
    <x v="5"/>
    <n v="7"/>
    <x v="8"/>
    <x v="3"/>
    <x v="1"/>
    <x v="0"/>
    <x v="1"/>
    <n v="0"/>
  </r>
  <r>
    <x v="10"/>
    <x v="1"/>
    <x v="0"/>
    <n v="1137"/>
    <x v="1"/>
    <n v="21"/>
    <x v="1"/>
    <x v="0"/>
    <x v="0"/>
    <n v="942"/>
    <x v="2"/>
    <x v="0"/>
    <n v="51"/>
    <x v="0"/>
    <x v="0"/>
    <x v="4"/>
    <x v="0"/>
    <x v="1"/>
    <x v="55"/>
    <n v="19170"/>
    <n v="1"/>
    <s v="Y"/>
    <x v="0"/>
    <n v="25"/>
    <x v="1"/>
    <x v="1"/>
    <n v="80"/>
    <n v="1"/>
    <n v="10"/>
    <n v="2"/>
    <x v="0"/>
    <x v="1"/>
    <n v="6"/>
    <x v="0"/>
    <x v="1"/>
    <x v="1"/>
    <x v="0"/>
    <x v="1"/>
    <n v="0"/>
  </r>
  <r>
    <x v="1"/>
    <x v="1"/>
    <x v="0"/>
    <n v="527"/>
    <x v="1"/>
    <n v="8"/>
    <x v="0"/>
    <x v="1"/>
    <x v="0"/>
    <n v="944"/>
    <x v="3"/>
    <x v="0"/>
    <n v="51"/>
    <x v="0"/>
    <x v="2"/>
    <x v="2"/>
    <x v="1"/>
    <x v="1"/>
    <x v="646"/>
    <n v="22477"/>
    <n v="4"/>
    <s v="Y"/>
    <x v="1"/>
    <n v="11"/>
    <x v="0"/>
    <x v="3"/>
    <n v="80"/>
    <n v="1"/>
    <n v="29"/>
    <n v="3"/>
    <x v="2"/>
    <x v="34"/>
    <n v="9"/>
    <x v="1"/>
    <x v="1"/>
    <x v="0"/>
    <x v="3"/>
    <x v="0"/>
    <n v="0"/>
  </r>
  <r>
    <x v="26"/>
    <x v="1"/>
    <x v="0"/>
    <n v="1469"/>
    <x v="1"/>
    <n v="20"/>
    <x v="2"/>
    <x v="2"/>
    <x v="0"/>
    <n v="945"/>
    <x v="2"/>
    <x v="1"/>
    <n v="51"/>
    <x v="0"/>
    <x v="1"/>
    <x v="1"/>
    <x v="2"/>
    <x v="1"/>
    <x v="647"/>
    <n v="5543"/>
    <n v="4"/>
    <s v="Y"/>
    <x v="1"/>
    <n v="17"/>
    <x v="0"/>
    <x v="0"/>
    <n v="80"/>
    <n v="2"/>
    <n v="13"/>
    <n v="2"/>
    <x v="2"/>
    <x v="2"/>
    <n v="0"/>
    <x v="0"/>
    <x v="2"/>
    <x v="0"/>
    <x v="1"/>
    <x v="1"/>
    <n v="0"/>
  </r>
  <r>
    <x v="12"/>
    <x v="1"/>
    <x v="2"/>
    <n v="1188"/>
    <x v="0"/>
    <n v="20"/>
    <x v="0"/>
    <x v="3"/>
    <x v="0"/>
    <n v="947"/>
    <x v="2"/>
    <x v="0"/>
    <n v="45"/>
    <x v="0"/>
    <x v="0"/>
    <x v="0"/>
    <x v="2"/>
    <x v="1"/>
    <x v="648"/>
    <n v="24406"/>
    <n v="1"/>
    <s v="Y"/>
    <x v="1"/>
    <n v="13"/>
    <x v="0"/>
    <x v="1"/>
    <n v="80"/>
    <n v="1"/>
    <n v="9"/>
    <n v="2"/>
    <x v="2"/>
    <x v="7"/>
    <n v="8"/>
    <x v="0"/>
    <x v="2"/>
    <x v="1"/>
    <x v="0"/>
    <x v="0"/>
    <n v="0"/>
  </r>
  <r>
    <x v="9"/>
    <x v="1"/>
    <x v="0"/>
    <n v="188"/>
    <x v="1"/>
    <n v="7"/>
    <x v="2"/>
    <x v="1"/>
    <x v="0"/>
    <n v="949"/>
    <x v="0"/>
    <x v="1"/>
    <n v="65"/>
    <x v="0"/>
    <x v="1"/>
    <x v="1"/>
    <x v="0"/>
    <x v="0"/>
    <x v="649"/>
    <n v="23293"/>
    <n v="2"/>
    <s v="Y"/>
    <x v="1"/>
    <n v="18"/>
    <x v="0"/>
    <x v="3"/>
    <n v="80"/>
    <n v="0"/>
    <n v="8"/>
    <n v="6"/>
    <x v="1"/>
    <x v="0"/>
    <n v="2"/>
    <x v="0"/>
    <x v="9"/>
    <x v="1"/>
    <x v="0"/>
    <x v="1"/>
    <n v="0"/>
  </r>
  <r>
    <x v="8"/>
    <x v="1"/>
    <x v="0"/>
    <n v="1333"/>
    <x v="1"/>
    <n v="1"/>
    <x v="3"/>
    <x v="4"/>
    <x v="0"/>
    <n v="950"/>
    <x v="2"/>
    <x v="0"/>
    <n v="80"/>
    <x v="0"/>
    <x v="2"/>
    <x v="7"/>
    <x v="3"/>
    <x v="1"/>
    <x v="650"/>
    <n v="16292"/>
    <n v="1"/>
    <s v="Y"/>
    <x v="1"/>
    <n v="13"/>
    <x v="0"/>
    <x v="2"/>
    <n v="80"/>
    <n v="1"/>
    <n v="15"/>
    <n v="3"/>
    <x v="1"/>
    <x v="15"/>
    <n v="12"/>
    <x v="8"/>
    <x v="7"/>
    <x v="1"/>
    <x v="3"/>
    <x v="3"/>
    <n v="0"/>
  </r>
  <r>
    <x v="5"/>
    <x v="1"/>
    <x v="2"/>
    <n v="1184"/>
    <x v="1"/>
    <n v="1"/>
    <x v="3"/>
    <x v="0"/>
    <x v="0"/>
    <n v="951"/>
    <x v="1"/>
    <x v="0"/>
    <n v="70"/>
    <x v="1"/>
    <x v="1"/>
    <x v="2"/>
    <x v="1"/>
    <x v="1"/>
    <x v="651"/>
    <n v="3974"/>
    <n v="6"/>
    <s v="Y"/>
    <x v="1"/>
    <n v="20"/>
    <x v="1"/>
    <x v="3"/>
    <n v="80"/>
    <n v="0"/>
    <n v="5"/>
    <n v="3"/>
    <x v="1"/>
    <x v="11"/>
    <n v="0"/>
    <x v="0"/>
    <x v="3"/>
    <x v="1"/>
    <x v="2"/>
    <x v="1"/>
    <n v="0"/>
  </r>
  <r>
    <x v="36"/>
    <x v="0"/>
    <x v="0"/>
    <n v="867"/>
    <x v="0"/>
    <n v="19"/>
    <x v="0"/>
    <x v="3"/>
    <x v="0"/>
    <n v="952"/>
    <x v="1"/>
    <x v="1"/>
    <n v="36"/>
    <x v="1"/>
    <x v="1"/>
    <x v="6"/>
    <x v="1"/>
    <x v="1"/>
    <x v="652"/>
    <n v="18798"/>
    <n v="1"/>
    <s v="Y"/>
    <x v="0"/>
    <n v="18"/>
    <x v="0"/>
    <x v="3"/>
    <n v="80"/>
    <n v="3"/>
    <n v="1"/>
    <n v="2"/>
    <x v="1"/>
    <x v="6"/>
    <n v="0"/>
    <x v="0"/>
    <x v="2"/>
    <x v="2"/>
    <x v="1"/>
    <x v="1"/>
    <n v="1"/>
  </r>
  <r>
    <x v="32"/>
    <x v="1"/>
    <x v="0"/>
    <n v="658"/>
    <x v="0"/>
    <n v="10"/>
    <x v="2"/>
    <x v="3"/>
    <x v="0"/>
    <n v="954"/>
    <x v="3"/>
    <x v="1"/>
    <n v="67"/>
    <x v="1"/>
    <x v="2"/>
    <x v="0"/>
    <x v="1"/>
    <x v="2"/>
    <x v="653"/>
    <n v="20652"/>
    <n v="2"/>
    <s v="Y"/>
    <x v="1"/>
    <n v="12"/>
    <x v="0"/>
    <x v="2"/>
    <n v="80"/>
    <n v="1"/>
    <n v="11"/>
    <n v="2"/>
    <x v="2"/>
    <x v="6"/>
    <n v="0"/>
    <x v="0"/>
    <x v="2"/>
    <x v="0"/>
    <x v="1"/>
    <x v="0"/>
    <n v="0"/>
  </r>
  <r>
    <x v="25"/>
    <x v="1"/>
    <x v="1"/>
    <n v="1283"/>
    <x v="0"/>
    <n v="1"/>
    <x v="3"/>
    <x v="2"/>
    <x v="0"/>
    <n v="956"/>
    <x v="1"/>
    <x v="1"/>
    <n v="52"/>
    <x v="1"/>
    <x v="0"/>
    <x v="0"/>
    <x v="3"/>
    <x v="0"/>
    <x v="654"/>
    <n v="11148"/>
    <n v="1"/>
    <s v="Y"/>
    <x v="1"/>
    <n v="12"/>
    <x v="0"/>
    <x v="2"/>
    <n v="80"/>
    <n v="0"/>
    <n v="7"/>
    <n v="2"/>
    <x v="1"/>
    <x v="5"/>
    <n v="7"/>
    <x v="0"/>
    <x v="1"/>
    <x v="2"/>
    <x v="0"/>
    <x v="1"/>
    <n v="0"/>
  </r>
  <r>
    <x v="0"/>
    <x v="1"/>
    <x v="0"/>
    <n v="263"/>
    <x v="1"/>
    <n v="6"/>
    <x v="3"/>
    <x v="2"/>
    <x v="0"/>
    <n v="957"/>
    <x v="2"/>
    <x v="1"/>
    <n v="59"/>
    <x v="0"/>
    <x v="1"/>
    <x v="2"/>
    <x v="3"/>
    <x v="0"/>
    <x v="655"/>
    <n v="3119"/>
    <n v="2"/>
    <s v="Y"/>
    <x v="0"/>
    <n v="13"/>
    <x v="0"/>
    <x v="3"/>
    <n v="80"/>
    <n v="0"/>
    <n v="20"/>
    <n v="3"/>
    <x v="1"/>
    <x v="29"/>
    <n v="13"/>
    <x v="3"/>
    <x v="8"/>
    <x v="0"/>
    <x v="3"/>
    <x v="1"/>
    <n v="0"/>
  </r>
  <r>
    <x v="9"/>
    <x v="1"/>
    <x v="0"/>
    <n v="938"/>
    <x v="1"/>
    <n v="2"/>
    <x v="2"/>
    <x v="2"/>
    <x v="0"/>
    <n v="958"/>
    <x v="1"/>
    <x v="1"/>
    <n v="79"/>
    <x v="0"/>
    <x v="1"/>
    <x v="2"/>
    <x v="2"/>
    <x v="0"/>
    <x v="656"/>
    <n v="12287"/>
    <n v="4"/>
    <s v="Y"/>
    <x v="1"/>
    <n v="21"/>
    <x v="1"/>
    <x v="3"/>
    <n v="80"/>
    <n v="0"/>
    <n v="16"/>
    <n v="6"/>
    <x v="1"/>
    <x v="19"/>
    <n v="8"/>
    <x v="2"/>
    <x v="12"/>
    <x v="1"/>
    <x v="3"/>
    <x v="1"/>
    <n v="0"/>
  </r>
  <r>
    <x v="37"/>
    <x v="0"/>
    <x v="0"/>
    <n v="419"/>
    <x v="0"/>
    <n v="21"/>
    <x v="3"/>
    <x v="1"/>
    <x v="0"/>
    <n v="959"/>
    <x v="2"/>
    <x v="1"/>
    <n v="37"/>
    <x v="1"/>
    <x v="1"/>
    <x v="6"/>
    <x v="1"/>
    <x v="0"/>
    <x v="657"/>
    <n v="9947"/>
    <n v="1"/>
    <s v="Y"/>
    <x v="0"/>
    <n v="13"/>
    <x v="0"/>
    <x v="2"/>
    <n v="80"/>
    <n v="0"/>
    <n v="1"/>
    <n v="3"/>
    <x v="3"/>
    <x v="6"/>
    <n v="0"/>
    <x v="0"/>
    <x v="2"/>
    <x v="4"/>
    <x v="1"/>
    <x v="1"/>
    <n v="1"/>
  </r>
  <r>
    <x v="35"/>
    <x v="0"/>
    <x v="0"/>
    <n v="129"/>
    <x v="1"/>
    <n v="4"/>
    <x v="3"/>
    <x v="4"/>
    <x v="0"/>
    <n v="960"/>
    <x v="3"/>
    <x v="1"/>
    <n v="84"/>
    <x v="0"/>
    <x v="1"/>
    <x v="2"/>
    <x v="3"/>
    <x v="0"/>
    <x v="620"/>
    <n v="13008"/>
    <n v="1"/>
    <s v="Y"/>
    <x v="1"/>
    <n v="19"/>
    <x v="0"/>
    <x v="2"/>
    <n v="80"/>
    <n v="0"/>
    <n v="1"/>
    <n v="2"/>
    <x v="1"/>
    <x v="6"/>
    <n v="0"/>
    <x v="0"/>
    <x v="2"/>
    <x v="2"/>
    <x v="1"/>
    <x v="1"/>
    <n v="1"/>
  </r>
  <r>
    <x v="12"/>
    <x v="1"/>
    <x v="0"/>
    <n v="616"/>
    <x v="1"/>
    <n v="12"/>
    <x v="3"/>
    <x v="2"/>
    <x v="0"/>
    <n v="961"/>
    <x v="2"/>
    <x v="0"/>
    <n v="41"/>
    <x v="0"/>
    <x v="0"/>
    <x v="4"/>
    <x v="0"/>
    <x v="1"/>
    <x v="658"/>
    <n v="17369"/>
    <n v="0"/>
    <s v="Y"/>
    <x v="0"/>
    <n v="11"/>
    <x v="0"/>
    <x v="3"/>
    <n v="80"/>
    <n v="2"/>
    <n v="10"/>
    <n v="2"/>
    <x v="0"/>
    <x v="7"/>
    <n v="7"/>
    <x v="6"/>
    <x v="0"/>
    <x v="1"/>
    <x v="0"/>
    <x v="0"/>
    <n v="0"/>
  </r>
  <r>
    <x v="32"/>
    <x v="1"/>
    <x v="1"/>
    <n v="1469"/>
    <x v="1"/>
    <n v="9"/>
    <x v="2"/>
    <x v="2"/>
    <x v="0"/>
    <n v="964"/>
    <x v="2"/>
    <x v="1"/>
    <n v="35"/>
    <x v="0"/>
    <x v="1"/>
    <x v="1"/>
    <x v="1"/>
    <x v="2"/>
    <x v="659"/>
    <n v="25063"/>
    <n v="8"/>
    <s v="Y"/>
    <x v="0"/>
    <n v="14"/>
    <x v="0"/>
    <x v="1"/>
    <n v="80"/>
    <n v="1"/>
    <n v="3"/>
    <n v="2"/>
    <x v="1"/>
    <x v="6"/>
    <n v="1"/>
    <x v="0"/>
    <x v="2"/>
    <x v="0"/>
    <x v="1"/>
    <x v="1"/>
    <n v="0"/>
  </r>
  <r>
    <x v="5"/>
    <x v="1"/>
    <x v="0"/>
    <n v="498"/>
    <x v="1"/>
    <n v="3"/>
    <x v="2"/>
    <x v="2"/>
    <x v="0"/>
    <n v="966"/>
    <x v="1"/>
    <x v="0"/>
    <n v="93"/>
    <x v="0"/>
    <x v="0"/>
    <x v="3"/>
    <x v="3"/>
    <x v="1"/>
    <x v="660"/>
    <n v="13554"/>
    <n v="1"/>
    <s v="Y"/>
    <x v="1"/>
    <n v="12"/>
    <x v="0"/>
    <x v="3"/>
    <n v="80"/>
    <n v="1"/>
    <n v="8"/>
    <n v="2"/>
    <x v="3"/>
    <x v="3"/>
    <n v="7"/>
    <x v="7"/>
    <x v="6"/>
    <x v="1"/>
    <x v="0"/>
    <x v="0"/>
    <n v="0"/>
  </r>
  <r>
    <x v="9"/>
    <x v="0"/>
    <x v="0"/>
    <n v="530"/>
    <x v="0"/>
    <n v="3"/>
    <x v="1"/>
    <x v="0"/>
    <x v="0"/>
    <n v="967"/>
    <x v="1"/>
    <x v="1"/>
    <n v="51"/>
    <x v="1"/>
    <x v="2"/>
    <x v="0"/>
    <x v="0"/>
    <x v="1"/>
    <x v="661"/>
    <n v="5518"/>
    <n v="1"/>
    <s v="Y"/>
    <x v="0"/>
    <n v="11"/>
    <x v="0"/>
    <x v="0"/>
    <n v="80"/>
    <n v="1"/>
    <n v="16"/>
    <n v="6"/>
    <x v="1"/>
    <x v="22"/>
    <n v="7"/>
    <x v="2"/>
    <x v="1"/>
    <x v="1"/>
    <x v="3"/>
    <x v="3"/>
    <n v="1"/>
  </r>
  <r>
    <x v="3"/>
    <x v="1"/>
    <x v="0"/>
    <n v="1069"/>
    <x v="1"/>
    <n v="1"/>
    <x v="3"/>
    <x v="0"/>
    <x v="0"/>
    <n v="969"/>
    <x v="0"/>
    <x v="0"/>
    <n v="42"/>
    <x v="1"/>
    <x v="0"/>
    <x v="4"/>
    <x v="0"/>
    <x v="0"/>
    <x v="662"/>
    <n v="12291"/>
    <n v="0"/>
    <s v="Y"/>
    <x v="1"/>
    <n v="14"/>
    <x v="0"/>
    <x v="0"/>
    <n v="80"/>
    <n v="0"/>
    <n v="6"/>
    <n v="3"/>
    <x v="1"/>
    <x v="8"/>
    <n v="0"/>
    <x v="1"/>
    <x v="10"/>
    <x v="1"/>
    <x v="2"/>
    <x v="0"/>
    <n v="0"/>
  </r>
  <r>
    <x v="2"/>
    <x v="0"/>
    <x v="0"/>
    <n v="625"/>
    <x v="0"/>
    <n v="1"/>
    <x v="2"/>
    <x v="0"/>
    <x v="0"/>
    <n v="970"/>
    <x v="3"/>
    <x v="1"/>
    <n v="46"/>
    <x v="1"/>
    <x v="2"/>
    <x v="0"/>
    <x v="2"/>
    <x v="1"/>
    <x v="219"/>
    <n v="14922"/>
    <n v="5"/>
    <s v="Y"/>
    <x v="1"/>
    <n v="11"/>
    <x v="0"/>
    <x v="3"/>
    <n v="80"/>
    <n v="0"/>
    <n v="17"/>
    <n v="2"/>
    <x v="0"/>
    <x v="13"/>
    <n v="1"/>
    <x v="14"/>
    <x v="1"/>
    <x v="1"/>
    <x v="3"/>
    <x v="3"/>
    <n v="1"/>
  </r>
  <r>
    <x v="28"/>
    <x v="1"/>
    <x v="2"/>
    <n v="805"/>
    <x v="1"/>
    <n v="4"/>
    <x v="0"/>
    <x v="0"/>
    <x v="0"/>
    <n v="972"/>
    <x v="1"/>
    <x v="1"/>
    <n v="57"/>
    <x v="0"/>
    <x v="0"/>
    <x v="2"/>
    <x v="1"/>
    <x v="1"/>
    <x v="663"/>
    <n v="23163"/>
    <n v="1"/>
    <s v="Y"/>
    <x v="1"/>
    <n v="12"/>
    <x v="0"/>
    <x v="2"/>
    <n v="80"/>
    <n v="0"/>
    <n v="9"/>
    <n v="5"/>
    <x v="2"/>
    <x v="7"/>
    <n v="7"/>
    <x v="0"/>
    <x v="5"/>
    <x v="0"/>
    <x v="0"/>
    <x v="1"/>
    <n v="0"/>
  </r>
  <r>
    <x v="11"/>
    <x v="1"/>
    <x v="1"/>
    <n v="1404"/>
    <x v="0"/>
    <n v="20"/>
    <x v="3"/>
    <x v="4"/>
    <x v="0"/>
    <n v="974"/>
    <x v="1"/>
    <x v="0"/>
    <n v="84"/>
    <x v="0"/>
    <x v="1"/>
    <x v="6"/>
    <x v="0"/>
    <x v="1"/>
    <x v="664"/>
    <n v="18203"/>
    <n v="1"/>
    <s v="Y"/>
    <x v="1"/>
    <n v="15"/>
    <x v="0"/>
    <x v="2"/>
    <n v="80"/>
    <n v="1"/>
    <n v="3"/>
    <n v="5"/>
    <x v="1"/>
    <x v="11"/>
    <n v="1"/>
    <x v="0"/>
    <x v="3"/>
    <x v="2"/>
    <x v="2"/>
    <x v="1"/>
    <n v="0"/>
  </r>
  <r>
    <x v="10"/>
    <x v="1"/>
    <x v="0"/>
    <n v="1219"/>
    <x v="0"/>
    <n v="18"/>
    <x v="3"/>
    <x v="2"/>
    <x v="0"/>
    <n v="975"/>
    <x v="1"/>
    <x v="0"/>
    <n v="86"/>
    <x v="0"/>
    <x v="0"/>
    <x v="0"/>
    <x v="2"/>
    <x v="1"/>
    <x v="665"/>
    <n v="6179"/>
    <n v="1"/>
    <s v="Y"/>
    <x v="1"/>
    <n v="16"/>
    <x v="0"/>
    <x v="2"/>
    <n v="80"/>
    <n v="0"/>
    <n v="5"/>
    <n v="3"/>
    <x v="1"/>
    <x v="8"/>
    <n v="2"/>
    <x v="1"/>
    <x v="2"/>
    <x v="1"/>
    <x v="2"/>
    <x v="1"/>
    <n v="0"/>
  </r>
  <r>
    <x v="39"/>
    <x v="1"/>
    <x v="0"/>
    <n v="1053"/>
    <x v="1"/>
    <n v="1"/>
    <x v="0"/>
    <x v="0"/>
    <x v="0"/>
    <n v="976"/>
    <x v="2"/>
    <x v="1"/>
    <n v="70"/>
    <x v="0"/>
    <x v="3"/>
    <x v="5"/>
    <x v="0"/>
    <x v="1"/>
    <x v="666"/>
    <n v="13829"/>
    <n v="2"/>
    <s v="Y"/>
    <x v="1"/>
    <n v="15"/>
    <x v="0"/>
    <x v="2"/>
    <n v="80"/>
    <n v="1"/>
    <n v="26"/>
    <n v="2"/>
    <x v="2"/>
    <x v="7"/>
    <n v="8"/>
    <x v="4"/>
    <x v="5"/>
    <x v="3"/>
    <x v="0"/>
    <x v="2"/>
    <n v="0"/>
  </r>
  <r>
    <x v="34"/>
    <x v="0"/>
    <x v="0"/>
    <n v="289"/>
    <x v="1"/>
    <n v="2"/>
    <x v="3"/>
    <x v="4"/>
    <x v="0"/>
    <n v="977"/>
    <x v="2"/>
    <x v="1"/>
    <n v="51"/>
    <x v="0"/>
    <x v="1"/>
    <x v="1"/>
    <x v="2"/>
    <x v="0"/>
    <x v="667"/>
    <n v="26227"/>
    <n v="4"/>
    <s v="Y"/>
    <x v="1"/>
    <n v="24"/>
    <x v="1"/>
    <x v="0"/>
    <n v="80"/>
    <n v="0"/>
    <n v="7"/>
    <n v="4"/>
    <x v="1"/>
    <x v="6"/>
    <n v="0"/>
    <x v="0"/>
    <x v="2"/>
    <x v="3"/>
    <x v="1"/>
    <x v="1"/>
    <n v="1"/>
  </r>
  <r>
    <x v="16"/>
    <x v="1"/>
    <x v="0"/>
    <n v="1376"/>
    <x v="0"/>
    <n v="2"/>
    <x v="0"/>
    <x v="2"/>
    <x v="0"/>
    <n v="981"/>
    <x v="1"/>
    <x v="1"/>
    <n v="45"/>
    <x v="0"/>
    <x v="3"/>
    <x v="5"/>
    <x v="2"/>
    <x v="2"/>
    <x v="668"/>
    <n v="13938"/>
    <n v="6"/>
    <s v="Y"/>
    <x v="1"/>
    <n v="13"/>
    <x v="0"/>
    <x v="3"/>
    <n v="80"/>
    <n v="1"/>
    <n v="22"/>
    <n v="3"/>
    <x v="3"/>
    <x v="18"/>
    <n v="13"/>
    <x v="9"/>
    <x v="3"/>
    <x v="3"/>
    <x v="3"/>
    <x v="3"/>
    <n v="0"/>
  </r>
  <r>
    <x v="7"/>
    <x v="1"/>
    <x v="0"/>
    <n v="231"/>
    <x v="0"/>
    <n v="8"/>
    <x v="0"/>
    <x v="1"/>
    <x v="0"/>
    <n v="982"/>
    <x v="1"/>
    <x v="1"/>
    <n v="62"/>
    <x v="0"/>
    <x v="2"/>
    <x v="0"/>
    <x v="2"/>
    <x v="2"/>
    <x v="669"/>
    <n v="9977"/>
    <n v="5"/>
    <s v="Y"/>
    <x v="1"/>
    <n v="11"/>
    <x v="0"/>
    <x v="0"/>
    <n v="80"/>
    <n v="1"/>
    <n v="10"/>
    <n v="2"/>
    <x v="3"/>
    <x v="3"/>
    <n v="4"/>
    <x v="4"/>
    <x v="1"/>
    <x v="1"/>
    <x v="0"/>
    <x v="0"/>
    <n v="0"/>
  </r>
  <r>
    <x v="8"/>
    <x v="1"/>
    <x v="2"/>
    <n v="152"/>
    <x v="0"/>
    <n v="10"/>
    <x v="3"/>
    <x v="4"/>
    <x v="0"/>
    <n v="983"/>
    <x v="1"/>
    <x v="0"/>
    <n v="85"/>
    <x v="0"/>
    <x v="0"/>
    <x v="0"/>
    <x v="0"/>
    <x v="0"/>
    <x v="670"/>
    <n v="19899"/>
    <n v="1"/>
    <s v="Y"/>
    <x v="0"/>
    <n v="13"/>
    <x v="0"/>
    <x v="2"/>
    <n v="80"/>
    <n v="0"/>
    <n v="6"/>
    <n v="1"/>
    <x v="1"/>
    <x v="8"/>
    <n v="3"/>
    <x v="1"/>
    <x v="6"/>
    <x v="1"/>
    <x v="2"/>
    <x v="0"/>
    <n v="0"/>
  </r>
  <r>
    <x v="10"/>
    <x v="1"/>
    <x v="0"/>
    <n v="882"/>
    <x v="0"/>
    <n v="3"/>
    <x v="2"/>
    <x v="0"/>
    <x v="0"/>
    <n v="984"/>
    <x v="2"/>
    <x v="1"/>
    <n v="92"/>
    <x v="0"/>
    <x v="2"/>
    <x v="0"/>
    <x v="0"/>
    <x v="2"/>
    <x v="671"/>
    <n v="6812"/>
    <n v="6"/>
    <s v="Y"/>
    <x v="1"/>
    <n v="13"/>
    <x v="0"/>
    <x v="2"/>
    <n v="80"/>
    <n v="1"/>
    <n v="12"/>
    <n v="2"/>
    <x v="1"/>
    <x v="1"/>
    <n v="9"/>
    <x v="0"/>
    <x v="5"/>
    <x v="1"/>
    <x v="0"/>
    <x v="0"/>
    <n v="0"/>
  </r>
  <r>
    <x v="22"/>
    <x v="1"/>
    <x v="0"/>
    <n v="903"/>
    <x v="0"/>
    <n v="2"/>
    <x v="4"/>
    <x v="0"/>
    <x v="0"/>
    <n v="985"/>
    <x v="3"/>
    <x v="1"/>
    <n v="41"/>
    <x v="2"/>
    <x v="2"/>
    <x v="0"/>
    <x v="2"/>
    <x v="0"/>
    <x v="672"/>
    <n v="2560"/>
    <n v="0"/>
    <s v="Y"/>
    <x v="1"/>
    <n v="18"/>
    <x v="0"/>
    <x v="1"/>
    <n v="80"/>
    <n v="0"/>
    <n v="9"/>
    <n v="3"/>
    <x v="1"/>
    <x v="3"/>
    <n v="7"/>
    <x v="0"/>
    <x v="1"/>
    <x v="1"/>
    <x v="0"/>
    <x v="0"/>
    <n v="0"/>
  </r>
  <r>
    <x v="32"/>
    <x v="0"/>
    <x v="2"/>
    <n v="1479"/>
    <x v="0"/>
    <n v="24"/>
    <x v="3"/>
    <x v="0"/>
    <x v="0"/>
    <n v="986"/>
    <x v="0"/>
    <x v="0"/>
    <n v="100"/>
    <x v="2"/>
    <x v="3"/>
    <x v="0"/>
    <x v="1"/>
    <x v="0"/>
    <x v="673"/>
    <n v="17071"/>
    <n v="4"/>
    <s v="Y"/>
    <x v="0"/>
    <n v="16"/>
    <x v="0"/>
    <x v="1"/>
    <n v="80"/>
    <n v="0"/>
    <n v="22"/>
    <n v="2"/>
    <x v="2"/>
    <x v="6"/>
    <n v="0"/>
    <x v="0"/>
    <x v="2"/>
    <x v="0"/>
    <x v="1"/>
    <x v="3"/>
    <n v="1"/>
  </r>
  <r>
    <x v="40"/>
    <x v="1"/>
    <x v="1"/>
    <n v="1379"/>
    <x v="1"/>
    <n v="16"/>
    <x v="2"/>
    <x v="2"/>
    <x v="0"/>
    <n v="987"/>
    <x v="1"/>
    <x v="1"/>
    <n v="64"/>
    <x v="2"/>
    <x v="0"/>
    <x v="3"/>
    <x v="2"/>
    <x v="2"/>
    <x v="674"/>
    <n v="6759"/>
    <n v="1"/>
    <s v="Y"/>
    <x v="0"/>
    <n v="19"/>
    <x v="0"/>
    <x v="3"/>
    <n v="80"/>
    <n v="0"/>
    <n v="20"/>
    <n v="3"/>
    <x v="3"/>
    <x v="27"/>
    <n v="10"/>
    <x v="3"/>
    <x v="1"/>
    <x v="0"/>
    <x v="3"/>
    <x v="0"/>
    <n v="0"/>
  </r>
  <r>
    <x v="9"/>
    <x v="1"/>
    <x v="2"/>
    <n v="1229"/>
    <x v="0"/>
    <n v="8"/>
    <x v="2"/>
    <x v="4"/>
    <x v="0"/>
    <n v="990"/>
    <x v="3"/>
    <x v="1"/>
    <n v="84"/>
    <x v="0"/>
    <x v="0"/>
    <x v="0"/>
    <x v="0"/>
    <x v="2"/>
    <x v="675"/>
    <n v="25952"/>
    <n v="4"/>
    <s v="Y"/>
    <x v="1"/>
    <n v="13"/>
    <x v="0"/>
    <x v="1"/>
    <n v="80"/>
    <n v="2"/>
    <n v="12"/>
    <n v="3"/>
    <x v="1"/>
    <x v="5"/>
    <n v="7"/>
    <x v="0"/>
    <x v="1"/>
    <x v="1"/>
    <x v="0"/>
    <x v="0"/>
    <n v="0"/>
  </r>
  <r>
    <x v="12"/>
    <x v="0"/>
    <x v="2"/>
    <n v="335"/>
    <x v="1"/>
    <n v="9"/>
    <x v="0"/>
    <x v="2"/>
    <x v="0"/>
    <n v="991"/>
    <x v="1"/>
    <x v="1"/>
    <n v="46"/>
    <x v="1"/>
    <x v="1"/>
    <x v="1"/>
    <x v="3"/>
    <x v="0"/>
    <x v="676"/>
    <n v="10322"/>
    <n v="0"/>
    <s v="Y"/>
    <x v="0"/>
    <n v="22"/>
    <x v="1"/>
    <x v="0"/>
    <n v="80"/>
    <n v="0"/>
    <n v="4"/>
    <n v="0"/>
    <x v="1"/>
    <x v="11"/>
    <n v="2"/>
    <x v="1"/>
    <x v="3"/>
    <x v="1"/>
    <x v="2"/>
    <x v="1"/>
    <n v="1"/>
  </r>
  <r>
    <x v="3"/>
    <x v="1"/>
    <x v="2"/>
    <n v="722"/>
    <x v="0"/>
    <n v="17"/>
    <x v="3"/>
    <x v="0"/>
    <x v="0"/>
    <n v="992"/>
    <x v="2"/>
    <x v="1"/>
    <n v="38"/>
    <x v="0"/>
    <x v="3"/>
    <x v="5"/>
    <x v="2"/>
    <x v="0"/>
    <x v="677"/>
    <n v="20489"/>
    <n v="1"/>
    <s v="Y"/>
    <x v="1"/>
    <n v="11"/>
    <x v="0"/>
    <x v="1"/>
    <n v="80"/>
    <n v="0"/>
    <n v="10"/>
    <n v="2"/>
    <x v="1"/>
    <x v="1"/>
    <n v="8"/>
    <x v="7"/>
    <x v="2"/>
    <x v="1"/>
    <x v="0"/>
    <x v="2"/>
    <n v="0"/>
  </r>
  <r>
    <x v="11"/>
    <x v="0"/>
    <x v="0"/>
    <n v="906"/>
    <x v="1"/>
    <n v="10"/>
    <x v="3"/>
    <x v="0"/>
    <x v="0"/>
    <n v="994"/>
    <x v="2"/>
    <x v="0"/>
    <n v="92"/>
    <x v="1"/>
    <x v="1"/>
    <x v="1"/>
    <x v="3"/>
    <x v="0"/>
    <x v="639"/>
    <n v="11479"/>
    <n v="6"/>
    <s v="Y"/>
    <x v="0"/>
    <n v="20"/>
    <x v="1"/>
    <x v="3"/>
    <n v="80"/>
    <n v="0"/>
    <n v="3"/>
    <n v="5"/>
    <x v="1"/>
    <x v="2"/>
    <n v="0"/>
    <x v="0"/>
    <x v="2"/>
    <x v="2"/>
    <x v="1"/>
    <x v="1"/>
    <n v="1"/>
  </r>
  <r>
    <x v="3"/>
    <x v="1"/>
    <x v="0"/>
    <n v="461"/>
    <x v="1"/>
    <n v="13"/>
    <x v="1"/>
    <x v="0"/>
    <x v="0"/>
    <n v="995"/>
    <x v="0"/>
    <x v="0"/>
    <n v="53"/>
    <x v="0"/>
    <x v="1"/>
    <x v="1"/>
    <x v="0"/>
    <x v="0"/>
    <x v="138"/>
    <n v="17241"/>
    <n v="3"/>
    <s v="Y"/>
    <x v="1"/>
    <n v="18"/>
    <x v="0"/>
    <x v="0"/>
    <n v="80"/>
    <n v="0"/>
    <n v="5"/>
    <n v="4"/>
    <x v="1"/>
    <x v="11"/>
    <n v="2"/>
    <x v="0"/>
    <x v="3"/>
    <x v="1"/>
    <x v="2"/>
    <x v="1"/>
    <n v="0"/>
  </r>
  <r>
    <x v="28"/>
    <x v="1"/>
    <x v="0"/>
    <n v="974"/>
    <x v="1"/>
    <n v="1"/>
    <x v="2"/>
    <x v="2"/>
    <x v="0"/>
    <n v="996"/>
    <x v="2"/>
    <x v="0"/>
    <n v="91"/>
    <x v="0"/>
    <x v="1"/>
    <x v="2"/>
    <x v="0"/>
    <x v="2"/>
    <x v="678"/>
    <n v="11005"/>
    <n v="3"/>
    <s v="Y"/>
    <x v="1"/>
    <n v="14"/>
    <x v="0"/>
    <x v="1"/>
    <n v="80"/>
    <n v="2"/>
    <n v="8"/>
    <n v="2"/>
    <x v="1"/>
    <x v="8"/>
    <n v="3"/>
    <x v="0"/>
    <x v="3"/>
    <x v="0"/>
    <x v="2"/>
    <x v="1"/>
    <n v="0"/>
  </r>
  <r>
    <x v="24"/>
    <x v="1"/>
    <x v="0"/>
    <n v="1126"/>
    <x v="1"/>
    <n v="1"/>
    <x v="0"/>
    <x v="2"/>
    <x v="0"/>
    <n v="997"/>
    <x v="2"/>
    <x v="1"/>
    <n v="66"/>
    <x v="0"/>
    <x v="3"/>
    <x v="7"/>
    <x v="0"/>
    <x v="2"/>
    <x v="679"/>
    <n v="6615"/>
    <n v="9"/>
    <s v="Y"/>
    <x v="1"/>
    <n v="22"/>
    <x v="1"/>
    <x v="3"/>
    <n v="80"/>
    <n v="1"/>
    <n v="32"/>
    <n v="1"/>
    <x v="2"/>
    <x v="8"/>
    <n v="4"/>
    <x v="1"/>
    <x v="6"/>
    <x v="3"/>
    <x v="2"/>
    <x v="2"/>
    <n v="0"/>
  </r>
  <r>
    <x v="3"/>
    <x v="1"/>
    <x v="1"/>
    <n v="827"/>
    <x v="1"/>
    <n v="1"/>
    <x v="2"/>
    <x v="1"/>
    <x v="0"/>
    <n v="998"/>
    <x v="1"/>
    <x v="0"/>
    <n v="84"/>
    <x v="2"/>
    <x v="0"/>
    <x v="4"/>
    <x v="1"/>
    <x v="1"/>
    <x v="680"/>
    <n v="20161"/>
    <n v="1"/>
    <s v="Y"/>
    <x v="0"/>
    <n v="13"/>
    <x v="0"/>
    <x v="0"/>
    <n v="80"/>
    <n v="1"/>
    <n v="6"/>
    <n v="2"/>
    <x v="1"/>
    <x v="0"/>
    <n v="5"/>
    <x v="1"/>
    <x v="3"/>
    <x v="1"/>
    <x v="0"/>
    <x v="0"/>
    <n v="0"/>
  </r>
  <r>
    <x v="0"/>
    <x v="1"/>
    <x v="1"/>
    <n v="840"/>
    <x v="1"/>
    <n v="9"/>
    <x v="3"/>
    <x v="2"/>
    <x v="0"/>
    <n v="999"/>
    <x v="3"/>
    <x v="1"/>
    <n v="64"/>
    <x v="0"/>
    <x v="4"/>
    <x v="7"/>
    <x v="2"/>
    <x v="2"/>
    <x v="681"/>
    <n v="3735"/>
    <n v="2"/>
    <s v="Y"/>
    <x v="1"/>
    <n v="17"/>
    <x v="0"/>
    <x v="2"/>
    <n v="80"/>
    <n v="1"/>
    <n v="21"/>
    <n v="2"/>
    <x v="3"/>
    <x v="29"/>
    <n v="16"/>
    <x v="0"/>
    <x v="7"/>
    <x v="0"/>
    <x v="3"/>
    <x v="2"/>
    <n v="0"/>
  </r>
  <r>
    <x v="4"/>
    <x v="1"/>
    <x v="0"/>
    <n v="1134"/>
    <x v="1"/>
    <n v="16"/>
    <x v="2"/>
    <x v="4"/>
    <x v="0"/>
    <n v="1001"/>
    <x v="1"/>
    <x v="0"/>
    <n v="37"/>
    <x v="0"/>
    <x v="1"/>
    <x v="2"/>
    <x v="1"/>
    <x v="1"/>
    <x v="682"/>
    <n v="12086"/>
    <n v="9"/>
    <s v="Y"/>
    <x v="1"/>
    <n v="14"/>
    <x v="0"/>
    <x v="2"/>
    <n v="80"/>
    <n v="1"/>
    <n v="4"/>
    <n v="2"/>
    <x v="1"/>
    <x v="4"/>
    <n v="2"/>
    <x v="3"/>
    <x v="3"/>
    <x v="2"/>
    <x v="1"/>
    <x v="1"/>
    <n v="0"/>
  </r>
  <r>
    <x v="28"/>
    <x v="1"/>
    <x v="2"/>
    <n v="248"/>
    <x v="1"/>
    <n v="23"/>
    <x v="0"/>
    <x v="0"/>
    <x v="0"/>
    <n v="1002"/>
    <x v="2"/>
    <x v="1"/>
    <n v="42"/>
    <x v="0"/>
    <x v="0"/>
    <x v="2"/>
    <x v="3"/>
    <x v="1"/>
    <x v="683"/>
    <n v="14039"/>
    <n v="1"/>
    <s v="Y"/>
    <x v="0"/>
    <n v="15"/>
    <x v="0"/>
    <x v="3"/>
    <n v="80"/>
    <n v="1"/>
    <n v="9"/>
    <n v="2"/>
    <x v="1"/>
    <x v="7"/>
    <n v="8"/>
    <x v="0"/>
    <x v="5"/>
    <x v="0"/>
    <x v="0"/>
    <x v="1"/>
    <n v="0"/>
  </r>
  <r>
    <x v="40"/>
    <x v="1"/>
    <x v="0"/>
    <n v="955"/>
    <x v="0"/>
    <n v="4"/>
    <x v="0"/>
    <x v="0"/>
    <x v="0"/>
    <n v="1003"/>
    <x v="2"/>
    <x v="0"/>
    <n v="83"/>
    <x v="0"/>
    <x v="0"/>
    <x v="0"/>
    <x v="0"/>
    <x v="0"/>
    <x v="684"/>
    <n v="8571"/>
    <n v="1"/>
    <s v="Y"/>
    <x v="0"/>
    <n v="17"/>
    <x v="0"/>
    <x v="3"/>
    <n v="80"/>
    <n v="0"/>
    <n v="9"/>
    <n v="0"/>
    <x v="1"/>
    <x v="7"/>
    <n v="0"/>
    <x v="0"/>
    <x v="1"/>
    <x v="0"/>
    <x v="0"/>
    <x v="1"/>
    <n v="0"/>
  </r>
  <r>
    <x v="7"/>
    <x v="0"/>
    <x v="0"/>
    <n v="138"/>
    <x v="1"/>
    <n v="22"/>
    <x v="3"/>
    <x v="0"/>
    <x v="0"/>
    <n v="1004"/>
    <x v="3"/>
    <x v="0"/>
    <n v="48"/>
    <x v="0"/>
    <x v="1"/>
    <x v="1"/>
    <x v="2"/>
    <x v="1"/>
    <x v="685"/>
    <n v="11539"/>
    <n v="4"/>
    <s v="Y"/>
    <x v="0"/>
    <n v="11"/>
    <x v="0"/>
    <x v="2"/>
    <n v="80"/>
    <n v="0"/>
    <n v="7"/>
    <n v="2"/>
    <x v="1"/>
    <x v="8"/>
    <n v="2"/>
    <x v="0"/>
    <x v="9"/>
    <x v="1"/>
    <x v="2"/>
    <x v="1"/>
    <n v="1"/>
  </r>
  <r>
    <x v="24"/>
    <x v="1"/>
    <x v="0"/>
    <n v="939"/>
    <x v="1"/>
    <n v="24"/>
    <x v="3"/>
    <x v="0"/>
    <x v="0"/>
    <n v="1005"/>
    <x v="2"/>
    <x v="1"/>
    <n v="95"/>
    <x v="0"/>
    <x v="3"/>
    <x v="3"/>
    <x v="2"/>
    <x v="1"/>
    <x v="686"/>
    <n v="4161"/>
    <n v="3"/>
    <s v="Y"/>
    <x v="0"/>
    <n v="18"/>
    <x v="0"/>
    <x v="1"/>
    <n v="80"/>
    <n v="1"/>
    <n v="22"/>
    <n v="2"/>
    <x v="1"/>
    <x v="12"/>
    <n v="11"/>
    <x v="1"/>
    <x v="0"/>
    <x v="3"/>
    <x v="3"/>
    <x v="3"/>
    <n v="0"/>
  </r>
  <r>
    <x v="8"/>
    <x v="1"/>
    <x v="1"/>
    <n v="1391"/>
    <x v="1"/>
    <n v="10"/>
    <x v="1"/>
    <x v="2"/>
    <x v="0"/>
    <n v="1006"/>
    <x v="1"/>
    <x v="1"/>
    <n v="66"/>
    <x v="0"/>
    <x v="1"/>
    <x v="1"/>
    <x v="2"/>
    <x v="1"/>
    <x v="687"/>
    <n v="12127"/>
    <n v="0"/>
    <s v="Y"/>
    <x v="1"/>
    <n v="17"/>
    <x v="0"/>
    <x v="2"/>
    <n v="80"/>
    <n v="1"/>
    <n v="3"/>
    <n v="0"/>
    <x v="2"/>
    <x v="4"/>
    <n v="1"/>
    <x v="0"/>
    <x v="3"/>
    <x v="1"/>
    <x v="1"/>
    <x v="1"/>
    <n v="0"/>
  </r>
  <r>
    <x v="21"/>
    <x v="1"/>
    <x v="0"/>
    <n v="566"/>
    <x v="1"/>
    <n v="7"/>
    <x v="0"/>
    <x v="2"/>
    <x v="0"/>
    <n v="1007"/>
    <x v="2"/>
    <x v="1"/>
    <n v="75"/>
    <x v="0"/>
    <x v="2"/>
    <x v="3"/>
    <x v="2"/>
    <x v="2"/>
    <x v="688"/>
    <n v="24208"/>
    <n v="6"/>
    <s v="Y"/>
    <x v="1"/>
    <n v="13"/>
    <x v="0"/>
    <x v="2"/>
    <n v="80"/>
    <n v="1"/>
    <n v="13"/>
    <n v="3"/>
    <x v="1"/>
    <x v="3"/>
    <n v="7"/>
    <x v="0"/>
    <x v="1"/>
    <x v="0"/>
    <x v="0"/>
    <x v="3"/>
    <n v="0"/>
  </r>
  <r>
    <x v="17"/>
    <x v="1"/>
    <x v="0"/>
    <n v="1206"/>
    <x v="1"/>
    <n v="17"/>
    <x v="1"/>
    <x v="2"/>
    <x v="0"/>
    <n v="1009"/>
    <x v="2"/>
    <x v="0"/>
    <n v="41"/>
    <x v="1"/>
    <x v="0"/>
    <x v="3"/>
    <x v="2"/>
    <x v="2"/>
    <x v="689"/>
    <n v="24117"/>
    <n v="1"/>
    <s v="Y"/>
    <x v="1"/>
    <n v="15"/>
    <x v="0"/>
    <x v="2"/>
    <n v="80"/>
    <n v="2"/>
    <n v="5"/>
    <n v="6"/>
    <x v="1"/>
    <x v="9"/>
    <n v="2"/>
    <x v="2"/>
    <x v="3"/>
    <x v="2"/>
    <x v="2"/>
    <x v="1"/>
    <n v="0"/>
  </r>
  <r>
    <x v="10"/>
    <x v="0"/>
    <x v="0"/>
    <n v="622"/>
    <x v="1"/>
    <n v="14"/>
    <x v="2"/>
    <x v="1"/>
    <x v="0"/>
    <n v="1010"/>
    <x v="1"/>
    <x v="1"/>
    <n v="39"/>
    <x v="1"/>
    <x v="1"/>
    <x v="2"/>
    <x v="1"/>
    <x v="2"/>
    <x v="690"/>
    <n v="10074"/>
    <n v="1"/>
    <s v="Y"/>
    <x v="0"/>
    <n v="24"/>
    <x v="1"/>
    <x v="1"/>
    <n v="80"/>
    <n v="1"/>
    <n v="5"/>
    <n v="2"/>
    <x v="0"/>
    <x v="9"/>
    <n v="2"/>
    <x v="0"/>
    <x v="3"/>
    <x v="1"/>
    <x v="2"/>
    <x v="1"/>
    <n v="1"/>
  </r>
  <r>
    <x v="12"/>
    <x v="1"/>
    <x v="1"/>
    <n v="853"/>
    <x v="1"/>
    <n v="1"/>
    <x v="1"/>
    <x v="0"/>
    <x v="0"/>
    <n v="1011"/>
    <x v="1"/>
    <x v="0"/>
    <n v="96"/>
    <x v="0"/>
    <x v="0"/>
    <x v="3"/>
    <x v="3"/>
    <x v="1"/>
    <x v="691"/>
    <n v="11275"/>
    <n v="1"/>
    <s v="Y"/>
    <x v="1"/>
    <n v="12"/>
    <x v="0"/>
    <x v="3"/>
    <n v="80"/>
    <n v="1"/>
    <n v="4"/>
    <n v="1"/>
    <x v="1"/>
    <x v="9"/>
    <n v="3"/>
    <x v="0"/>
    <x v="6"/>
    <x v="1"/>
    <x v="2"/>
    <x v="1"/>
    <n v="0"/>
  </r>
  <r>
    <x v="41"/>
    <x v="1"/>
    <x v="2"/>
    <n v="287"/>
    <x v="1"/>
    <n v="5"/>
    <x v="0"/>
    <x v="0"/>
    <x v="0"/>
    <n v="1012"/>
    <x v="0"/>
    <x v="1"/>
    <n v="73"/>
    <x v="0"/>
    <x v="1"/>
    <x v="1"/>
    <x v="0"/>
    <x v="0"/>
    <x v="692"/>
    <n v="13493"/>
    <n v="1"/>
    <s v="Y"/>
    <x v="1"/>
    <n v="15"/>
    <x v="0"/>
    <x v="1"/>
    <n v="80"/>
    <n v="0"/>
    <n v="0"/>
    <n v="2"/>
    <x v="1"/>
    <x v="2"/>
    <n v="0"/>
    <x v="0"/>
    <x v="2"/>
    <x v="4"/>
    <x v="1"/>
    <x v="1"/>
    <n v="0"/>
  </r>
  <r>
    <x v="33"/>
    <x v="1"/>
    <x v="0"/>
    <n v="1441"/>
    <x v="1"/>
    <n v="17"/>
    <x v="3"/>
    <x v="4"/>
    <x v="0"/>
    <n v="1013"/>
    <x v="1"/>
    <x v="0"/>
    <n v="56"/>
    <x v="0"/>
    <x v="2"/>
    <x v="3"/>
    <x v="2"/>
    <x v="1"/>
    <x v="693"/>
    <n v="13943"/>
    <n v="8"/>
    <s v="Y"/>
    <x v="1"/>
    <n v="11"/>
    <x v="0"/>
    <x v="3"/>
    <n v="80"/>
    <n v="1"/>
    <n v="22"/>
    <n v="2"/>
    <x v="1"/>
    <x v="1"/>
    <n v="7"/>
    <x v="0"/>
    <x v="5"/>
    <x v="3"/>
    <x v="0"/>
    <x v="3"/>
    <n v="0"/>
  </r>
  <r>
    <x v="10"/>
    <x v="1"/>
    <x v="0"/>
    <n v="583"/>
    <x v="1"/>
    <n v="25"/>
    <x v="2"/>
    <x v="2"/>
    <x v="0"/>
    <n v="1014"/>
    <x v="1"/>
    <x v="0"/>
    <n v="57"/>
    <x v="0"/>
    <x v="2"/>
    <x v="4"/>
    <x v="2"/>
    <x v="2"/>
    <x v="694"/>
    <n v="6975"/>
    <n v="1"/>
    <s v="Y"/>
    <x v="0"/>
    <n v="11"/>
    <x v="0"/>
    <x v="3"/>
    <n v="80"/>
    <n v="1"/>
    <n v="16"/>
    <n v="3"/>
    <x v="2"/>
    <x v="22"/>
    <n v="10"/>
    <x v="13"/>
    <x v="9"/>
    <x v="1"/>
    <x v="3"/>
    <x v="3"/>
    <n v="0"/>
  </r>
  <r>
    <x v="7"/>
    <x v="1"/>
    <x v="0"/>
    <n v="153"/>
    <x v="1"/>
    <n v="8"/>
    <x v="0"/>
    <x v="0"/>
    <x v="0"/>
    <n v="1015"/>
    <x v="0"/>
    <x v="0"/>
    <n v="73"/>
    <x v="2"/>
    <x v="2"/>
    <x v="7"/>
    <x v="3"/>
    <x v="1"/>
    <x v="695"/>
    <n v="17802"/>
    <n v="0"/>
    <s v="Y"/>
    <x v="0"/>
    <n v="12"/>
    <x v="0"/>
    <x v="3"/>
    <n v="80"/>
    <n v="3"/>
    <n v="9"/>
    <n v="4"/>
    <x v="2"/>
    <x v="3"/>
    <n v="7"/>
    <x v="1"/>
    <x v="1"/>
    <x v="1"/>
    <x v="0"/>
    <x v="3"/>
    <n v="0"/>
  </r>
  <r>
    <x v="35"/>
    <x v="0"/>
    <x v="0"/>
    <n v="1097"/>
    <x v="1"/>
    <n v="11"/>
    <x v="3"/>
    <x v="2"/>
    <x v="0"/>
    <n v="1016"/>
    <x v="2"/>
    <x v="0"/>
    <n v="98"/>
    <x v="1"/>
    <x v="1"/>
    <x v="1"/>
    <x v="3"/>
    <x v="0"/>
    <x v="696"/>
    <n v="18275"/>
    <n v="1"/>
    <s v="Y"/>
    <x v="0"/>
    <n v="15"/>
    <x v="0"/>
    <x v="0"/>
    <n v="80"/>
    <n v="0"/>
    <n v="1"/>
    <n v="2"/>
    <x v="1"/>
    <x v="6"/>
    <n v="0"/>
    <x v="0"/>
    <x v="2"/>
    <x v="2"/>
    <x v="1"/>
    <x v="1"/>
    <n v="1"/>
  </r>
  <r>
    <x v="7"/>
    <x v="0"/>
    <x v="1"/>
    <n v="109"/>
    <x v="1"/>
    <n v="5"/>
    <x v="3"/>
    <x v="2"/>
    <x v="0"/>
    <n v="1017"/>
    <x v="0"/>
    <x v="0"/>
    <n v="60"/>
    <x v="0"/>
    <x v="1"/>
    <x v="2"/>
    <x v="1"/>
    <x v="0"/>
    <x v="697"/>
    <n v="25725"/>
    <n v="0"/>
    <s v="Y"/>
    <x v="1"/>
    <n v="17"/>
    <x v="0"/>
    <x v="0"/>
    <n v="80"/>
    <n v="0"/>
    <n v="4"/>
    <n v="3"/>
    <x v="1"/>
    <x v="11"/>
    <n v="2"/>
    <x v="1"/>
    <x v="3"/>
    <x v="1"/>
    <x v="2"/>
    <x v="1"/>
    <n v="1"/>
  </r>
  <r>
    <x v="25"/>
    <x v="1"/>
    <x v="0"/>
    <n v="1066"/>
    <x v="1"/>
    <n v="2"/>
    <x v="0"/>
    <x v="2"/>
    <x v="0"/>
    <n v="1018"/>
    <x v="2"/>
    <x v="1"/>
    <n v="32"/>
    <x v="2"/>
    <x v="0"/>
    <x v="3"/>
    <x v="0"/>
    <x v="1"/>
    <x v="698"/>
    <n v="3334"/>
    <n v="1"/>
    <s v="Y"/>
    <x v="1"/>
    <n v="12"/>
    <x v="0"/>
    <x v="2"/>
    <n v="80"/>
    <n v="0"/>
    <n v="8"/>
    <n v="2"/>
    <x v="1"/>
    <x v="3"/>
    <n v="7"/>
    <x v="1"/>
    <x v="6"/>
    <x v="2"/>
    <x v="0"/>
    <x v="0"/>
    <n v="0"/>
  </r>
  <r>
    <x v="15"/>
    <x v="1"/>
    <x v="0"/>
    <n v="217"/>
    <x v="1"/>
    <n v="8"/>
    <x v="1"/>
    <x v="0"/>
    <x v="0"/>
    <n v="1019"/>
    <x v="0"/>
    <x v="1"/>
    <n v="94"/>
    <x v="3"/>
    <x v="1"/>
    <x v="2"/>
    <x v="3"/>
    <x v="1"/>
    <x v="163"/>
    <n v="6881"/>
    <n v="1"/>
    <s v="Y"/>
    <x v="1"/>
    <n v="15"/>
    <x v="0"/>
    <x v="0"/>
    <n v="80"/>
    <n v="1"/>
    <n v="4"/>
    <n v="3"/>
    <x v="2"/>
    <x v="9"/>
    <n v="3"/>
    <x v="1"/>
    <x v="9"/>
    <x v="2"/>
    <x v="2"/>
    <x v="1"/>
    <n v="0"/>
  </r>
  <r>
    <x v="26"/>
    <x v="1"/>
    <x v="0"/>
    <n v="277"/>
    <x v="1"/>
    <n v="6"/>
    <x v="3"/>
    <x v="0"/>
    <x v="0"/>
    <n v="1022"/>
    <x v="3"/>
    <x v="1"/>
    <n v="97"/>
    <x v="1"/>
    <x v="0"/>
    <x v="4"/>
    <x v="2"/>
    <x v="0"/>
    <x v="699"/>
    <n v="13119"/>
    <n v="2"/>
    <s v="Y"/>
    <x v="1"/>
    <n v="13"/>
    <x v="0"/>
    <x v="1"/>
    <n v="80"/>
    <n v="0"/>
    <n v="19"/>
    <n v="0"/>
    <x v="1"/>
    <x v="4"/>
    <n v="2"/>
    <x v="3"/>
    <x v="3"/>
    <x v="0"/>
    <x v="1"/>
    <x v="1"/>
    <n v="0"/>
  </r>
  <r>
    <x v="26"/>
    <x v="1"/>
    <x v="0"/>
    <n v="1355"/>
    <x v="1"/>
    <n v="4"/>
    <x v="2"/>
    <x v="0"/>
    <x v="0"/>
    <n v="1024"/>
    <x v="1"/>
    <x v="1"/>
    <n v="78"/>
    <x v="1"/>
    <x v="2"/>
    <x v="4"/>
    <x v="2"/>
    <x v="0"/>
    <x v="700"/>
    <n v="22245"/>
    <n v="7"/>
    <s v="Y"/>
    <x v="1"/>
    <n v="14"/>
    <x v="0"/>
    <x v="2"/>
    <n v="80"/>
    <n v="0"/>
    <n v="27"/>
    <n v="3"/>
    <x v="1"/>
    <x v="15"/>
    <n v="11"/>
    <x v="5"/>
    <x v="5"/>
    <x v="0"/>
    <x v="3"/>
    <x v="3"/>
    <n v="0"/>
  </r>
  <r>
    <x v="0"/>
    <x v="1"/>
    <x v="0"/>
    <n v="549"/>
    <x v="1"/>
    <n v="7"/>
    <x v="0"/>
    <x v="2"/>
    <x v="0"/>
    <n v="1025"/>
    <x v="2"/>
    <x v="0"/>
    <n v="42"/>
    <x v="0"/>
    <x v="0"/>
    <x v="3"/>
    <x v="2"/>
    <x v="0"/>
    <x v="701"/>
    <n v="23371"/>
    <n v="6"/>
    <s v="Y"/>
    <x v="1"/>
    <n v="14"/>
    <x v="0"/>
    <x v="2"/>
    <n v="80"/>
    <n v="0"/>
    <n v="8"/>
    <n v="6"/>
    <x v="1"/>
    <x v="4"/>
    <n v="2"/>
    <x v="3"/>
    <x v="9"/>
    <x v="0"/>
    <x v="1"/>
    <x v="0"/>
    <n v="0"/>
  </r>
  <r>
    <x v="22"/>
    <x v="1"/>
    <x v="0"/>
    <n v="466"/>
    <x v="1"/>
    <n v="1"/>
    <x v="1"/>
    <x v="0"/>
    <x v="0"/>
    <n v="1026"/>
    <x v="2"/>
    <x v="0"/>
    <n v="65"/>
    <x v="1"/>
    <x v="3"/>
    <x v="3"/>
    <x v="0"/>
    <x v="1"/>
    <x v="702"/>
    <n v="7060"/>
    <n v="1"/>
    <s v="Y"/>
    <x v="1"/>
    <n v="16"/>
    <x v="0"/>
    <x v="3"/>
    <n v="80"/>
    <n v="1"/>
    <n v="21"/>
    <n v="3"/>
    <x v="1"/>
    <x v="17"/>
    <n v="6"/>
    <x v="14"/>
    <x v="5"/>
    <x v="1"/>
    <x v="3"/>
    <x v="3"/>
    <n v="0"/>
  </r>
  <r>
    <x v="4"/>
    <x v="1"/>
    <x v="0"/>
    <n v="1055"/>
    <x v="1"/>
    <n v="2"/>
    <x v="2"/>
    <x v="0"/>
    <x v="0"/>
    <n v="1027"/>
    <x v="3"/>
    <x v="0"/>
    <n v="47"/>
    <x v="0"/>
    <x v="0"/>
    <x v="3"/>
    <x v="0"/>
    <x v="1"/>
    <x v="703"/>
    <n v="4658"/>
    <n v="0"/>
    <s v="Y"/>
    <x v="1"/>
    <n v="18"/>
    <x v="0"/>
    <x v="2"/>
    <n v="80"/>
    <n v="1"/>
    <n v="4"/>
    <n v="2"/>
    <x v="1"/>
    <x v="11"/>
    <n v="2"/>
    <x v="3"/>
    <x v="3"/>
    <x v="2"/>
    <x v="2"/>
    <x v="1"/>
    <n v="0"/>
  </r>
  <r>
    <x v="10"/>
    <x v="1"/>
    <x v="0"/>
    <n v="802"/>
    <x v="1"/>
    <n v="10"/>
    <x v="3"/>
    <x v="1"/>
    <x v="0"/>
    <n v="1028"/>
    <x v="0"/>
    <x v="1"/>
    <n v="45"/>
    <x v="0"/>
    <x v="1"/>
    <x v="2"/>
    <x v="0"/>
    <x v="2"/>
    <x v="704"/>
    <n v="9541"/>
    <n v="1"/>
    <s v="Y"/>
    <x v="1"/>
    <n v="20"/>
    <x v="1"/>
    <x v="0"/>
    <n v="80"/>
    <n v="1"/>
    <n v="3"/>
    <n v="4"/>
    <x v="2"/>
    <x v="11"/>
    <n v="2"/>
    <x v="1"/>
    <x v="3"/>
    <x v="1"/>
    <x v="2"/>
    <x v="1"/>
    <n v="0"/>
  </r>
  <r>
    <x v="19"/>
    <x v="1"/>
    <x v="0"/>
    <n v="265"/>
    <x v="0"/>
    <n v="5"/>
    <x v="0"/>
    <x v="3"/>
    <x v="0"/>
    <n v="1029"/>
    <x v="2"/>
    <x v="1"/>
    <n v="90"/>
    <x v="0"/>
    <x v="4"/>
    <x v="5"/>
    <x v="2"/>
    <x v="1"/>
    <x v="705"/>
    <n v="7770"/>
    <n v="6"/>
    <s v="Y"/>
    <x v="1"/>
    <n v="13"/>
    <x v="0"/>
    <x v="2"/>
    <n v="80"/>
    <n v="0"/>
    <n v="21"/>
    <n v="3"/>
    <x v="3"/>
    <x v="6"/>
    <n v="0"/>
    <x v="0"/>
    <x v="2"/>
    <x v="0"/>
    <x v="1"/>
    <x v="2"/>
    <n v="0"/>
  </r>
  <r>
    <x v="24"/>
    <x v="1"/>
    <x v="0"/>
    <n v="804"/>
    <x v="1"/>
    <n v="9"/>
    <x v="3"/>
    <x v="0"/>
    <x v="0"/>
    <n v="1030"/>
    <x v="3"/>
    <x v="1"/>
    <n v="64"/>
    <x v="0"/>
    <x v="1"/>
    <x v="2"/>
    <x v="0"/>
    <x v="1"/>
    <x v="631"/>
    <n v="20165"/>
    <n v="4"/>
    <s v="Y"/>
    <x v="1"/>
    <n v="18"/>
    <x v="0"/>
    <x v="2"/>
    <n v="80"/>
    <n v="0"/>
    <n v="8"/>
    <n v="5"/>
    <x v="1"/>
    <x v="6"/>
    <n v="0"/>
    <x v="0"/>
    <x v="2"/>
    <x v="3"/>
    <x v="1"/>
    <x v="1"/>
    <n v="0"/>
  </r>
  <r>
    <x v="6"/>
    <x v="1"/>
    <x v="0"/>
    <n v="715"/>
    <x v="1"/>
    <n v="2"/>
    <x v="3"/>
    <x v="0"/>
    <x v="0"/>
    <n v="1032"/>
    <x v="1"/>
    <x v="0"/>
    <n v="69"/>
    <x v="1"/>
    <x v="3"/>
    <x v="3"/>
    <x v="0"/>
    <x v="0"/>
    <x v="706"/>
    <n v="21829"/>
    <n v="3"/>
    <s v="Y"/>
    <x v="0"/>
    <n v="13"/>
    <x v="0"/>
    <x v="0"/>
    <n v="80"/>
    <n v="0"/>
    <n v="30"/>
    <n v="4"/>
    <x v="1"/>
    <x v="8"/>
    <n v="3"/>
    <x v="5"/>
    <x v="6"/>
    <x v="3"/>
    <x v="2"/>
    <x v="3"/>
    <n v="0"/>
  </r>
  <r>
    <x v="2"/>
    <x v="0"/>
    <x v="0"/>
    <n v="1141"/>
    <x v="1"/>
    <n v="11"/>
    <x v="0"/>
    <x v="2"/>
    <x v="0"/>
    <n v="1033"/>
    <x v="3"/>
    <x v="0"/>
    <n v="61"/>
    <x v="3"/>
    <x v="0"/>
    <x v="4"/>
    <x v="1"/>
    <x v="1"/>
    <x v="707"/>
    <n v="14382"/>
    <n v="5"/>
    <s v="Y"/>
    <x v="1"/>
    <n v="15"/>
    <x v="0"/>
    <x v="0"/>
    <n v="80"/>
    <n v="0"/>
    <n v="15"/>
    <n v="2"/>
    <x v="0"/>
    <x v="6"/>
    <n v="0"/>
    <x v="0"/>
    <x v="2"/>
    <x v="1"/>
    <x v="1"/>
    <x v="1"/>
    <n v="1"/>
  </r>
  <r>
    <x v="27"/>
    <x v="1"/>
    <x v="1"/>
    <n v="135"/>
    <x v="1"/>
    <n v="18"/>
    <x v="2"/>
    <x v="2"/>
    <x v="0"/>
    <n v="1034"/>
    <x v="1"/>
    <x v="1"/>
    <n v="62"/>
    <x v="0"/>
    <x v="0"/>
    <x v="4"/>
    <x v="1"/>
    <x v="1"/>
    <x v="708"/>
    <n v="12992"/>
    <n v="3"/>
    <s v="Y"/>
    <x v="0"/>
    <n v="14"/>
    <x v="0"/>
    <x v="1"/>
    <n v="80"/>
    <n v="2"/>
    <n v="17"/>
    <n v="3"/>
    <x v="1"/>
    <x v="3"/>
    <n v="7"/>
    <x v="7"/>
    <x v="1"/>
    <x v="3"/>
    <x v="0"/>
    <x v="0"/>
    <n v="0"/>
  </r>
  <r>
    <x v="0"/>
    <x v="1"/>
    <x v="2"/>
    <n v="247"/>
    <x v="1"/>
    <n v="7"/>
    <x v="1"/>
    <x v="0"/>
    <x v="0"/>
    <n v="1035"/>
    <x v="0"/>
    <x v="0"/>
    <n v="55"/>
    <x v="3"/>
    <x v="4"/>
    <x v="7"/>
    <x v="2"/>
    <x v="2"/>
    <x v="709"/>
    <n v="20284"/>
    <n v="1"/>
    <s v="Y"/>
    <x v="1"/>
    <n v="22"/>
    <x v="1"/>
    <x v="2"/>
    <n v="80"/>
    <n v="2"/>
    <n v="21"/>
    <n v="3"/>
    <x v="1"/>
    <x v="17"/>
    <n v="16"/>
    <x v="8"/>
    <x v="13"/>
    <x v="0"/>
    <x v="3"/>
    <x v="2"/>
    <n v="0"/>
  </r>
  <r>
    <x v="8"/>
    <x v="1"/>
    <x v="0"/>
    <n v="1035"/>
    <x v="0"/>
    <n v="3"/>
    <x v="2"/>
    <x v="0"/>
    <x v="0"/>
    <n v="1036"/>
    <x v="0"/>
    <x v="1"/>
    <n v="42"/>
    <x v="0"/>
    <x v="0"/>
    <x v="0"/>
    <x v="0"/>
    <x v="0"/>
    <x v="710"/>
    <n v="4981"/>
    <n v="8"/>
    <s v="Y"/>
    <x v="0"/>
    <n v="12"/>
    <x v="0"/>
    <x v="3"/>
    <n v="80"/>
    <n v="0"/>
    <n v="19"/>
    <n v="1"/>
    <x v="1"/>
    <x v="6"/>
    <n v="0"/>
    <x v="0"/>
    <x v="2"/>
    <x v="1"/>
    <x v="1"/>
    <x v="0"/>
    <n v="0"/>
  </r>
  <r>
    <x v="25"/>
    <x v="0"/>
    <x v="2"/>
    <n v="265"/>
    <x v="0"/>
    <n v="29"/>
    <x v="0"/>
    <x v="2"/>
    <x v="0"/>
    <n v="1037"/>
    <x v="0"/>
    <x v="1"/>
    <n v="79"/>
    <x v="3"/>
    <x v="0"/>
    <x v="0"/>
    <x v="3"/>
    <x v="0"/>
    <x v="711"/>
    <n v="21813"/>
    <n v="8"/>
    <s v="Y"/>
    <x v="1"/>
    <n v="18"/>
    <x v="0"/>
    <x v="1"/>
    <n v="80"/>
    <n v="0"/>
    <n v="7"/>
    <n v="6"/>
    <x v="1"/>
    <x v="4"/>
    <n v="2"/>
    <x v="3"/>
    <x v="3"/>
    <x v="2"/>
    <x v="1"/>
    <x v="1"/>
    <n v="1"/>
  </r>
  <r>
    <x v="39"/>
    <x v="0"/>
    <x v="0"/>
    <n v="266"/>
    <x v="0"/>
    <n v="2"/>
    <x v="1"/>
    <x v="3"/>
    <x v="0"/>
    <n v="1038"/>
    <x v="3"/>
    <x v="0"/>
    <n v="57"/>
    <x v="3"/>
    <x v="4"/>
    <x v="5"/>
    <x v="0"/>
    <x v="1"/>
    <x v="712"/>
    <n v="25846"/>
    <n v="1"/>
    <s v="Y"/>
    <x v="1"/>
    <n v="15"/>
    <x v="0"/>
    <x v="1"/>
    <n v="80"/>
    <n v="1"/>
    <n v="33"/>
    <n v="3"/>
    <x v="1"/>
    <x v="32"/>
    <n v="14"/>
    <x v="7"/>
    <x v="12"/>
    <x v="3"/>
    <x v="3"/>
    <x v="2"/>
    <n v="1"/>
  </r>
  <r>
    <x v="20"/>
    <x v="1"/>
    <x v="0"/>
    <n v="1448"/>
    <x v="0"/>
    <n v="28"/>
    <x v="3"/>
    <x v="2"/>
    <x v="0"/>
    <n v="1039"/>
    <x v="2"/>
    <x v="0"/>
    <n v="53"/>
    <x v="2"/>
    <x v="3"/>
    <x v="0"/>
    <x v="0"/>
    <x v="1"/>
    <x v="713"/>
    <n v="11737"/>
    <n v="3"/>
    <s v="Y"/>
    <x v="0"/>
    <n v="18"/>
    <x v="0"/>
    <x v="3"/>
    <n v="80"/>
    <n v="1"/>
    <n v="23"/>
    <n v="2"/>
    <x v="1"/>
    <x v="12"/>
    <n v="11"/>
    <x v="14"/>
    <x v="7"/>
    <x v="0"/>
    <x v="3"/>
    <x v="3"/>
    <n v="0"/>
  </r>
  <r>
    <x v="24"/>
    <x v="1"/>
    <x v="2"/>
    <n v="145"/>
    <x v="0"/>
    <n v="1"/>
    <x v="3"/>
    <x v="0"/>
    <x v="0"/>
    <n v="1040"/>
    <x v="2"/>
    <x v="0"/>
    <n v="95"/>
    <x v="0"/>
    <x v="0"/>
    <x v="0"/>
    <x v="2"/>
    <x v="1"/>
    <x v="136"/>
    <n v="24920"/>
    <n v="0"/>
    <s v="Y"/>
    <x v="1"/>
    <n v="12"/>
    <x v="0"/>
    <x v="0"/>
    <n v="80"/>
    <n v="1"/>
    <n v="19"/>
    <n v="3"/>
    <x v="1"/>
    <x v="29"/>
    <n v="7"/>
    <x v="0"/>
    <x v="15"/>
    <x v="3"/>
    <x v="3"/>
    <x v="0"/>
    <n v="0"/>
  </r>
  <r>
    <x v="9"/>
    <x v="0"/>
    <x v="0"/>
    <n v="885"/>
    <x v="1"/>
    <n v="16"/>
    <x v="2"/>
    <x v="0"/>
    <x v="0"/>
    <n v="1042"/>
    <x v="1"/>
    <x v="0"/>
    <n v="43"/>
    <x v="2"/>
    <x v="1"/>
    <x v="2"/>
    <x v="3"/>
    <x v="0"/>
    <x v="714"/>
    <n v="8269"/>
    <n v="1"/>
    <s v="Y"/>
    <x v="1"/>
    <n v="16"/>
    <x v="0"/>
    <x v="3"/>
    <n v="80"/>
    <n v="0"/>
    <n v="18"/>
    <n v="1"/>
    <x v="1"/>
    <x v="18"/>
    <n v="13"/>
    <x v="9"/>
    <x v="17"/>
    <x v="1"/>
    <x v="3"/>
    <x v="1"/>
    <n v="1"/>
  </r>
  <r>
    <x v="22"/>
    <x v="1"/>
    <x v="1"/>
    <n v="945"/>
    <x v="1"/>
    <n v="22"/>
    <x v="3"/>
    <x v="2"/>
    <x v="0"/>
    <n v="1043"/>
    <x v="2"/>
    <x v="0"/>
    <n v="82"/>
    <x v="0"/>
    <x v="2"/>
    <x v="3"/>
    <x v="3"/>
    <x v="0"/>
    <x v="715"/>
    <n v="5083"/>
    <n v="1"/>
    <s v="Y"/>
    <x v="0"/>
    <n v="13"/>
    <x v="0"/>
    <x v="3"/>
    <n v="80"/>
    <n v="0"/>
    <n v="21"/>
    <n v="2"/>
    <x v="1"/>
    <x v="17"/>
    <n v="6"/>
    <x v="3"/>
    <x v="5"/>
    <x v="1"/>
    <x v="3"/>
    <x v="3"/>
    <n v="0"/>
  </r>
  <r>
    <x v="3"/>
    <x v="1"/>
    <x v="2"/>
    <n v="1038"/>
    <x v="0"/>
    <n v="8"/>
    <x v="1"/>
    <x v="0"/>
    <x v="0"/>
    <n v="1044"/>
    <x v="0"/>
    <x v="0"/>
    <n v="88"/>
    <x v="1"/>
    <x v="1"/>
    <x v="6"/>
    <x v="0"/>
    <x v="0"/>
    <x v="531"/>
    <n v="21437"/>
    <n v="0"/>
    <s v="Y"/>
    <x v="1"/>
    <n v="19"/>
    <x v="0"/>
    <x v="1"/>
    <n v="80"/>
    <n v="0"/>
    <n v="3"/>
    <n v="2"/>
    <x v="2"/>
    <x v="4"/>
    <n v="2"/>
    <x v="3"/>
    <x v="3"/>
    <x v="1"/>
    <x v="1"/>
    <x v="1"/>
    <n v="0"/>
  </r>
  <r>
    <x v="28"/>
    <x v="1"/>
    <x v="0"/>
    <n v="1234"/>
    <x v="0"/>
    <n v="11"/>
    <x v="0"/>
    <x v="0"/>
    <x v="0"/>
    <n v="1045"/>
    <x v="2"/>
    <x v="0"/>
    <n v="90"/>
    <x v="0"/>
    <x v="3"/>
    <x v="5"/>
    <x v="0"/>
    <x v="1"/>
    <x v="716"/>
    <n v="5404"/>
    <n v="3"/>
    <s v="Y"/>
    <x v="1"/>
    <n v="13"/>
    <x v="0"/>
    <x v="2"/>
    <n v="80"/>
    <n v="1"/>
    <n v="26"/>
    <n v="4"/>
    <x v="3"/>
    <x v="7"/>
    <n v="3"/>
    <x v="1"/>
    <x v="9"/>
    <x v="0"/>
    <x v="0"/>
    <x v="2"/>
    <n v="0"/>
  </r>
  <r>
    <x v="5"/>
    <x v="1"/>
    <x v="2"/>
    <n v="1109"/>
    <x v="1"/>
    <n v="29"/>
    <x v="2"/>
    <x v="2"/>
    <x v="0"/>
    <n v="1046"/>
    <x v="2"/>
    <x v="0"/>
    <n v="69"/>
    <x v="0"/>
    <x v="1"/>
    <x v="2"/>
    <x v="2"/>
    <x v="0"/>
    <x v="717"/>
    <n v="11135"/>
    <n v="9"/>
    <s v="Y"/>
    <x v="1"/>
    <n v="12"/>
    <x v="0"/>
    <x v="2"/>
    <n v="80"/>
    <n v="0"/>
    <n v="10"/>
    <n v="2"/>
    <x v="1"/>
    <x v="3"/>
    <n v="7"/>
    <x v="4"/>
    <x v="1"/>
    <x v="1"/>
    <x v="0"/>
    <x v="1"/>
    <n v="0"/>
  </r>
  <r>
    <x v="13"/>
    <x v="1"/>
    <x v="0"/>
    <n v="216"/>
    <x v="0"/>
    <n v="1"/>
    <x v="2"/>
    <x v="3"/>
    <x v="0"/>
    <n v="1047"/>
    <x v="0"/>
    <x v="1"/>
    <n v="75"/>
    <x v="2"/>
    <x v="0"/>
    <x v="0"/>
    <x v="0"/>
    <x v="2"/>
    <x v="718"/>
    <n v="12278"/>
    <n v="0"/>
    <s v="Y"/>
    <x v="1"/>
    <n v="11"/>
    <x v="0"/>
    <x v="1"/>
    <n v="80"/>
    <n v="1"/>
    <n v="16"/>
    <n v="2"/>
    <x v="2"/>
    <x v="15"/>
    <n v="1"/>
    <x v="0"/>
    <x v="12"/>
    <x v="1"/>
    <x v="3"/>
    <x v="0"/>
    <n v="0"/>
  </r>
  <r>
    <x v="6"/>
    <x v="1"/>
    <x v="0"/>
    <n v="1089"/>
    <x v="0"/>
    <n v="1"/>
    <x v="0"/>
    <x v="4"/>
    <x v="0"/>
    <n v="1048"/>
    <x v="0"/>
    <x v="1"/>
    <n v="66"/>
    <x v="0"/>
    <x v="2"/>
    <x v="5"/>
    <x v="0"/>
    <x v="1"/>
    <x v="719"/>
    <n v="11038"/>
    <n v="3"/>
    <s v="Y"/>
    <x v="0"/>
    <n v="14"/>
    <x v="0"/>
    <x v="3"/>
    <n v="80"/>
    <n v="1"/>
    <n v="14"/>
    <n v="1"/>
    <x v="0"/>
    <x v="0"/>
    <n v="4"/>
    <x v="0"/>
    <x v="10"/>
    <x v="3"/>
    <x v="0"/>
    <x v="3"/>
    <n v="0"/>
  </r>
  <r>
    <x v="28"/>
    <x v="1"/>
    <x v="0"/>
    <n v="788"/>
    <x v="2"/>
    <n v="24"/>
    <x v="2"/>
    <x v="2"/>
    <x v="0"/>
    <n v="1049"/>
    <x v="0"/>
    <x v="1"/>
    <n v="36"/>
    <x v="0"/>
    <x v="1"/>
    <x v="8"/>
    <x v="1"/>
    <x v="0"/>
    <x v="221"/>
    <n v="8318"/>
    <n v="1"/>
    <s v="Y"/>
    <x v="1"/>
    <n v="16"/>
    <x v="0"/>
    <x v="0"/>
    <n v="80"/>
    <n v="0"/>
    <n v="6"/>
    <n v="3"/>
    <x v="1"/>
    <x v="0"/>
    <n v="3"/>
    <x v="0"/>
    <x v="10"/>
    <x v="0"/>
    <x v="0"/>
    <x v="1"/>
    <n v="0"/>
  </r>
  <r>
    <x v="16"/>
    <x v="1"/>
    <x v="1"/>
    <n v="124"/>
    <x v="0"/>
    <n v="2"/>
    <x v="3"/>
    <x v="3"/>
    <x v="0"/>
    <n v="1050"/>
    <x v="1"/>
    <x v="0"/>
    <n v="38"/>
    <x v="1"/>
    <x v="2"/>
    <x v="0"/>
    <x v="1"/>
    <x v="1"/>
    <x v="720"/>
    <n v="23537"/>
    <n v="2"/>
    <s v="Y"/>
    <x v="1"/>
    <n v="12"/>
    <x v="0"/>
    <x v="0"/>
    <n v="80"/>
    <n v="1"/>
    <n v="30"/>
    <n v="2"/>
    <x v="1"/>
    <x v="15"/>
    <n v="7"/>
    <x v="7"/>
    <x v="11"/>
    <x v="3"/>
    <x v="3"/>
    <x v="0"/>
    <n v="0"/>
  </r>
  <r>
    <x v="9"/>
    <x v="0"/>
    <x v="0"/>
    <n v="660"/>
    <x v="1"/>
    <n v="15"/>
    <x v="3"/>
    <x v="1"/>
    <x v="0"/>
    <n v="1052"/>
    <x v="3"/>
    <x v="1"/>
    <n v="81"/>
    <x v="0"/>
    <x v="0"/>
    <x v="2"/>
    <x v="2"/>
    <x v="2"/>
    <x v="721"/>
    <n v="7858"/>
    <n v="7"/>
    <s v="Y"/>
    <x v="1"/>
    <n v="14"/>
    <x v="0"/>
    <x v="2"/>
    <n v="80"/>
    <n v="1"/>
    <n v="9"/>
    <n v="3"/>
    <x v="2"/>
    <x v="6"/>
    <n v="0"/>
    <x v="0"/>
    <x v="2"/>
    <x v="1"/>
    <x v="1"/>
    <x v="1"/>
    <n v="1"/>
  </r>
  <r>
    <x v="25"/>
    <x v="0"/>
    <x v="1"/>
    <n v="342"/>
    <x v="1"/>
    <n v="2"/>
    <x v="3"/>
    <x v="0"/>
    <x v="0"/>
    <n v="1053"/>
    <x v="3"/>
    <x v="1"/>
    <n v="57"/>
    <x v="0"/>
    <x v="1"/>
    <x v="1"/>
    <x v="3"/>
    <x v="1"/>
    <x v="96"/>
    <n v="15346"/>
    <n v="6"/>
    <s v="Y"/>
    <x v="0"/>
    <n v="14"/>
    <x v="0"/>
    <x v="2"/>
    <n v="80"/>
    <n v="1"/>
    <n v="6"/>
    <n v="2"/>
    <x v="1"/>
    <x v="11"/>
    <n v="2"/>
    <x v="1"/>
    <x v="3"/>
    <x v="2"/>
    <x v="2"/>
    <x v="1"/>
    <n v="1"/>
  </r>
  <r>
    <x v="13"/>
    <x v="1"/>
    <x v="0"/>
    <n v="1333"/>
    <x v="0"/>
    <n v="10"/>
    <x v="2"/>
    <x v="0"/>
    <x v="0"/>
    <n v="1055"/>
    <x v="1"/>
    <x v="0"/>
    <n v="87"/>
    <x v="0"/>
    <x v="1"/>
    <x v="6"/>
    <x v="2"/>
    <x v="1"/>
    <x v="722"/>
    <n v="18410"/>
    <n v="1"/>
    <s v="Y"/>
    <x v="0"/>
    <n v="19"/>
    <x v="0"/>
    <x v="1"/>
    <n v="80"/>
    <n v="1"/>
    <n v="1"/>
    <n v="2"/>
    <x v="1"/>
    <x v="6"/>
    <n v="1"/>
    <x v="0"/>
    <x v="2"/>
    <x v="1"/>
    <x v="1"/>
    <x v="1"/>
    <n v="0"/>
  </r>
  <r>
    <x v="14"/>
    <x v="1"/>
    <x v="0"/>
    <n v="1144"/>
    <x v="0"/>
    <n v="10"/>
    <x v="1"/>
    <x v="2"/>
    <x v="0"/>
    <n v="1056"/>
    <x v="2"/>
    <x v="1"/>
    <n v="74"/>
    <x v="0"/>
    <x v="1"/>
    <x v="6"/>
    <x v="1"/>
    <x v="1"/>
    <x v="723"/>
    <n v="23384"/>
    <n v="1"/>
    <s v="Y"/>
    <x v="1"/>
    <n v="22"/>
    <x v="1"/>
    <x v="2"/>
    <n v="80"/>
    <n v="0"/>
    <n v="1"/>
    <n v="5"/>
    <x v="1"/>
    <x v="6"/>
    <n v="0"/>
    <x v="0"/>
    <x v="2"/>
    <x v="2"/>
    <x v="1"/>
    <x v="1"/>
    <n v="0"/>
  </r>
  <r>
    <x v="8"/>
    <x v="1"/>
    <x v="1"/>
    <n v="1186"/>
    <x v="1"/>
    <n v="3"/>
    <x v="2"/>
    <x v="1"/>
    <x v="0"/>
    <n v="1060"/>
    <x v="1"/>
    <x v="1"/>
    <n v="44"/>
    <x v="0"/>
    <x v="1"/>
    <x v="1"/>
    <x v="2"/>
    <x v="1"/>
    <x v="724"/>
    <n v="2997"/>
    <n v="3"/>
    <s v="Y"/>
    <x v="1"/>
    <n v="16"/>
    <x v="0"/>
    <x v="0"/>
    <n v="80"/>
    <n v="1"/>
    <n v="8"/>
    <n v="2"/>
    <x v="1"/>
    <x v="4"/>
    <n v="2"/>
    <x v="3"/>
    <x v="3"/>
    <x v="1"/>
    <x v="1"/>
    <x v="1"/>
    <n v="0"/>
  </r>
  <r>
    <x v="24"/>
    <x v="1"/>
    <x v="0"/>
    <n v="1464"/>
    <x v="1"/>
    <n v="2"/>
    <x v="2"/>
    <x v="2"/>
    <x v="0"/>
    <n v="1061"/>
    <x v="0"/>
    <x v="1"/>
    <n v="62"/>
    <x v="0"/>
    <x v="4"/>
    <x v="7"/>
    <x v="2"/>
    <x v="1"/>
    <x v="725"/>
    <n v="12853"/>
    <n v="2"/>
    <s v="Y"/>
    <x v="0"/>
    <n v="11"/>
    <x v="0"/>
    <x v="1"/>
    <n v="80"/>
    <n v="1"/>
    <n v="29"/>
    <n v="2"/>
    <x v="2"/>
    <x v="3"/>
    <n v="1"/>
    <x v="4"/>
    <x v="1"/>
    <x v="3"/>
    <x v="0"/>
    <x v="2"/>
    <n v="0"/>
  </r>
  <r>
    <x v="2"/>
    <x v="1"/>
    <x v="0"/>
    <n v="124"/>
    <x v="1"/>
    <n v="3"/>
    <x v="3"/>
    <x v="1"/>
    <x v="0"/>
    <n v="1062"/>
    <x v="2"/>
    <x v="0"/>
    <n v="35"/>
    <x v="0"/>
    <x v="0"/>
    <x v="4"/>
    <x v="1"/>
    <x v="0"/>
    <x v="726"/>
    <n v="13848"/>
    <n v="3"/>
    <s v="Y"/>
    <x v="1"/>
    <n v="15"/>
    <x v="0"/>
    <x v="0"/>
    <n v="80"/>
    <n v="0"/>
    <n v="8"/>
    <n v="3"/>
    <x v="2"/>
    <x v="9"/>
    <n v="3"/>
    <x v="0"/>
    <x v="9"/>
    <x v="1"/>
    <x v="2"/>
    <x v="1"/>
    <n v="0"/>
  </r>
  <r>
    <x v="32"/>
    <x v="1"/>
    <x v="0"/>
    <n v="300"/>
    <x v="0"/>
    <n v="26"/>
    <x v="3"/>
    <x v="3"/>
    <x v="0"/>
    <n v="1066"/>
    <x v="1"/>
    <x v="1"/>
    <n v="74"/>
    <x v="0"/>
    <x v="0"/>
    <x v="0"/>
    <x v="3"/>
    <x v="1"/>
    <x v="727"/>
    <n v="22217"/>
    <n v="1"/>
    <s v="Y"/>
    <x v="1"/>
    <n v="14"/>
    <x v="0"/>
    <x v="2"/>
    <n v="80"/>
    <n v="1"/>
    <n v="8"/>
    <n v="3"/>
    <x v="2"/>
    <x v="5"/>
    <n v="7"/>
    <x v="4"/>
    <x v="0"/>
    <x v="0"/>
    <x v="0"/>
    <x v="0"/>
    <n v="0"/>
  </r>
  <r>
    <x v="25"/>
    <x v="1"/>
    <x v="1"/>
    <n v="921"/>
    <x v="1"/>
    <n v="1"/>
    <x v="1"/>
    <x v="2"/>
    <x v="0"/>
    <n v="1068"/>
    <x v="3"/>
    <x v="0"/>
    <n v="66"/>
    <x v="1"/>
    <x v="1"/>
    <x v="1"/>
    <x v="2"/>
    <x v="2"/>
    <x v="728"/>
    <n v="25265"/>
    <n v="1"/>
    <s v="Y"/>
    <x v="1"/>
    <n v="13"/>
    <x v="0"/>
    <x v="3"/>
    <n v="80"/>
    <n v="2"/>
    <n v="5"/>
    <n v="5"/>
    <x v="1"/>
    <x v="8"/>
    <n v="3"/>
    <x v="1"/>
    <x v="6"/>
    <x v="2"/>
    <x v="2"/>
    <x v="1"/>
    <n v="0"/>
  </r>
  <r>
    <x v="21"/>
    <x v="1"/>
    <x v="0"/>
    <n v="430"/>
    <x v="1"/>
    <n v="1"/>
    <x v="2"/>
    <x v="2"/>
    <x v="0"/>
    <n v="1069"/>
    <x v="2"/>
    <x v="1"/>
    <n v="40"/>
    <x v="0"/>
    <x v="4"/>
    <x v="7"/>
    <x v="0"/>
    <x v="2"/>
    <x v="729"/>
    <n v="21445"/>
    <n v="9"/>
    <s v="Y"/>
    <x v="1"/>
    <n v="17"/>
    <x v="0"/>
    <x v="1"/>
    <n v="80"/>
    <n v="2"/>
    <n v="23"/>
    <n v="0"/>
    <x v="1"/>
    <x v="4"/>
    <n v="2"/>
    <x v="3"/>
    <x v="3"/>
    <x v="0"/>
    <x v="1"/>
    <x v="2"/>
    <n v="0"/>
  </r>
  <r>
    <x v="33"/>
    <x v="1"/>
    <x v="0"/>
    <n v="1082"/>
    <x v="0"/>
    <n v="2"/>
    <x v="2"/>
    <x v="0"/>
    <x v="0"/>
    <n v="1070"/>
    <x v="1"/>
    <x v="0"/>
    <n v="41"/>
    <x v="1"/>
    <x v="2"/>
    <x v="0"/>
    <x v="2"/>
    <x v="1"/>
    <x v="730"/>
    <n v="8392"/>
    <n v="6"/>
    <s v="Y"/>
    <x v="1"/>
    <n v="11"/>
    <x v="0"/>
    <x v="2"/>
    <n v="80"/>
    <n v="1"/>
    <n v="13"/>
    <n v="4"/>
    <x v="1"/>
    <x v="7"/>
    <n v="4"/>
    <x v="4"/>
    <x v="2"/>
    <x v="3"/>
    <x v="0"/>
    <x v="3"/>
    <n v="0"/>
  </r>
  <r>
    <x v="29"/>
    <x v="1"/>
    <x v="1"/>
    <n v="1240"/>
    <x v="1"/>
    <n v="9"/>
    <x v="3"/>
    <x v="2"/>
    <x v="0"/>
    <n v="1071"/>
    <x v="3"/>
    <x v="0"/>
    <n v="63"/>
    <x v="0"/>
    <x v="1"/>
    <x v="1"/>
    <x v="2"/>
    <x v="1"/>
    <x v="131"/>
    <n v="12154"/>
    <n v="2"/>
    <s v="Y"/>
    <x v="1"/>
    <n v="19"/>
    <x v="0"/>
    <x v="2"/>
    <n v="80"/>
    <n v="1"/>
    <n v="18"/>
    <n v="4"/>
    <x v="1"/>
    <x v="8"/>
    <n v="4"/>
    <x v="0"/>
    <x v="6"/>
    <x v="3"/>
    <x v="2"/>
    <x v="1"/>
    <n v="0"/>
  </r>
  <r>
    <x v="9"/>
    <x v="1"/>
    <x v="0"/>
    <n v="796"/>
    <x v="1"/>
    <n v="12"/>
    <x v="4"/>
    <x v="2"/>
    <x v="0"/>
    <n v="1073"/>
    <x v="2"/>
    <x v="0"/>
    <n v="51"/>
    <x v="1"/>
    <x v="2"/>
    <x v="3"/>
    <x v="0"/>
    <x v="0"/>
    <x v="731"/>
    <n v="15669"/>
    <n v="0"/>
    <s v="Y"/>
    <x v="1"/>
    <n v="11"/>
    <x v="0"/>
    <x v="2"/>
    <n v="80"/>
    <n v="0"/>
    <n v="15"/>
    <n v="2"/>
    <x v="2"/>
    <x v="13"/>
    <n v="8"/>
    <x v="4"/>
    <x v="5"/>
    <x v="1"/>
    <x v="3"/>
    <x v="0"/>
    <n v="0"/>
  </r>
  <r>
    <x v="27"/>
    <x v="1"/>
    <x v="2"/>
    <n v="444"/>
    <x v="1"/>
    <n v="2"/>
    <x v="1"/>
    <x v="2"/>
    <x v="0"/>
    <n v="1074"/>
    <x v="1"/>
    <x v="1"/>
    <n v="40"/>
    <x v="1"/>
    <x v="3"/>
    <x v="5"/>
    <x v="3"/>
    <x v="0"/>
    <x v="732"/>
    <n v="17323"/>
    <n v="7"/>
    <s v="Y"/>
    <x v="1"/>
    <n v="15"/>
    <x v="0"/>
    <x v="2"/>
    <n v="80"/>
    <n v="0"/>
    <n v="31"/>
    <n v="3"/>
    <x v="3"/>
    <x v="7"/>
    <n v="7"/>
    <x v="7"/>
    <x v="3"/>
    <x v="3"/>
    <x v="0"/>
    <x v="2"/>
    <n v="0"/>
  </r>
  <r>
    <x v="23"/>
    <x v="1"/>
    <x v="0"/>
    <n v="415"/>
    <x v="0"/>
    <n v="25"/>
    <x v="3"/>
    <x v="2"/>
    <x v="0"/>
    <n v="1076"/>
    <x v="1"/>
    <x v="1"/>
    <n v="79"/>
    <x v="1"/>
    <x v="2"/>
    <x v="0"/>
    <x v="0"/>
    <x v="2"/>
    <x v="733"/>
    <n v="5268"/>
    <n v="5"/>
    <s v="Y"/>
    <x v="1"/>
    <n v="13"/>
    <x v="0"/>
    <x v="3"/>
    <n v="80"/>
    <n v="1"/>
    <n v="18"/>
    <n v="5"/>
    <x v="1"/>
    <x v="6"/>
    <n v="0"/>
    <x v="0"/>
    <x v="2"/>
    <x v="0"/>
    <x v="1"/>
    <x v="3"/>
    <n v="0"/>
  </r>
  <r>
    <x v="35"/>
    <x v="0"/>
    <x v="1"/>
    <n v="769"/>
    <x v="0"/>
    <n v="9"/>
    <x v="3"/>
    <x v="3"/>
    <x v="0"/>
    <n v="1077"/>
    <x v="2"/>
    <x v="0"/>
    <n v="54"/>
    <x v="0"/>
    <x v="1"/>
    <x v="6"/>
    <x v="0"/>
    <x v="0"/>
    <x v="157"/>
    <n v="17205"/>
    <n v="1"/>
    <s v="Y"/>
    <x v="0"/>
    <n v="14"/>
    <x v="0"/>
    <x v="2"/>
    <n v="80"/>
    <n v="0"/>
    <n v="2"/>
    <n v="3"/>
    <x v="1"/>
    <x v="4"/>
    <n v="2"/>
    <x v="0"/>
    <x v="3"/>
    <x v="2"/>
    <x v="1"/>
    <x v="1"/>
    <n v="1"/>
  </r>
  <r>
    <x v="18"/>
    <x v="0"/>
    <x v="0"/>
    <n v="1334"/>
    <x v="1"/>
    <n v="10"/>
    <x v="3"/>
    <x v="0"/>
    <x v="0"/>
    <n v="1079"/>
    <x v="1"/>
    <x v="0"/>
    <n v="36"/>
    <x v="1"/>
    <x v="1"/>
    <x v="2"/>
    <x v="3"/>
    <x v="0"/>
    <x v="734"/>
    <n v="17258"/>
    <n v="1"/>
    <s v="Y"/>
    <x v="1"/>
    <n v="13"/>
    <x v="0"/>
    <x v="0"/>
    <n v="80"/>
    <n v="0"/>
    <n v="1"/>
    <n v="6"/>
    <x v="2"/>
    <x v="6"/>
    <n v="0"/>
    <x v="1"/>
    <x v="2"/>
    <x v="2"/>
    <x v="1"/>
    <x v="1"/>
    <n v="1"/>
  </r>
  <r>
    <x v="21"/>
    <x v="1"/>
    <x v="0"/>
    <n v="1003"/>
    <x v="1"/>
    <n v="8"/>
    <x v="2"/>
    <x v="0"/>
    <x v="0"/>
    <n v="1080"/>
    <x v="2"/>
    <x v="0"/>
    <n v="74"/>
    <x v="1"/>
    <x v="0"/>
    <x v="1"/>
    <x v="3"/>
    <x v="2"/>
    <x v="735"/>
    <n v="21029"/>
    <n v="8"/>
    <s v="Y"/>
    <x v="0"/>
    <n v="23"/>
    <x v="1"/>
    <x v="0"/>
    <n v="80"/>
    <n v="3"/>
    <n v="19"/>
    <n v="2"/>
    <x v="1"/>
    <x v="22"/>
    <n v="13"/>
    <x v="1"/>
    <x v="1"/>
    <x v="0"/>
    <x v="3"/>
    <x v="1"/>
    <n v="0"/>
  </r>
  <r>
    <x v="31"/>
    <x v="0"/>
    <x v="0"/>
    <n v="1323"/>
    <x v="1"/>
    <n v="4"/>
    <x v="2"/>
    <x v="0"/>
    <x v="0"/>
    <n v="1081"/>
    <x v="3"/>
    <x v="1"/>
    <n v="34"/>
    <x v="0"/>
    <x v="1"/>
    <x v="1"/>
    <x v="2"/>
    <x v="1"/>
    <x v="736"/>
    <n v="10332"/>
    <n v="9"/>
    <s v="Y"/>
    <x v="0"/>
    <n v="12"/>
    <x v="0"/>
    <x v="3"/>
    <n v="80"/>
    <n v="3"/>
    <n v="18"/>
    <n v="2"/>
    <x v="3"/>
    <x v="1"/>
    <n v="0"/>
    <x v="3"/>
    <x v="1"/>
    <x v="3"/>
    <x v="0"/>
    <x v="1"/>
    <n v="1"/>
  </r>
  <r>
    <x v="14"/>
    <x v="0"/>
    <x v="2"/>
    <n v="1366"/>
    <x v="1"/>
    <n v="24"/>
    <x v="0"/>
    <x v="4"/>
    <x v="0"/>
    <n v="1082"/>
    <x v="0"/>
    <x v="1"/>
    <n v="72"/>
    <x v="1"/>
    <x v="2"/>
    <x v="4"/>
    <x v="3"/>
    <x v="0"/>
    <x v="737"/>
    <n v="12355"/>
    <n v="1"/>
    <s v="Y"/>
    <x v="1"/>
    <n v="12"/>
    <x v="0"/>
    <x v="0"/>
    <n v="80"/>
    <n v="0"/>
    <n v="10"/>
    <n v="2"/>
    <x v="2"/>
    <x v="1"/>
    <n v="7"/>
    <x v="1"/>
    <x v="12"/>
    <x v="2"/>
    <x v="0"/>
    <x v="0"/>
    <n v="1"/>
  </r>
  <r>
    <x v="25"/>
    <x v="1"/>
    <x v="0"/>
    <n v="192"/>
    <x v="1"/>
    <n v="1"/>
    <x v="0"/>
    <x v="2"/>
    <x v="0"/>
    <n v="1083"/>
    <x v="3"/>
    <x v="1"/>
    <n v="59"/>
    <x v="1"/>
    <x v="1"/>
    <x v="2"/>
    <x v="3"/>
    <x v="1"/>
    <x v="738"/>
    <n v="11141"/>
    <n v="1"/>
    <s v="Y"/>
    <x v="1"/>
    <n v="16"/>
    <x v="0"/>
    <x v="0"/>
    <n v="80"/>
    <n v="2"/>
    <n v="6"/>
    <n v="2"/>
    <x v="1"/>
    <x v="8"/>
    <n v="3"/>
    <x v="1"/>
    <x v="6"/>
    <x v="2"/>
    <x v="2"/>
    <x v="1"/>
    <n v="0"/>
  </r>
  <r>
    <x v="7"/>
    <x v="1"/>
    <x v="0"/>
    <n v="1176"/>
    <x v="1"/>
    <n v="20"/>
    <x v="3"/>
    <x v="1"/>
    <x v="0"/>
    <n v="1084"/>
    <x v="1"/>
    <x v="1"/>
    <n v="85"/>
    <x v="0"/>
    <x v="0"/>
    <x v="3"/>
    <x v="3"/>
    <x v="1"/>
    <x v="739"/>
    <n v="9096"/>
    <n v="0"/>
    <s v="Y"/>
    <x v="1"/>
    <n v="15"/>
    <x v="0"/>
    <x v="3"/>
    <n v="80"/>
    <n v="1"/>
    <n v="7"/>
    <n v="1"/>
    <x v="2"/>
    <x v="0"/>
    <n v="2"/>
    <x v="0"/>
    <x v="3"/>
    <x v="1"/>
    <x v="0"/>
    <x v="0"/>
    <n v="0"/>
  </r>
  <r>
    <x v="0"/>
    <x v="1"/>
    <x v="0"/>
    <n v="509"/>
    <x v="1"/>
    <n v="7"/>
    <x v="0"/>
    <x v="4"/>
    <x v="0"/>
    <n v="1085"/>
    <x v="0"/>
    <x v="0"/>
    <n v="43"/>
    <x v="2"/>
    <x v="1"/>
    <x v="1"/>
    <x v="2"/>
    <x v="1"/>
    <x v="740"/>
    <n v="18863"/>
    <n v="1"/>
    <s v="Y"/>
    <x v="1"/>
    <n v="13"/>
    <x v="0"/>
    <x v="3"/>
    <n v="80"/>
    <n v="0"/>
    <n v="10"/>
    <n v="3"/>
    <x v="1"/>
    <x v="1"/>
    <n v="6"/>
    <x v="0"/>
    <x v="5"/>
    <x v="0"/>
    <x v="0"/>
    <x v="1"/>
    <n v="0"/>
  </r>
  <r>
    <x v="8"/>
    <x v="1"/>
    <x v="0"/>
    <n v="330"/>
    <x v="1"/>
    <n v="17"/>
    <x v="1"/>
    <x v="0"/>
    <x v="0"/>
    <n v="1088"/>
    <x v="1"/>
    <x v="0"/>
    <n v="65"/>
    <x v="1"/>
    <x v="2"/>
    <x v="4"/>
    <x v="2"/>
    <x v="1"/>
    <x v="741"/>
    <n v="24608"/>
    <n v="0"/>
    <s v="Y"/>
    <x v="1"/>
    <n v="18"/>
    <x v="0"/>
    <x v="0"/>
    <n v="80"/>
    <n v="1"/>
    <n v="20"/>
    <n v="4"/>
    <x v="2"/>
    <x v="27"/>
    <n v="9"/>
    <x v="1"/>
    <x v="12"/>
    <x v="1"/>
    <x v="3"/>
    <x v="0"/>
    <n v="0"/>
  </r>
  <r>
    <x v="32"/>
    <x v="1"/>
    <x v="0"/>
    <n v="1492"/>
    <x v="1"/>
    <n v="20"/>
    <x v="2"/>
    <x v="4"/>
    <x v="0"/>
    <n v="1092"/>
    <x v="3"/>
    <x v="1"/>
    <n v="61"/>
    <x v="0"/>
    <x v="2"/>
    <x v="4"/>
    <x v="0"/>
    <x v="1"/>
    <x v="742"/>
    <n v="26542"/>
    <n v="4"/>
    <s v="Y"/>
    <x v="1"/>
    <n v="20"/>
    <x v="1"/>
    <x v="1"/>
    <n v="80"/>
    <n v="1"/>
    <n v="14"/>
    <n v="6"/>
    <x v="1"/>
    <x v="19"/>
    <n v="10"/>
    <x v="14"/>
    <x v="9"/>
    <x v="0"/>
    <x v="3"/>
    <x v="3"/>
    <n v="0"/>
  </r>
  <r>
    <x v="4"/>
    <x v="1"/>
    <x v="2"/>
    <n v="1277"/>
    <x v="1"/>
    <n v="8"/>
    <x v="4"/>
    <x v="0"/>
    <x v="0"/>
    <n v="1094"/>
    <x v="3"/>
    <x v="1"/>
    <n v="87"/>
    <x v="3"/>
    <x v="1"/>
    <x v="2"/>
    <x v="2"/>
    <x v="1"/>
    <x v="743"/>
    <n v="5869"/>
    <n v="1"/>
    <s v="Y"/>
    <x v="1"/>
    <n v="19"/>
    <x v="0"/>
    <x v="1"/>
    <n v="80"/>
    <n v="3"/>
    <n v="3"/>
    <n v="4"/>
    <x v="1"/>
    <x v="11"/>
    <n v="2"/>
    <x v="1"/>
    <x v="3"/>
    <x v="2"/>
    <x v="2"/>
    <x v="1"/>
    <n v="0"/>
  </r>
  <r>
    <x v="27"/>
    <x v="1"/>
    <x v="1"/>
    <n v="1091"/>
    <x v="1"/>
    <n v="2"/>
    <x v="1"/>
    <x v="0"/>
    <x v="0"/>
    <n v="1096"/>
    <x v="2"/>
    <x v="1"/>
    <n v="65"/>
    <x v="0"/>
    <x v="2"/>
    <x v="3"/>
    <x v="1"/>
    <x v="1"/>
    <x v="744"/>
    <n v="15813"/>
    <n v="3"/>
    <s v="Y"/>
    <x v="1"/>
    <n v="18"/>
    <x v="0"/>
    <x v="2"/>
    <n v="80"/>
    <n v="1"/>
    <n v="23"/>
    <n v="4"/>
    <x v="1"/>
    <x v="11"/>
    <n v="2"/>
    <x v="1"/>
    <x v="3"/>
    <x v="3"/>
    <x v="2"/>
    <x v="3"/>
    <n v="0"/>
  </r>
  <r>
    <x v="14"/>
    <x v="1"/>
    <x v="0"/>
    <n v="857"/>
    <x v="1"/>
    <n v="10"/>
    <x v="3"/>
    <x v="1"/>
    <x v="0"/>
    <n v="1097"/>
    <x v="1"/>
    <x v="0"/>
    <n v="59"/>
    <x v="0"/>
    <x v="0"/>
    <x v="1"/>
    <x v="2"/>
    <x v="0"/>
    <x v="745"/>
    <n v="7909"/>
    <n v="3"/>
    <s v="Y"/>
    <x v="1"/>
    <n v="13"/>
    <x v="0"/>
    <x v="1"/>
    <n v="80"/>
    <n v="0"/>
    <n v="10"/>
    <n v="4"/>
    <x v="3"/>
    <x v="3"/>
    <n v="7"/>
    <x v="1"/>
    <x v="1"/>
    <x v="2"/>
    <x v="0"/>
    <x v="1"/>
    <n v="0"/>
  </r>
  <r>
    <x v="20"/>
    <x v="0"/>
    <x v="0"/>
    <n v="1376"/>
    <x v="2"/>
    <n v="1"/>
    <x v="0"/>
    <x v="2"/>
    <x v="0"/>
    <n v="1098"/>
    <x v="0"/>
    <x v="1"/>
    <n v="91"/>
    <x v="1"/>
    <x v="2"/>
    <x v="8"/>
    <x v="3"/>
    <x v="1"/>
    <x v="746"/>
    <n v="2326"/>
    <n v="9"/>
    <s v="Y"/>
    <x v="1"/>
    <n v="14"/>
    <x v="0"/>
    <x v="1"/>
    <n v="80"/>
    <n v="1"/>
    <n v="24"/>
    <n v="1"/>
    <x v="1"/>
    <x v="23"/>
    <n v="6"/>
    <x v="2"/>
    <x v="4"/>
    <x v="0"/>
    <x v="3"/>
    <x v="3"/>
    <n v="1"/>
  </r>
  <r>
    <x v="3"/>
    <x v="1"/>
    <x v="0"/>
    <n v="654"/>
    <x v="1"/>
    <n v="5"/>
    <x v="3"/>
    <x v="0"/>
    <x v="0"/>
    <n v="1099"/>
    <x v="2"/>
    <x v="1"/>
    <n v="34"/>
    <x v="1"/>
    <x v="2"/>
    <x v="4"/>
    <x v="0"/>
    <x v="2"/>
    <x v="747"/>
    <n v="21214"/>
    <n v="4"/>
    <s v="Y"/>
    <x v="1"/>
    <n v="15"/>
    <x v="0"/>
    <x v="3"/>
    <n v="80"/>
    <n v="1"/>
    <n v="9"/>
    <n v="2"/>
    <x v="1"/>
    <x v="11"/>
    <n v="2"/>
    <x v="1"/>
    <x v="3"/>
    <x v="1"/>
    <x v="2"/>
    <x v="0"/>
    <n v="0"/>
  </r>
  <r>
    <x v="10"/>
    <x v="0"/>
    <x v="0"/>
    <n v="1204"/>
    <x v="0"/>
    <n v="4"/>
    <x v="3"/>
    <x v="4"/>
    <x v="0"/>
    <n v="1100"/>
    <x v="2"/>
    <x v="1"/>
    <n v="86"/>
    <x v="0"/>
    <x v="2"/>
    <x v="0"/>
    <x v="3"/>
    <x v="0"/>
    <x v="748"/>
    <n v="10333"/>
    <n v="0"/>
    <s v="Y"/>
    <x v="0"/>
    <n v="22"/>
    <x v="1"/>
    <x v="0"/>
    <n v="80"/>
    <n v="0"/>
    <n v="9"/>
    <n v="2"/>
    <x v="1"/>
    <x v="3"/>
    <n v="7"/>
    <x v="5"/>
    <x v="1"/>
    <x v="1"/>
    <x v="0"/>
    <x v="0"/>
    <n v="1"/>
  </r>
  <r>
    <x v="3"/>
    <x v="0"/>
    <x v="1"/>
    <n v="827"/>
    <x v="1"/>
    <n v="29"/>
    <x v="2"/>
    <x v="2"/>
    <x v="0"/>
    <n v="1101"/>
    <x v="3"/>
    <x v="0"/>
    <n v="54"/>
    <x v="1"/>
    <x v="0"/>
    <x v="1"/>
    <x v="2"/>
    <x v="0"/>
    <x v="749"/>
    <n v="3129"/>
    <n v="1"/>
    <s v="Y"/>
    <x v="1"/>
    <n v="22"/>
    <x v="1"/>
    <x v="2"/>
    <n v="80"/>
    <n v="0"/>
    <n v="14"/>
    <n v="4"/>
    <x v="1"/>
    <x v="20"/>
    <n v="7"/>
    <x v="2"/>
    <x v="5"/>
    <x v="1"/>
    <x v="3"/>
    <x v="1"/>
    <n v="1"/>
  </r>
  <r>
    <x v="14"/>
    <x v="1"/>
    <x v="0"/>
    <n v="895"/>
    <x v="1"/>
    <n v="15"/>
    <x v="0"/>
    <x v="0"/>
    <x v="0"/>
    <n v="1102"/>
    <x v="3"/>
    <x v="1"/>
    <n v="50"/>
    <x v="0"/>
    <x v="1"/>
    <x v="2"/>
    <x v="2"/>
    <x v="2"/>
    <x v="750"/>
    <n v="22482"/>
    <n v="1"/>
    <s v="Y"/>
    <x v="1"/>
    <n v="16"/>
    <x v="0"/>
    <x v="1"/>
    <n v="80"/>
    <n v="1"/>
    <n v="4"/>
    <n v="5"/>
    <x v="2"/>
    <x v="9"/>
    <n v="2"/>
    <x v="3"/>
    <x v="3"/>
    <x v="2"/>
    <x v="2"/>
    <x v="1"/>
    <n v="0"/>
  </r>
  <r>
    <x v="13"/>
    <x v="1"/>
    <x v="1"/>
    <n v="618"/>
    <x v="1"/>
    <n v="3"/>
    <x v="1"/>
    <x v="0"/>
    <x v="0"/>
    <n v="1103"/>
    <x v="3"/>
    <x v="1"/>
    <n v="45"/>
    <x v="0"/>
    <x v="0"/>
    <x v="4"/>
    <x v="0"/>
    <x v="0"/>
    <x v="751"/>
    <n v="22266"/>
    <n v="0"/>
    <s v="Y"/>
    <x v="1"/>
    <n v="17"/>
    <x v="0"/>
    <x v="3"/>
    <n v="80"/>
    <n v="0"/>
    <n v="7"/>
    <n v="1"/>
    <x v="2"/>
    <x v="0"/>
    <n v="2"/>
    <x v="0"/>
    <x v="10"/>
    <x v="1"/>
    <x v="0"/>
    <x v="0"/>
    <n v="0"/>
  </r>
  <r>
    <x v="2"/>
    <x v="1"/>
    <x v="0"/>
    <n v="309"/>
    <x v="0"/>
    <n v="10"/>
    <x v="2"/>
    <x v="0"/>
    <x v="0"/>
    <n v="1105"/>
    <x v="2"/>
    <x v="0"/>
    <n v="88"/>
    <x v="1"/>
    <x v="0"/>
    <x v="0"/>
    <x v="0"/>
    <x v="2"/>
    <x v="752"/>
    <n v="24223"/>
    <n v="2"/>
    <s v="Y"/>
    <x v="0"/>
    <n v="14"/>
    <x v="0"/>
    <x v="3"/>
    <n v="80"/>
    <n v="3"/>
    <n v="8"/>
    <n v="5"/>
    <x v="1"/>
    <x v="6"/>
    <n v="0"/>
    <x v="0"/>
    <x v="2"/>
    <x v="1"/>
    <x v="1"/>
    <x v="0"/>
    <n v="0"/>
  </r>
  <r>
    <x v="36"/>
    <x v="0"/>
    <x v="0"/>
    <n v="1219"/>
    <x v="1"/>
    <n v="4"/>
    <x v="1"/>
    <x v="4"/>
    <x v="0"/>
    <n v="1106"/>
    <x v="2"/>
    <x v="1"/>
    <n v="32"/>
    <x v="0"/>
    <x v="1"/>
    <x v="2"/>
    <x v="0"/>
    <x v="1"/>
    <x v="753"/>
    <n v="4605"/>
    <n v="1"/>
    <s v="Y"/>
    <x v="0"/>
    <n v="15"/>
    <x v="0"/>
    <x v="2"/>
    <n v="80"/>
    <n v="1"/>
    <n v="7"/>
    <n v="3"/>
    <x v="3"/>
    <x v="5"/>
    <n v="7"/>
    <x v="8"/>
    <x v="4"/>
    <x v="2"/>
    <x v="0"/>
    <x v="1"/>
    <n v="1"/>
  </r>
  <r>
    <x v="25"/>
    <x v="0"/>
    <x v="0"/>
    <n v="1330"/>
    <x v="1"/>
    <n v="21"/>
    <x v="3"/>
    <x v="2"/>
    <x v="0"/>
    <n v="1107"/>
    <x v="3"/>
    <x v="1"/>
    <n v="37"/>
    <x v="0"/>
    <x v="1"/>
    <x v="2"/>
    <x v="2"/>
    <x v="2"/>
    <x v="638"/>
    <n v="19373"/>
    <n v="1"/>
    <s v="Y"/>
    <x v="1"/>
    <n v="20"/>
    <x v="1"/>
    <x v="3"/>
    <n v="80"/>
    <n v="1"/>
    <n v="1"/>
    <n v="0"/>
    <x v="2"/>
    <x v="6"/>
    <n v="1"/>
    <x v="0"/>
    <x v="2"/>
    <x v="2"/>
    <x v="1"/>
    <x v="1"/>
    <n v="1"/>
  </r>
  <r>
    <x v="3"/>
    <x v="0"/>
    <x v="0"/>
    <n v="1017"/>
    <x v="1"/>
    <n v="25"/>
    <x v="3"/>
    <x v="2"/>
    <x v="0"/>
    <n v="1108"/>
    <x v="3"/>
    <x v="1"/>
    <n v="55"/>
    <x v="1"/>
    <x v="1"/>
    <x v="1"/>
    <x v="1"/>
    <x v="0"/>
    <x v="754"/>
    <n v="2993"/>
    <n v="4"/>
    <s v="Y"/>
    <x v="0"/>
    <n v="20"/>
    <x v="1"/>
    <x v="2"/>
    <n v="80"/>
    <n v="0"/>
    <n v="5"/>
    <n v="0"/>
    <x v="1"/>
    <x v="4"/>
    <n v="2"/>
    <x v="3"/>
    <x v="3"/>
    <x v="1"/>
    <x v="1"/>
    <x v="1"/>
    <n v="1"/>
  </r>
  <r>
    <x v="19"/>
    <x v="1"/>
    <x v="0"/>
    <n v="469"/>
    <x v="1"/>
    <n v="2"/>
    <x v="0"/>
    <x v="2"/>
    <x v="0"/>
    <n v="1109"/>
    <x v="2"/>
    <x v="1"/>
    <n v="35"/>
    <x v="0"/>
    <x v="3"/>
    <x v="5"/>
    <x v="3"/>
    <x v="1"/>
    <x v="755"/>
    <n v="14399"/>
    <n v="0"/>
    <s v="Y"/>
    <x v="1"/>
    <n v="17"/>
    <x v="0"/>
    <x v="1"/>
    <n v="80"/>
    <n v="1"/>
    <n v="23"/>
    <n v="3"/>
    <x v="1"/>
    <x v="14"/>
    <n v="6"/>
    <x v="11"/>
    <x v="1"/>
    <x v="0"/>
    <x v="3"/>
    <x v="2"/>
    <n v="0"/>
  </r>
  <r>
    <x v="14"/>
    <x v="0"/>
    <x v="1"/>
    <n v="1009"/>
    <x v="1"/>
    <n v="1"/>
    <x v="3"/>
    <x v="2"/>
    <x v="0"/>
    <n v="1111"/>
    <x v="3"/>
    <x v="1"/>
    <n v="45"/>
    <x v="1"/>
    <x v="1"/>
    <x v="2"/>
    <x v="1"/>
    <x v="2"/>
    <x v="756"/>
    <n v="7160"/>
    <n v="1"/>
    <s v="Y"/>
    <x v="1"/>
    <n v="15"/>
    <x v="0"/>
    <x v="0"/>
    <n v="80"/>
    <n v="2"/>
    <n v="1"/>
    <n v="2"/>
    <x v="1"/>
    <x v="6"/>
    <n v="0"/>
    <x v="0"/>
    <x v="2"/>
    <x v="2"/>
    <x v="1"/>
    <x v="1"/>
    <n v="1"/>
  </r>
  <r>
    <x v="24"/>
    <x v="0"/>
    <x v="1"/>
    <n v="959"/>
    <x v="0"/>
    <n v="1"/>
    <x v="2"/>
    <x v="1"/>
    <x v="0"/>
    <n v="1113"/>
    <x v="2"/>
    <x v="1"/>
    <n v="81"/>
    <x v="0"/>
    <x v="0"/>
    <x v="0"/>
    <x v="2"/>
    <x v="0"/>
    <x v="757"/>
    <n v="17251"/>
    <n v="3"/>
    <s v="Y"/>
    <x v="0"/>
    <n v="14"/>
    <x v="0"/>
    <x v="1"/>
    <n v="80"/>
    <n v="0"/>
    <n v="5"/>
    <n v="4"/>
    <x v="1"/>
    <x v="2"/>
    <n v="0"/>
    <x v="0"/>
    <x v="2"/>
    <x v="3"/>
    <x v="1"/>
    <x v="1"/>
    <n v="1"/>
  </r>
  <r>
    <x v="3"/>
    <x v="1"/>
    <x v="1"/>
    <n v="970"/>
    <x v="0"/>
    <n v="7"/>
    <x v="3"/>
    <x v="0"/>
    <x v="0"/>
    <n v="1114"/>
    <x v="2"/>
    <x v="0"/>
    <n v="30"/>
    <x v="0"/>
    <x v="0"/>
    <x v="0"/>
    <x v="1"/>
    <x v="1"/>
    <x v="758"/>
    <n v="13401"/>
    <n v="0"/>
    <s v="Y"/>
    <x v="1"/>
    <n v="17"/>
    <x v="0"/>
    <x v="3"/>
    <n v="80"/>
    <n v="1"/>
    <n v="4"/>
    <n v="3"/>
    <x v="1"/>
    <x v="11"/>
    <n v="2"/>
    <x v="0"/>
    <x v="3"/>
    <x v="1"/>
    <x v="2"/>
    <x v="1"/>
    <n v="0"/>
  </r>
  <r>
    <x v="13"/>
    <x v="1"/>
    <x v="2"/>
    <n v="697"/>
    <x v="1"/>
    <n v="3"/>
    <x v="2"/>
    <x v="0"/>
    <x v="0"/>
    <n v="1115"/>
    <x v="1"/>
    <x v="1"/>
    <n v="40"/>
    <x v="1"/>
    <x v="1"/>
    <x v="1"/>
    <x v="0"/>
    <x v="1"/>
    <x v="759"/>
    <n v="22478"/>
    <n v="3"/>
    <s v="Y"/>
    <x v="1"/>
    <n v="17"/>
    <x v="0"/>
    <x v="1"/>
    <n v="80"/>
    <n v="3"/>
    <n v="6"/>
    <n v="2"/>
    <x v="1"/>
    <x v="2"/>
    <n v="0"/>
    <x v="0"/>
    <x v="2"/>
    <x v="1"/>
    <x v="1"/>
    <x v="1"/>
    <n v="0"/>
  </r>
  <r>
    <x v="26"/>
    <x v="1"/>
    <x v="2"/>
    <n v="1262"/>
    <x v="1"/>
    <n v="1"/>
    <x v="2"/>
    <x v="2"/>
    <x v="0"/>
    <n v="1116"/>
    <x v="3"/>
    <x v="1"/>
    <n v="35"/>
    <x v="2"/>
    <x v="3"/>
    <x v="5"/>
    <x v="0"/>
    <x v="0"/>
    <x v="760"/>
    <n v="16154"/>
    <n v="2"/>
    <s v="Y"/>
    <x v="1"/>
    <n v="22"/>
    <x v="1"/>
    <x v="3"/>
    <n v="80"/>
    <n v="0"/>
    <n v="27"/>
    <n v="3"/>
    <x v="2"/>
    <x v="8"/>
    <n v="4"/>
    <x v="3"/>
    <x v="9"/>
    <x v="0"/>
    <x v="2"/>
    <x v="2"/>
    <n v="0"/>
  </r>
  <r>
    <x v="28"/>
    <x v="1"/>
    <x v="2"/>
    <n v="1050"/>
    <x v="0"/>
    <n v="9"/>
    <x v="2"/>
    <x v="0"/>
    <x v="0"/>
    <n v="1117"/>
    <x v="0"/>
    <x v="0"/>
    <n v="65"/>
    <x v="1"/>
    <x v="0"/>
    <x v="0"/>
    <x v="2"/>
    <x v="1"/>
    <x v="761"/>
    <n v="17970"/>
    <n v="1"/>
    <s v="Y"/>
    <x v="1"/>
    <n v="13"/>
    <x v="0"/>
    <x v="1"/>
    <n v="80"/>
    <n v="1"/>
    <n v="15"/>
    <n v="2"/>
    <x v="1"/>
    <x v="15"/>
    <n v="10"/>
    <x v="5"/>
    <x v="11"/>
    <x v="0"/>
    <x v="3"/>
    <x v="0"/>
    <n v="0"/>
  </r>
  <r>
    <x v="39"/>
    <x v="1"/>
    <x v="0"/>
    <n v="994"/>
    <x v="1"/>
    <n v="7"/>
    <x v="2"/>
    <x v="0"/>
    <x v="0"/>
    <n v="1118"/>
    <x v="0"/>
    <x v="1"/>
    <n v="87"/>
    <x v="0"/>
    <x v="2"/>
    <x v="4"/>
    <x v="1"/>
    <x v="0"/>
    <x v="762"/>
    <n v="15322"/>
    <n v="7"/>
    <s v="Y"/>
    <x v="1"/>
    <n v="19"/>
    <x v="0"/>
    <x v="1"/>
    <n v="80"/>
    <n v="0"/>
    <n v="18"/>
    <n v="4"/>
    <x v="1"/>
    <x v="3"/>
    <n v="6"/>
    <x v="5"/>
    <x v="2"/>
    <x v="3"/>
    <x v="0"/>
    <x v="3"/>
    <n v="0"/>
  </r>
  <r>
    <x v="8"/>
    <x v="1"/>
    <x v="0"/>
    <n v="770"/>
    <x v="0"/>
    <n v="10"/>
    <x v="2"/>
    <x v="3"/>
    <x v="0"/>
    <n v="1119"/>
    <x v="1"/>
    <x v="1"/>
    <n v="73"/>
    <x v="1"/>
    <x v="2"/>
    <x v="0"/>
    <x v="2"/>
    <x v="2"/>
    <x v="763"/>
    <n v="5569"/>
    <n v="0"/>
    <s v="Y"/>
    <x v="0"/>
    <n v="14"/>
    <x v="0"/>
    <x v="2"/>
    <n v="80"/>
    <n v="2"/>
    <n v="9"/>
    <n v="2"/>
    <x v="1"/>
    <x v="3"/>
    <n v="7"/>
    <x v="3"/>
    <x v="1"/>
    <x v="1"/>
    <x v="0"/>
    <x v="0"/>
    <n v="0"/>
  </r>
  <r>
    <x v="11"/>
    <x v="1"/>
    <x v="0"/>
    <n v="1107"/>
    <x v="1"/>
    <n v="28"/>
    <x v="2"/>
    <x v="0"/>
    <x v="0"/>
    <n v="1120"/>
    <x v="1"/>
    <x v="0"/>
    <n v="93"/>
    <x v="0"/>
    <x v="1"/>
    <x v="1"/>
    <x v="0"/>
    <x v="2"/>
    <x v="764"/>
    <n v="26968"/>
    <n v="4"/>
    <s v="Y"/>
    <x v="1"/>
    <n v="22"/>
    <x v="1"/>
    <x v="0"/>
    <n v="80"/>
    <n v="1"/>
    <n v="11"/>
    <n v="1"/>
    <x v="1"/>
    <x v="5"/>
    <n v="5"/>
    <x v="1"/>
    <x v="1"/>
    <x v="2"/>
    <x v="0"/>
    <x v="1"/>
    <n v="0"/>
  </r>
  <r>
    <x v="14"/>
    <x v="1"/>
    <x v="0"/>
    <n v="950"/>
    <x v="1"/>
    <n v="3"/>
    <x v="3"/>
    <x v="2"/>
    <x v="0"/>
    <n v="1121"/>
    <x v="2"/>
    <x v="0"/>
    <n v="93"/>
    <x v="0"/>
    <x v="2"/>
    <x v="3"/>
    <x v="1"/>
    <x v="2"/>
    <x v="765"/>
    <n v="8039"/>
    <n v="0"/>
    <s v="Y"/>
    <x v="1"/>
    <n v="17"/>
    <x v="0"/>
    <x v="2"/>
    <n v="80"/>
    <n v="3"/>
    <n v="10"/>
    <n v="3"/>
    <x v="2"/>
    <x v="7"/>
    <n v="7"/>
    <x v="1"/>
    <x v="1"/>
    <x v="2"/>
    <x v="0"/>
    <x v="0"/>
    <n v="0"/>
  </r>
  <r>
    <x v="21"/>
    <x v="1"/>
    <x v="0"/>
    <n v="406"/>
    <x v="0"/>
    <n v="3"/>
    <x v="1"/>
    <x v="3"/>
    <x v="0"/>
    <n v="1124"/>
    <x v="3"/>
    <x v="1"/>
    <n v="52"/>
    <x v="0"/>
    <x v="3"/>
    <x v="5"/>
    <x v="2"/>
    <x v="1"/>
    <x v="766"/>
    <n v="15596"/>
    <n v="3"/>
    <s v="Y"/>
    <x v="1"/>
    <n v="12"/>
    <x v="0"/>
    <x v="1"/>
    <n v="80"/>
    <n v="1"/>
    <n v="23"/>
    <n v="3"/>
    <x v="1"/>
    <x v="12"/>
    <n v="9"/>
    <x v="5"/>
    <x v="12"/>
    <x v="0"/>
    <x v="3"/>
    <x v="2"/>
    <n v="0"/>
  </r>
  <r>
    <x v="8"/>
    <x v="1"/>
    <x v="0"/>
    <n v="130"/>
    <x v="0"/>
    <n v="2"/>
    <x v="0"/>
    <x v="3"/>
    <x v="0"/>
    <n v="1125"/>
    <x v="2"/>
    <x v="1"/>
    <n v="32"/>
    <x v="0"/>
    <x v="2"/>
    <x v="0"/>
    <x v="1"/>
    <x v="0"/>
    <x v="767"/>
    <n v="20619"/>
    <n v="7"/>
    <s v="Y"/>
    <x v="1"/>
    <n v="16"/>
    <x v="0"/>
    <x v="3"/>
    <n v="80"/>
    <n v="0"/>
    <n v="10"/>
    <n v="2"/>
    <x v="1"/>
    <x v="6"/>
    <n v="0"/>
    <x v="0"/>
    <x v="2"/>
    <x v="1"/>
    <x v="1"/>
    <x v="0"/>
    <n v="0"/>
  </r>
  <r>
    <x v="23"/>
    <x v="1"/>
    <x v="1"/>
    <n v="1082"/>
    <x v="1"/>
    <n v="27"/>
    <x v="3"/>
    <x v="0"/>
    <x v="0"/>
    <n v="1126"/>
    <x v="1"/>
    <x v="0"/>
    <n v="83"/>
    <x v="0"/>
    <x v="2"/>
    <x v="3"/>
    <x v="3"/>
    <x v="1"/>
    <x v="768"/>
    <n v="11535"/>
    <n v="8"/>
    <s v="Y"/>
    <x v="1"/>
    <n v="11"/>
    <x v="0"/>
    <x v="3"/>
    <n v="80"/>
    <n v="1"/>
    <n v="18"/>
    <n v="1"/>
    <x v="1"/>
    <x v="3"/>
    <n v="7"/>
    <x v="0"/>
    <x v="9"/>
    <x v="0"/>
    <x v="0"/>
    <x v="3"/>
    <n v="0"/>
  </r>
  <r>
    <x v="22"/>
    <x v="0"/>
    <x v="1"/>
    <n v="203"/>
    <x v="1"/>
    <n v="2"/>
    <x v="3"/>
    <x v="0"/>
    <x v="0"/>
    <n v="1127"/>
    <x v="3"/>
    <x v="1"/>
    <n v="84"/>
    <x v="0"/>
    <x v="3"/>
    <x v="4"/>
    <x v="0"/>
    <x v="2"/>
    <x v="769"/>
    <n v="13547"/>
    <n v="7"/>
    <s v="Y"/>
    <x v="1"/>
    <n v="11"/>
    <x v="0"/>
    <x v="1"/>
    <n v="80"/>
    <n v="3"/>
    <n v="21"/>
    <n v="4"/>
    <x v="1"/>
    <x v="29"/>
    <n v="7"/>
    <x v="14"/>
    <x v="0"/>
    <x v="1"/>
    <x v="3"/>
    <x v="3"/>
    <n v="1"/>
  </r>
  <r>
    <x v="32"/>
    <x v="1"/>
    <x v="0"/>
    <n v="1308"/>
    <x v="1"/>
    <n v="14"/>
    <x v="3"/>
    <x v="2"/>
    <x v="0"/>
    <n v="1128"/>
    <x v="1"/>
    <x v="1"/>
    <n v="44"/>
    <x v="1"/>
    <x v="4"/>
    <x v="7"/>
    <x v="2"/>
    <x v="0"/>
    <x v="770"/>
    <n v="17544"/>
    <n v="1"/>
    <s v="Y"/>
    <x v="1"/>
    <n v="14"/>
    <x v="0"/>
    <x v="0"/>
    <n v="80"/>
    <n v="0"/>
    <n v="21"/>
    <n v="2"/>
    <x v="3"/>
    <x v="23"/>
    <n v="7"/>
    <x v="5"/>
    <x v="12"/>
    <x v="0"/>
    <x v="3"/>
    <x v="2"/>
    <n v="0"/>
  </r>
  <r>
    <x v="18"/>
    <x v="1"/>
    <x v="0"/>
    <n v="984"/>
    <x v="1"/>
    <n v="1"/>
    <x v="1"/>
    <x v="4"/>
    <x v="0"/>
    <n v="1131"/>
    <x v="2"/>
    <x v="0"/>
    <n v="70"/>
    <x v="1"/>
    <x v="1"/>
    <x v="1"/>
    <x v="1"/>
    <x v="0"/>
    <x v="266"/>
    <n v="25326"/>
    <n v="1"/>
    <s v="Y"/>
    <x v="0"/>
    <n v="11"/>
    <x v="0"/>
    <x v="3"/>
    <n v="80"/>
    <n v="0"/>
    <n v="2"/>
    <n v="6"/>
    <x v="3"/>
    <x v="4"/>
    <n v="2"/>
    <x v="3"/>
    <x v="3"/>
    <x v="2"/>
    <x v="1"/>
    <x v="1"/>
    <n v="0"/>
  </r>
  <r>
    <x v="22"/>
    <x v="1"/>
    <x v="2"/>
    <n v="439"/>
    <x v="1"/>
    <n v="9"/>
    <x v="3"/>
    <x v="0"/>
    <x v="0"/>
    <n v="1132"/>
    <x v="1"/>
    <x v="1"/>
    <n v="70"/>
    <x v="0"/>
    <x v="0"/>
    <x v="2"/>
    <x v="1"/>
    <x v="0"/>
    <x v="771"/>
    <n v="8770"/>
    <n v="9"/>
    <s v="Y"/>
    <x v="1"/>
    <n v="15"/>
    <x v="0"/>
    <x v="3"/>
    <n v="80"/>
    <n v="0"/>
    <n v="9"/>
    <n v="2"/>
    <x v="2"/>
    <x v="8"/>
    <n v="4"/>
    <x v="0"/>
    <x v="6"/>
    <x v="1"/>
    <x v="2"/>
    <x v="0"/>
    <n v="0"/>
  </r>
  <r>
    <x v="9"/>
    <x v="1"/>
    <x v="2"/>
    <n v="217"/>
    <x v="1"/>
    <n v="18"/>
    <x v="2"/>
    <x v="0"/>
    <x v="0"/>
    <n v="1133"/>
    <x v="3"/>
    <x v="1"/>
    <n v="78"/>
    <x v="0"/>
    <x v="0"/>
    <x v="3"/>
    <x v="0"/>
    <x v="0"/>
    <x v="772"/>
    <n v="23238"/>
    <n v="2"/>
    <s v="Y"/>
    <x v="1"/>
    <n v="20"/>
    <x v="1"/>
    <x v="0"/>
    <n v="80"/>
    <n v="0"/>
    <n v="18"/>
    <n v="0"/>
    <x v="1"/>
    <x v="19"/>
    <n v="9"/>
    <x v="0"/>
    <x v="12"/>
    <x v="1"/>
    <x v="3"/>
    <x v="0"/>
    <n v="0"/>
  </r>
  <r>
    <x v="12"/>
    <x v="1"/>
    <x v="1"/>
    <n v="793"/>
    <x v="0"/>
    <n v="20"/>
    <x v="3"/>
    <x v="0"/>
    <x v="0"/>
    <n v="1135"/>
    <x v="1"/>
    <x v="1"/>
    <n v="67"/>
    <x v="2"/>
    <x v="1"/>
    <x v="6"/>
    <x v="0"/>
    <x v="1"/>
    <x v="773"/>
    <n v="21981"/>
    <n v="0"/>
    <s v="Y"/>
    <x v="1"/>
    <n v="12"/>
    <x v="0"/>
    <x v="0"/>
    <n v="80"/>
    <n v="1"/>
    <n v="3"/>
    <n v="4"/>
    <x v="1"/>
    <x v="4"/>
    <n v="2"/>
    <x v="3"/>
    <x v="3"/>
    <x v="1"/>
    <x v="1"/>
    <x v="1"/>
    <n v="0"/>
  </r>
  <r>
    <x v="14"/>
    <x v="1"/>
    <x v="0"/>
    <n v="1451"/>
    <x v="1"/>
    <n v="2"/>
    <x v="1"/>
    <x v="0"/>
    <x v="0"/>
    <n v="1136"/>
    <x v="3"/>
    <x v="1"/>
    <n v="67"/>
    <x v="1"/>
    <x v="1"/>
    <x v="1"/>
    <x v="1"/>
    <x v="1"/>
    <x v="774"/>
    <n v="19911"/>
    <n v="0"/>
    <s v="Y"/>
    <x v="1"/>
    <n v="17"/>
    <x v="0"/>
    <x v="0"/>
    <n v="80"/>
    <n v="0"/>
    <n v="6"/>
    <n v="2"/>
    <x v="0"/>
    <x v="8"/>
    <n v="3"/>
    <x v="0"/>
    <x v="10"/>
    <x v="2"/>
    <x v="2"/>
    <x v="1"/>
    <n v="0"/>
  </r>
  <r>
    <x v="10"/>
    <x v="1"/>
    <x v="1"/>
    <n v="1182"/>
    <x v="0"/>
    <n v="11"/>
    <x v="0"/>
    <x v="3"/>
    <x v="0"/>
    <n v="1137"/>
    <x v="2"/>
    <x v="1"/>
    <n v="54"/>
    <x v="0"/>
    <x v="0"/>
    <x v="0"/>
    <x v="0"/>
    <x v="2"/>
    <x v="775"/>
    <n v="18500"/>
    <n v="1"/>
    <s v="Y"/>
    <x v="1"/>
    <n v="11"/>
    <x v="0"/>
    <x v="1"/>
    <n v="80"/>
    <n v="1"/>
    <n v="5"/>
    <n v="3"/>
    <x v="1"/>
    <x v="8"/>
    <n v="2"/>
    <x v="0"/>
    <x v="3"/>
    <x v="1"/>
    <x v="2"/>
    <x v="1"/>
    <n v="0"/>
  </r>
  <r>
    <x v="1"/>
    <x v="1"/>
    <x v="0"/>
    <n v="174"/>
    <x v="0"/>
    <n v="8"/>
    <x v="2"/>
    <x v="4"/>
    <x v="0"/>
    <n v="1138"/>
    <x v="2"/>
    <x v="1"/>
    <n v="56"/>
    <x v="1"/>
    <x v="3"/>
    <x v="0"/>
    <x v="1"/>
    <x v="1"/>
    <x v="776"/>
    <n v="11879"/>
    <n v="6"/>
    <s v="Y"/>
    <x v="1"/>
    <n v="17"/>
    <x v="0"/>
    <x v="2"/>
    <n v="80"/>
    <n v="1"/>
    <n v="22"/>
    <n v="3"/>
    <x v="1"/>
    <x v="7"/>
    <n v="8"/>
    <x v="3"/>
    <x v="6"/>
    <x v="0"/>
    <x v="0"/>
    <x v="3"/>
    <n v="0"/>
  </r>
  <r>
    <x v="13"/>
    <x v="1"/>
    <x v="1"/>
    <n v="1003"/>
    <x v="1"/>
    <n v="2"/>
    <x v="0"/>
    <x v="0"/>
    <x v="0"/>
    <n v="1140"/>
    <x v="2"/>
    <x v="1"/>
    <n v="95"/>
    <x v="0"/>
    <x v="0"/>
    <x v="3"/>
    <x v="2"/>
    <x v="0"/>
    <x v="777"/>
    <n v="15834"/>
    <n v="2"/>
    <s v="Y"/>
    <x v="1"/>
    <n v="11"/>
    <x v="0"/>
    <x v="1"/>
    <n v="80"/>
    <n v="0"/>
    <n v="5"/>
    <n v="3"/>
    <x v="2"/>
    <x v="11"/>
    <n v="2"/>
    <x v="0"/>
    <x v="3"/>
    <x v="1"/>
    <x v="2"/>
    <x v="1"/>
    <n v="0"/>
  </r>
  <r>
    <x v="11"/>
    <x v="1"/>
    <x v="1"/>
    <n v="490"/>
    <x v="1"/>
    <n v="10"/>
    <x v="3"/>
    <x v="0"/>
    <x v="0"/>
    <n v="1143"/>
    <x v="2"/>
    <x v="0"/>
    <n v="61"/>
    <x v="0"/>
    <x v="1"/>
    <x v="1"/>
    <x v="1"/>
    <x v="2"/>
    <x v="778"/>
    <n v="17940"/>
    <n v="0"/>
    <s v="Y"/>
    <x v="1"/>
    <n v="14"/>
    <x v="0"/>
    <x v="1"/>
    <n v="80"/>
    <n v="2"/>
    <n v="8"/>
    <n v="2"/>
    <x v="2"/>
    <x v="5"/>
    <n v="5"/>
    <x v="1"/>
    <x v="9"/>
    <x v="2"/>
    <x v="0"/>
    <x v="1"/>
    <n v="0"/>
  </r>
  <r>
    <x v="19"/>
    <x v="1"/>
    <x v="0"/>
    <n v="188"/>
    <x v="1"/>
    <n v="29"/>
    <x v="3"/>
    <x v="2"/>
    <x v="0"/>
    <n v="1148"/>
    <x v="0"/>
    <x v="1"/>
    <n v="56"/>
    <x v="3"/>
    <x v="0"/>
    <x v="2"/>
    <x v="0"/>
    <x v="0"/>
    <x v="779"/>
    <n v="9558"/>
    <n v="4"/>
    <s v="Y"/>
    <x v="1"/>
    <n v="19"/>
    <x v="0"/>
    <x v="0"/>
    <n v="80"/>
    <n v="0"/>
    <n v="16"/>
    <n v="3"/>
    <x v="1"/>
    <x v="6"/>
    <n v="0"/>
    <x v="0"/>
    <x v="2"/>
    <x v="0"/>
    <x v="1"/>
    <x v="1"/>
    <n v="0"/>
  </r>
  <r>
    <x v="11"/>
    <x v="1"/>
    <x v="0"/>
    <n v="718"/>
    <x v="1"/>
    <n v="8"/>
    <x v="1"/>
    <x v="2"/>
    <x v="0"/>
    <n v="1150"/>
    <x v="0"/>
    <x v="1"/>
    <n v="79"/>
    <x v="1"/>
    <x v="0"/>
    <x v="3"/>
    <x v="0"/>
    <x v="1"/>
    <x v="780"/>
    <n v="17689"/>
    <n v="1"/>
    <s v="Y"/>
    <x v="0"/>
    <n v="15"/>
    <x v="0"/>
    <x v="3"/>
    <n v="80"/>
    <n v="1"/>
    <n v="10"/>
    <n v="2"/>
    <x v="2"/>
    <x v="1"/>
    <n v="7"/>
    <x v="1"/>
    <x v="3"/>
    <x v="2"/>
    <x v="0"/>
    <x v="0"/>
    <n v="0"/>
  </r>
  <r>
    <x v="8"/>
    <x v="1"/>
    <x v="0"/>
    <n v="433"/>
    <x v="2"/>
    <n v="1"/>
    <x v="3"/>
    <x v="5"/>
    <x v="0"/>
    <n v="1152"/>
    <x v="1"/>
    <x v="1"/>
    <n v="37"/>
    <x v="2"/>
    <x v="1"/>
    <x v="8"/>
    <x v="2"/>
    <x v="1"/>
    <x v="781"/>
    <n v="6004"/>
    <n v="1"/>
    <s v="Y"/>
    <x v="1"/>
    <n v="13"/>
    <x v="0"/>
    <x v="1"/>
    <n v="80"/>
    <n v="1"/>
    <n v="7"/>
    <n v="2"/>
    <x v="3"/>
    <x v="5"/>
    <n v="6"/>
    <x v="8"/>
    <x v="2"/>
    <x v="1"/>
    <x v="0"/>
    <x v="1"/>
    <n v="0"/>
  </r>
  <r>
    <x v="14"/>
    <x v="1"/>
    <x v="1"/>
    <n v="773"/>
    <x v="1"/>
    <n v="6"/>
    <x v="3"/>
    <x v="0"/>
    <x v="0"/>
    <n v="1154"/>
    <x v="1"/>
    <x v="1"/>
    <n v="39"/>
    <x v="1"/>
    <x v="1"/>
    <x v="1"/>
    <x v="2"/>
    <x v="2"/>
    <x v="68"/>
    <n v="22088"/>
    <n v="1"/>
    <s v="Y"/>
    <x v="0"/>
    <n v="14"/>
    <x v="0"/>
    <x v="1"/>
    <n v="80"/>
    <n v="1"/>
    <n v="3"/>
    <n v="2"/>
    <x v="1"/>
    <x v="11"/>
    <n v="1"/>
    <x v="0"/>
    <x v="3"/>
    <x v="2"/>
    <x v="2"/>
    <x v="1"/>
    <n v="0"/>
  </r>
  <r>
    <x v="41"/>
    <x v="0"/>
    <x v="2"/>
    <n v="247"/>
    <x v="1"/>
    <n v="8"/>
    <x v="1"/>
    <x v="2"/>
    <x v="0"/>
    <n v="1156"/>
    <x v="1"/>
    <x v="1"/>
    <n v="80"/>
    <x v="0"/>
    <x v="1"/>
    <x v="2"/>
    <x v="2"/>
    <x v="0"/>
    <x v="782"/>
    <n v="13556"/>
    <n v="1"/>
    <s v="Y"/>
    <x v="1"/>
    <n v="12"/>
    <x v="0"/>
    <x v="1"/>
    <n v="80"/>
    <n v="0"/>
    <n v="0"/>
    <n v="0"/>
    <x v="1"/>
    <x v="2"/>
    <n v="0"/>
    <x v="0"/>
    <x v="2"/>
    <x v="4"/>
    <x v="1"/>
    <x v="1"/>
    <n v="1"/>
  </r>
  <r>
    <x v="3"/>
    <x v="0"/>
    <x v="0"/>
    <n v="603"/>
    <x v="0"/>
    <n v="9"/>
    <x v="2"/>
    <x v="3"/>
    <x v="0"/>
    <n v="1157"/>
    <x v="3"/>
    <x v="0"/>
    <n v="77"/>
    <x v="0"/>
    <x v="0"/>
    <x v="0"/>
    <x v="3"/>
    <x v="0"/>
    <x v="783"/>
    <n v="18385"/>
    <n v="0"/>
    <s v="Y"/>
    <x v="0"/>
    <n v="17"/>
    <x v="0"/>
    <x v="0"/>
    <n v="80"/>
    <n v="0"/>
    <n v="6"/>
    <n v="3"/>
    <x v="1"/>
    <x v="8"/>
    <n v="2"/>
    <x v="0"/>
    <x v="6"/>
    <x v="1"/>
    <x v="2"/>
    <x v="0"/>
    <n v="1"/>
  </r>
  <r>
    <x v="0"/>
    <x v="1"/>
    <x v="0"/>
    <n v="167"/>
    <x v="1"/>
    <n v="12"/>
    <x v="2"/>
    <x v="0"/>
    <x v="0"/>
    <n v="1158"/>
    <x v="0"/>
    <x v="1"/>
    <n v="46"/>
    <x v="0"/>
    <x v="1"/>
    <x v="2"/>
    <x v="0"/>
    <x v="1"/>
    <x v="784"/>
    <n v="9051"/>
    <n v="3"/>
    <s v="Y"/>
    <x v="0"/>
    <n v="11"/>
    <x v="0"/>
    <x v="0"/>
    <n v="80"/>
    <n v="1"/>
    <n v="6"/>
    <n v="4"/>
    <x v="1"/>
    <x v="6"/>
    <n v="0"/>
    <x v="0"/>
    <x v="2"/>
    <x v="0"/>
    <x v="1"/>
    <x v="1"/>
    <n v="0"/>
  </r>
  <r>
    <x v="12"/>
    <x v="0"/>
    <x v="1"/>
    <n v="874"/>
    <x v="1"/>
    <n v="15"/>
    <x v="3"/>
    <x v="2"/>
    <x v="0"/>
    <n v="1160"/>
    <x v="1"/>
    <x v="1"/>
    <n v="72"/>
    <x v="0"/>
    <x v="1"/>
    <x v="2"/>
    <x v="2"/>
    <x v="1"/>
    <x v="353"/>
    <n v="6233"/>
    <n v="1"/>
    <s v="Y"/>
    <x v="1"/>
    <n v="12"/>
    <x v="0"/>
    <x v="3"/>
    <n v="80"/>
    <n v="1"/>
    <n v="2"/>
    <n v="5"/>
    <x v="2"/>
    <x v="4"/>
    <n v="2"/>
    <x v="3"/>
    <x v="3"/>
    <x v="1"/>
    <x v="1"/>
    <x v="1"/>
    <n v="1"/>
  </r>
  <r>
    <x v="2"/>
    <x v="1"/>
    <x v="0"/>
    <n v="367"/>
    <x v="1"/>
    <n v="25"/>
    <x v="0"/>
    <x v="2"/>
    <x v="0"/>
    <n v="1161"/>
    <x v="1"/>
    <x v="0"/>
    <n v="52"/>
    <x v="1"/>
    <x v="0"/>
    <x v="4"/>
    <x v="0"/>
    <x v="2"/>
    <x v="785"/>
    <n v="17171"/>
    <n v="7"/>
    <s v="Y"/>
    <x v="1"/>
    <n v="13"/>
    <x v="0"/>
    <x v="3"/>
    <n v="80"/>
    <n v="2"/>
    <n v="9"/>
    <n v="2"/>
    <x v="1"/>
    <x v="0"/>
    <n v="2"/>
    <x v="1"/>
    <x v="6"/>
    <x v="1"/>
    <x v="0"/>
    <x v="0"/>
    <n v="0"/>
  </r>
  <r>
    <x v="4"/>
    <x v="1"/>
    <x v="0"/>
    <n v="199"/>
    <x v="1"/>
    <n v="6"/>
    <x v="3"/>
    <x v="0"/>
    <x v="0"/>
    <n v="1162"/>
    <x v="2"/>
    <x v="1"/>
    <n v="55"/>
    <x v="1"/>
    <x v="1"/>
    <x v="1"/>
    <x v="2"/>
    <x v="1"/>
    <x v="786"/>
    <n v="7950"/>
    <n v="1"/>
    <s v="Y"/>
    <x v="1"/>
    <n v="13"/>
    <x v="0"/>
    <x v="3"/>
    <n v="80"/>
    <n v="1"/>
    <n v="4"/>
    <n v="0"/>
    <x v="1"/>
    <x v="9"/>
    <n v="2"/>
    <x v="3"/>
    <x v="3"/>
    <x v="2"/>
    <x v="2"/>
    <x v="1"/>
    <n v="0"/>
  </r>
  <r>
    <x v="13"/>
    <x v="1"/>
    <x v="0"/>
    <n v="1400"/>
    <x v="0"/>
    <n v="9"/>
    <x v="1"/>
    <x v="0"/>
    <x v="0"/>
    <n v="1163"/>
    <x v="0"/>
    <x v="0"/>
    <n v="70"/>
    <x v="0"/>
    <x v="0"/>
    <x v="0"/>
    <x v="2"/>
    <x v="1"/>
    <x v="787"/>
    <n v="5829"/>
    <n v="1"/>
    <s v="Y"/>
    <x v="1"/>
    <n v="20"/>
    <x v="1"/>
    <x v="0"/>
    <n v="80"/>
    <n v="0"/>
    <n v="6"/>
    <n v="3"/>
    <x v="2"/>
    <x v="0"/>
    <n v="5"/>
    <x v="1"/>
    <x v="6"/>
    <x v="1"/>
    <x v="0"/>
    <x v="0"/>
    <n v="0"/>
  </r>
  <r>
    <x v="10"/>
    <x v="1"/>
    <x v="0"/>
    <n v="528"/>
    <x v="2"/>
    <n v="8"/>
    <x v="2"/>
    <x v="4"/>
    <x v="0"/>
    <n v="1164"/>
    <x v="1"/>
    <x v="1"/>
    <n v="100"/>
    <x v="0"/>
    <x v="1"/>
    <x v="8"/>
    <x v="2"/>
    <x v="0"/>
    <x v="788"/>
    <n v="7108"/>
    <n v="1"/>
    <s v="Y"/>
    <x v="1"/>
    <n v="17"/>
    <x v="0"/>
    <x v="2"/>
    <n v="80"/>
    <n v="0"/>
    <n v="6"/>
    <n v="2"/>
    <x v="0"/>
    <x v="8"/>
    <n v="4"/>
    <x v="1"/>
    <x v="10"/>
    <x v="1"/>
    <x v="2"/>
    <x v="1"/>
    <n v="0"/>
  </r>
  <r>
    <x v="11"/>
    <x v="0"/>
    <x v="0"/>
    <n v="408"/>
    <x v="0"/>
    <n v="23"/>
    <x v="1"/>
    <x v="0"/>
    <x v="0"/>
    <n v="1165"/>
    <x v="2"/>
    <x v="0"/>
    <n v="45"/>
    <x v="1"/>
    <x v="2"/>
    <x v="0"/>
    <x v="3"/>
    <x v="1"/>
    <x v="789"/>
    <n v="11162"/>
    <n v="1"/>
    <s v="Y"/>
    <x v="1"/>
    <n v="13"/>
    <x v="0"/>
    <x v="0"/>
    <n v="80"/>
    <n v="1"/>
    <n v="11"/>
    <n v="3"/>
    <x v="0"/>
    <x v="19"/>
    <n v="8"/>
    <x v="2"/>
    <x v="13"/>
    <x v="2"/>
    <x v="3"/>
    <x v="0"/>
    <n v="1"/>
  </r>
  <r>
    <x v="32"/>
    <x v="1"/>
    <x v="1"/>
    <n v="593"/>
    <x v="1"/>
    <n v="9"/>
    <x v="2"/>
    <x v="2"/>
    <x v="0"/>
    <n v="1166"/>
    <x v="0"/>
    <x v="0"/>
    <n v="88"/>
    <x v="0"/>
    <x v="2"/>
    <x v="7"/>
    <x v="2"/>
    <x v="0"/>
    <x v="790"/>
    <n v="13782"/>
    <n v="9"/>
    <s v="Y"/>
    <x v="1"/>
    <n v="17"/>
    <x v="0"/>
    <x v="3"/>
    <n v="80"/>
    <n v="0"/>
    <n v="20"/>
    <n v="3"/>
    <x v="2"/>
    <x v="29"/>
    <n v="7"/>
    <x v="3"/>
    <x v="15"/>
    <x v="0"/>
    <x v="3"/>
    <x v="3"/>
    <n v="0"/>
  </r>
  <r>
    <x v="19"/>
    <x v="0"/>
    <x v="1"/>
    <n v="481"/>
    <x v="0"/>
    <n v="12"/>
    <x v="3"/>
    <x v="0"/>
    <x v="0"/>
    <n v="1167"/>
    <x v="1"/>
    <x v="1"/>
    <n v="44"/>
    <x v="0"/>
    <x v="3"/>
    <x v="0"/>
    <x v="3"/>
    <x v="0"/>
    <x v="791"/>
    <n v="2447"/>
    <n v="0"/>
    <s v="Y"/>
    <x v="0"/>
    <n v="12"/>
    <x v="0"/>
    <x v="2"/>
    <n v="80"/>
    <n v="0"/>
    <n v="22"/>
    <n v="2"/>
    <x v="2"/>
    <x v="17"/>
    <n v="9"/>
    <x v="11"/>
    <x v="17"/>
    <x v="0"/>
    <x v="3"/>
    <x v="3"/>
    <n v="1"/>
  </r>
  <r>
    <x v="19"/>
    <x v="1"/>
    <x v="0"/>
    <n v="647"/>
    <x v="0"/>
    <n v="4"/>
    <x v="2"/>
    <x v="3"/>
    <x v="0"/>
    <n v="1171"/>
    <x v="0"/>
    <x v="1"/>
    <n v="45"/>
    <x v="0"/>
    <x v="0"/>
    <x v="0"/>
    <x v="3"/>
    <x v="0"/>
    <x v="792"/>
    <n v="2253"/>
    <n v="7"/>
    <s v="Y"/>
    <x v="1"/>
    <n v="13"/>
    <x v="0"/>
    <x v="1"/>
    <n v="80"/>
    <n v="0"/>
    <n v="9"/>
    <n v="3"/>
    <x v="3"/>
    <x v="0"/>
    <n v="4"/>
    <x v="1"/>
    <x v="0"/>
    <x v="0"/>
    <x v="0"/>
    <x v="0"/>
    <n v="0"/>
  </r>
  <r>
    <x v="10"/>
    <x v="1"/>
    <x v="0"/>
    <n v="982"/>
    <x v="1"/>
    <n v="1"/>
    <x v="2"/>
    <x v="2"/>
    <x v="0"/>
    <n v="1172"/>
    <x v="2"/>
    <x v="1"/>
    <n v="58"/>
    <x v="1"/>
    <x v="1"/>
    <x v="2"/>
    <x v="2"/>
    <x v="1"/>
    <x v="384"/>
    <n v="16340"/>
    <n v="6"/>
    <s v="Y"/>
    <x v="1"/>
    <n v="12"/>
    <x v="0"/>
    <x v="2"/>
    <n v="80"/>
    <n v="1"/>
    <n v="10"/>
    <n v="2"/>
    <x v="1"/>
    <x v="3"/>
    <n v="0"/>
    <x v="1"/>
    <x v="1"/>
    <x v="1"/>
    <x v="0"/>
    <x v="1"/>
    <n v="0"/>
  </r>
  <r>
    <x v="17"/>
    <x v="1"/>
    <x v="0"/>
    <n v="477"/>
    <x v="1"/>
    <n v="24"/>
    <x v="3"/>
    <x v="2"/>
    <x v="0"/>
    <n v="1173"/>
    <x v="2"/>
    <x v="1"/>
    <n v="49"/>
    <x v="0"/>
    <x v="1"/>
    <x v="2"/>
    <x v="1"/>
    <x v="0"/>
    <x v="793"/>
    <n v="6409"/>
    <n v="8"/>
    <s v="Y"/>
    <x v="1"/>
    <n v="22"/>
    <x v="1"/>
    <x v="1"/>
    <n v="80"/>
    <n v="0"/>
    <n v="6"/>
    <n v="2"/>
    <x v="1"/>
    <x v="9"/>
    <n v="3"/>
    <x v="1"/>
    <x v="3"/>
    <x v="2"/>
    <x v="2"/>
    <x v="1"/>
    <n v="0"/>
  </r>
  <r>
    <x v="14"/>
    <x v="0"/>
    <x v="0"/>
    <n v="1485"/>
    <x v="1"/>
    <n v="12"/>
    <x v="1"/>
    <x v="0"/>
    <x v="0"/>
    <n v="1175"/>
    <x v="1"/>
    <x v="0"/>
    <n v="79"/>
    <x v="0"/>
    <x v="1"/>
    <x v="2"/>
    <x v="0"/>
    <x v="1"/>
    <x v="605"/>
    <n v="22955"/>
    <n v="1"/>
    <s v="Y"/>
    <x v="0"/>
    <n v="11"/>
    <x v="0"/>
    <x v="1"/>
    <n v="80"/>
    <n v="0"/>
    <n v="1"/>
    <n v="4"/>
    <x v="2"/>
    <x v="6"/>
    <n v="1"/>
    <x v="0"/>
    <x v="2"/>
    <x v="2"/>
    <x v="1"/>
    <x v="1"/>
    <n v="1"/>
  </r>
  <r>
    <x v="25"/>
    <x v="1"/>
    <x v="0"/>
    <n v="1384"/>
    <x v="1"/>
    <n v="3"/>
    <x v="2"/>
    <x v="2"/>
    <x v="0"/>
    <n v="1177"/>
    <x v="3"/>
    <x v="1"/>
    <n v="82"/>
    <x v="2"/>
    <x v="1"/>
    <x v="2"/>
    <x v="0"/>
    <x v="1"/>
    <x v="794"/>
    <n v="13421"/>
    <n v="1"/>
    <s v="Y"/>
    <x v="1"/>
    <n v="22"/>
    <x v="1"/>
    <x v="2"/>
    <n v="80"/>
    <n v="1"/>
    <n v="8"/>
    <n v="2"/>
    <x v="1"/>
    <x v="3"/>
    <n v="7"/>
    <x v="0"/>
    <x v="1"/>
    <x v="2"/>
    <x v="0"/>
    <x v="1"/>
    <n v="0"/>
  </r>
  <r>
    <x v="7"/>
    <x v="1"/>
    <x v="0"/>
    <n v="852"/>
    <x v="0"/>
    <n v="10"/>
    <x v="3"/>
    <x v="3"/>
    <x v="0"/>
    <n v="1179"/>
    <x v="1"/>
    <x v="1"/>
    <n v="72"/>
    <x v="1"/>
    <x v="0"/>
    <x v="0"/>
    <x v="2"/>
    <x v="1"/>
    <x v="795"/>
    <n v="2706"/>
    <n v="1"/>
    <s v="Y"/>
    <x v="1"/>
    <n v="18"/>
    <x v="0"/>
    <x v="0"/>
    <n v="80"/>
    <n v="1"/>
    <n v="10"/>
    <n v="3"/>
    <x v="1"/>
    <x v="1"/>
    <n v="3"/>
    <x v="1"/>
    <x v="10"/>
    <x v="1"/>
    <x v="0"/>
    <x v="0"/>
    <n v="0"/>
  </r>
  <r>
    <x v="32"/>
    <x v="1"/>
    <x v="1"/>
    <n v="902"/>
    <x v="1"/>
    <n v="26"/>
    <x v="0"/>
    <x v="2"/>
    <x v="0"/>
    <n v="1180"/>
    <x v="1"/>
    <x v="0"/>
    <n v="92"/>
    <x v="1"/>
    <x v="0"/>
    <x v="1"/>
    <x v="0"/>
    <x v="1"/>
    <x v="796"/>
    <n v="21203"/>
    <n v="3"/>
    <s v="Y"/>
    <x v="0"/>
    <n v="13"/>
    <x v="0"/>
    <x v="1"/>
    <n v="80"/>
    <n v="1"/>
    <n v="16"/>
    <n v="3"/>
    <x v="0"/>
    <x v="6"/>
    <n v="1"/>
    <x v="0"/>
    <x v="2"/>
    <x v="0"/>
    <x v="1"/>
    <x v="1"/>
    <n v="0"/>
  </r>
  <r>
    <x v="10"/>
    <x v="1"/>
    <x v="0"/>
    <n v="819"/>
    <x v="1"/>
    <n v="2"/>
    <x v="3"/>
    <x v="0"/>
    <x v="0"/>
    <n v="1182"/>
    <x v="1"/>
    <x v="1"/>
    <n v="44"/>
    <x v="1"/>
    <x v="2"/>
    <x v="3"/>
    <x v="1"/>
    <x v="2"/>
    <x v="797"/>
    <n v="19588"/>
    <n v="2"/>
    <s v="Y"/>
    <x v="1"/>
    <n v="18"/>
    <x v="0"/>
    <x v="2"/>
    <n v="80"/>
    <n v="1"/>
    <n v="15"/>
    <n v="2"/>
    <x v="3"/>
    <x v="5"/>
    <n v="7"/>
    <x v="7"/>
    <x v="10"/>
    <x v="1"/>
    <x v="0"/>
    <x v="3"/>
    <n v="0"/>
  </r>
  <r>
    <x v="13"/>
    <x v="1"/>
    <x v="1"/>
    <n v="669"/>
    <x v="1"/>
    <n v="1"/>
    <x v="3"/>
    <x v="2"/>
    <x v="0"/>
    <n v="1184"/>
    <x v="2"/>
    <x v="1"/>
    <n v="97"/>
    <x v="1"/>
    <x v="0"/>
    <x v="4"/>
    <x v="3"/>
    <x v="0"/>
    <x v="798"/>
    <n v="25755"/>
    <n v="0"/>
    <s v="Y"/>
    <x v="1"/>
    <n v="20"/>
    <x v="1"/>
    <x v="3"/>
    <n v="80"/>
    <n v="0"/>
    <n v="14"/>
    <n v="3"/>
    <x v="1"/>
    <x v="20"/>
    <n v="9"/>
    <x v="5"/>
    <x v="12"/>
    <x v="1"/>
    <x v="3"/>
    <x v="0"/>
    <n v="0"/>
  </r>
  <r>
    <x v="10"/>
    <x v="1"/>
    <x v="1"/>
    <n v="636"/>
    <x v="1"/>
    <n v="4"/>
    <x v="2"/>
    <x v="1"/>
    <x v="0"/>
    <n v="1185"/>
    <x v="2"/>
    <x v="1"/>
    <n v="47"/>
    <x v="1"/>
    <x v="1"/>
    <x v="2"/>
    <x v="0"/>
    <x v="1"/>
    <x v="799"/>
    <n v="26537"/>
    <n v="1"/>
    <s v="Y"/>
    <x v="1"/>
    <n v="13"/>
    <x v="0"/>
    <x v="2"/>
    <n v="80"/>
    <n v="1"/>
    <n v="2"/>
    <n v="2"/>
    <x v="3"/>
    <x v="4"/>
    <n v="2"/>
    <x v="3"/>
    <x v="3"/>
    <x v="1"/>
    <x v="1"/>
    <x v="1"/>
    <n v="0"/>
  </r>
  <r>
    <x v="23"/>
    <x v="0"/>
    <x v="0"/>
    <n v="1372"/>
    <x v="0"/>
    <n v="9"/>
    <x v="3"/>
    <x v="3"/>
    <x v="0"/>
    <n v="1188"/>
    <x v="3"/>
    <x v="0"/>
    <n v="85"/>
    <x v="3"/>
    <x v="0"/>
    <x v="0"/>
    <x v="2"/>
    <x v="0"/>
    <x v="800"/>
    <n v="9489"/>
    <n v="8"/>
    <s v="Y"/>
    <x v="1"/>
    <n v="13"/>
    <x v="0"/>
    <x v="2"/>
    <n v="80"/>
    <n v="0"/>
    <n v="7"/>
    <n v="2"/>
    <x v="2"/>
    <x v="9"/>
    <n v="3"/>
    <x v="1"/>
    <x v="6"/>
    <x v="0"/>
    <x v="2"/>
    <x v="0"/>
    <n v="1"/>
  </r>
  <r>
    <x v="5"/>
    <x v="1"/>
    <x v="2"/>
    <n v="862"/>
    <x v="0"/>
    <n v="2"/>
    <x v="1"/>
    <x v="0"/>
    <x v="0"/>
    <n v="1190"/>
    <x v="1"/>
    <x v="0"/>
    <n v="76"/>
    <x v="0"/>
    <x v="1"/>
    <x v="6"/>
    <x v="3"/>
    <x v="2"/>
    <x v="801"/>
    <n v="14947"/>
    <n v="1"/>
    <s v="Y"/>
    <x v="1"/>
    <n v="12"/>
    <x v="0"/>
    <x v="3"/>
    <n v="80"/>
    <n v="3"/>
    <n v="1"/>
    <n v="3"/>
    <x v="1"/>
    <x v="6"/>
    <n v="0"/>
    <x v="0"/>
    <x v="2"/>
    <x v="1"/>
    <x v="1"/>
    <x v="1"/>
    <n v="0"/>
  </r>
  <r>
    <x v="29"/>
    <x v="1"/>
    <x v="0"/>
    <n v="718"/>
    <x v="1"/>
    <n v="4"/>
    <x v="2"/>
    <x v="4"/>
    <x v="0"/>
    <n v="1191"/>
    <x v="2"/>
    <x v="0"/>
    <n v="92"/>
    <x v="0"/>
    <x v="4"/>
    <x v="5"/>
    <x v="3"/>
    <x v="2"/>
    <x v="802"/>
    <n v="18575"/>
    <n v="4"/>
    <s v="Y"/>
    <x v="1"/>
    <n v="13"/>
    <x v="0"/>
    <x v="1"/>
    <n v="80"/>
    <n v="1"/>
    <n v="28"/>
    <n v="2"/>
    <x v="1"/>
    <x v="8"/>
    <n v="2"/>
    <x v="5"/>
    <x v="3"/>
    <x v="3"/>
    <x v="2"/>
    <x v="2"/>
    <n v="0"/>
  </r>
  <r>
    <x v="11"/>
    <x v="1"/>
    <x v="0"/>
    <n v="1401"/>
    <x v="1"/>
    <n v="6"/>
    <x v="1"/>
    <x v="2"/>
    <x v="0"/>
    <n v="1192"/>
    <x v="0"/>
    <x v="0"/>
    <n v="54"/>
    <x v="0"/>
    <x v="1"/>
    <x v="2"/>
    <x v="0"/>
    <x v="1"/>
    <x v="803"/>
    <n v="26342"/>
    <n v="1"/>
    <s v="Y"/>
    <x v="1"/>
    <n v="13"/>
    <x v="0"/>
    <x v="0"/>
    <n v="80"/>
    <n v="1"/>
    <n v="10"/>
    <n v="5"/>
    <x v="1"/>
    <x v="1"/>
    <n v="8"/>
    <x v="0"/>
    <x v="5"/>
    <x v="2"/>
    <x v="0"/>
    <x v="1"/>
    <n v="0"/>
  </r>
  <r>
    <x v="37"/>
    <x v="1"/>
    <x v="0"/>
    <n v="645"/>
    <x v="1"/>
    <n v="9"/>
    <x v="0"/>
    <x v="0"/>
    <x v="0"/>
    <n v="1193"/>
    <x v="1"/>
    <x v="1"/>
    <n v="54"/>
    <x v="0"/>
    <x v="1"/>
    <x v="1"/>
    <x v="3"/>
    <x v="0"/>
    <x v="804"/>
    <n v="7172"/>
    <n v="1"/>
    <s v="Y"/>
    <x v="1"/>
    <n v="25"/>
    <x v="1"/>
    <x v="3"/>
    <n v="80"/>
    <n v="0"/>
    <n v="1"/>
    <n v="4"/>
    <x v="1"/>
    <x v="6"/>
    <n v="1"/>
    <x v="0"/>
    <x v="2"/>
    <x v="4"/>
    <x v="1"/>
    <x v="1"/>
    <n v="0"/>
  </r>
  <r>
    <x v="28"/>
    <x v="1"/>
    <x v="0"/>
    <n v="1457"/>
    <x v="1"/>
    <n v="7"/>
    <x v="3"/>
    <x v="2"/>
    <x v="0"/>
    <n v="1195"/>
    <x v="3"/>
    <x v="0"/>
    <n v="83"/>
    <x v="0"/>
    <x v="1"/>
    <x v="1"/>
    <x v="2"/>
    <x v="1"/>
    <x v="805"/>
    <n v="20100"/>
    <n v="4"/>
    <s v="Y"/>
    <x v="0"/>
    <n v="19"/>
    <x v="0"/>
    <x v="3"/>
    <n v="80"/>
    <n v="1"/>
    <n v="7"/>
    <n v="2"/>
    <x v="2"/>
    <x v="11"/>
    <n v="2"/>
    <x v="0"/>
    <x v="3"/>
    <x v="0"/>
    <x v="2"/>
    <x v="1"/>
    <n v="0"/>
  </r>
  <r>
    <x v="2"/>
    <x v="1"/>
    <x v="0"/>
    <n v="977"/>
    <x v="1"/>
    <n v="1"/>
    <x v="3"/>
    <x v="0"/>
    <x v="0"/>
    <n v="1196"/>
    <x v="2"/>
    <x v="0"/>
    <n v="56"/>
    <x v="1"/>
    <x v="0"/>
    <x v="3"/>
    <x v="0"/>
    <x v="1"/>
    <x v="806"/>
    <n v="9961"/>
    <n v="1"/>
    <s v="Y"/>
    <x v="1"/>
    <n v="13"/>
    <x v="0"/>
    <x v="2"/>
    <n v="80"/>
    <n v="1"/>
    <n v="14"/>
    <n v="2"/>
    <x v="2"/>
    <x v="13"/>
    <n v="8"/>
    <x v="2"/>
    <x v="7"/>
    <x v="1"/>
    <x v="3"/>
    <x v="0"/>
    <n v="0"/>
  </r>
  <r>
    <x v="35"/>
    <x v="1"/>
    <x v="0"/>
    <n v="805"/>
    <x v="1"/>
    <n v="3"/>
    <x v="3"/>
    <x v="0"/>
    <x v="0"/>
    <n v="1198"/>
    <x v="3"/>
    <x v="1"/>
    <n v="87"/>
    <x v="1"/>
    <x v="1"/>
    <x v="2"/>
    <x v="2"/>
    <x v="0"/>
    <x v="807"/>
    <n v="12828"/>
    <n v="1"/>
    <s v="Y"/>
    <x v="1"/>
    <n v="12"/>
    <x v="0"/>
    <x v="0"/>
    <n v="80"/>
    <n v="0"/>
    <n v="2"/>
    <n v="2"/>
    <x v="2"/>
    <x v="4"/>
    <n v="2"/>
    <x v="1"/>
    <x v="3"/>
    <x v="2"/>
    <x v="1"/>
    <x v="1"/>
    <n v="0"/>
  </r>
  <r>
    <x v="20"/>
    <x v="0"/>
    <x v="0"/>
    <n v="1097"/>
    <x v="1"/>
    <n v="10"/>
    <x v="2"/>
    <x v="0"/>
    <x v="0"/>
    <n v="1200"/>
    <x v="1"/>
    <x v="1"/>
    <n v="96"/>
    <x v="0"/>
    <x v="1"/>
    <x v="1"/>
    <x v="2"/>
    <x v="0"/>
    <x v="808"/>
    <n v="10826"/>
    <n v="1"/>
    <s v="Y"/>
    <x v="0"/>
    <n v="11"/>
    <x v="0"/>
    <x v="3"/>
    <n v="80"/>
    <n v="0"/>
    <n v="6"/>
    <n v="4"/>
    <x v="1"/>
    <x v="0"/>
    <n v="4"/>
    <x v="0"/>
    <x v="3"/>
    <x v="0"/>
    <x v="0"/>
    <x v="1"/>
    <n v="1"/>
  </r>
  <r>
    <x v="16"/>
    <x v="1"/>
    <x v="0"/>
    <n v="1223"/>
    <x v="1"/>
    <n v="7"/>
    <x v="0"/>
    <x v="2"/>
    <x v="0"/>
    <n v="1201"/>
    <x v="2"/>
    <x v="0"/>
    <n v="50"/>
    <x v="0"/>
    <x v="4"/>
    <x v="5"/>
    <x v="2"/>
    <x v="2"/>
    <x v="809"/>
    <n v="18640"/>
    <n v="3"/>
    <s v="Y"/>
    <x v="1"/>
    <n v="18"/>
    <x v="0"/>
    <x v="2"/>
    <n v="80"/>
    <n v="1"/>
    <n v="26"/>
    <n v="6"/>
    <x v="1"/>
    <x v="5"/>
    <n v="7"/>
    <x v="5"/>
    <x v="1"/>
    <x v="3"/>
    <x v="0"/>
    <x v="2"/>
    <n v="0"/>
  </r>
  <r>
    <x v="11"/>
    <x v="1"/>
    <x v="0"/>
    <n v="942"/>
    <x v="1"/>
    <n v="15"/>
    <x v="1"/>
    <x v="0"/>
    <x v="0"/>
    <n v="1202"/>
    <x v="0"/>
    <x v="0"/>
    <n v="69"/>
    <x v="3"/>
    <x v="1"/>
    <x v="1"/>
    <x v="0"/>
    <x v="1"/>
    <x v="810"/>
    <n v="26933"/>
    <n v="0"/>
    <s v="Y"/>
    <x v="0"/>
    <n v="18"/>
    <x v="0"/>
    <x v="0"/>
    <n v="80"/>
    <n v="1"/>
    <n v="6"/>
    <n v="2"/>
    <x v="2"/>
    <x v="8"/>
    <n v="4"/>
    <x v="1"/>
    <x v="6"/>
    <x v="2"/>
    <x v="2"/>
    <x v="1"/>
    <n v="0"/>
  </r>
  <r>
    <x v="15"/>
    <x v="0"/>
    <x v="1"/>
    <n v="1256"/>
    <x v="1"/>
    <n v="3"/>
    <x v="2"/>
    <x v="0"/>
    <x v="0"/>
    <n v="1203"/>
    <x v="1"/>
    <x v="1"/>
    <n v="48"/>
    <x v="1"/>
    <x v="1"/>
    <x v="1"/>
    <x v="0"/>
    <x v="1"/>
    <x v="811"/>
    <n v="4223"/>
    <n v="0"/>
    <s v="Y"/>
    <x v="0"/>
    <n v="11"/>
    <x v="0"/>
    <x v="2"/>
    <n v="80"/>
    <n v="1"/>
    <n v="1"/>
    <n v="5"/>
    <x v="1"/>
    <x v="2"/>
    <n v="0"/>
    <x v="0"/>
    <x v="2"/>
    <x v="2"/>
    <x v="1"/>
    <x v="1"/>
    <n v="1"/>
  </r>
  <r>
    <x v="21"/>
    <x v="1"/>
    <x v="0"/>
    <n v="1402"/>
    <x v="0"/>
    <n v="2"/>
    <x v="3"/>
    <x v="3"/>
    <x v="0"/>
    <n v="1204"/>
    <x v="1"/>
    <x v="0"/>
    <n v="69"/>
    <x v="0"/>
    <x v="3"/>
    <x v="5"/>
    <x v="3"/>
    <x v="1"/>
    <x v="812"/>
    <n v="24097"/>
    <n v="8"/>
    <s v="Y"/>
    <x v="1"/>
    <n v="23"/>
    <x v="1"/>
    <x v="0"/>
    <n v="80"/>
    <n v="0"/>
    <n v="28"/>
    <n v="2"/>
    <x v="1"/>
    <x v="34"/>
    <n v="15"/>
    <x v="9"/>
    <x v="12"/>
    <x v="0"/>
    <x v="3"/>
    <x v="2"/>
    <n v="0"/>
  </r>
  <r>
    <x v="20"/>
    <x v="1"/>
    <x v="2"/>
    <n v="111"/>
    <x v="1"/>
    <n v="17"/>
    <x v="3"/>
    <x v="0"/>
    <x v="0"/>
    <n v="1206"/>
    <x v="2"/>
    <x v="1"/>
    <n v="74"/>
    <x v="3"/>
    <x v="1"/>
    <x v="1"/>
    <x v="2"/>
    <x v="0"/>
    <x v="813"/>
    <n v="4279"/>
    <n v="2"/>
    <s v="Y"/>
    <x v="1"/>
    <n v="13"/>
    <x v="0"/>
    <x v="1"/>
    <n v="80"/>
    <n v="0"/>
    <n v="6"/>
    <n v="3"/>
    <x v="1"/>
    <x v="2"/>
    <n v="0"/>
    <x v="0"/>
    <x v="2"/>
    <x v="0"/>
    <x v="1"/>
    <x v="1"/>
    <n v="0"/>
  </r>
  <r>
    <x v="3"/>
    <x v="1"/>
    <x v="0"/>
    <n v="147"/>
    <x v="2"/>
    <n v="2"/>
    <x v="3"/>
    <x v="5"/>
    <x v="0"/>
    <n v="1207"/>
    <x v="0"/>
    <x v="1"/>
    <n v="99"/>
    <x v="0"/>
    <x v="1"/>
    <x v="8"/>
    <x v="2"/>
    <x v="1"/>
    <x v="814"/>
    <n v="8429"/>
    <n v="1"/>
    <s v="Y"/>
    <x v="1"/>
    <n v="13"/>
    <x v="0"/>
    <x v="1"/>
    <n v="80"/>
    <n v="1"/>
    <n v="5"/>
    <n v="2"/>
    <x v="1"/>
    <x v="8"/>
    <n v="4"/>
    <x v="1"/>
    <x v="10"/>
    <x v="1"/>
    <x v="2"/>
    <x v="1"/>
    <n v="0"/>
  </r>
  <r>
    <x v="0"/>
    <x v="0"/>
    <x v="2"/>
    <n v="906"/>
    <x v="1"/>
    <n v="5"/>
    <x v="0"/>
    <x v="0"/>
    <x v="0"/>
    <n v="1210"/>
    <x v="3"/>
    <x v="1"/>
    <n v="95"/>
    <x v="1"/>
    <x v="1"/>
    <x v="1"/>
    <x v="3"/>
    <x v="2"/>
    <x v="815"/>
    <n v="20293"/>
    <n v="6"/>
    <s v="Y"/>
    <x v="1"/>
    <n v="17"/>
    <x v="0"/>
    <x v="0"/>
    <n v="80"/>
    <n v="1"/>
    <n v="5"/>
    <n v="2"/>
    <x v="0"/>
    <x v="6"/>
    <n v="0"/>
    <x v="0"/>
    <x v="2"/>
    <x v="0"/>
    <x v="1"/>
    <x v="1"/>
    <n v="1"/>
  </r>
  <r>
    <x v="7"/>
    <x v="1"/>
    <x v="0"/>
    <n v="1329"/>
    <x v="0"/>
    <n v="29"/>
    <x v="2"/>
    <x v="0"/>
    <x v="0"/>
    <n v="1211"/>
    <x v="1"/>
    <x v="1"/>
    <n v="61"/>
    <x v="0"/>
    <x v="0"/>
    <x v="0"/>
    <x v="3"/>
    <x v="2"/>
    <x v="816"/>
    <n v="13192"/>
    <n v="8"/>
    <s v="Y"/>
    <x v="1"/>
    <n v="19"/>
    <x v="0"/>
    <x v="3"/>
    <n v="80"/>
    <n v="3"/>
    <n v="8"/>
    <n v="3"/>
    <x v="1"/>
    <x v="9"/>
    <n v="3"/>
    <x v="0"/>
    <x v="6"/>
    <x v="1"/>
    <x v="2"/>
    <x v="1"/>
    <n v="0"/>
  </r>
  <r>
    <x v="32"/>
    <x v="1"/>
    <x v="1"/>
    <n v="1184"/>
    <x v="0"/>
    <n v="2"/>
    <x v="2"/>
    <x v="2"/>
    <x v="0"/>
    <n v="1212"/>
    <x v="0"/>
    <x v="1"/>
    <n v="62"/>
    <x v="0"/>
    <x v="0"/>
    <x v="0"/>
    <x v="1"/>
    <x v="1"/>
    <x v="817"/>
    <n v="25440"/>
    <n v="5"/>
    <s v="Y"/>
    <x v="1"/>
    <n v="12"/>
    <x v="0"/>
    <x v="1"/>
    <n v="80"/>
    <n v="3"/>
    <n v="5"/>
    <n v="2"/>
    <x v="1"/>
    <x v="2"/>
    <n v="0"/>
    <x v="0"/>
    <x v="2"/>
    <x v="0"/>
    <x v="1"/>
    <x v="1"/>
    <n v="0"/>
  </r>
  <r>
    <x v="24"/>
    <x v="1"/>
    <x v="1"/>
    <n v="1421"/>
    <x v="1"/>
    <n v="2"/>
    <x v="3"/>
    <x v="2"/>
    <x v="0"/>
    <n v="1215"/>
    <x v="2"/>
    <x v="0"/>
    <n v="30"/>
    <x v="0"/>
    <x v="3"/>
    <x v="5"/>
    <x v="3"/>
    <x v="1"/>
    <x v="818"/>
    <n v="9490"/>
    <n v="2"/>
    <s v="Y"/>
    <x v="1"/>
    <n v="22"/>
    <x v="1"/>
    <x v="3"/>
    <n v="80"/>
    <n v="1"/>
    <n v="32"/>
    <n v="3"/>
    <x v="1"/>
    <x v="4"/>
    <n v="2"/>
    <x v="3"/>
    <x v="3"/>
    <x v="3"/>
    <x v="1"/>
    <x v="2"/>
    <n v="0"/>
  </r>
  <r>
    <x v="14"/>
    <x v="1"/>
    <x v="0"/>
    <n v="1179"/>
    <x v="1"/>
    <n v="19"/>
    <x v="2"/>
    <x v="2"/>
    <x v="0"/>
    <n v="1216"/>
    <x v="2"/>
    <x v="1"/>
    <n v="78"/>
    <x v="1"/>
    <x v="1"/>
    <x v="2"/>
    <x v="3"/>
    <x v="1"/>
    <x v="819"/>
    <n v="12449"/>
    <n v="1"/>
    <s v="Y"/>
    <x v="1"/>
    <n v="12"/>
    <x v="0"/>
    <x v="3"/>
    <n v="80"/>
    <n v="3"/>
    <n v="6"/>
    <n v="2"/>
    <x v="1"/>
    <x v="0"/>
    <n v="5"/>
    <x v="2"/>
    <x v="6"/>
    <x v="2"/>
    <x v="0"/>
    <x v="1"/>
    <n v="0"/>
  </r>
  <r>
    <x v="21"/>
    <x v="1"/>
    <x v="0"/>
    <n v="1450"/>
    <x v="1"/>
    <n v="15"/>
    <x v="0"/>
    <x v="0"/>
    <x v="0"/>
    <n v="1217"/>
    <x v="2"/>
    <x v="1"/>
    <n v="52"/>
    <x v="0"/>
    <x v="4"/>
    <x v="7"/>
    <x v="1"/>
    <x v="1"/>
    <x v="820"/>
    <n v="10849"/>
    <n v="5"/>
    <s v="Y"/>
    <x v="1"/>
    <n v="11"/>
    <x v="0"/>
    <x v="0"/>
    <n v="80"/>
    <n v="1"/>
    <n v="25"/>
    <n v="2"/>
    <x v="1"/>
    <x v="9"/>
    <n v="2"/>
    <x v="0"/>
    <x v="6"/>
    <x v="0"/>
    <x v="2"/>
    <x v="2"/>
    <n v="0"/>
  </r>
  <r>
    <x v="10"/>
    <x v="1"/>
    <x v="0"/>
    <n v="1361"/>
    <x v="0"/>
    <n v="17"/>
    <x v="2"/>
    <x v="0"/>
    <x v="0"/>
    <n v="1218"/>
    <x v="1"/>
    <x v="1"/>
    <n v="94"/>
    <x v="0"/>
    <x v="0"/>
    <x v="0"/>
    <x v="3"/>
    <x v="1"/>
    <x v="821"/>
    <n v="21026"/>
    <n v="3"/>
    <s v="Y"/>
    <x v="0"/>
    <n v="15"/>
    <x v="0"/>
    <x v="1"/>
    <n v="80"/>
    <n v="3"/>
    <n v="15"/>
    <n v="2"/>
    <x v="1"/>
    <x v="5"/>
    <n v="7"/>
    <x v="1"/>
    <x v="1"/>
    <x v="1"/>
    <x v="0"/>
    <x v="0"/>
    <n v="0"/>
  </r>
  <r>
    <x v="17"/>
    <x v="0"/>
    <x v="0"/>
    <n v="984"/>
    <x v="1"/>
    <n v="17"/>
    <x v="0"/>
    <x v="0"/>
    <x v="0"/>
    <n v="1219"/>
    <x v="2"/>
    <x v="0"/>
    <n v="97"/>
    <x v="0"/>
    <x v="1"/>
    <x v="2"/>
    <x v="1"/>
    <x v="1"/>
    <x v="822"/>
    <n v="3372"/>
    <n v="1"/>
    <s v="Y"/>
    <x v="1"/>
    <n v="13"/>
    <x v="0"/>
    <x v="0"/>
    <n v="80"/>
    <n v="1"/>
    <n v="1"/>
    <n v="3"/>
    <x v="0"/>
    <x v="6"/>
    <n v="0"/>
    <x v="0"/>
    <x v="2"/>
    <x v="2"/>
    <x v="1"/>
    <x v="1"/>
    <n v="1"/>
  </r>
  <r>
    <x v="3"/>
    <x v="1"/>
    <x v="1"/>
    <n v="1146"/>
    <x v="0"/>
    <n v="25"/>
    <x v="3"/>
    <x v="2"/>
    <x v="0"/>
    <n v="1220"/>
    <x v="0"/>
    <x v="0"/>
    <n v="82"/>
    <x v="0"/>
    <x v="0"/>
    <x v="0"/>
    <x v="2"/>
    <x v="1"/>
    <x v="823"/>
    <n v="4905"/>
    <n v="1"/>
    <s v="Y"/>
    <x v="1"/>
    <n v="12"/>
    <x v="0"/>
    <x v="0"/>
    <n v="80"/>
    <n v="1"/>
    <n v="10"/>
    <n v="3"/>
    <x v="2"/>
    <x v="1"/>
    <n v="7"/>
    <x v="0"/>
    <x v="9"/>
    <x v="1"/>
    <x v="0"/>
    <x v="1"/>
    <n v="0"/>
  </r>
  <r>
    <x v="9"/>
    <x v="1"/>
    <x v="0"/>
    <n v="917"/>
    <x v="1"/>
    <n v="6"/>
    <x v="2"/>
    <x v="0"/>
    <x v="0"/>
    <n v="1221"/>
    <x v="1"/>
    <x v="1"/>
    <n v="60"/>
    <x v="3"/>
    <x v="1"/>
    <x v="2"/>
    <x v="2"/>
    <x v="2"/>
    <x v="199"/>
    <n v="6865"/>
    <n v="1"/>
    <s v="Y"/>
    <x v="1"/>
    <n v="14"/>
    <x v="0"/>
    <x v="3"/>
    <n v="80"/>
    <n v="1"/>
    <n v="7"/>
    <n v="4"/>
    <x v="1"/>
    <x v="5"/>
    <n v="7"/>
    <x v="1"/>
    <x v="1"/>
    <x v="1"/>
    <x v="0"/>
    <x v="1"/>
    <n v="0"/>
  </r>
  <r>
    <x v="7"/>
    <x v="1"/>
    <x v="0"/>
    <n v="853"/>
    <x v="1"/>
    <n v="7"/>
    <x v="2"/>
    <x v="0"/>
    <x v="0"/>
    <n v="1224"/>
    <x v="1"/>
    <x v="1"/>
    <n v="49"/>
    <x v="0"/>
    <x v="0"/>
    <x v="2"/>
    <x v="2"/>
    <x v="2"/>
    <x v="824"/>
    <n v="11309"/>
    <n v="1"/>
    <s v="Y"/>
    <x v="1"/>
    <n v="13"/>
    <x v="0"/>
    <x v="0"/>
    <n v="80"/>
    <n v="3"/>
    <n v="10"/>
    <n v="4"/>
    <x v="2"/>
    <x v="1"/>
    <n v="7"/>
    <x v="6"/>
    <x v="12"/>
    <x v="1"/>
    <x v="0"/>
    <x v="1"/>
    <n v="0"/>
  </r>
  <r>
    <x v="20"/>
    <x v="1"/>
    <x v="0"/>
    <n v="200"/>
    <x v="1"/>
    <n v="29"/>
    <x v="2"/>
    <x v="1"/>
    <x v="0"/>
    <n v="1225"/>
    <x v="2"/>
    <x v="1"/>
    <n v="32"/>
    <x v="0"/>
    <x v="0"/>
    <x v="1"/>
    <x v="0"/>
    <x v="0"/>
    <x v="825"/>
    <n v="7744"/>
    <n v="1"/>
    <s v="Y"/>
    <x v="1"/>
    <n v="25"/>
    <x v="1"/>
    <x v="2"/>
    <n v="80"/>
    <n v="0"/>
    <n v="20"/>
    <n v="3"/>
    <x v="1"/>
    <x v="23"/>
    <n v="11"/>
    <x v="11"/>
    <x v="8"/>
    <x v="0"/>
    <x v="3"/>
    <x v="1"/>
    <n v="0"/>
  </r>
  <r>
    <x v="35"/>
    <x v="1"/>
    <x v="0"/>
    <n v="654"/>
    <x v="0"/>
    <n v="21"/>
    <x v="3"/>
    <x v="3"/>
    <x v="0"/>
    <n v="1226"/>
    <x v="1"/>
    <x v="1"/>
    <n v="43"/>
    <x v="2"/>
    <x v="1"/>
    <x v="6"/>
    <x v="0"/>
    <x v="0"/>
    <x v="826"/>
    <n v="5050"/>
    <n v="1"/>
    <s v="Y"/>
    <x v="1"/>
    <n v="17"/>
    <x v="0"/>
    <x v="1"/>
    <n v="80"/>
    <n v="0"/>
    <n v="2"/>
    <n v="2"/>
    <x v="1"/>
    <x v="4"/>
    <n v="1"/>
    <x v="3"/>
    <x v="3"/>
    <x v="2"/>
    <x v="1"/>
    <x v="1"/>
    <n v="0"/>
  </r>
  <r>
    <x v="21"/>
    <x v="1"/>
    <x v="0"/>
    <n v="150"/>
    <x v="1"/>
    <n v="2"/>
    <x v="2"/>
    <x v="4"/>
    <x v="0"/>
    <n v="1228"/>
    <x v="2"/>
    <x v="1"/>
    <n v="60"/>
    <x v="0"/>
    <x v="0"/>
    <x v="3"/>
    <x v="0"/>
    <x v="2"/>
    <x v="827"/>
    <n v="17433"/>
    <n v="2"/>
    <s v="Y"/>
    <x v="1"/>
    <n v="11"/>
    <x v="0"/>
    <x v="3"/>
    <n v="80"/>
    <n v="1"/>
    <n v="12"/>
    <n v="3"/>
    <x v="2"/>
    <x v="0"/>
    <n v="3"/>
    <x v="1"/>
    <x v="10"/>
    <x v="0"/>
    <x v="0"/>
    <x v="0"/>
    <n v="0"/>
  </r>
  <r>
    <x v="19"/>
    <x v="1"/>
    <x v="2"/>
    <n v="179"/>
    <x v="2"/>
    <n v="2"/>
    <x v="4"/>
    <x v="2"/>
    <x v="0"/>
    <n v="1231"/>
    <x v="2"/>
    <x v="1"/>
    <n v="79"/>
    <x v="2"/>
    <x v="0"/>
    <x v="8"/>
    <x v="3"/>
    <x v="1"/>
    <x v="458"/>
    <n v="12858"/>
    <n v="7"/>
    <s v="Y"/>
    <x v="1"/>
    <n v="16"/>
    <x v="0"/>
    <x v="0"/>
    <n v="80"/>
    <n v="1"/>
    <n v="10"/>
    <n v="3"/>
    <x v="3"/>
    <x v="9"/>
    <n v="3"/>
    <x v="0"/>
    <x v="6"/>
    <x v="0"/>
    <x v="2"/>
    <x v="0"/>
    <n v="0"/>
  </r>
  <r>
    <x v="42"/>
    <x v="1"/>
    <x v="0"/>
    <n v="696"/>
    <x v="0"/>
    <n v="7"/>
    <x v="2"/>
    <x v="3"/>
    <x v="0"/>
    <n v="1233"/>
    <x v="0"/>
    <x v="1"/>
    <n v="52"/>
    <x v="2"/>
    <x v="0"/>
    <x v="0"/>
    <x v="0"/>
    <x v="2"/>
    <x v="828"/>
    <n v="10893"/>
    <n v="0"/>
    <s v="Y"/>
    <x v="0"/>
    <n v="18"/>
    <x v="0"/>
    <x v="2"/>
    <n v="80"/>
    <n v="1"/>
    <n v="12"/>
    <n v="3"/>
    <x v="1"/>
    <x v="19"/>
    <n v="7"/>
    <x v="1"/>
    <x v="12"/>
    <x v="3"/>
    <x v="3"/>
    <x v="0"/>
    <n v="0"/>
  </r>
  <r>
    <x v="5"/>
    <x v="1"/>
    <x v="1"/>
    <n v="116"/>
    <x v="1"/>
    <n v="13"/>
    <x v="3"/>
    <x v="1"/>
    <x v="0"/>
    <n v="1234"/>
    <x v="1"/>
    <x v="0"/>
    <n v="77"/>
    <x v="1"/>
    <x v="1"/>
    <x v="2"/>
    <x v="1"/>
    <x v="1"/>
    <x v="714"/>
    <n v="7331"/>
    <n v="1"/>
    <s v="Y"/>
    <x v="1"/>
    <n v="20"/>
    <x v="1"/>
    <x v="3"/>
    <n v="80"/>
    <n v="1"/>
    <n v="2"/>
    <n v="2"/>
    <x v="1"/>
    <x v="4"/>
    <n v="2"/>
    <x v="3"/>
    <x v="3"/>
    <x v="1"/>
    <x v="1"/>
    <x v="1"/>
    <n v="0"/>
  </r>
  <r>
    <x v="5"/>
    <x v="1"/>
    <x v="1"/>
    <n v="1316"/>
    <x v="1"/>
    <n v="2"/>
    <x v="0"/>
    <x v="0"/>
    <x v="0"/>
    <n v="1235"/>
    <x v="2"/>
    <x v="0"/>
    <n v="38"/>
    <x v="0"/>
    <x v="0"/>
    <x v="1"/>
    <x v="2"/>
    <x v="0"/>
    <x v="829"/>
    <n v="2338"/>
    <n v="4"/>
    <s v="Y"/>
    <x v="0"/>
    <n v="14"/>
    <x v="0"/>
    <x v="1"/>
    <n v="80"/>
    <n v="0"/>
    <n v="10"/>
    <n v="2"/>
    <x v="1"/>
    <x v="3"/>
    <n v="7"/>
    <x v="0"/>
    <x v="1"/>
    <x v="1"/>
    <x v="0"/>
    <x v="1"/>
    <n v="0"/>
  </r>
  <r>
    <x v="9"/>
    <x v="1"/>
    <x v="0"/>
    <n v="363"/>
    <x v="1"/>
    <n v="1"/>
    <x v="3"/>
    <x v="4"/>
    <x v="0"/>
    <n v="1237"/>
    <x v="1"/>
    <x v="0"/>
    <n v="77"/>
    <x v="3"/>
    <x v="2"/>
    <x v="3"/>
    <x v="3"/>
    <x v="2"/>
    <x v="830"/>
    <n v="4235"/>
    <n v="2"/>
    <s v="Y"/>
    <x v="0"/>
    <n v="21"/>
    <x v="1"/>
    <x v="3"/>
    <n v="80"/>
    <n v="1"/>
    <n v="17"/>
    <n v="2"/>
    <x v="1"/>
    <x v="5"/>
    <n v="7"/>
    <x v="4"/>
    <x v="1"/>
    <x v="1"/>
    <x v="0"/>
    <x v="3"/>
    <n v="0"/>
  </r>
  <r>
    <x v="3"/>
    <x v="1"/>
    <x v="0"/>
    <n v="117"/>
    <x v="1"/>
    <n v="9"/>
    <x v="3"/>
    <x v="2"/>
    <x v="0"/>
    <n v="1238"/>
    <x v="3"/>
    <x v="1"/>
    <n v="60"/>
    <x v="0"/>
    <x v="1"/>
    <x v="1"/>
    <x v="0"/>
    <x v="1"/>
    <x v="831"/>
    <n v="6311"/>
    <n v="0"/>
    <s v="Y"/>
    <x v="1"/>
    <n v="13"/>
    <x v="0"/>
    <x v="2"/>
    <n v="80"/>
    <n v="1"/>
    <n v="15"/>
    <n v="5"/>
    <x v="1"/>
    <x v="13"/>
    <n v="10"/>
    <x v="5"/>
    <x v="13"/>
    <x v="1"/>
    <x v="3"/>
    <x v="1"/>
    <n v="0"/>
  </r>
  <r>
    <x v="32"/>
    <x v="1"/>
    <x v="0"/>
    <n v="107"/>
    <x v="0"/>
    <n v="10"/>
    <x v="3"/>
    <x v="4"/>
    <x v="0"/>
    <n v="1239"/>
    <x v="0"/>
    <x v="0"/>
    <n v="84"/>
    <x v="1"/>
    <x v="0"/>
    <x v="0"/>
    <x v="1"/>
    <x v="2"/>
    <x v="832"/>
    <n v="11591"/>
    <n v="7"/>
    <s v="Y"/>
    <x v="1"/>
    <n v="12"/>
    <x v="0"/>
    <x v="2"/>
    <n v="80"/>
    <n v="1"/>
    <n v="7"/>
    <n v="2"/>
    <x v="3"/>
    <x v="8"/>
    <n v="1"/>
    <x v="1"/>
    <x v="6"/>
    <x v="0"/>
    <x v="2"/>
    <x v="0"/>
    <n v="0"/>
  </r>
  <r>
    <x v="36"/>
    <x v="1"/>
    <x v="0"/>
    <n v="1356"/>
    <x v="0"/>
    <n v="10"/>
    <x v="2"/>
    <x v="0"/>
    <x v="0"/>
    <n v="1240"/>
    <x v="1"/>
    <x v="1"/>
    <n v="57"/>
    <x v="0"/>
    <x v="0"/>
    <x v="0"/>
    <x v="0"/>
    <x v="0"/>
    <x v="833"/>
    <n v="20623"/>
    <n v="0"/>
    <s v="Y"/>
    <x v="1"/>
    <n v="14"/>
    <x v="0"/>
    <x v="2"/>
    <n v="80"/>
    <n v="0"/>
    <n v="5"/>
    <n v="4"/>
    <x v="1"/>
    <x v="9"/>
    <n v="3"/>
    <x v="1"/>
    <x v="9"/>
    <x v="2"/>
    <x v="2"/>
    <x v="1"/>
    <n v="0"/>
  </r>
  <r>
    <x v="7"/>
    <x v="1"/>
    <x v="0"/>
    <n v="1465"/>
    <x v="1"/>
    <n v="1"/>
    <x v="3"/>
    <x v="2"/>
    <x v="0"/>
    <n v="1241"/>
    <x v="2"/>
    <x v="1"/>
    <n v="63"/>
    <x v="0"/>
    <x v="1"/>
    <x v="1"/>
    <x v="1"/>
    <x v="1"/>
    <x v="834"/>
    <n v="9369"/>
    <n v="0"/>
    <s v="Y"/>
    <x v="0"/>
    <n v="21"/>
    <x v="1"/>
    <x v="0"/>
    <n v="80"/>
    <n v="1"/>
    <n v="12"/>
    <n v="2"/>
    <x v="1"/>
    <x v="19"/>
    <n v="9"/>
    <x v="8"/>
    <x v="1"/>
    <x v="1"/>
    <x v="3"/>
    <x v="1"/>
    <n v="0"/>
  </r>
  <r>
    <x v="19"/>
    <x v="1"/>
    <x v="1"/>
    <n v="458"/>
    <x v="1"/>
    <n v="26"/>
    <x v="4"/>
    <x v="2"/>
    <x v="0"/>
    <n v="1242"/>
    <x v="3"/>
    <x v="0"/>
    <n v="60"/>
    <x v="0"/>
    <x v="2"/>
    <x v="7"/>
    <x v="3"/>
    <x v="1"/>
    <x v="835"/>
    <n v="23281"/>
    <n v="3"/>
    <s v="Y"/>
    <x v="0"/>
    <n v="17"/>
    <x v="0"/>
    <x v="3"/>
    <n v="80"/>
    <n v="0"/>
    <n v="20"/>
    <n v="6"/>
    <x v="1"/>
    <x v="6"/>
    <n v="0"/>
    <x v="0"/>
    <x v="2"/>
    <x v="0"/>
    <x v="1"/>
    <x v="3"/>
    <n v="0"/>
  </r>
  <r>
    <x v="10"/>
    <x v="1"/>
    <x v="2"/>
    <n v="1212"/>
    <x v="0"/>
    <n v="8"/>
    <x v="0"/>
    <x v="3"/>
    <x v="0"/>
    <n v="1243"/>
    <x v="1"/>
    <x v="0"/>
    <n v="78"/>
    <x v="1"/>
    <x v="2"/>
    <x v="0"/>
    <x v="0"/>
    <x v="1"/>
    <x v="836"/>
    <n v="13755"/>
    <n v="4"/>
    <s v="Y"/>
    <x v="0"/>
    <n v="11"/>
    <x v="0"/>
    <x v="2"/>
    <n v="80"/>
    <n v="1"/>
    <n v="16"/>
    <n v="6"/>
    <x v="2"/>
    <x v="20"/>
    <n v="2"/>
    <x v="5"/>
    <x v="11"/>
    <x v="1"/>
    <x v="3"/>
    <x v="3"/>
    <n v="0"/>
  </r>
  <r>
    <x v="4"/>
    <x v="1"/>
    <x v="0"/>
    <n v="1103"/>
    <x v="1"/>
    <n v="14"/>
    <x v="3"/>
    <x v="0"/>
    <x v="0"/>
    <n v="1244"/>
    <x v="3"/>
    <x v="1"/>
    <n v="42"/>
    <x v="0"/>
    <x v="1"/>
    <x v="1"/>
    <x v="3"/>
    <x v="1"/>
    <x v="837"/>
    <n v="14377"/>
    <n v="1"/>
    <s v="Y"/>
    <x v="0"/>
    <n v="14"/>
    <x v="0"/>
    <x v="1"/>
    <n v="80"/>
    <n v="2"/>
    <n v="9"/>
    <n v="3"/>
    <x v="2"/>
    <x v="7"/>
    <n v="7"/>
    <x v="7"/>
    <x v="5"/>
    <x v="2"/>
    <x v="0"/>
    <x v="1"/>
    <n v="0"/>
  </r>
  <r>
    <x v="33"/>
    <x v="1"/>
    <x v="1"/>
    <n v="966"/>
    <x v="1"/>
    <n v="1"/>
    <x v="2"/>
    <x v="0"/>
    <x v="0"/>
    <n v="1245"/>
    <x v="2"/>
    <x v="0"/>
    <n v="53"/>
    <x v="0"/>
    <x v="2"/>
    <x v="3"/>
    <x v="2"/>
    <x v="2"/>
    <x v="838"/>
    <n v="9659"/>
    <n v="7"/>
    <s v="Y"/>
    <x v="1"/>
    <n v="17"/>
    <x v="0"/>
    <x v="0"/>
    <n v="80"/>
    <n v="1"/>
    <n v="33"/>
    <n v="2"/>
    <x v="0"/>
    <x v="8"/>
    <n v="4"/>
    <x v="1"/>
    <x v="10"/>
    <x v="3"/>
    <x v="2"/>
    <x v="3"/>
    <n v="0"/>
  </r>
  <r>
    <x v="20"/>
    <x v="1"/>
    <x v="0"/>
    <n v="1117"/>
    <x v="1"/>
    <n v="2"/>
    <x v="1"/>
    <x v="0"/>
    <x v="0"/>
    <n v="1246"/>
    <x v="3"/>
    <x v="0"/>
    <n v="72"/>
    <x v="2"/>
    <x v="1"/>
    <x v="1"/>
    <x v="0"/>
    <x v="1"/>
    <x v="839"/>
    <n v="19982"/>
    <n v="1"/>
    <s v="Y"/>
    <x v="1"/>
    <n v="13"/>
    <x v="0"/>
    <x v="1"/>
    <n v="80"/>
    <n v="1"/>
    <n v="10"/>
    <n v="5"/>
    <x v="1"/>
    <x v="1"/>
    <n v="5"/>
    <x v="4"/>
    <x v="1"/>
    <x v="0"/>
    <x v="0"/>
    <x v="1"/>
    <n v="0"/>
  </r>
  <r>
    <x v="37"/>
    <x v="0"/>
    <x v="2"/>
    <n v="504"/>
    <x v="1"/>
    <n v="10"/>
    <x v="3"/>
    <x v="2"/>
    <x v="0"/>
    <n v="1248"/>
    <x v="3"/>
    <x v="0"/>
    <n v="96"/>
    <x v="1"/>
    <x v="1"/>
    <x v="1"/>
    <x v="1"/>
    <x v="0"/>
    <x v="840"/>
    <n v="6148"/>
    <n v="1"/>
    <s v="Y"/>
    <x v="0"/>
    <n v="25"/>
    <x v="1"/>
    <x v="2"/>
    <n v="80"/>
    <n v="0"/>
    <n v="1"/>
    <n v="2"/>
    <x v="3"/>
    <x v="6"/>
    <n v="1"/>
    <x v="0"/>
    <x v="2"/>
    <x v="4"/>
    <x v="1"/>
    <x v="1"/>
    <n v="1"/>
  </r>
  <r>
    <x v="11"/>
    <x v="1"/>
    <x v="0"/>
    <n v="1010"/>
    <x v="1"/>
    <n v="1"/>
    <x v="3"/>
    <x v="0"/>
    <x v="0"/>
    <n v="1249"/>
    <x v="3"/>
    <x v="0"/>
    <n v="97"/>
    <x v="0"/>
    <x v="1"/>
    <x v="1"/>
    <x v="0"/>
    <x v="2"/>
    <x v="841"/>
    <n v="5598"/>
    <n v="1"/>
    <s v="Y"/>
    <x v="1"/>
    <n v="15"/>
    <x v="0"/>
    <x v="0"/>
    <n v="80"/>
    <n v="3"/>
    <n v="3"/>
    <n v="5"/>
    <x v="1"/>
    <x v="11"/>
    <n v="2"/>
    <x v="1"/>
    <x v="3"/>
    <x v="2"/>
    <x v="2"/>
    <x v="1"/>
    <n v="0"/>
  </r>
  <r>
    <x v="33"/>
    <x v="1"/>
    <x v="0"/>
    <n v="685"/>
    <x v="1"/>
    <n v="3"/>
    <x v="3"/>
    <x v="0"/>
    <x v="0"/>
    <n v="1250"/>
    <x v="2"/>
    <x v="1"/>
    <n v="85"/>
    <x v="0"/>
    <x v="3"/>
    <x v="7"/>
    <x v="0"/>
    <x v="1"/>
    <x v="842"/>
    <n v="23474"/>
    <n v="3"/>
    <s v="Y"/>
    <x v="1"/>
    <n v="14"/>
    <x v="0"/>
    <x v="0"/>
    <n v="80"/>
    <n v="0"/>
    <n v="36"/>
    <n v="2"/>
    <x v="1"/>
    <x v="1"/>
    <n v="9"/>
    <x v="0"/>
    <x v="12"/>
    <x v="3"/>
    <x v="0"/>
    <x v="2"/>
    <n v="0"/>
  </r>
  <r>
    <x v="12"/>
    <x v="1"/>
    <x v="0"/>
    <n v="1332"/>
    <x v="1"/>
    <n v="11"/>
    <x v="0"/>
    <x v="2"/>
    <x v="0"/>
    <n v="1251"/>
    <x v="1"/>
    <x v="1"/>
    <n v="80"/>
    <x v="0"/>
    <x v="0"/>
    <x v="4"/>
    <x v="3"/>
    <x v="1"/>
    <x v="843"/>
    <n v="17089"/>
    <n v="1"/>
    <s v="Y"/>
    <x v="0"/>
    <n v="12"/>
    <x v="0"/>
    <x v="1"/>
    <n v="80"/>
    <n v="0"/>
    <n v="6"/>
    <n v="2"/>
    <x v="2"/>
    <x v="0"/>
    <n v="5"/>
    <x v="0"/>
    <x v="9"/>
    <x v="1"/>
    <x v="0"/>
    <x v="0"/>
    <n v="0"/>
  </r>
  <r>
    <x v="12"/>
    <x v="1"/>
    <x v="0"/>
    <n v="1062"/>
    <x v="1"/>
    <n v="24"/>
    <x v="3"/>
    <x v="2"/>
    <x v="0"/>
    <n v="1252"/>
    <x v="1"/>
    <x v="0"/>
    <n v="96"/>
    <x v="1"/>
    <x v="0"/>
    <x v="4"/>
    <x v="3"/>
    <x v="0"/>
    <x v="844"/>
    <n v="17198"/>
    <n v="1"/>
    <s v="Y"/>
    <x v="1"/>
    <n v="19"/>
    <x v="0"/>
    <x v="2"/>
    <n v="80"/>
    <n v="0"/>
    <n v="10"/>
    <n v="2"/>
    <x v="1"/>
    <x v="1"/>
    <n v="9"/>
    <x v="1"/>
    <x v="5"/>
    <x v="1"/>
    <x v="0"/>
    <x v="0"/>
    <n v="0"/>
  </r>
  <r>
    <x v="6"/>
    <x v="1"/>
    <x v="0"/>
    <n v="326"/>
    <x v="0"/>
    <n v="3"/>
    <x v="3"/>
    <x v="0"/>
    <x v="0"/>
    <n v="1254"/>
    <x v="1"/>
    <x v="0"/>
    <n v="48"/>
    <x v="1"/>
    <x v="0"/>
    <x v="0"/>
    <x v="0"/>
    <x v="0"/>
    <x v="845"/>
    <n v="16490"/>
    <n v="5"/>
    <s v="Y"/>
    <x v="1"/>
    <n v="17"/>
    <x v="0"/>
    <x v="1"/>
    <n v="80"/>
    <n v="0"/>
    <n v="13"/>
    <n v="2"/>
    <x v="1"/>
    <x v="0"/>
    <n v="1"/>
    <x v="0"/>
    <x v="0"/>
    <x v="3"/>
    <x v="0"/>
    <x v="0"/>
    <n v="0"/>
  </r>
  <r>
    <x v="23"/>
    <x v="1"/>
    <x v="0"/>
    <n v="920"/>
    <x v="1"/>
    <n v="3"/>
    <x v="3"/>
    <x v="0"/>
    <x v="0"/>
    <n v="1255"/>
    <x v="1"/>
    <x v="1"/>
    <n v="96"/>
    <x v="3"/>
    <x v="4"/>
    <x v="7"/>
    <x v="0"/>
    <x v="1"/>
    <x v="846"/>
    <n v="18625"/>
    <n v="3"/>
    <s v="Y"/>
    <x v="1"/>
    <n v="14"/>
    <x v="0"/>
    <x v="2"/>
    <n v="80"/>
    <n v="1"/>
    <n v="25"/>
    <n v="2"/>
    <x v="1"/>
    <x v="3"/>
    <n v="7"/>
    <x v="0"/>
    <x v="1"/>
    <x v="0"/>
    <x v="0"/>
    <x v="2"/>
    <n v="0"/>
  </r>
  <r>
    <x v="1"/>
    <x v="1"/>
    <x v="0"/>
    <n v="1098"/>
    <x v="1"/>
    <n v="4"/>
    <x v="0"/>
    <x v="2"/>
    <x v="0"/>
    <n v="1256"/>
    <x v="3"/>
    <x v="1"/>
    <n v="85"/>
    <x v="1"/>
    <x v="4"/>
    <x v="5"/>
    <x v="2"/>
    <x v="1"/>
    <x v="847"/>
    <n v="12124"/>
    <n v="2"/>
    <s v="Y"/>
    <x v="1"/>
    <n v="13"/>
    <x v="0"/>
    <x v="3"/>
    <n v="80"/>
    <n v="1"/>
    <n v="23"/>
    <n v="2"/>
    <x v="3"/>
    <x v="6"/>
    <n v="0"/>
    <x v="0"/>
    <x v="2"/>
    <x v="0"/>
    <x v="1"/>
    <x v="2"/>
    <n v="0"/>
  </r>
  <r>
    <x v="9"/>
    <x v="1"/>
    <x v="1"/>
    <n v="469"/>
    <x v="1"/>
    <n v="3"/>
    <x v="3"/>
    <x v="4"/>
    <x v="0"/>
    <n v="1257"/>
    <x v="1"/>
    <x v="1"/>
    <n v="46"/>
    <x v="0"/>
    <x v="1"/>
    <x v="1"/>
    <x v="1"/>
    <x v="1"/>
    <x v="848"/>
    <n v="9256"/>
    <n v="1"/>
    <s v="Y"/>
    <x v="1"/>
    <n v="12"/>
    <x v="0"/>
    <x v="3"/>
    <n v="80"/>
    <n v="0"/>
    <n v="12"/>
    <n v="2"/>
    <x v="2"/>
    <x v="19"/>
    <n v="10"/>
    <x v="0"/>
    <x v="1"/>
    <x v="1"/>
    <x v="3"/>
    <x v="1"/>
    <n v="0"/>
  </r>
  <r>
    <x v="26"/>
    <x v="1"/>
    <x v="0"/>
    <n v="969"/>
    <x v="1"/>
    <n v="2"/>
    <x v="0"/>
    <x v="4"/>
    <x v="0"/>
    <n v="1258"/>
    <x v="2"/>
    <x v="1"/>
    <n v="76"/>
    <x v="2"/>
    <x v="1"/>
    <x v="2"/>
    <x v="1"/>
    <x v="0"/>
    <x v="594"/>
    <n v="16620"/>
    <n v="5"/>
    <s v="Y"/>
    <x v="1"/>
    <n v="11"/>
    <x v="0"/>
    <x v="3"/>
    <n v="80"/>
    <n v="0"/>
    <n v="7"/>
    <n v="4"/>
    <x v="2"/>
    <x v="6"/>
    <n v="0"/>
    <x v="0"/>
    <x v="2"/>
    <x v="0"/>
    <x v="1"/>
    <x v="1"/>
    <n v="0"/>
  </r>
  <r>
    <x v="4"/>
    <x v="1"/>
    <x v="0"/>
    <n v="1167"/>
    <x v="1"/>
    <n v="4"/>
    <x v="0"/>
    <x v="0"/>
    <x v="0"/>
    <n v="1259"/>
    <x v="3"/>
    <x v="1"/>
    <n v="76"/>
    <x v="0"/>
    <x v="1"/>
    <x v="1"/>
    <x v="2"/>
    <x v="2"/>
    <x v="849"/>
    <n v="3208"/>
    <n v="1"/>
    <s v="Y"/>
    <x v="1"/>
    <n v="11"/>
    <x v="0"/>
    <x v="2"/>
    <n v="80"/>
    <n v="3"/>
    <n v="5"/>
    <n v="2"/>
    <x v="1"/>
    <x v="8"/>
    <n v="3"/>
    <x v="0"/>
    <x v="6"/>
    <x v="2"/>
    <x v="2"/>
    <x v="1"/>
    <n v="0"/>
  </r>
  <r>
    <x v="11"/>
    <x v="1"/>
    <x v="0"/>
    <n v="1329"/>
    <x v="1"/>
    <n v="7"/>
    <x v="3"/>
    <x v="0"/>
    <x v="0"/>
    <n v="1260"/>
    <x v="1"/>
    <x v="1"/>
    <n v="82"/>
    <x v="0"/>
    <x v="0"/>
    <x v="4"/>
    <x v="0"/>
    <x v="2"/>
    <x v="850"/>
    <n v="4204"/>
    <n v="1"/>
    <s v="Y"/>
    <x v="0"/>
    <n v="11"/>
    <x v="0"/>
    <x v="2"/>
    <n v="80"/>
    <n v="2"/>
    <n v="6"/>
    <n v="2"/>
    <x v="1"/>
    <x v="0"/>
    <n v="0"/>
    <x v="1"/>
    <x v="2"/>
    <x v="2"/>
    <x v="0"/>
    <x v="0"/>
    <n v="0"/>
  </r>
  <r>
    <x v="26"/>
    <x v="1"/>
    <x v="0"/>
    <n v="715"/>
    <x v="1"/>
    <n v="1"/>
    <x v="3"/>
    <x v="0"/>
    <x v="0"/>
    <n v="1263"/>
    <x v="2"/>
    <x v="1"/>
    <n v="76"/>
    <x v="1"/>
    <x v="4"/>
    <x v="7"/>
    <x v="0"/>
    <x v="0"/>
    <x v="851"/>
    <n v="8733"/>
    <n v="6"/>
    <s v="Y"/>
    <x v="1"/>
    <n v="12"/>
    <x v="0"/>
    <x v="3"/>
    <n v="80"/>
    <n v="0"/>
    <n v="25"/>
    <n v="3"/>
    <x v="3"/>
    <x v="6"/>
    <n v="0"/>
    <x v="0"/>
    <x v="2"/>
    <x v="0"/>
    <x v="1"/>
    <x v="2"/>
    <n v="0"/>
  </r>
  <r>
    <x v="11"/>
    <x v="1"/>
    <x v="0"/>
    <n v="694"/>
    <x v="1"/>
    <n v="1"/>
    <x v="3"/>
    <x v="0"/>
    <x v="0"/>
    <n v="1264"/>
    <x v="2"/>
    <x v="0"/>
    <n v="87"/>
    <x v="1"/>
    <x v="3"/>
    <x v="7"/>
    <x v="0"/>
    <x v="2"/>
    <x v="852"/>
    <n v="3423"/>
    <n v="3"/>
    <s v="Y"/>
    <x v="1"/>
    <n v="14"/>
    <x v="0"/>
    <x v="2"/>
    <n v="80"/>
    <n v="2"/>
    <n v="9"/>
    <n v="2"/>
    <x v="2"/>
    <x v="5"/>
    <n v="7"/>
    <x v="1"/>
    <x v="1"/>
    <x v="2"/>
    <x v="0"/>
    <x v="2"/>
    <n v="0"/>
  </r>
  <r>
    <x v="13"/>
    <x v="1"/>
    <x v="0"/>
    <n v="1320"/>
    <x v="1"/>
    <n v="20"/>
    <x v="3"/>
    <x v="4"/>
    <x v="0"/>
    <n v="1265"/>
    <x v="1"/>
    <x v="0"/>
    <n v="89"/>
    <x v="2"/>
    <x v="1"/>
    <x v="1"/>
    <x v="2"/>
    <x v="1"/>
    <x v="853"/>
    <n v="21643"/>
    <n v="0"/>
    <s v="Y"/>
    <x v="1"/>
    <n v="17"/>
    <x v="0"/>
    <x v="1"/>
    <n v="80"/>
    <n v="0"/>
    <n v="2"/>
    <n v="5"/>
    <x v="2"/>
    <x v="6"/>
    <n v="0"/>
    <x v="0"/>
    <x v="2"/>
    <x v="1"/>
    <x v="1"/>
    <x v="1"/>
    <n v="0"/>
  </r>
  <r>
    <x v="20"/>
    <x v="1"/>
    <x v="0"/>
    <n v="1099"/>
    <x v="0"/>
    <n v="5"/>
    <x v="3"/>
    <x v="3"/>
    <x v="0"/>
    <n v="1267"/>
    <x v="0"/>
    <x v="1"/>
    <n v="88"/>
    <x v="0"/>
    <x v="4"/>
    <x v="5"/>
    <x v="1"/>
    <x v="1"/>
    <x v="854"/>
    <n v="8751"/>
    <n v="7"/>
    <s v="Y"/>
    <x v="1"/>
    <n v="11"/>
    <x v="0"/>
    <x v="3"/>
    <n v="80"/>
    <n v="1"/>
    <n v="26"/>
    <n v="5"/>
    <x v="1"/>
    <x v="14"/>
    <n v="9"/>
    <x v="2"/>
    <x v="13"/>
    <x v="0"/>
    <x v="3"/>
    <x v="2"/>
    <n v="0"/>
  </r>
  <r>
    <x v="3"/>
    <x v="1"/>
    <x v="0"/>
    <n v="536"/>
    <x v="0"/>
    <n v="10"/>
    <x v="4"/>
    <x v="3"/>
    <x v="0"/>
    <n v="1268"/>
    <x v="2"/>
    <x v="1"/>
    <n v="82"/>
    <x v="2"/>
    <x v="2"/>
    <x v="0"/>
    <x v="2"/>
    <x v="2"/>
    <x v="855"/>
    <n v="21708"/>
    <n v="0"/>
    <s v="Y"/>
    <x v="0"/>
    <n v="14"/>
    <x v="0"/>
    <x v="1"/>
    <n v="80"/>
    <n v="2"/>
    <n v="10"/>
    <n v="3"/>
    <x v="1"/>
    <x v="7"/>
    <n v="8"/>
    <x v="0"/>
    <x v="5"/>
    <x v="1"/>
    <x v="0"/>
    <x v="0"/>
    <n v="0"/>
  </r>
  <r>
    <x v="37"/>
    <x v="1"/>
    <x v="0"/>
    <n v="265"/>
    <x v="1"/>
    <n v="25"/>
    <x v="3"/>
    <x v="0"/>
    <x v="0"/>
    <n v="1269"/>
    <x v="0"/>
    <x v="0"/>
    <n v="57"/>
    <x v="2"/>
    <x v="1"/>
    <x v="1"/>
    <x v="0"/>
    <x v="0"/>
    <x v="856"/>
    <n v="21221"/>
    <n v="1"/>
    <s v="Y"/>
    <x v="0"/>
    <n v="12"/>
    <x v="0"/>
    <x v="1"/>
    <n v="80"/>
    <n v="0"/>
    <n v="1"/>
    <n v="2"/>
    <x v="1"/>
    <x v="6"/>
    <n v="0"/>
    <x v="0"/>
    <x v="9"/>
    <x v="4"/>
    <x v="1"/>
    <x v="1"/>
    <n v="0"/>
  </r>
  <r>
    <x v="30"/>
    <x v="1"/>
    <x v="0"/>
    <n v="373"/>
    <x v="1"/>
    <n v="1"/>
    <x v="0"/>
    <x v="0"/>
    <x v="0"/>
    <n v="1270"/>
    <x v="2"/>
    <x v="1"/>
    <n v="47"/>
    <x v="0"/>
    <x v="1"/>
    <x v="1"/>
    <x v="2"/>
    <x v="1"/>
    <x v="857"/>
    <n v="16901"/>
    <n v="1"/>
    <s v="Y"/>
    <x v="1"/>
    <n v="22"/>
    <x v="1"/>
    <x v="1"/>
    <n v="80"/>
    <n v="1"/>
    <n v="1"/>
    <n v="2"/>
    <x v="1"/>
    <x v="6"/>
    <n v="0"/>
    <x v="0"/>
    <x v="9"/>
    <x v="2"/>
    <x v="1"/>
    <x v="1"/>
    <n v="0"/>
  </r>
  <r>
    <x v="36"/>
    <x v="0"/>
    <x v="1"/>
    <n v="599"/>
    <x v="0"/>
    <n v="24"/>
    <x v="1"/>
    <x v="0"/>
    <x v="0"/>
    <n v="1273"/>
    <x v="1"/>
    <x v="1"/>
    <n v="73"/>
    <x v="3"/>
    <x v="1"/>
    <x v="6"/>
    <x v="0"/>
    <x v="0"/>
    <x v="858"/>
    <n v="8040"/>
    <n v="1"/>
    <s v="Y"/>
    <x v="0"/>
    <n v="14"/>
    <x v="0"/>
    <x v="1"/>
    <n v="80"/>
    <n v="0"/>
    <n v="1"/>
    <n v="4"/>
    <x v="1"/>
    <x v="6"/>
    <n v="0"/>
    <x v="1"/>
    <x v="2"/>
    <x v="2"/>
    <x v="1"/>
    <x v="1"/>
    <n v="1"/>
  </r>
  <r>
    <x v="25"/>
    <x v="1"/>
    <x v="0"/>
    <n v="583"/>
    <x v="1"/>
    <n v="4"/>
    <x v="0"/>
    <x v="0"/>
    <x v="0"/>
    <n v="1275"/>
    <x v="1"/>
    <x v="1"/>
    <n v="53"/>
    <x v="0"/>
    <x v="1"/>
    <x v="1"/>
    <x v="0"/>
    <x v="0"/>
    <x v="859"/>
    <n v="9973"/>
    <n v="1"/>
    <s v="Y"/>
    <x v="0"/>
    <n v="20"/>
    <x v="1"/>
    <x v="2"/>
    <n v="80"/>
    <n v="0"/>
    <n v="8"/>
    <n v="2"/>
    <x v="2"/>
    <x v="3"/>
    <n v="5"/>
    <x v="3"/>
    <x v="3"/>
    <x v="2"/>
    <x v="0"/>
    <x v="1"/>
    <n v="0"/>
  </r>
  <r>
    <x v="28"/>
    <x v="0"/>
    <x v="0"/>
    <n v="1449"/>
    <x v="0"/>
    <n v="2"/>
    <x v="3"/>
    <x v="3"/>
    <x v="0"/>
    <n v="1277"/>
    <x v="3"/>
    <x v="0"/>
    <n v="94"/>
    <x v="3"/>
    <x v="4"/>
    <x v="5"/>
    <x v="1"/>
    <x v="0"/>
    <x v="860"/>
    <n v="2493"/>
    <n v="2"/>
    <s v="Y"/>
    <x v="0"/>
    <n v="16"/>
    <x v="0"/>
    <x v="0"/>
    <n v="80"/>
    <n v="0"/>
    <n v="26"/>
    <n v="2"/>
    <x v="1"/>
    <x v="25"/>
    <n v="10"/>
    <x v="1"/>
    <x v="7"/>
    <x v="0"/>
    <x v="3"/>
    <x v="2"/>
    <n v="1"/>
  </r>
  <r>
    <x v="27"/>
    <x v="1"/>
    <x v="2"/>
    <n v="177"/>
    <x v="1"/>
    <n v="8"/>
    <x v="1"/>
    <x v="2"/>
    <x v="0"/>
    <n v="1278"/>
    <x v="2"/>
    <x v="1"/>
    <n v="37"/>
    <x v="1"/>
    <x v="3"/>
    <x v="4"/>
    <x v="1"/>
    <x v="2"/>
    <x v="861"/>
    <n v="25592"/>
    <n v="1"/>
    <s v="Y"/>
    <x v="0"/>
    <n v="15"/>
    <x v="0"/>
    <x v="1"/>
    <n v="80"/>
    <n v="1"/>
    <n v="34"/>
    <n v="3"/>
    <x v="1"/>
    <x v="26"/>
    <n v="9"/>
    <x v="9"/>
    <x v="2"/>
    <x v="3"/>
    <x v="3"/>
    <x v="3"/>
    <n v="0"/>
  </r>
  <r>
    <x v="18"/>
    <x v="0"/>
    <x v="1"/>
    <n v="251"/>
    <x v="1"/>
    <n v="10"/>
    <x v="0"/>
    <x v="0"/>
    <x v="0"/>
    <n v="1279"/>
    <x v="3"/>
    <x v="0"/>
    <n v="45"/>
    <x v="1"/>
    <x v="1"/>
    <x v="2"/>
    <x v="2"/>
    <x v="0"/>
    <x v="862"/>
    <n v="25308"/>
    <n v="1"/>
    <s v="Y"/>
    <x v="1"/>
    <n v="20"/>
    <x v="1"/>
    <x v="3"/>
    <n v="80"/>
    <n v="0"/>
    <n v="2"/>
    <n v="2"/>
    <x v="0"/>
    <x v="4"/>
    <n v="2"/>
    <x v="3"/>
    <x v="3"/>
    <x v="2"/>
    <x v="1"/>
    <x v="1"/>
    <n v="1"/>
  </r>
  <r>
    <x v="21"/>
    <x v="1"/>
    <x v="0"/>
    <n v="168"/>
    <x v="0"/>
    <n v="4"/>
    <x v="0"/>
    <x v="3"/>
    <x v="0"/>
    <n v="1280"/>
    <x v="2"/>
    <x v="0"/>
    <n v="33"/>
    <x v="1"/>
    <x v="4"/>
    <x v="5"/>
    <x v="1"/>
    <x v="1"/>
    <x v="863"/>
    <n v="9946"/>
    <n v="2"/>
    <s v="Y"/>
    <x v="1"/>
    <n v="14"/>
    <x v="0"/>
    <x v="3"/>
    <n v="80"/>
    <n v="1"/>
    <n v="26"/>
    <n v="2"/>
    <x v="1"/>
    <x v="19"/>
    <n v="4"/>
    <x v="0"/>
    <x v="5"/>
    <x v="0"/>
    <x v="3"/>
    <x v="2"/>
    <n v="0"/>
  </r>
  <r>
    <x v="13"/>
    <x v="1"/>
    <x v="0"/>
    <n v="131"/>
    <x v="0"/>
    <n v="2"/>
    <x v="3"/>
    <x v="3"/>
    <x v="0"/>
    <n v="1281"/>
    <x v="1"/>
    <x v="0"/>
    <n v="86"/>
    <x v="0"/>
    <x v="0"/>
    <x v="0"/>
    <x v="3"/>
    <x v="0"/>
    <x v="864"/>
    <n v="6039"/>
    <n v="0"/>
    <s v="Y"/>
    <x v="0"/>
    <n v="12"/>
    <x v="0"/>
    <x v="1"/>
    <n v="80"/>
    <n v="0"/>
    <n v="4"/>
    <n v="3"/>
    <x v="1"/>
    <x v="11"/>
    <n v="2"/>
    <x v="0"/>
    <x v="3"/>
    <x v="1"/>
    <x v="2"/>
    <x v="1"/>
    <n v="0"/>
  </r>
  <r>
    <x v="31"/>
    <x v="1"/>
    <x v="1"/>
    <n v="237"/>
    <x v="0"/>
    <n v="9"/>
    <x v="3"/>
    <x v="0"/>
    <x v="0"/>
    <n v="1282"/>
    <x v="2"/>
    <x v="1"/>
    <n v="83"/>
    <x v="0"/>
    <x v="4"/>
    <x v="5"/>
    <x v="1"/>
    <x v="2"/>
    <x v="865"/>
    <n v="19196"/>
    <n v="4"/>
    <s v="Y"/>
    <x v="0"/>
    <n v="24"/>
    <x v="1"/>
    <x v="0"/>
    <n v="80"/>
    <n v="1"/>
    <n v="31"/>
    <n v="5"/>
    <x v="2"/>
    <x v="30"/>
    <n v="10"/>
    <x v="14"/>
    <x v="13"/>
    <x v="3"/>
    <x v="3"/>
    <x v="2"/>
    <n v="0"/>
  </r>
  <r>
    <x v="6"/>
    <x v="1"/>
    <x v="0"/>
    <n v="1429"/>
    <x v="1"/>
    <n v="18"/>
    <x v="2"/>
    <x v="2"/>
    <x v="0"/>
    <n v="1283"/>
    <x v="2"/>
    <x v="1"/>
    <n v="67"/>
    <x v="0"/>
    <x v="2"/>
    <x v="3"/>
    <x v="0"/>
    <x v="0"/>
    <x v="866"/>
    <n v="20002"/>
    <n v="6"/>
    <s v="Y"/>
    <x v="1"/>
    <n v="12"/>
    <x v="0"/>
    <x v="1"/>
    <n v="80"/>
    <n v="0"/>
    <n v="25"/>
    <n v="6"/>
    <x v="2"/>
    <x v="7"/>
    <n v="7"/>
    <x v="8"/>
    <x v="10"/>
    <x v="3"/>
    <x v="0"/>
    <x v="3"/>
    <n v="0"/>
  </r>
  <r>
    <x v="13"/>
    <x v="1"/>
    <x v="1"/>
    <n v="135"/>
    <x v="1"/>
    <n v="19"/>
    <x v="3"/>
    <x v="2"/>
    <x v="0"/>
    <n v="1285"/>
    <x v="1"/>
    <x v="0"/>
    <n v="46"/>
    <x v="0"/>
    <x v="0"/>
    <x v="2"/>
    <x v="1"/>
    <x v="2"/>
    <x v="867"/>
    <n v="22534"/>
    <n v="4"/>
    <s v="Y"/>
    <x v="1"/>
    <n v="13"/>
    <x v="0"/>
    <x v="3"/>
    <n v="80"/>
    <n v="2"/>
    <n v="15"/>
    <n v="2"/>
    <x v="3"/>
    <x v="19"/>
    <n v="8"/>
    <x v="8"/>
    <x v="13"/>
    <x v="1"/>
    <x v="3"/>
    <x v="1"/>
    <n v="0"/>
  </r>
  <r>
    <x v="14"/>
    <x v="1"/>
    <x v="1"/>
    <n v="791"/>
    <x v="1"/>
    <n v="1"/>
    <x v="2"/>
    <x v="2"/>
    <x v="0"/>
    <n v="1286"/>
    <x v="2"/>
    <x v="1"/>
    <n v="44"/>
    <x v="0"/>
    <x v="1"/>
    <x v="2"/>
    <x v="2"/>
    <x v="0"/>
    <x v="868"/>
    <n v="6842"/>
    <n v="0"/>
    <s v="Y"/>
    <x v="0"/>
    <n v="11"/>
    <x v="0"/>
    <x v="3"/>
    <n v="80"/>
    <n v="0"/>
    <n v="5"/>
    <n v="2"/>
    <x v="2"/>
    <x v="9"/>
    <n v="2"/>
    <x v="0"/>
    <x v="3"/>
    <x v="2"/>
    <x v="2"/>
    <x v="1"/>
    <n v="0"/>
  </r>
  <r>
    <x v="20"/>
    <x v="1"/>
    <x v="0"/>
    <n v="1199"/>
    <x v="1"/>
    <n v="4"/>
    <x v="0"/>
    <x v="0"/>
    <x v="0"/>
    <n v="1288"/>
    <x v="1"/>
    <x v="1"/>
    <n v="92"/>
    <x v="2"/>
    <x v="4"/>
    <x v="5"/>
    <x v="3"/>
    <x v="2"/>
    <x v="869"/>
    <n v="17477"/>
    <n v="1"/>
    <s v="Y"/>
    <x v="1"/>
    <n v="14"/>
    <x v="0"/>
    <x v="1"/>
    <n v="80"/>
    <n v="2"/>
    <n v="26"/>
    <n v="4"/>
    <x v="2"/>
    <x v="10"/>
    <n v="9"/>
    <x v="15"/>
    <x v="15"/>
    <x v="0"/>
    <x v="3"/>
    <x v="2"/>
    <n v="0"/>
  </r>
  <r>
    <x v="13"/>
    <x v="1"/>
    <x v="1"/>
    <n v="648"/>
    <x v="2"/>
    <n v="11"/>
    <x v="3"/>
    <x v="0"/>
    <x v="0"/>
    <n v="1289"/>
    <x v="1"/>
    <x v="1"/>
    <n v="56"/>
    <x v="1"/>
    <x v="0"/>
    <x v="8"/>
    <x v="1"/>
    <x v="1"/>
    <x v="870"/>
    <n v="21833"/>
    <n v="4"/>
    <s v="Y"/>
    <x v="1"/>
    <n v="11"/>
    <x v="0"/>
    <x v="1"/>
    <n v="80"/>
    <n v="2"/>
    <n v="14"/>
    <n v="5"/>
    <x v="3"/>
    <x v="1"/>
    <n v="9"/>
    <x v="1"/>
    <x v="5"/>
    <x v="1"/>
    <x v="0"/>
    <x v="1"/>
    <n v="0"/>
  </r>
  <r>
    <x v="10"/>
    <x v="1"/>
    <x v="0"/>
    <n v="735"/>
    <x v="1"/>
    <n v="6"/>
    <x v="1"/>
    <x v="0"/>
    <x v="0"/>
    <n v="1291"/>
    <x v="1"/>
    <x v="1"/>
    <n v="66"/>
    <x v="0"/>
    <x v="1"/>
    <x v="1"/>
    <x v="2"/>
    <x v="1"/>
    <x v="871"/>
    <n v="6020"/>
    <n v="0"/>
    <s v="Y"/>
    <x v="0"/>
    <n v="14"/>
    <x v="0"/>
    <x v="1"/>
    <n v="80"/>
    <n v="0"/>
    <n v="4"/>
    <n v="3"/>
    <x v="1"/>
    <x v="11"/>
    <n v="2"/>
    <x v="3"/>
    <x v="3"/>
    <x v="1"/>
    <x v="2"/>
    <x v="1"/>
    <n v="0"/>
  </r>
  <r>
    <x v="19"/>
    <x v="1"/>
    <x v="0"/>
    <n v="603"/>
    <x v="1"/>
    <n v="7"/>
    <x v="2"/>
    <x v="2"/>
    <x v="0"/>
    <n v="1292"/>
    <x v="0"/>
    <x v="0"/>
    <n v="78"/>
    <x v="2"/>
    <x v="0"/>
    <x v="1"/>
    <x v="1"/>
    <x v="1"/>
    <x v="872"/>
    <n v="5628"/>
    <n v="6"/>
    <s v="Y"/>
    <x v="0"/>
    <n v="16"/>
    <x v="0"/>
    <x v="1"/>
    <n v="80"/>
    <n v="0"/>
    <n v="18"/>
    <n v="2"/>
    <x v="1"/>
    <x v="6"/>
    <n v="0"/>
    <x v="0"/>
    <x v="2"/>
    <x v="0"/>
    <x v="1"/>
    <x v="1"/>
    <n v="0"/>
  </r>
  <r>
    <x v="23"/>
    <x v="1"/>
    <x v="0"/>
    <n v="531"/>
    <x v="0"/>
    <n v="4"/>
    <x v="2"/>
    <x v="3"/>
    <x v="0"/>
    <n v="1293"/>
    <x v="2"/>
    <x v="0"/>
    <n v="56"/>
    <x v="1"/>
    <x v="2"/>
    <x v="0"/>
    <x v="0"/>
    <x v="0"/>
    <x v="873"/>
    <n v="20364"/>
    <n v="3"/>
    <s v="Y"/>
    <x v="1"/>
    <n v="14"/>
    <x v="0"/>
    <x v="1"/>
    <n v="80"/>
    <n v="0"/>
    <n v="23"/>
    <n v="3"/>
    <x v="3"/>
    <x v="17"/>
    <n v="7"/>
    <x v="9"/>
    <x v="8"/>
    <x v="0"/>
    <x v="3"/>
    <x v="3"/>
    <n v="0"/>
  </r>
  <r>
    <x v="9"/>
    <x v="1"/>
    <x v="0"/>
    <n v="429"/>
    <x v="1"/>
    <n v="2"/>
    <x v="2"/>
    <x v="0"/>
    <x v="0"/>
    <n v="1294"/>
    <x v="1"/>
    <x v="0"/>
    <n v="53"/>
    <x v="0"/>
    <x v="0"/>
    <x v="3"/>
    <x v="1"/>
    <x v="0"/>
    <x v="874"/>
    <n v="2323"/>
    <n v="9"/>
    <s v="Y"/>
    <x v="0"/>
    <n v="11"/>
    <x v="0"/>
    <x v="1"/>
    <n v="80"/>
    <n v="0"/>
    <n v="18"/>
    <n v="2"/>
    <x v="1"/>
    <x v="22"/>
    <n v="14"/>
    <x v="8"/>
    <x v="11"/>
    <x v="1"/>
    <x v="3"/>
    <x v="0"/>
    <n v="0"/>
  </r>
  <r>
    <x v="20"/>
    <x v="0"/>
    <x v="0"/>
    <n v="621"/>
    <x v="1"/>
    <n v="15"/>
    <x v="3"/>
    <x v="2"/>
    <x v="0"/>
    <n v="1295"/>
    <x v="3"/>
    <x v="0"/>
    <n v="73"/>
    <x v="0"/>
    <x v="2"/>
    <x v="4"/>
    <x v="0"/>
    <x v="1"/>
    <x v="875"/>
    <n v="14075"/>
    <n v="1"/>
    <s v="Y"/>
    <x v="1"/>
    <n v="11"/>
    <x v="0"/>
    <x v="1"/>
    <n v="80"/>
    <n v="1"/>
    <n v="10"/>
    <n v="2"/>
    <x v="1"/>
    <x v="1"/>
    <n v="7"/>
    <x v="0"/>
    <x v="0"/>
    <x v="0"/>
    <x v="0"/>
    <x v="0"/>
    <n v="1"/>
  </r>
  <r>
    <x v="14"/>
    <x v="1"/>
    <x v="1"/>
    <n v="193"/>
    <x v="1"/>
    <n v="2"/>
    <x v="3"/>
    <x v="0"/>
    <x v="0"/>
    <n v="1296"/>
    <x v="2"/>
    <x v="1"/>
    <n v="52"/>
    <x v="1"/>
    <x v="1"/>
    <x v="2"/>
    <x v="0"/>
    <x v="1"/>
    <x v="876"/>
    <n v="14222"/>
    <n v="1"/>
    <s v="Y"/>
    <x v="0"/>
    <n v="12"/>
    <x v="0"/>
    <x v="2"/>
    <n v="80"/>
    <n v="1"/>
    <n v="2"/>
    <n v="2"/>
    <x v="1"/>
    <x v="4"/>
    <n v="2"/>
    <x v="3"/>
    <x v="3"/>
    <x v="2"/>
    <x v="1"/>
    <x v="1"/>
    <n v="0"/>
  </r>
  <r>
    <x v="31"/>
    <x v="1"/>
    <x v="1"/>
    <n v="968"/>
    <x v="1"/>
    <n v="6"/>
    <x v="0"/>
    <x v="2"/>
    <x v="0"/>
    <n v="1297"/>
    <x v="0"/>
    <x v="0"/>
    <n v="40"/>
    <x v="1"/>
    <x v="1"/>
    <x v="2"/>
    <x v="2"/>
    <x v="0"/>
    <x v="877"/>
    <n v="4257"/>
    <n v="0"/>
    <s v="Y"/>
    <x v="1"/>
    <n v="14"/>
    <x v="0"/>
    <x v="2"/>
    <n v="80"/>
    <n v="0"/>
    <n v="8"/>
    <n v="6"/>
    <x v="2"/>
    <x v="5"/>
    <n v="0"/>
    <x v="4"/>
    <x v="1"/>
    <x v="3"/>
    <x v="0"/>
    <x v="1"/>
    <n v="0"/>
  </r>
  <r>
    <x v="7"/>
    <x v="1"/>
    <x v="2"/>
    <n v="879"/>
    <x v="1"/>
    <n v="9"/>
    <x v="0"/>
    <x v="2"/>
    <x v="0"/>
    <n v="1298"/>
    <x v="1"/>
    <x v="0"/>
    <n v="72"/>
    <x v="0"/>
    <x v="0"/>
    <x v="3"/>
    <x v="2"/>
    <x v="0"/>
    <x v="878"/>
    <n v="12858"/>
    <n v="7"/>
    <s v="Y"/>
    <x v="0"/>
    <n v="18"/>
    <x v="0"/>
    <x v="3"/>
    <n v="80"/>
    <n v="0"/>
    <n v="10"/>
    <n v="3"/>
    <x v="1"/>
    <x v="3"/>
    <n v="4"/>
    <x v="1"/>
    <x v="1"/>
    <x v="1"/>
    <x v="0"/>
    <x v="1"/>
    <n v="0"/>
  </r>
  <r>
    <x v="11"/>
    <x v="0"/>
    <x v="0"/>
    <n v="806"/>
    <x v="1"/>
    <n v="7"/>
    <x v="3"/>
    <x v="4"/>
    <x v="0"/>
    <n v="1299"/>
    <x v="0"/>
    <x v="0"/>
    <n v="39"/>
    <x v="0"/>
    <x v="1"/>
    <x v="2"/>
    <x v="2"/>
    <x v="2"/>
    <x v="879"/>
    <n v="17285"/>
    <n v="3"/>
    <s v="Y"/>
    <x v="0"/>
    <n v="13"/>
    <x v="0"/>
    <x v="0"/>
    <n v="80"/>
    <n v="2"/>
    <n v="10"/>
    <n v="2"/>
    <x v="1"/>
    <x v="5"/>
    <n v="7"/>
    <x v="4"/>
    <x v="1"/>
    <x v="2"/>
    <x v="0"/>
    <x v="1"/>
    <n v="1"/>
  </r>
  <r>
    <x v="14"/>
    <x v="1"/>
    <x v="0"/>
    <n v="640"/>
    <x v="1"/>
    <n v="1"/>
    <x v="3"/>
    <x v="4"/>
    <x v="0"/>
    <n v="1301"/>
    <x v="2"/>
    <x v="1"/>
    <n v="84"/>
    <x v="0"/>
    <x v="1"/>
    <x v="1"/>
    <x v="3"/>
    <x v="0"/>
    <x v="880"/>
    <n v="4732"/>
    <n v="2"/>
    <s v="Y"/>
    <x v="1"/>
    <n v="11"/>
    <x v="0"/>
    <x v="2"/>
    <n v="80"/>
    <n v="0"/>
    <n v="5"/>
    <n v="2"/>
    <x v="2"/>
    <x v="11"/>
    <n v="2"/>
    <x v="1"/>
    <x v="3"/>
    <x v="2"/>
    <x v="2"/>
    <x v="1"/>
    <n v="0"/>
  </r>
  <r>
    <x v="36"/>
    <x v="1"/>
    <x v="0"/>
    <n v="266"/>
    <x v="1"/>
    <n v="1"/>
    <x v="3"/>
    <x v="2"/>
    <x v="0"/>
    <n v="1303"/>
    <x v="2"/>
    <x v="0"/>
    <n v="40"/>
    <x v="0"/>
    <x v="1"/>
    <x v="1"/>
    <x v="1"/>
    <x v="0"/>
    <x v="461"/>
    <n v="18830"/>
    <n v="1"/>
    <s v="Y"/>
    <x v="1"/>
    <n v="18"/>
    <x v="0"/>
    <x v="1"/>
    <n v="80"/>
    <n v="0"/>
    <n v="2"/>
    <n v="3"/>
    <x v="2"/>
    <x v="4"/>
    <n v="2"/>
    <x v="3"/>
    <x v="9"/>
    <x v="2"/>
    <x v="1"/>
    <x v="1"/>
    <n v="0"/>
  </r>
  <r>
    <x v="5"/>
    <x v="1"/>
    <x v="0"/>
    <n v="604"/>
    <x v="0"/>
    <n v="8"/>
    <x v="3"/>
    <x v="2"/>
    <x v="0"/>
    <n v="1304"/>
    <x v="1"/>
    <x v="1"/>
    <n v="56"/>
    <x v="2"/>
    <x v="0"/>
    <x v="0"/>
    <x v="0"/>
    <x v="1"/>
    <x v="881"/>
    <n v="11693"/>
    <n v="1"/>
    <s v="Y"/>
    <x v="1"/>
    <n v="15"/>
    <x v="0"/>
    <x v="3"/>
    <n v="80"/>
    <n v="2"/>
    <n v="10"/>
    <n v="4"/>
    <x v="3"/>
    <x v="1"/>
    <n v="7"/>
    <x v="0"/>
    <x v="5"/>
    <x v="1"/>
    <x v="0"/>
    <x v="0"/>
    <n v="0"/>
  </r>
  <r>
    <x v="28"/>
    <x v="1"/>
    <x v="1"/>
    <n v="364"/>
    <x v="1"/>
    <n v="25"/>
    <x v="3"/>
    <x v="2"/>
    <x v="0"/>
    <n v="1306"/>
    <x v="0"/>
    <x v="0"/>
    <n v="83"/>
    <x v="0"/>
    <x v="4"/>
    <x v="5"/>
    <x v="1"/>
    <x v="0"/>
    <x v="882"/>
    <n v="13035"/>
    <n v="3"/>
    <s v="Y"/>
    <x v="1"/>
    <n v="22"/>
    <x v="1"/>
    <x v="3"/>
    <n v="80"/>
    <n v="0"/>
    <n v="22"/>
    <n v="4"/>
    <x v="1"/>
    <x v="2"/>
    <n v="0"/>
    <x v="0"/>
    <x v="2"/>
    <x v="0"/>
    <x v="1"/>
    <x v="2"/>
    <n v="0"/>
  </r>
  <r>
    <x v="22"/>
    <x v="1"/>
    <x v="0"/>
    <n v="412"/>
    <x v="1"/>
    <n v="13"/>
    <x v="2"/>
    <x v="2"/>
    <x v="0"/>
    <n v="1307"/>
    <x v="1"/>
    <x v="0"/>
    <n v="94"/>
    <x v="1"/>
    <x v="3"/>
    <x v="5"/>
    <x v="1"/>
    <x v="2"/>
    <x v="883"/>
    <n v="17334"/>
    <n v="6"/>
    <s v="Y"/>
    <x v="0"/>
    <n v="13"/>
    <x v="0"/>
    <x v="1"/>
    <n v="80"/>
    <n v="2"/>
    <n v="21"/>
    <n v="4"/>
    <x v="1"/>
    <x v="27"/>
    <n v="9"/>
    <x v="9"/>
    <x v="3"/>
    <x v="1"/>
    <x v="3"/>
    <x v="2"/>
    <n v="0"/>
  </r>
  <r>
    <x v="34"/>
    <x v="1"/>
    <x v="0"/>
    <n v="848"/>
    <x v="1"/>
    <n v="23"/>
    <x v="2"/>
    <x v="0"/>
    <x v="0"/>
    <n v="1308"/>
    <x v="3"/>
    <x v="1"/>
    <n v="88"/>
    <x v="0"/>
    <x v="1"/>
    <x v="1"/>
    <x v="2"/>
    <x v="2"/>
    <x v="872"/>
    <n v="26076"/>
    <n v="1"/>
    <s v="Y"/>
    <x v="1"/>
    <n v="12"/>
    <x v="0"/>
    <x v="1"/>
    <n v="80"/>
    <n v="2"/>
    <n v="2"/>
    <n v="3"/>
    <x v="1"/>
    <x v="4"/>
    <n v="2"/>
    <x v="3"/>
    <x v="3"/>
    <x v="3"/>
    <x v="1"/>
    <x v="1"/>
    <n v="0"/>
  </r>
  <r>
    <x v="5"/>
    <x v="0"/>
    <x v="0"/>
    <n v="1089"/>
    <x v="1"/>
    <n v="7"/>
    <x v="0"/>
    <x v="0"/>
    <x v="0"/>
    <n v="1309"/>
    <x v="2"/>
    <x v="1"/>
    <n v="79"/>
    <x v="0"/>
    <x v="0"/>
    <x v="2"/>
    <x v="2"/>
    <x v="1"/>
    <x v="884"/>
    <n v="22845"/>
    <n v="1"/>
    <s v="Y"/>
    <x v="1"/>
    <n v="18"/>
    <x v="0"/>
    <x v="0"/>
    <n v="80"/>
    <n v="1"/>
    <n v="10"/>
    <n v="3"/>
    <x v="1"/>
    <x v="1"/>
    <n v="4"/>
    <x v="1"/>
    <x v="9"/>
    <x v="1"/>
    <x v="0"/>
    <x v="1"/>
    <n v="1"/>
  </r>
  <r>
    <x v="22"/>
    <x v="0"/>
    <x v="0"/>
    <n v="360"/>
    <x v="1"/>
    <n v="23"/>
    <x v="3"/>
    <x v="2"/>
    <x v="0"/>
    <n v="1310"/>
    <x v="1"/>
    <x v="1"/>
    <n v="93"/>
    <x v="0"/>
    <x v="1"/>
    <x v="1"/>
    <x v="3"/>
    <x v="0"/>
    <x v="885"/>
    <n v="22154"/>
    <n v="0"/>
    <s v="Y"/>
    <x v="1"/>
    <n v="13"/>
    <x v="0"/>
    <x v="0"/>
    <n v="80"/>
    <n v="0"/>
    <n v="6"/>
    <n v="2"/>
    <x v="1"/>
    <x v="8"/>
    <n v="2"/>
    <x v="0"/>
    <x v="6"/>
    <x v="1"/>
    <x v="2"/>
    <x v="1"/>
    <n v="1"/>
  </r>
  <r>
    <x v="7"/>
    <x v="1"/>
    <x v="0"/>
    <n v="1138"/>
    <x v="1"/>
    <n v="6"/>
    <x v="3"/>
    <x v="4"/>
    <x v="0"/>
    <n v="1311"/>
    <x v="3"/>
    <x v="0"/>
    <n v="48"/>
    <x v="1"/>
    <x v="0"/>
    <x v="2"/>
    <x v="0"/>
    <x v="1"/>
    <x v="886"/>
    <n v="23631"/>
    <n v="0"/>
    <s v="Y"/>
    <x v="1"/>
    <n v="12"/>
    <x v="0"/>
    <x v="0"/>
    <n v="80"/>
    <n v="1"/>
    <n v="10"/>
    <n v="6"/>
    <x v="1"/>
    <x v="7"/>
    <n v="2"/>
    <x v="7"/>
    <x v="1"/>
    <x v="1"/>
    <x v="0"/>
    <x v="1"/>
    <n v="0"/>
  </r>
  <r>
    <x v="9"/>
    <x v="1"/>
    <x v="0"/>
    <n v="325"/>
    <x v="1"/>
    <n v="10"/>
    <x v="2"/>
    <x v="4"/>
    <x v="0"/>
    <n v="1312"/>
    <x v="2"/>
    <x v="0"/>
    <n v="63"/>
    <x v="0"/>
    <x v="2"/>
    <x v="4"/>
    <x v="2"/>
    <x v="1"/>
    <x v="887"/>
    <n v="5747"/>
    <n v="3"/>
    <s v="Y"/>
    <x v="1"/>
    <n v="12"/>
    <x v="0"/>
    <x v="0"/>
    <n v="80"/>
    <n v="0"/>
    <n v="10"/>
    <n v="0"/>
    <x v="1"/>
    <x v="5"/>
    <n v="7"/>
    <x v="1"/>
    <x v="1"/>
    <x v="1"/>
    <x v="0"/>
    <x v="0"/>
    <n v="0"/>
  </r>
  <r>
    <x v="21"/>
    <x v="1"/>
    <x v="0"/>
    <n v="991"/>
    <x v="2"/>
    <n v="1"/>
    <x v="0"/>
    <x v="0"/>
    <x v="0"/>
    <n v="1314"/>
    <x v="2"/>
    <x v="0"/>
    <n v="44"/>
    <x v="0"/>
    <x v="1"/>
    <x v="8"/>
    <x v="3"/>
    <x v="0"/>
    <x v="888"/>
    <n v="22957"/>
    <n v="6"/>
    <s v="Y"/>
    <x v="1"/>
    <n v="12"/>
    <x v="0"/>
    <x v="3"/>
    <n v="80"/>
    <n v="0"/>
    <n v="10"/>
    <n v="3"/>
    <x v="3"/>
    <x v="5"/>
    <n v="6"/>
    <x v="8"/>
    <x v="1"/>
    <x v="0"/>
    <x v="0"/>
    <x v="1"/>
    <n v="0"/>
  </r>
  <r>
    <x v="14"/>
    <x v="1"/>
    <x v="2"/>
    <n v="1476"/>
    <x v="1"/>
    <n v="1"/>
    <x v="3"/>
    <x v="0"/>
    <x v="0"/>
    <n v="1315"/>
    <x v="1"/>
    <x v="0"/>
    <n v="55"/>
    <x v="3"/>
    <x v="0"/>
    <x v="2"/>
    <x v="0"/>
    <x v="1"/>
    <x v="889"/>
    <n v="16392"/>
    <n v="0"/>
    <s v="Y"/>
    <x v="1"/>
    <n v="11"/>
    <x v="0"/>
    <x v="0"/>
    <n v="80"/>
    <n v="3"/>
    <n v="10"/>
    <n v="6"/>
    <x v="1"/>
    <x v="7"/>
    <n v="8"/>
    <x v="4"/>
    <x v="0"/>
    <x v="2"/>
    <x v="0"/>
    <x v="0"/>
    <n v="0"/>
  </r>
  <r>
    <x v="24"/>
    <x v="1"/>
    <x v="0"/>
    <n v="1322"/>
    <x v="1"/>
    <n v="28"/>
    <x v="3"/>
    <x v="0"/>
    <x v="0"/>
    <n v="1317"/>
    <x v="2"/>
    <x v="0"/>
    <n v="43"/>
    <x v="0"/>
    <x v="3"/>
    <x v="7"/>
    <x v="3"/>
    <x v="1"/>
    <x v="890"/>
    <n v="22422"/>
    <n v="4"/>
    <s v="Y"/>
    <x v="0"/>
    <n v="11"/>
    <x v="0"/>
    <x v="2"/>
    <n v="80"/>
    <n v="0"/>
    <n v="25"/>
    <n v="2"/>
    <x v="1"/>
    <x v="11"/>
    <n v="2"/>
    <x v="1"/>
    <x v="3"/>
    <x v="3"/>
    <x v="2"/>
    <x v="2"/>
    <n v="0"/>
  </r>
  <r>
    <x v="32"/>
    <x v="0"/>
    <x v="0"/>
    <n v="299"/>
    <x v="0"/>
    <n v="25"/>
    <x v="2"/>
    <x v="3"/>
    <x v="0"/>
    <n v="1318"/>
    <x v="2"/>
    <x v="1"/>
    <n v="57"/>
    <x v="1"/>
    <x v="2"/>
    <x v="0"/>
    <x v="1"/>
    <x v="0"/>
    <x v="891"/>
    <n v="17235"/>
    <n v="2"/>
    <s v="Y"/>
    <x v="0"/>
    <n v="12"/>
    <x v="0"/>
    <x v="3"/>
    <n v="80"/>
    <n v="0"/>
    <n v="9"/>
    <n v="2"/>
    <x v="1"/>
    <x v="8"/>
    <n v="4"/>
    <x v="1"/>
    <x v="2"/>
    <x v="0"/>
    <x v="2"/>
    <x v="0"/>
    <n v="1"/>
  </r>
  <r>
    <x v="39"/>
    <x v="0"/>
    <x v="0"/>
    <n v="1030"/>
    <x v="0"/>
    <n v="5"/>
    <x v="3"/>
    <x v="0"/>
    <x v="0"/>
    <n v="1319"/>
    <x v="0"/>
    <x v="1"/>
    <n v="64"/>
    <x v="0"/>
    <x v="2"/>
    <x v="0"/>
    <x v="1"/>
    <x v="0"/>
    <x v="892"/>
    <n v="21534"/>
    <n v="9"/>
    <s v="Y"/>
    <x v="0"/>
    <n v="19"/>
    <x v="0"/>
    <x v="3"/>
    <n v="80"/>
    <n v="0"/>
    <n v="10"/>
    <n v="2"/>
    <x v="2"/>
    <x v="3"/>
    <n v="7"/>
    <x v="4"/>
    <x v="1"/>
    <x v="3"/>
    <x v="0"/>
    <x v="0"/>
    <n v="1"/>
  </r>
  <r>
    <x v="7"/>
    <x v="1"/>
    <x v="0"/>
    <n v="634"/>
    <x v="1"/>
    <n v="17"/>
    <x v="2"/>
    <x v="2"/>
    <x v="0"/>
    <n v="1321"/>
    <x v="0"/>
    <x v="0"/>
    <n v="95"/>
    <x v="0"/>
    <x v="2"/>
    <x v="5"/>
    <x v="3"/>
    <x v="1"/>
    <x v="893"/>
    <n v="25927"/>
    <n v="1"/>
    <s v="Y"/>
    <x v="0"/>
    <n v="23"/>
    <x v="1"/>
    <x v="1"/>
    <n v="80"/>
    <n v="2"/>
    <n v="9"/>
    <n v="2"/>
    <x v="1"/>
    <x v="7"/>
    <n v="1"/>
    <x v="0"/>
    <x v="5"/>
    <x v="1"/>
    <x v="0"/>
    <x v="3"/>
    <n v="0"/>
  </r>
  <r>
    <x v="22"/>
    <x v="1"/>
    <x v="0"/>
    <n v="524"/>
    <x v="1"/>
    <n v="18"/>
    <x v="0"/>
    <x v="0"/>
    <x v="0"/>
    <n v="1322"/>
    <x v="3"/>
    <x v="1"/>
    <n v="32"/>
    <x v="0"/>
    <x v="0"/>
    <x v="3"/>
    <x v="2"/>
    <x v="0"/>
    <x v="894"/>
    <n v="13352"/>
    <n v="0"/>
    <s v="Y"/>
    <x v="1"/>
    <n v="11"/>
    <x v="0"/>
    <x v="0"/>
    <n v="80"/>
    <n v="0"/>
    <n v="9"/>
    <n v="6"/>
    <x v="1"/>
    <x v="3"/>
    <n v="7"/>
    <x v="1"/>
    <x v="1"/>
    <x v="1"/>
    <x v="0"/>
    <x v="1"/>
    <n v="0"/>
  </r>
  <r>
    <x v="12"/>
    <x v="1"/>
    <x v="2"/>
    <n v="587"/>
    <x v="0"/>
    <n v="2"/>
    <x v="2"/>
    <x v="0"/>
    <x v="0"/>
    <n v="1324"/>
    <x v="2"/>
    <x v="0"/>
    <n v="57"/>
    <x v="0"/>
    <x v="2"/>
    <x v="0"/>
    <x v="2"/>
    <x v="2"/>
    <x v="895"/>
    <n v="8935"/>
    <n v="1"/>
    <s v="Y"/>
    <x v="0"/>
    <n v="19"/>
    <x v="0"/>
    <x v="0"/>
    <n v="80"/>
    <n v="1"/>
    <n v="10"/>
    <n v="5"/>
    <x v="2"/>
    <x v="1"/>
    <n v="8"/>
    <x v="10"/>
    <x v="4"/>
    <x v="1"/>
    <x v="0"/>
    <x v="0"/>
    <n v="0"/>
  </r>
  <r>
    <x v="0"/>
    <x v="1"/>
    <x v="2"/>
    <n v="256"/>
    <x v="0"/>
    <n v="10"/>
    <x v="0"/>
    <x v="2"/>
    <x v="0"/>
    <n v="1329"/>
    <x v="1"/>
    <x v="1"/>
    <n v="40"/>
    <x v="3"/>
    <x v="0"/>
    <x v="0"/>
    <x v="1"/>
    <x v="0"/>
    <x v="896"/>
    <n v="22074"/>
    <n v="1"/>
    <s v="Y"/>
    <x v="1"/>
    <n v="13"/>
    <x v="0"/>
    <x v="0"/>
    <n v="80"/>
    <n v="0"/>
    <n v="19"/>
    <n v="4"/>
    <x v="1"/>
    <x v="27"/>
    <n v="2"/>
    <x v="14"/>
    <x v="12"/>
    <x v="0"/>
    <x v="3"/>
    <x v="0"/>
    <n v="0"/>
  </r>
  <r>
    <x v="12"/>
    <x v="0"/>
    <x v="1"/>
    <n v="1060"/>
    <x v="0"/>
    <n v="1"/>
    <x v="3"/>
    <x v="0"/>
    <x v="0"/>
    <n v="1331"/>
    <x v="2"/>
    <x v="0"/>
    <n v="54"/>
    <x v="0"/>
    <x v="1"/>
    <x v="6"/>
    <x v="1"/>
    <x v="0"/>
    <x v="897"/>
    <n v="8319"/>
    <n v="1"/>
    <s v="Y"/>
    <x v="0"/>
    <n v="11"/>
    <x v="0"/>
    <x v="0"/>
    <n v="80"/>
    <n v="0"/>
    <n v="3"/>
    <n v="2"/>
    <x v="3"/>
    <x v="11"/>
    <n v="2"/>
    <x v="3"/>
    <x v="3"/>
    <x v="1"/>
    <x v="2"/>
    <x v="1"/>
    <n v="1"/>
  </r>
  <r>
    <x v="20"/>
    <x v="0"/>
    <x v="0"/>
    <n v="935"/>
    <x v="1"/>
    <n v="3"/>
    <x v="3"/>
    <x v="0"/>
    <x v="0"/>
    <n v="1333"/>
    <x v="3"/>
    <x v="1"/>
    <n v="89"/>
    <x v="0"/>
    <x v="1"/>
    <x v="2"/>
    <x v="3"/>
    <x v="1"/>
    <x v="898"/>
    <n v="14669"/>
    <n v="4"/>
    <s v="Y"/>
    <x v="1"/>
    <n v="12"/>
    <x v="0"/>
    <x v="3"/>
    <n v="80"/>
    <n v="0"/>
    <n v="10"/>
    <n v="4"/>
    <x v="3"/>
    <x v="11"/>
    <n v="2"/>
    <x v="1"/>
    <x v="3"/>
    <x v="0"/>
    <x v="2"/>
    <x v="1"/>
    <n v="1"/>
  </r>
  <r>
    <x v="19"/>
    <x v="1"/>
    <x v="2"/>
    <n v="495"/>
    <x v="1"/>
    <n v="2"/>
    <x v="1"/>
    <x v="0"/>
    <x v="0"/>
    <n v="1334"/>
    <x v="1"/>
    <x v="1"/>
    <n v="37"/>
    <x v="0"/>
    <x v="3"/>
    <x v="5"/>
    <x v="2"/>
    <x v="1"/>
    <x v="417"/>
    <n v="26582"/>
    <n v="0"/>
    <s v="Y"/>
    <x v="0"/>
    <n v="13"/>
    <x v="0"/>
    <x v="1"/>
    <n v="80"/>
    <n v="0"/>
    <n v="21"/>
    <n v="3"/>
    <x v="2"/>
    <x v="23"/>
    <n v="8"/>
    <x v="3"/>
    <x v="13"/>
    <x v="0"/>
    <x v="3"/>
    <x v="2"/>
    <n v="0"/>
  </r>
  <r>
    <x v="27"/>
    <x v="1"/>
    <x v="0"/>
    <n v="282"/>
    <x v="1"/>
    <n v="2"/>
    <x v="0"/>
    <x v="2"/>
    <x v="0"/>
    <n v="1336"/>
    <x v="2"/>
    <x v="0"/>
    <n v="58"/>
    <x v="3"/>
    <x v="4"/>
    <x v="5"/>
    <x v="2"/>
    <x v="1"/>
    <x v="899"/>
    <n v="6992"/>
    <n v="4"/>
    <s v="Y"/>
    <x v="1"/>
    <n v="14"/>
    <x v="0"/>
    <x v="1"/>
    <n v="80"/>
    <n v="1"/>
    <n v="23"/>
    <n v="5"/>
    <x v="1"/>
    <x v="27"/>
    <n v="9"/>
    <x v="10"/>
    <x v="7"/>
    <x v="3"/>
    <x v="3"/>
    <x v="2"/>
    <n v="0"/>
  </r>
  <r>
    <x v="29"/>
    <x v="1"/>
    <x v="0"/>
    <n v="206"/>
    <x v="2"/>
    <n v="8"/>
    <x v="2"/>
    <x v="0"/>
    <x v="0"/>
    <n v="1338"/>
    <x v="2"/>
    <x v="1"/>
    <n v="99"/>
    <x v="0"/>
    <x v="4"/>
    <x v="5"/>
    <x v="1"/>
    <x v="0"/>
    <x v="900"/>
    <n v="4022"/>
    <n v="6"/>
    <s v="Y"/>
    <x v="1"/>
    <n v="14"/>
    <x v="0"/>
    <x v="0"/>
    <n v="80"/>
    <n v="0"/>
    <n v="36"/>
    <n v="4"/>
    <x v="1"/>
    <x v="5"/>
    <n v="3"/>
    <x v="4"/>
    <x v="1"/>
    <x v="3"/>
    <x v="0"/>
    <x v="2"/>
    <n v="0"/>
  </r>
  <r>
    <x v="32"/>
    <x v="1"/>
    <x v="2"/>
    <n v="458"/>
    <x v="1"/>
    <n v="16"/>
    <x v="0"/>
    <x v="0"/>
    <x v="0"/>
    <n v="1340"/>
    <x v="1"/>
    <x v="1"/>
    <n v="74"/>
    <x v="0"/>
    <x v="1"/>
    <x v="1"/>
    <x v="2"/>
    <x v="2"/>
    <x v="901"/>
    <n v="8532"/>
    <n v="9"/>
    <s v="Y"/>
    <x v="1"/>
    <n v="16"/>
    <x v="0"/>
    <x v="2"/>
    <n v="80"/>
    <n v="1"/>
    <n v="6"/>
    <n v="0"/>
    <x v="1"/>
    <x v="9"/>
    <n v="2"/>
    <x v="0"/>
    <x v="2"/>
    <x v="0"/>
    <x v="2"/>
    <x v="1"/>
    <n v="0"/>
  </r>
  <r>
    <x v="13"/>
    <x v="1"/>
    <x v="0"/>
    <n v="943"/>
    <x v="1"/>
    <n v="9"/>
    <x v="3"/>
    <x v="0"/>
    <x v="0"/>
    <n v="1344"/>
    <x v="2"/>
    <x v="1"/>
    <n v="86"/>
    <x v="0"/>
    <x v="2"/>
    <x v="4"/>
    <x v="0"/>
    <x v="2"/>
    <x v="902"/>
    <n v="5494"/>
    <n v="0"/>
    <s v="Y"/>
    <x v="1"/>
    <n v="11"/>
    <x v="0"/>
    <x v="1"/>
    <n v="80"/>
    <n v="1"/>
    <n v="10"/>
    <n v="0"/>
    <x v="2"/>
    <x v="7"/>
    <n v="7"/>
    <x v="1"/>
    <x v="4"/>
    <x v="1"/>
    <x v="0"/>
    <x v="0"/>
    <n v="0"/>
  </r>
  <r>
    <x v="32"/>
    <x v="1"/>
    <x v="0"/>
    <n v="523"/>
    <x v="1"/>
    <n v="2"/>
    <x v="3"/>
    <x v="0"/>
    <x v="0"/>
    <n v="1346"/>
    <x v="1"/>
    <x v="1"/>
    <n v="98"/>
    <x v="0"/>
    <x v="0"/>
    <x v="1"/>
    <x v="0"/>
    <x v="0"/>
    <x v="903"/>
    <n v="22455"/>
    <n v="1"/>
    <s v="Y"/>
    <x v="1"/>
    <n v="13"/>
    <x v="0"/>
    <x v="3"/>
    <n v="80"/>
    <n v="0"/>
    <n v="9"/>
    <n v="4"/>
    <x v="1"/>
    <x v="7"/>
    <n v="8"/>
    <x v="6"/>
    <x v="5"/>
    <x v="0"/>
    <x v="0"/>
    <x v="1"/>
    <n v="0"/>
  </r>
  <r>
    <x v="0"/>
    <x v="1"/>
    <x v="1"/>
    <n v="1018"/>
    <x v="0"/>
    <n v="1"/>
    <x v="3"/>
    <x v="3"/>
    <x v="0"/>
    <n v="1349"/>
    <x v="1"/>
    <x v="0"/>
    <n v="66"/>
    <x v="0"/>
    <x v="0"/>
    <x v="0"/>
    <x v="3"/>
    <x v="2"/>
    <x v="904"/>
    <n v="4297"/>
    <n v="0"/>
    <s v="Y"/>
    <x v="1"/>
    <n v="17"/>
    <x v="0"/>
    <x v="1"/>
    <n v="80"/>
    <n v="1"/>
    <n v="10"/>
    <n v="2"/>
    <x v="1"/>
    <x v="7"/>
    <n v="3"/>
    <x v="1"/>
    <x v="1"/>
    <x v="0"/>
    <x v="0"/>
    <x v="1"/>
    <n v="0"/>
  </r>
  <r>
    <x v="10"/>
    <x v="1"/>
    <x v="1"/>
    <n v="482"/>
    <x v="1"/>
    <n v="4"/>
    <x v="2"/>
    <x v="0"/>
    <x v="0"/>
    <n v="1350"/>
    <x v="1"/>
    <x v="1"/>
    <n v="87"/>
    <x v="0"/>
    <x v="0"/>
    <x v="1"/>
    <x v="2"/>
    <x v="0"/>
    <x v="905"/>
    <n v="2690"/>
    <n v="1"/>
    <s v="Y"/>
    <x v="0"/>
    <n v="11"/>
    <x v="0"/>
    <x v="2"/>
    <n v="80"/>
    <n v="0"/>
    <n v="9"/>
    <n v="3"/>
    <x v="1"/>
    <x v="7"/>
    <n v="6"/>
    <x v="1"/>
    <x v="9"/>
    <x v="1"/>
    <x v="0"/>
    <x v="1"/>
    <n v="0"/>
  </r>
  <r>
    <x v="31"/>
    <x v="1"/>
    <x v="0"/>
    <n v="770"/>
    <x v="2"/>
    <n v="5"/>
    <x v="3"/>
    <x v="0"/>
    <x v="0"/>
    <n v="1352"/>
    <x v="1"/>
    <x v="1"/>
    <n v="84"/>
    <x v="0"/>
    <x v="3"/>
    <x v="5"/>
    <x v="1"/>
    <x v="2"/>
    <x v="906"/>
    <n v="17588"/>
    <n v="1"/>
    <s v="Y"/>
    <x v="0"/>
    <n v="11"/>
    <x v="0"/>
    <x v="2"/>
    <n v="80"/>
    <n v="1"/>
    <n v="33"/>
    <n v="2"/>
    <x v="1"/>
    <x v="26"/>
    <n v="9"/>
    <x v="0"/>
    <x v="13"/>
    <x v="3"/>
    <x v="3"/>
    <x v="3"/>
    <n v="0"/>
  </r>
  <r>
    <x v="8"/>
    <x v="1"/>
    <x v="0"/>
    <n v="1009"/>
    <x v="0"/>
    <n v="2"/>
    <x v="0"/>
    <x v="0"/>
    <x v="0"/>
    <n v="1355"/>
    <x v="0"/>
    <x v="0"/>
    <n v="31"/>
    <x v="0"/>
    <x v="0"/>
    <x v="0"/>
    <x v="3"/>
    <x v="2"/>
    <x v="907"/>
    <n v="19461"/>
    <n v="3"/>
    <s v="Y"/>
    <x v="1"/>
    <n v="15"/>
    <x v="0"/>
    <x v="1"/>
    <n v="80"/>
    <n v="1"/>
    <n v="11"/>
    <n v="3"/>
    <x v="1"/>
    <x v="5"/>
    <n v="7"/>
    <x v="1"/>
    <x v="1"/>
    <x v="1"/>
    <x v="0"/>
    <x v="0"/>
    <n v="0"/>
  </r>
  <r>
    <x v="13"/>
    <x v="1"/>
    <x v="0"/>
    <n v="507"/>
    <x v="0"/>
    <n v="15"/>
    <x v="0"/>
    <x v="2"/>
    <x v="0"/>
    <n v="1356"/>
    <x v="1"/>
    <x v="0"/>
    <n v="66"/>
    <x v="0"/>
    <x v="0"/>
    <x v="0"/>
    <x v="3"/>
    <x v="0"/>
    <x v="908"/>
    <n v="23553"/>
    <n v="1"/>
    <s v="Y"/>
    <x v="1"/>
    <n v="12"/>
    <x v="0"/>
    <x v="1"/>
    <n v="80"/>
    <n v="0"/>
    <n v="10"/>
    <n v="6"/>
    <x v="3"/>
    <x v="1"/>
    <n v="8"/>
    <x v="10"/>
    <x v="4"/>
    <x v="1"/>
    <x v="0"/>
    <x v="0"/>
    <n v="0"/>
  </r>
  <r>
    <x v="36"/>
    <x v="1"/>
    <x v="0"/>
    <n v="882"/>
    <x v="1"/>
    <n v="19"/>
    <x v="1"/>
    <x v="2"/>
    <x v="0"/>
    <n v="1358"/>
    <x v="2"/>
    <x v="1"/>
    <n v="67"/>
    <x v="0"/>
    <x v="1"/>
    <x v="2"/>
    <x v="0"/>
    <x v="1"/>
    <x v="909"/>
    <n v="9075"/>
    <n v="3"/>
    <s v="Y"/>
    <x v="1"/>
    <n v="11"/>
    <x v="0"/>
    <x v="3"/>
    <n v="80"/>
    <n v="3"/>
    <n v="7"/>
    <n v="6"/>
    <x v="2"/>
    <x v="11"/>
    <n v="2"/>
    <x v="1"/>
    <x v="3"/>
    <x v="2"/>
    <x v="2"/>
    <x v="1"/>
    <n v="0"/>
  </r>
  <r>
    <x v="34"/>
    <x v="0"/>
    <x v="0"/>
    <n v="601"/>
    <x v="1"/>
    <n v="7"/>
    <x v="2"/>
    <x v="2"/>
    <x v="0"/>
    <n v="1360"/>
    <x v="1"/>
    <x v="0"/>
    <n v="53"/>
    <x v="1"/>
    <x v="2"/>
    <x v="3"/>
    <x v="3"/>
    <x v="1"/>
    <x v="910"/>
    <n v="12023"/>
    <n v="7"/>
    <s v="Y"/>
    <x v="0"/>
    <n v="14"/>
    <x v="0"/>
    <x v="1"/>
    <n v="80"/>
    <n v="0"/>
    <n v="31"/>
    <n v="0"/>
    <x v="2"/>
    <x v="1"/>
    <n v="9"/>
    <x v="8"/>
    <x v="12"/>
    <x v="3"/>
    <x v="0"/>
    <x v="3"/>
    <n v="1"/>
  </r>
  <r>
    <x v="32"/>
    <x v="1"/>
    <x v="0"/>
    <n v="329"/>
    <x v="1"/>
    <n v="1"/>
    <x v="2"/>
    <x v="0"/>
    <x v="0"/>
    <n v="1361"/>
    <x v="0"/>
    <x v="1"/>
    <n v="88"/>
    <x v="0"/>
    <x v="1"/>
    <x v="2"/>
    <x v="1"/>
    <x v="1"/>
    <x v="911"/>
    <n v="6762"/>
    <n v="3"/>
    <s v="Y"/>
    <x v="1"/>
    <n v="22"/>
    <x v="1"/>
    <x v="3"/>
    <n v="80"/>
    <n v="1"/>
    <n v="7"/>
    <n v="3"/>
    <x v="1"/>
    <x v="9"/>
    <n v="2"/>
    <x v="0"/>
    <x v="6"/>
    <x v="0"/>
    <x v="2"/>
    <x v="1"/>
    <n v="0"/>
  </r>
  <r>
    <x v="9"/>
    <x v="1"/>
    <x v="1"/>
    <n v="607"/>
    <x v="0"/>
    <n v="7"/>
    <x v="3"/>
    <x v="3"/>
    <x v="0"/>
    <n v="1362"/>
    <x v="3"/>
    <x v="0"/>
    <n v="83"/>
    <x v="2"/>
    <x v="0"/>
    <x v="0"/>
    <x v="3"/>
    <x v="1"/>
    <x v="912"/>
    <n v="2261"/>
    <n v="2"/>
    <s v="Y"/>
    <x v="1"/>
    <n v="16"/>
    <x v="0"/>
    <x v="1"/>
    <n v="80"/>
    <n v="1"/>
    <n v="17"/>
    <n v="2"/>
    <x v="2"/>
    <x v="15"/>
    <n v="7"/>
    <x v="7"/>
    <x v="15"/>
    <x v="1"/>
    <x v="3"/>
    <x v="1"/>
    <n v="0"/>
  </r>
  <r>
    <x v="26"/>
    <x v="1"/>
    <x v="0"/>
    <n v="855"/>
    <x v="1"/>
    <n v="4"/>
    <x v="3"/>
    <x v="0"/>
    <x v="0"/>
    <n v="1363"/>
    <x v="2"/>
    <x v="1"/>
    <n v="54"/>
    <x v="0"/>
    <x v="2"/>
    <x v="3"/>
    <x v="0"/>
    <x v="0"/>
    <x v="913"/>
    <n v="18706"/>
    <n v="1"/>
    <s v="Y"/>
    <x v="1"/>
    <n v="11"/>
    <x v="0"/>
    <x v="3"/>
    <n v="80"/>
    <n v="0"/>
    <n v="11"/>
    <n v="2"/>
    <x v="1"/>
    <x v="1"/>
    <n v="9"/>
    <x v="0"/>
    <x v="5"/>
    <x v="0"/>
    <x v="0"/>
    <x v="0"/>
    <n v="0"/>
  </r>
  <r>
    <x v="4"/>
    <x v="1"/>
    <x v="0"/>
    <n v="1291"/>
    <x v="0"/>
    <n v="11"/>
    <x v="3"/>
    <x v="2"/>
    <x v="0"/>
    <n v="1364"/>
    <x v="1"/>
    <x v="0"/>
    <n v="98"/>
    <x v="2"/>
    <x v="1"/>
    <x v="6"/>
    <x v="0"/>
    <x v="1"/>
    <x v="914"/>
    <n v="6527"/>
    <n v="8"/>
    <s v="Y"/>
    <x v="1"/>
    <n v="14"/>
    <x v="0"/>
    <x v="2"/>
    <n v="80"/>
    <n v="1"/>
    <n v="5"/>
    <n v="4"/>
    <x v="1"/>
    <x v="6"/>
    <n v="0"/>
    <x v="0"/>
    <x v="2"/>
    <x v="2"/>
    <x v="1"/>
    <x v="1"/>
    <n v="0"/>
  </r>
  <r>
    <x v="31"/>
    <x v="1"/>
    <x v="0"/>
    <n v="1405"/>
    <x v="1"/>
    <n v="11"/>
    <x v="0"/>
    <x v="4"/>
    <x v="0"/>
    <n v="1367"/>
    <x v="2"/>
    <x v="0"/>
    <n v="82"/>
    <x v="1"/>
    <x v="3"/>
    <x v="3"/>
    <x v="1"/>
    <x v="0"/>
    <x v="915"/>
    <n v="24439"/>
    <n v="3"/>
    <s v="Y"/>
    <x v="1"/>
    <n v="16"/>
    <x v="0"/>
    <x v="2"/>
    <n v="80"/>
    <n v="0"/>
    <n v="29"/>
    <n v="1"/>
    <x v="2"/>
    <x v="8"/>
    <n v="2"/>
    <x v="0"/>
    <x v="6"/>
    <x v="3"/>
    <x v="2"/>
    <x v="3"/>
    <n v="0"/>
  </r>
  <r>
    <x v="41"/>
    <x v="1"/>
    <x v="2"/>
    <n v="1124"/>
    <x v="1"/>
    <n v="1"/>
    <x v="3"/>
    <x v="0"/>
    <x v="0"/>
    <n v="1368"/>
    <x v="2"/>
    <x v="0"/>
    <n v="97"/>
    <x v="0"/>
    <x v="1"/>
    <x v="2"/>
    <x v="0"/>
    <x v="0"/>
    <x v="916"/>
    <n v="19305"/>
    <n v="1"/>
    <s v="Y"/>
    <x v="1"/>
    <n v="15"/>
    <x v="0"/>
    <x v="3"/>
    <n v="80"/>
    <n v="0"/>
    <n v="0"/>
    <n v="5"/>
    <x v="3"/>
    <x v="2"/>
    <n v="0"/>
    <x v="0"/>
    <x v="2"/>
    <x v="4"/>
    <x v="1"/>
    <x v="1"/>
    <n v="0"/>
  </r>
  <r>
    <x v="10"/>
    <x v="1"/>
    <x v="0"/>
    <n v="817"/>
    <x v="1"/>
    <n v="1"/>
    <x v="3"/>
    <x v="2"/>
    <x v="0"/>
    <n v="1369"/>
    <x v="2"/>
    <x v="0"/>
    <n v="60"/>
    <x v="1"/>
    <x v="0"/>
    <x v="2"/>
    <x v="0"/>
    <x v="1"/>
    <x v="917"/>
    <n v="10846"/>
    <n v="0"/>
    <s v="Y"/>
    <x v="1"/>
    <n v="12"/>
    <x v="0"/>
    <x v="2"/>
    <n v="80"/>
    <n v="1"/>
    <n v="10"/>
    <n v="0"/>
    <x v="1"/>
    <x v="7"/>
    <n v="7"/>
    <x v="0"/>
    <x v="2"/>
    <x v="1"/>
    <x v="0"/>
    <x v="0"/>
    <n v="0"/>
  </r>
  <r>
    <x v="4"/>
    <x v="1"/>
    <x v="1"/>
    <n v="793"/>
    <x v="0"/>
    <n v="2"/>
    <x v="1"/>
    <x v="0"/>
    <x v="0"/>
    <n v="1371"/>
    <x v="2"/>
    <x v="1"/>
    <n v="43"/>
    <x v="3"/>
    <x v="0"/>
    <x v="0"/>
    <x v="0"/>
    <x v="0"/>
    <x v="918"/>
    <n v="20392"/>
    <n v="3"/>
    <s v="Y"/>
    <x v="1"/>
    <n v="20"/>
    <x v="1"/>
    <x v="2"/>
    <n v="80"/>
    <n v="0"/>
    <n v="8"/>
    <n v="3"/>
    <x v="1"/>
    <x v="0"/>
    <n v="2"/>
    <x v="0"/>
    <x v="2"/>
    <x v="2"/>
    <x v="0"/>
    <x v="0"/>
    <n v="0"/>
  </r>
  <r>
    <x v="27"/>
    <x v="0"/>
    <x v="0"/>
    <n v="267"/>
    <x v="0"/>
    <n v="13"/>
    <x v="2"/>
    <x v="3"/>
    <x v="0"/>
    <n v="1372"/>
    <x v="3"/>
    <x v="1"/>
    <n v="85"/>
    <x v="2"/>
    <x v="3"/>
    <x v="0"/>
    <x v="2"/>
    <x v="0"/>
    <x v="919"/>
    <n v="9277"/>
    <n v="6"/>
    <s v="Y"/>
    <x v="0"/>
    <n v="17"/>
    <x v="0"/>
    <x v="3"/>
    <n v="80"/>
    <n v="0"/>
    <n v="24"/>
    <n v="2"/>
    <x v="2"/>
    <x v="27"/>
    <n v="7"/>
    <x v="2"/>
    <x v="5"/>
    <x v="3"/>
    <x v="3"/>
    <x v="3"/>
    <n v="1"/>
  </r>
  <r>
    <x v="29"/>
    <x v="1"/>
    <x v="0"/>
    <n v="1369"/>
    <x v="1"/>
    <n v="23"/>
    <x v="3"/>
    <x v="0"/>
    <x v="0"/>
    <n v="1373"/>
    <x v="2"/>
    <x v="1"/>
    <n v="68"/>
    <x v="0"/>
    <x v="3"/>
    <x v="3"/>
    <x v="1"/>
    <x v="1"/>
    <x v="920"/>
    <n v="18235"/>
    <n v="4"/>
    <s v="Y"/>
    <x v="0"/>
    <n v="12"/>
    <x v="0"/>
    <x v="0"/>
    <n v="80"/>
    <n v="1"/>
    <n v="33"/>
    <n v="0"/>
    <x v="1"/>
    <x v="27"/>
    <n v="16"/>
    <x v="9"/>
    <x v="12"/>
    <x v="3"/>
    <x v="3"/>
    <x v="3"/>
    <n v="0"/>
  </r>
  <r>
    <x v="13"/>
    <x v="1"/>
    <x v="2"/>
    <n v="999"/>
    <x v="1"/>
    <n v="26"/>
    <x v="1"/>
    <x v="4"/>
    <x v="0"/>
    <n v="1374"/>
    <x v="3"/>
    <x v="0"/>
    <n v="92"/>
    <x v="1"/>
    <x v="1"/>
    <x v="1"/>
    <x v="2"/>
    <x v="2"/>
    <x v="921"/>
    <n v="15891"/>
    <n v="1"/>
    <s v="Y"/>
    <x v="1"/>
    <n v="20"/>
    <x v="1"/>
    <x v="3"/>
    <n v="80"/>
    <n v="3"/>
    <n v="5"/>
    <n v="2"/>
    <x v="1"/>
    <x v="8"/>
    <n v="4"/>
    <x v="0"/>
    <x v="2"/>
    <x v="1"/>
    <x v="2"/>
    <x v="1"/>
    <n v="0"/>
  </r>
  <r>
    <x v="32"/>
    <x v="1"/>
    <x v="0"/>
    <n v="1202"/>
    <x v="1"/>
    <n v="2"/>
    <x v="1"/>
    <x v="2"/>
    <x v="0"/>
    <n v="1375"/>
    <x v="0"/>
    <x v="0"/>
    <n v="89"/>
    <x v="2"/>
    <x v="0"/>
    <x v="4"/>
    <x v="2"/>
    <x v="2"/>
    <x v="922"/>
    <n v="13888"/>
    <n v="5"/>
    <s v="Y"/>
    <x v="1"/>
    <n v="20"/>
    <x v="1"/>
    <x v="2"/>
    <n v="80"/>
    <n v="3"/>
    <n v="15"/>
    <n v="0"/>
    <x v="1"/>
    <x v="12"/>
    <n v="11"/>
    <x v="14"/>
    <x v="5"/>
    <x v="0"/>
    <x v="3"/>
    <x v="0"/>
    <n v="0"/>
  </r>
  <r>
    <x v="13"/>
    <x v="1"/>
    <x v="0"/>
    <n v="285"/>
    <x v="1"/>
    <n v="29"/>
    <x v="3"/>
    <x v="2"/>
    <x v="0"/>
    <n v="1377"/>
    <x v="0"/>
    <x v="1"/>
    <n v="86"/>
    <x v="0"/>
    <x v="0"/>
    <x v="2"/>
    <x v="2"/>
    <x v="1"/>
    <x v="923"/>
    <n v="17491"/>
    <n v="4"/>
    <s v="Y"/>
    <x v="1"/>
    <n v="13"/>
    <x v="0"/>
    <x v="0"/>
    <n v="80"/>
    <n v="2"/>
    <n v="10"/>
    <n v="1"/>
    <x v="1"/>
    <x v="3"/>
    <n v="7"/>
    <x v="4"/>
    <x v="1"/>
    <x v="1"/>
    <x v="0"/>
    <x v="0"/>
    <n v="0"/>
  </r>
  <r>
    <x v="12"/>
    <x v="0"/>
    <x v="1"/>
    <n v="703"/>
    <x v="0"/>
    <n v="2"/>
    <x v="3"/>
    <x v="0"/>
    <x v="0"/>
    <n v="1379"/>
    <x v="1"/>
    <x v="0"/>
    <n v="90"/>
    <x v="1"/>
    <x v="1"/>
    <x v="6"/>
    <x v="0"/>
    <x v="0"/>
    <x v="924"/>
    <n v="11882"/>
    <n v="7"/>
    <s v="Y"/>
    <x v="1"/>
    <n v="14"/>
    <x v="0"/>
    <x v="3"/>
    <n v="80"/>
    <n v="0"/>
    <n v="3"/>
    <n v="3"/>
    <x v="3"/>
    <x v="6"/>
    <n v="0"/>
    <x v="0"/>
    <x v="2"/>
    <x v="1"/>
    <x v="1"/>
    <x v="1"/>
    <n v="1"/>
  </r>
  <r>
    <x v="10"/>
    <x v="0"/>
    <x v="1"/>
    <n v="662"/>
    <x v="0"/>
    <n v="18"/>
    <x v="2"/>
    <x v="3"/>
    <x v="0"/>
    <n v="1380"/>
    <x v="2"/>
    <x v="0"/>
    <n v="67"/>
    <x v="0"/>
    <x v="0"/>
    <x v="0"/>
    <x v="2"/>
    <x v="1"/>
    <x v="925"/>
    <n v="23288"/>
    <n v="0"/>
    <s v="Y"/>
    <x v="0"/>
    <n v="18"/>
    <x v="0"/>
    <x v="3"/>
    <n v="80"/>
    <n v="1"/>
    <n v="5"/>
    <n v="0"/>
    <x v="2"/>
    <x v="9"/>
    <n v="2"/>
    <x v="2"/>
    <x v="3"/>
    <x v="1"/>
    <x v="2"/>
    <x v="1"/>
    <n v="1"/>
  </r>
  <r>
    <x v="8"/>
    <x v="1"/>
    <x v="1"/>
    <n v="693"/>
    <x v="1"/>
    <n v="7"/>
    <x v="3"/>
    <x v="0"/>
    <x v="0"/>
    <n v="1382"/>
    <x v="2"/>
    <x v="1"/>
    <n v="57"/>
    <x v="2"/>
    <x v="1"/>
    <x v="1"/>
    <x v="2"/>
    <x v="2"/>
    <x v="353"/>
    <n v="15748"/>
    <n v="1"/>
    <s v="Y"/>
    <x v="1"/>
    <n v="11"/>
    <x v="0"/>
    <x v="1"/>
    <n v="80"/>
    <n v="3"/>
    <n v="4"/>
    <n v="2"/>
    <x v="1"/>
    <x v="9"/>
    <n v="2"/>
    <x v="0"/>
    <x v="6"/>
    <x v="1"/>
    <x v="2"/>
    <x v="1"/>
    <n v="0"/>
  </r>
  <r>
    <x v="13"/>
    <x v="1"/>
    <x v="0"/>
    <n v="404"/>
    <x v="1"/>
    <n v="2"/>
    <x v="2"/>
    <x v="4"/>
    <x v="0"/>
    <n v="1383"/>
    <x v="1"/>
    <x v="0"/>
    <n v="98"/>
    <x v="0"/>
    <x v="0"/>
    <x v="4"/>
    <x v="0"/>
    <x v="0"/>
    <x v="926"/>
    <n v="6163"/>
    <n v="1"/>
    <s v="Y"/>
    <x v="1"/>
    <n v="11"/>
    <x v="0"/>
    <x v="1"/>
    <n v="80"/>
    <n v="0"/>
    <n v="14"/>
    <n v="2"/>
    <x v="3"/>
    <x v="13"/>
    <n v="11"/>
    <x v="5"/>
    <x v="7"/>
    <x v="1"/>
    <x v="3"/>
    <x v="0"/>
    <n v="0"/>
  </r>
  <r>
    <x v="14"/>
    <x v="1"/>
    <x v="0"/>
    <n v="736"/>
    <x v="0"/>
    <n v="26"/>
    <x v="3"/>
    <x v="0"/>
    <x v="0"/>
    <n v="1387"/>
    <x v="1"/>
    <x v="1"/>
    <n v="48"/>
    <x v="1"/>
    <x v="0"/>
    <x v="0"/>
    <x v="3"/>
    <x v="1"/>
    <x v="927"/>
    <n v="24232"/>
    <n v="1"/>
    <s v="Y"/>
    <x v="1"/>
    <n v="11"/>
    <x v="0"/>
    <x v="3"/>
    <n v="80"/>
    <n v="1"/>
    <n v="5"/>
    <n v="0"/>
    <x v="1"/>
    <x v="8"/>
    <n v="3"/>
    <x v="0"/>
    <x v="10"/>
    <x v="2"/>
    <x v="2"/>
    <x v="1"/>
    <n v="0"/>
  </r>
  <r>
    <x v="12"/>
    <x v="0"/>
    <x v="0"/>
    <n v="330"/>
    <x v="1"/>
    <n v="22"/>
    <x v="2"/>
    <x v="2"/>
    <x v="0"/>
    <n v="1389"/>
    <x v="2"/>
    <x v="1"/>
    <n v="98"/>
    <x v="0"/>
    <x v="0"/>
    <x v="3"/>
    <x v="2"/>
    <x v="1"/>
    <x v="928"/>
    <n v="21057"/>
    <n v="1"/>
    <s v="Y"/>
    <x v="0"/>
    <n v="15"/>
    <x v="0"/>
    <x v="1"/>
    <n v="80"/>
    <n v="2"/>
    <n v="10"/>
    <n v="3"/>
    <x v="2"/>
    <x v="1"/>
    <n v="2"/>
    <x v="7"/>
    <x v="1"/>
    <x v="1"/>
    <x v="0"/>
    <x v="0"/>
    <n v="1"/>
  </r>
  <r>
    <x v="22"/>
    <x v="1"/>
    <x v="0"/>
    <n v="1498"/>
    <x v="0"/>
    <n v="21"/>
    <x v="2"/>
    <x v="0"/>
    <x v="0"/>
    <n v="1390"/>
    <x v="3"/>
    <x v="1"/>
    <n v="44"/>
    <x v="1"/>
    <x v="0"/>
    <x v="0"/>
    <x v="0"/>
    <x v="1"/>
    <x v="929"/>
    <n v="3567"/>
    <n v="3"/>
    <s v="Y"/>
    <x v="0"/>
    <n v="12"/>
    <x v="0"/>
    <x v="1"/>
    <n v="80"/>
    <n v="2"/>
    <n v="8"/>
    <n v="2"/>
    <x v="3"/>
    <x v="8"/>
    <n v="4"/>
    <x v="1"/>
    <x v="10"/>
    <x v="1"/>
    <x v="2"/>
    <x v="0"/>
    <n v="0"/>
  </r>
  <r>
    <x v="31"/>
    <x v="1"/>
    <x v="1"/>
    <n v="541"/>
    <x v="0"/>
    <n v="2"/>
    <x v="3"/>
    <x v="3"/>
    <x v="0"/>
    <n v="1391"/>
    <x v="0"/>
    <x v="1"/>
    <n v="52"/>
    <x v="0"/>
    <x v="2"/>
    <x v="0"/>
    <x v="1"/>
    <x v="1"/>
    <x v="930"/>
    <n v="15395"/>
    <n v="2"/>
    <s v="Y"/>
    <x v="1"/>
    <n v="11"/>
    <x v="0"/>
    <x v="2"/>
    <n v="80"/>
    <n v="0"/>
    <n v="14"/>
    <n v="5"/>
    <x v="1"/>
    <x v="9"/>
    <n v="2"/>
    <x v="2"/>
    <x v="3"/>
    <x v="3"/>
    <x v="2"/>
    <x v="3"/>
    <n v="0"/>
  </r>
  <r>
    <x v="0"/>
    <x v="1"/>
    <x v="1"/>
    <n v="1200"/>
    <x v="1"/>
    <n v="22"/>
    <x v="3"/>
    <x v="0"/>
    <x v="0"/>
    <n v="1392"/>
    <x v="2"/>
    <x v="0"/>
    <n v="75"/>
    <x v="0"/>
    <x v="0"/>
    <x v="1"/>
    <x v="0"/>
    <x v="2"/>
    <x v="931"/>
    <n v="13953"/>
    <n v="3"/>
    <s v="Y"/>
    <x v="0"/>
    <n v="14"/>
    <x v="0"/>
    <x v="0"/>
    <n v="80"/>
    <n v="2"/>
    <n v="12"/>
    <n v="4"/>
    <x v="2"/>
    <x v="0"/>
    <n v="2"/>
    <x v="2"/>
    <x v="6"/>
    <x v="0"/>
    <x v="0"/>
    <x v="0"/>
    <n v="0"/>
  </r>
  <r>
    <x v="2"/>
    <x v="1"/>
    <x v="0"/>
    <n v="1439"/>
    <x v="1"/>
    <n v="4"/>
    <x v="1"/>
    <x v="0"/>
    <x v="0"/>
    <n v="1394"/>
    <x v="1"/>
    <x v="1"/>
    <n v="54"/>
    <x v="0"/>
    <x v="1"/>
    <x v="1"/>
    <x v="2"/>
    <x v="1"/>
    <x v="932"/>
    <n v="5182"/>
    <n v="7"/>
    <s v="Y"/>
    <x v="0"/>
    <n v="15"/>
    <x v="0"/>
    <x v="1"/>
    <n v="80"/>
    <n v="0"/>
    <n v="8"/>
    <n v="2"/>
    <x v="1"/>
    <x v="0"/>
    <n v="4"/>
    <x v="1"/>
    <x v="6"/>
    <x v="1"/>
    <x v="0"/>
    <x v="1"/>
    <n v="0"/>
  </r>
  <r>
    <x v="3"/>
    <x v="1"/>
    <x v="1"/>
    <n v="1111"/>
    <x v="0"/>
    <n v="5"/>
    <x v="1"/>
    <x v="0"/>
    <x v="0"/>
    <n v="1395"/>
    <x v="0"/>
    <x v="1"/>
    <n v="61"/>
    <x v="0"/>
    <x v="0"/>
    <x v="0"/>
    <x v="0"/>
    <x v="1"/>
    <x v="933"/>
    <n v="19293"/>
    <n v="6"/>
    <s v="Y"/>
    <x v="1"/>
    <n v="13"/>
    <x v="0"/>
    <x v="0"/>
    <n v="80"/>
    <n v="0"/>
    <n v="8"/>
    <n v="2"/>
    <x v="3"/>
    <x v="8"/>
    <n v="4"/>
    <x v="1"/>
    <x v="3"/>
    <x v="1"/>
    <x v="2"/>
    <x v="0"/>
    <n v="0"/>
  </r>
  <r>
    <x v="5"/>
    <x v="1"/>
    <x v="0"/>
    <n v="499"/>
    <x v="0"/>
    <n v="2"/>
    <x v="1"/>
    <x v="3"/>
    <x v="0"/>
    <n v="1396"/>
    <x v="1"/>
    <x v="1"/>
    <n v="36"/>
    <x v="0"/>
    <x v="0"/>
    <x v="0"/>
    <x v="1"/>
    <x v="1"/>
    <x v="934"/>
    <n v="20497"/>
    <n v="0"/>
    <s v="Y"/>
    <x v="0"/>
    <n v="13"/>
    <x v="0"/>
    <x v="0"/>
    <n v="80"/>
    <n v="3"/>
    <n v="4"/>
    <n v="3"/>
    <x v="2"/>
    <x v="11"/>
    <n v="2"/>
    <x v="1"/>
    <x v="3"/>
    <x v="1"/>
    <x v="2"/>
    <x v="1"/>
    <n v="0"/>
  </r>
  <r>
    <x v="22"/>
    <x v="1"/>
    <x v="2"/>
    <n v="1485"/>
    <x v="1"/>
    <n v="25"/>
    <x v="0"/>
    <x v="0"/>
    <x v="0"/>
    <n v="1397"/>
    <x v="1"/>
    <x v="1"/>
    <n v="71"/>
    <x v="0"/>
    <x v="2"/>
    <x v="4"/>
    <x v="2"/>
    <x v="1"/>
    <x v="935"/>
    <n v="3449"/>
    <n v="3"/>
    <s v="Y"/>
    <x v="1"/>
    <n v="21"/>
    <x v="1"/>
    <x v="2"/>
    <n v="80"/>
    <n v="1"/>
    <n v="13"/>
    <n v="2"/>
    <x v="1"/>
    <x v="0"/>
    <n v="4"/>
    <x v="0"/>
    <x v="0"/>
    <x v="1"/>
    <x v="0"/>
    <x v="3"/>
    <n v="0"/>
  </r>
  <r>
    <x v="36"/>
    <x v="1"/>
    <x v="0"/>
    <n v="1372"/>
    <x v="0"/>
    <n v="18"/>
    <x v="1"/>
    <x v="0"/>
    <x v="0"/>
    <n v="1399"/>
    <x v="3"/>
    <x v="1"/>
    <n v="93"/>
    <x v="2"/>
    <x v="0"/>
    <x v="0"/>
    <x v="2"/>
    <x v="1"/>
    <x v="936"/>
    <n v="12477"/>
    <n v="2"/>
    <s v="Y"/>
    <x v="1"/>
    <n v="11"/>
    <x v="0"/>
    <x v="2"/>
    <n v="80"/>
    <n v="0"/>
    <n v="6"/>
    <n v="3"/>
    <x v="2"/>
    <x v="11"/>
    <n v="2"/>
    <x v="1"/>
    <x v="3"/>
    <x v="2"/>
    <x v="2"/>
    <x v="0"/>
    <n v="0"/>
  </r>
  <r>
    <x v="39"/>
    <x v="1"/>
    <x v="1"/>
    <n v="322"/>
    <x v="1"/>
    <n v="28"/>
    <x v="0"/>
    <x v="2"/>
    <x v="0"/>
    <n v="1401"/>
    <x v="2"/>
    <x v="0"/>
    <n v="59"/>
    <x v="2"/>
    <x v="3"/>
    <x v="3"/>
    <x v="2"/>
    <x v="1"/>
    <x v="937"/>
    <n v="9731"/>
    <n v="2"/>
    <s v="Y"/>
    <x v="0"/>
    <n v="11"/>
    <x v="0"/>
    <x v="2"/>
    <n v="80"/>
    <n v="1"/>
    <n v="24"/>
    <n v="3"/>
    <x v="2"/>
    <x v="8"/>
    <n v="3"/>
    <x v="0"/>
    <x v="3"/>
    <x v="3"/>
    <x v="2"/>
    <x v="3"/>
    <n v="0"/>
  </r>
  <r>
    <x v="23"/>
    <x v="1"/>
    <x v="0"/>
    <n v="930"/>
    <x v="1"/>
    <n v="6"/>
    <x v="3"/>
    <x v="2"/>
    <x v="0"/>
    <n v="1402"/>
    <x v="3"/>
    <x v="0"/>
    <n v="73"/>
    <x v="1"/>
    <x v="0"/>
    <x v="1"/>
    <x v="2"/>
    <x v="0"/>
    <x v="938"/>
    <n v="20003"/>
    <n v="1"/>
    <s v="Y"/>
    <x v="0"/>
    <n v="14"/>
    <x v="0"/>
    <x v="0"/>
    <n v="80"/>
    <n v="0"/>
    <n v="20"/>
    <n v="3"/>
    <x v="0"/>
    <x v="23"/>
    <n v="7"/>
    <x v="1"/>
    <x v="5"/>
    <x v="0"/>
    <x v="3"/>
    <x v="1"/>
    <n v="0"/>
  </r>
  <r>
    <x v="4"/>
    <x v="1"/>
    <x v="0"/>
    <n v="205"/>
    <x v="0"/>
    <n v="10"/>
    <x v="3"/>
    <x v="3"/>
    <x v="0"/>
    <n v="1403"/>
    <x v="2"/>
    <x v="0"/>
    <n v="98"/>
    <x v="1"/>
    <x v="0"/>
    <x v="0"/>
    <x v="0"/>
    <x v="1"/>
    <x v="939"/>
    <n v="7100"/>
    <n v="1"/>
    <s v="Y"/>
    <x v="0"/>
    <n v="11"/>
    <x v="0"/>
    <x v="1"/>
    <n v="80"/>
    <n v="0"/>
    <n v="6"/>
    <n v="3"/>
    <x v="1"/>
    <x v="0"/>
    <n v="2"/>
    <x v="5"/>
    <x v="10"/>
    <x v="2"/>
    <x v="0"/>
    <x v="0"/>
    <n v="0"/>
  </r>
  <r>
    <x v="4"/>
    <x v="0"/>
    <x v="0"/>
    <n v="135"/>
    <x v="1"/>
    <n v="17"/>
    <x v="2"/>
    <x v="0"/>
    <x v="0"/>
    <n v="1405"/>
    <x v="2"/>
    <x v="0"/>
    <n v="51"/>
    <x v="0"/>
    <x v="1"/>
    <x v="1"/>
    <x v="2"/>
    <x v="0"/>
    <x v="940"/>
    <n v="25681"/>
    <n v="1"/>
    <s v="Y"/>
    <x v="0"/>
    <n v="13"/>
    <x v="0"/>
    <x v="1"/>
    <n v="80"/>
    <n v="0"/>
    <n v="8"/>
    <n v="2"/>
    <x v="1"/>
    <x v="3"/>
    <n v="2"/>
    <x v="4"/>
    <x v="1"/>
    <x v="2"/>
    <x v="0"/>
    <x v="1"/>
    <n v="1"/>
  </r>
  <r>
    <x v="25"/>
    <x v="1"/>
    <x v="0"/>
    <n v="683"/>
    <x v="1"/>
    <n v="2"/>
    <x v="1"/>
    <x v="2"/>
    <x v="0"/>
    <n v="1407"/>
    <x v="3"/>
    <x v="1"/>
    <n v="36"/>
    <x v="1"/>
    <x v="1"/>
    <x v="1"/>
    <x v="0"/>
    <x v="0"/>
    <x v="885"/>
    <n v="4050"/>
    <n v="0"/>
    <s v="Y"/>
    <x v="1"/>
    <n v="12"/>
    <x v="0"/>
    <x v="1"/>
    <n v="80"/>
    <n v="0"/>
    <n v="5"/>
    <n v="2"/>
    <x v="1"/>
    <x v="9"/>
    <n v="3"/>
    <x v="1"/>
    <x v="9"/>
    <x v="2"/>
    <x v="2"/>
    <x v="1"/>
    <n v="0"/>
  </r>
  <r>
    <x v="19"/>
    <x v="1"/>
    <x v="0"/>
    <n v="1147"/>
    <x v="2"/>
    <n v="10"/>
    <x v="3"/>
    <x v="5"/>
    <x v="0"/>
    <n v="1408"/>
    <x v="1"/>
    <x v="0"/>
    <n v="31"/>
    <x v="0"/>
    <x v="3"/>
    <x v="5"/>
    <x v="3"/>
    <x v="1"/>
    <x v="941"/>
    <n v="16616"/>
    <n v="0"/>
    <s v="Y"/>
    <x v="1"/>
    <n v="14"/>
    <x v="0"/>
    <x v="3"/>
    <n v="80"/>
    <n v="1"/>
    <n v="21"/>
    <n v="5"/>
    <x v="1"/>
    <x v="23"/>
    <n v="7"/>
    <x v="0"/>
    <x v="12"/>
    <x v="0"/>
    <x v="3"/>
    <x v="2"/>
    <n v="0"/>
  </r>
  <r>
    <x v="39"/>
    <x v="1"/>
    <x v="0"/>
    <n v="258"/>
    <x v="1"/>
    <n v="8"/>
    <x v="2"/>
    <x v="1"/>
    <x v="0"/>
    <n v="1409"/>
    <x v="1"/>
    <x v="0"/>
    <n v="54"/>
    <x v="0"/>
    <x v="1"/>
    <x v="2"/>
    <x v="3"/>
    <x v="1"/>
    <x v="942"/>
    <n v="17363"/>
    <n v="9"/>
    <s v="Y"/>
    <x v="1"/>
    <n v="13"/>
    <x v="0"/>
    <x v="3"/>
    <n v="80"/>
    <n v="0"/>
    <n v="12"/>
    <n v="2"/>
    <x v="0"/>
    <x v="8"/>
    <n v="4"/>
    <x v="0"/>
    <x v="10"/>
    <x v="3"/>
    <x v="2"/>
    <x v="1"/>
    <n v="0"/>
  </r>
  <r>
    <x v="2"/>
    <x v="1"/>
    <x v="0"/>
    <n v="1462"/>
    <x v="1"/>
    <n v="11"/>
    <x v="3"/>
    <x v="2"/>
    <x v="0"/>
    <n v="1411"/>
    <x v="3"/>
    <x v="0"/>
    <n v="94"/>
    <x v="0"/>
    <x v="1"/>
    <x v="2"/>
    <x v="2"/>
    <x v="0"/>
    <x v="943"/>
    <n v="19106"/>
    <n v="4"/>
    <s v="Y"/>
    <x v="1"/>
    <n v="18"/>
    <x v="0"/>
    <x v="0"/>
    <n v="80"/>
    <n v="0"/>
    <n v="8"/>
    <n v="6"/>
    <x v="1"/>
    <x v="11"/>
    <n v="2"/>
    <x v="0"/>
    <x v="3"/>
    <x v="1"/>
    <x v="2"/>
    <x v="1"/>
    <n v="0"/>
  </r>
  <r>
    <x v="10"/>
    <x v="1"/>
    <x v="1"/>
    <n v="200"/>
    <x v="1"/>
    <n v="18"/>
    <x v="0"/>
    <x v="0"/>
    <x v="0"/>
    <n v="1412"/>
    <x v="1"/>
    <x v="1"/>
    <n v="60"/>
    <x v="0"/>
    <x v="2"/>
    <x v="3"/>
    <x v="0"/>
    <x v="0"/>
    <x v="944"/>
    <n v="19944"/>
    <n v="2"/>
    <s v="Y"/>
    <x v="1"/>
    <n v="11"/>
    <x v="0"/>
    <x v="3"/>
    <n v="80"/>
    <n v="0"/>
    <n v="10"/>
    <n v="2"/>
    <x v="1"/>
    <x v="4"/>
    <n v="2"/>
    <x v="3"/>
    <x v="3"/>
    <x v="1"/>
    <x v="1"/>
    <x v="0"/>
    <n v="0"/>
  </r>
  <r>
    <x v="36"/>
    <x v="1"/>
    <x v="0"/>
    <n v="949"/>
    <x v="1"/>
    <n v="1"/>
    <x v="3"/>
    <x v="4"/>
    <x v="0"/>
    <n v="1415"/>
    <x v="3"/>
    <x v="1"/>
    <n v="81"/>
    <x v="0"/>
    <x v="1"/>
    <x v="2"/>
    <x v="0"/>
    <x v="1"/>
    <x v="945"/>
    <n v="4910"/>
    <n v="4"/>
    <s v="Y"/>
    <x v="1"/>
    <n v="11"/>
    <x v="0"/>
    <x v="2"/>
    <n v="80"/>
    <n v="1"/>
    <n v="7"/>
    <n v="2"/>
    <x v="2"/>
    <x v="11"/>
    <n v="2"/>
    <x v="0"/>
    <x v="3"/>
    <x v="2"/>
    <x v="2"/>
    <x v="1"/>
    <n v="0"/>
  </r>
  <r>
    <x v="25"/>
    <x v="1"/>
    <x v="0"/>
    <n v="652"/>
    <x v="1"/>
    <n v="7"/>
    <x v="3"/>
    <x v="1"/>
    <x v="0"/>
    <n v="1417"/>
    <x v="1"/>
    <x v="1"/>
    <n v="100"/>
    <x v="2"/>
    <x v="1"/>
    <x v="2"/>
    <x v="3"/>
    <x v="0"/>
    <x v="946"/>
    <n v="23577"/>
    <n v="0"/>
    <s v="Y"/>
    <x v="1"/>
    <n v="12"/>
    <x v="0"/>
    <x v="1"/>
    <n v="80"/>
    <n v="0"/>
    <n v="8"/>
    <n v="2"/>
    <x v="1"/>
    <x v="5"/>
    <n v="7"/>
    <x v="0"/>
    <x v="1"/>
    <x v="2"/>
    <x v="0"/>
    <x v="1"/>
    <n v="0"/>
  </r>
  <r>
    <x v="11"/>
    <x v="1"/>
    <x v="0"/>
    <n v="332"/>
    <x v="2"/>
    <n v="17"/>
    <x v="3"/>
    <x v="1"/>
    <x v="0"/>
    <n v="1419"/>
    <x v="0"/>
    <x v="1"/>
    <n v="51"/>
    <x v="1"/>
    <x v="2"/>
    <x v="8"/>
    <x v="3"/>
    <x v="0"/>
    <x v="947"/>
    <n v="9769"/>
    <n v="1"/>
    <s v="Y"/>
    <x v="1"/>
    <n v="13"/>
    <x v="0"/>
    <x v="0"/>
    <n v="80"/>
    <n v="0"/>
    <n v="10"/>
    <n v="3"/>
    <x v="2"/>
    <x v="1"/>
    <n v="9"/>
    <x v="0"/>
    <x v="12"/>
    <x v="2"/>
    <x v="0"/>
    <x v="0"/>
    <n v="0"/>
  </r>
  <r>
    <x v="1"/>
    <x v="0"/>
    <x v="1"/>
    <n v="1475"/>
    <x v="1"/>
    <n v="28"/>
    <x v="0"/>
    <x v="0"/>
    <x v="0"/>
    <n v="1420"/>
    <x v="3"/>
    <x v="1"/>
    <n v="97"/>
    <x v="1"/>
    <x v="0"/>
    <x v="2"/>
    <x v="3"/>
    <x v="0"/>
    <x v="948"/>
    <n v="22710"/>
    <n v="3"/>
    <s v="Y"/>
    <x v="1"/>
    <n v="20"/>
    <x v="1"/>
    <x v="0"/>
    <n v="80"/>
    <n v="0"/>
    <n v="20"/>
    <n v="2"/>
    <x v="1"/>
    <x v="9"/>
    <n v="3"/>
    <x v="1"/>
    <x v="6"/>
    <x v="0"/>
    <x v="2"/>
    <x v="1"/>
    <n v="1"/>
  </r>
  <r>
    <x v="11"/>
    <x v="0"/>
    <x v="1"/>
    <n v="337"/>
    <x v="1"/>
    <n v="14"/>
    <x v="1"/>
    <x v="1"/>
    <x v="0"/>
    <n v="1421"/>
    <x v="1"/>
    <x v="0"/>
    <n v="84"/>
    <x v="0"/>
    <x v="2"/>
    <x v="4"/>
    <x v="0"/>
    <x v="0"/>
    <x v="949"/>
    <n v="22930"/>
    <n v="0"/>
    <s v="Y"/>
    <x v="0"/>
    <n v="12"/>
    <x v="0"/>
    <x v="0"/>
    <n v="80"/>
    <n v="0"/>
    <n v="9"/>
    <n v="1"/>
    <x v="1"/>
    <x v="3"/>
    <n v="7"/>
    <x v="4"/>
    <x v="1"/>
    <x v="2"/>
    <x v="0"/>
    <x v="0"/>
    <n v="1"/>
  </r>
  <r>
    <x v="33"/>
    <x v="1"/>
    <x v="0"/>
    <n v="971"/>
    <x v="1"/>
    <n v="1"/>
    <x v="3"/>
    <x v="2"/>
    <x v="0"/>
    <n v="1422"/>
    <x v="2"/>
    <x v="0"/>
    <n v="54"/>
    <x v="0"/>
    <x v="3"/>
    <x v="7"/>
    <x v="0"/>
    <x v="0"/>
    <x v="109"/>
    <n v="5652"/>
    <n v="6"/>
    <s v="Y"/>
    <x v="1"/>
    <n v="19"/>
    <x v="0"/>
    <x v="1"/>
    <n v="80"/>
    <n v="0"/>
    <n v="29"/>
    <n v="3"/>
    <x v="2"/>
    <x v="23"/>
    <n v="7"/>
    <x v="12"/>
    <x v="1"/>
    <x v="3"/>
    <x v="3"/>
    <x v="2"/>
    <n v="0"/>
  </r>
  <r>
    <x v="34"/>
    <x v="1"/>
    <x v="0"/>
    <n v="1055"/>
    <x v="1"/>
    <n v="1"/>
    <x v="3"/>
    <x v="2"/>
    <x v="0"/>
    <n v="1423"/>
    <x v="2"/>
    <x v="0"/>
    <n v="76"/>
    <x v="0"/>
    <x v="4"/>
    <x v="7"/>
    <x v="3"/>
    <x v="1"/>
    <x v="950"/>
    <n v="22456"/>
    <n v="3"/>
    <s v="Y"/>
    <x v="0"/>
    <n v="21"/>
    <x v="1"/>
    <x v="3"/>
    <n v="80"/>
    <n v="1"/>
    <n v="32"/>
    <n v="3"/>
    <x v="1"/>
    <x v="7"/>
    <n v="8"/>
    <x v="1"/>
    <x v="0"/>
    <x v="3"/>
    <x v="0"/>
    <x v="2"/>
    <n v="0"/>
  </r>
  <r>
    <x v="27"/>
    <x v="1"/>
    <x v="0"/>
    <n v="1136"/>
    <x v="1"/>
    <n v="1"/>
    <x v="2"/>
    <x v="2"/>
    <x v="0"/>
    <n v="1424"/>
    <x v="0"/>
    <x v="1"/>
    <n v="81"/>
    <x v="2"/>
    <x v="3"/>
    <x v="7"/>
    <x v="0"/>
    <x v="2"/>
    <x v="951"/>
    <n v="12414"/>
    <n v="2"/>
    <s v="Y"/>
    <x v="1"/>
    <n v="13"/>
    <x v="0"/>
    <x v="1"/>
    <n v="80"/>
    <n v="2"/>
    <n v="31"/>
    <n v="4"/>
    <x v="3"/>
    <x v="5"/>
    <n v="7"/>
    <x v="0"/>
    <x v="2"/>
    <x v="3"/>
    <x v="0"/>
    <x v="3"/>
    <n v="0"/>
  </r>
  <r>
    <x v="9"/>
    <x v="1"/>
    <x v="0"/>
    <n v="1174"/>
    <x v="0"/>
    <n v="3"/>
    <x v="2"/>
    <x v="3"/>
    <x v="0"/>
    <n v="1425"/>
    <x v="3"/>
    <x v="0"/>
    <n v="99"/>
    <x v="0"/>
    <x v="0"/>
    <x v="0"/>
    <x v="1"/>
    <x v="0"/>
    <x v="952"/>
    <n v="20763"/>
    <n v="3"/>
    <s v="Y"/>
    <x v="0"/>
    <n v="16"/>
    <x v="0"/>
    <x v="1"/>
    <n v="80"/>
    <n v="0"/>
    <n v="15"/>
    <n v="3"/>
    <x v="1"/>
    <x v="8"/>
    <n v="4"/>
    <x v="0"/>
    <x v="9"/>
    <x v="1"/>
    <x v="2"/>
    <x v="0"/>
    <n v="0"/>
  </r>
  <r>
    <x v="12"/>
    <x v="0"/>
    <x v="1"/>
    <n v="667"/>
    <x v="0"/>
    <n v="1"/>
    <x v="2"/>
    <x v="0"/>
    <x v="0"/>
    <n v="1427"/>
    <x v="0"/>
    <x v="0"/>
    <n v="50"/>
    <x v="3"/>
    <x v="1"/>
    <x v="6"/>
    <x v="2"/>
    <x v="0"/>
    <x v="953"/>
    <n v="16154"/>
    <n v="1"/>
    <s v="Y"/>
    <x v="1"/>
    <n v="12"/>
    <x v="0"/>
    <x v="2"/>
    <n v="80"/>
    <n v="0"/>
    <n v="1"/>
    <n v="3"/>
    <x v="1"/>
    <x v="6"/>
    <n v="0"/>
    <x v="0"/>
    <x v="2"/>
    <x v="1"/>
    <x v="1"/>
    <x v="1"/>
    <n v="1"/>
  </r>
  <r>
    <x v="7"/>
    <x v="1"/>
    <x v="0"/>
    <n v="855"/>
    <x v="0"/>
    <n v="7"/>
    <x v="2"/>
    <x v="3"/>
    <x v="0"/>
    <n v="1428"/>
    <x v="2"/>
    <x v="0"/>
    <n v="73"/>
    <x v="0"/>
    <x v="0"/>
    <x v="0"/>
    <x v="3"/>
    <x v="2"/>
    <x v="586"/>
    <n v="12761"/>
    <n v="7"/>
    <s v="Y"/>
    <x v="1"/>
    <n v="14"/>
    <x v="0"/>
    <x v="2"/>
    <n v="80"/>
    <n v="2"/>
    <n v="8"/>
    <n v="3"/>
    <x v="1"/>
    <x v="11"/>
    <n v="2"/>
    <x v="0"/>
    <x v="3"/>
    <x v="1"/>
    <x v="2"/>
    <x v="1"/>
    <n v="0"/>
  </r>
  <r>
    <x v="12"/>
    <x v="1"/>
    <x v="0"/>
    <n v="182"/>
    <x v="1"/>
    <n v="8"/>
    <x v="4"/>
    <x v="0"/>
    <x v="0"/>
    <n v="1430"/>
    <x v="3"/>
    <x v="0"/>
    <n v="93"/>
    <x v="0"/>
    <x v="3"/>
    <x v="7"/>
    <x v="1"/>
    <x v="0"/>
    <x v="954"/>
    <n v="8847"/>
    <n v="3"/>
    <s v="Y"/>
    <x v="1"/>
    <n v="11"/>
    <x v="0"/>
    <x v="3"/>
    <n v="80"/>
    <n v="0"/>
    <n v="9"/>
    <n v="3"/>
    <x v="3"/>
    <x v="11"/>
    <n v="2"/>
    <x v="1"/>
    <x v="2"/>
    <x v="1"/>
    <x v="2"/>
    <x v="2"/>
    <n v="0"/>
  </r>
  <r>
    <x v="13"/>
    <x v="1"/>
    <x v="1"/>
    <n v="560"/>
    <x v="1"/>
    <n v="1"/>
    <x v="2"/>
    <x v="1"/>
    <x v="0"/>
    <n v="1431"/>
    <x v="2"/>
    <x v="1"/>
    <n v="91"/>
    <x v="0"/>
    <x v="1"/>
    <x v="1"/>
    <x v="3"/>
    <x v="2"/>
    <x v="932"/>
    <n v="20284"/>
    <n v="5"/>
    <s v="Y"/>
    <x v="1"/>
    <n v="14"/>
    <x v="0"/>
    <x v="3"/>
    <n v="80"/>
    <n v="2"/>
    <n v="10"/>
    <n v="2"/>
    <x v="1"/>
    <x v="9"/>
    <n v="3"/>
    <x v="1"/>
    <x v="6"/>
    <x v="1"/>
    <x v="2"/>
    <x v="1"/>
    <n v="0"/>
  </r>
  <r>
    <x v="12"/>
    <x v="0"/>
    <x v="0"/>
    <n v="202"/>
    <x v="1"/>
    <n v="8"/>
    <x v="3"/>
    <x v="0"/>
    <x v="0"/>
    <n v="1433"/>
    <x v="3"/>
    <x v="0"/>
    <n v="34"/>
    <x v="1"/>
    <x v="1"/>
    <x v="1"/>
    <x v="1"/>
    <x v="0"/>
    <x v="955"/>
    <n v="22262"/>
    <n v="1"/>
    <s v="Y"/>
    <x v="1"/>
    <n v="12"/>
    <x v="0"/>
    <x v="3"/>
    <n v="80"/>
    <n v="0"/>
    <n v="1"/>
    <n v="3"/>
    <x v="3"/>
    <x v="6"/>
    <n v="0"/>
    <x v="0"/>
    <x v="2"/>
    <x v="1"/>
    <x v="1"/>
    <x v="1"/>
    <n v="1"/>
  </r>
  <r>
    <x v="4"/>
    <x v="1"/>
    <x v="0"/>
    <n v="1377"/>
    <x v="1"/>
    <n v="11"/>
    <x v="1"/>
    <x v="0"/>
    <x v="0"/>
    <n v="1434"/>
    <x v="0"/>
    <x v="1"/>
    <n v="91"/>
    <x v="0"/>
    <x v="1"/>
    <x v="2"/>
    <x v="3"/>
    <x v="1"/>
    <x v="956"/>
    <n v="7679"/>
    <n v="0"/>
    <s v="Y"/>
    <x v="1"/>
    <n v="14"/>
    <x v="0"/>
    <x v="2"/>
    <n v="80"/>
    <n v="0"/>
    <n v="6"/>
    <n v="3"/>
    <x v="3"/>
    <x v="8"/>
    <n v="0"/>
    <x v="1"/>
    <x v="10"/>
    <x v="2"/>
    <x v="2"/>
    <x v="1"/>
    <n v="0"/>
  </r>
  <r>
    <x v="9"/>
    <x v="1"/>
    <x v="0"/>
    <n v="172"/>
    <x v="1"/>
    <n v="4"/>
    <x v="2"/>
    <x v="0"/>
    <x v="0"/>
    <n v="1435"/>
    <x v="3"/>
    <x v="1"/>
    <n v="37"/>
    <x v="1"/>
    <x v="0"/>
    <x v="2"/>
    <x v="0"/>
    <x v="0"/>
    <x v="957"/>
    <n v="22604"/>
    <n v="1"/>
    <s v="Y"/>
    <x v="1"/>
    <n v="16"/>
    <x v="0"/>
    <x v="3"/>
    <n v="80"/>
    <n v="0"/>
    <n v="10"/>
    <n v="2"/>
    <x v="2"/>
    <x v="1"/>
    <n v="4"/>
    <x v="1"/>
    <x v="5"/>
    <x v="1"/>
    <x v="0"/>
    <x v="0"/>
    <n v="0"/>
  </r>
  <r>
    <x v="9"/>
    <x v="1"/>
    <x v="0"/>
    <n v="329"/>
    <x v="0"/>
    <n v="16"/>
    <x v="2"/>
    <x v="3"/>
    <x v="0"/>
    <n v="1436"/>
    <x v="1"/>
    <x v="0"/>
    <n v="98"/>
    <x v="1"/>
    <x v="0"/>
    <x v="0"/>
    <x v="3"/>
    <x v="1"/>
    <x v="958"/>
    <n v="13494"/>
    <n v="4"/>
    <s v="Y"/>
    <x v="1"/>
    <n v="13"/>
    <x v="0"/>
    <x v="0"/>
    <n v="80"/>
    <n v="2"/>
    <n v="11"/>
    <n v="3"/>
    <x v="2"/>
    <x v="11"/>
    <n v="2"/>
    <x v="0"/>
    <x v="3"/>
    <x v="1"/>
    <x v="2"/>
    <x v="0"/>
    <n v="0"/>
  </r>
  <r>
    <x v="40"/>
    <x v="1"/>
    <x v="0"/>
    <n v="465"/>
    <x v="1"/>
    <n v="1"/>
    <x v="3"/>
    <x v="4"/>
    <x v="0"/>
    <n v="1438"/>
    <x v="3"/>
    <x v="1"/>
    <n v="74"/>
    <x v="0"/>
    <x v="1"/>
    <x v="1"/>
    <x v="0"/>
    <x v="1"/>
    <x v="959"/>
    <n v="10205"/>
    <n v="7"/>
    <s v="Y"/>
    <x v="1"/>
    <n v="12"/>
    <x v="0"/>
    <x v="3"/>
    <n v="80"/>
    <n v="1"/>
    <n v="17"/>
    <n v="2"/>
    <x v="2"/>
    <x v="0"/>
    <n v="5"/>
    <x v="1"/>
    <x v="3"/>
    <x v="0"/>
    <x v="0"/>
    <x v="1"/>
    <n v="0"/>
  </r>
  <r>
    <x v="36"/>
    <x v="0"/>
    <x v="0"/>
    <n v="383"/>
    <x v="0"/>
    <n v="9"/>
    <x v="0"/>
    <x v="0"/>
    <x v="0"/>
    <n v="1439"/>
    <x v="3"/>
    <x v="1"/>
    <n v="68"/>
    <x v="1"/>
    <x v="1"/>
    <x v="6"/>
    <x v="3"/>
    <x v="1"/>
    <x v="960"/>
    <n v="15182"/>
    <n v="3"/>
    <s v="Y"/>
    <x v="1"/>
    <n v="12"/>
    <x v="0"/>
    <x v="0"/>
    <n v="80"/>
    <n v="0"/>
    <n v="6"/>
    <n v="2"/>
    <x v="1"/>
    <x v="11"/>
    <n v="2"/>
    <x v="3"/>
    <x v="3"/>
    <x v="2"/>
    <x v="2"/>
    <x v="1"/>
    <n v="1"/>
  </r>
  <r>
    <x v="2"/>
    <x v="1"/>
    <x v="2"/>
    <n v="1413"/>
    <x v="1"/>
    <n v="5"/>
    <x v="0"/>
    <x v="4"/>
    <x v="0"/>
    <n v="1440"/>
    <x v="1"/>
    <x v="1"/>
    <n v="84"/>
    <x v="2"/>
    <x v="1"/>
    <x v="2"/>
    <x v="2"/>
    <x v="0"/>
    <x v="961"/>
    <n v="25470"/>
    <n v="0"/>
    <s v="Y"/>
    <x v="1"/>
    <n v="14"/>
    <x v="0"/>
    <x v="0"/>
    <n v="80"/>
    <n v="0"/>
    <n v="7"/>
    <n v="2"/>
    <x v="0"/>
    <x v="0"/>
    <n v="5"/>
    <x v="1"/>
    <x v="6"/>
    <x v="1"/>
    <x v="0"/>
    <x v="1"/>
    <n v="0"/>
  </r>
  <r>
    <x v="29"/>
    <x v="1"/>
    <x v="0"/>
    <n v="1255"/>
    <x v="1"/>
    <n v="1"/>
    <x v="0"/>
    <x v="0"/>
    <x v="0"/>
    <n v="1441"/>
    <x v="3"/>
    <x v="0"/>
    <n v="90"/>
    <x v="0"/>
    <x v="1"/>
    <x v="1"/>
    <x v="3"/>
    <x v="1"/>
    <x v="962"/>
    <n v="10494"/>
    <n v="2"/>
    <s v="Y"/>
    <x v="1"/>
    <n v="22"/>
    <x v="1"/>
    <x v="1"/>
    <n v="80"/>
    <n v="1"/>
    <n v="5"/>
    <n v="3"/>
    <x v="3"/>
    <x v="11"/>
    <n v="2"/>
    <x v="1"/>
    <x v="2"/>
    <x v="3"/>
    <x v="2"/>
    <x v="1"/>
    <n v="0"/>
  </r>
  <r>
    <x v="40"/>
    <x v="1"/>
    <x v="0"/>
    <n v="359"/>
    <x v="1"/>
    <n v="2"/>
    <x v="2"/>
    <x v="2"/>
    <x v="0"/>
    <n v="1443"/>
    <x v="3"/>
    <x v="0"/>
    <n v="82"/>
    <x v="0"/>
    <x v="3"/>
    <x v="7"/>
    <x v="2"/>
    <x v="1"/>
    <x v="963"/>
    <n v="26703"/>
    <n v="3"/>
    <s v="Y"/>
    <x v="1"/>
    <n v="19"/>
    <x v="0"/>
    <x v="2"/>
    <n v="80"/>
    <n v="2"/>
    <n v="26"/>
    <n v="2"/>
    <x v="3"/>
    <x v="23"/>
    <n v="17"/>
    <x v="8"/>
    <x v="4"/>
    <x v="0"/>
    <x v="3"/>
    <x v="2"/>
    <n v="0"/>
  </r>
  <r>
    <x v="17"/>
    <x v="1"/>
    <x v="0"/>
    <n v="1476"/>
    <x v="0"/>
    <n v="4"/>
    <x v="1"/>
    <x v="2"/>
    <x v="0"/>
    <n v="1445"/>
    <x v="2"/>
    <x v="0"/>
    <n v="42"/>
    <x v="0"/>
    <x v="0"/>
    <x v="0"/>
    <x v="2"/>
    <x v="1"/>
    <x v="964"/>
    <n v="15211"/>
    <n v="1"/>
    <s v="Y"/>
    <x v="0"/>
    <n v="12"/>
    <x v="0"/>
    <x v="3"/>
    <n v="80"/>
    <n v="2"/>
    <n v="5"/>
    <n v="3"/>
    <x v="1"/>
    <x v="8"/>
    <n v="4"/>
    <x v="0"/>
    <x v="6"/>
    <x v="2"/>
    <x v="2"/>
    <x v="1"/>
    <n v="0"/>
  </r>
  <r>
    <x v="5"/>
    <x v="1"/>
    <x v="0"/>
    <n v="601"/>
    <x v="0"/>
    <n v="7"/>
    <x v="4"/>
    <x v="3"/>
    <x v="0"/>
    <n v="1446"/>
    <x v="2"/>
    <x v="1"/>
    <n v="97"/>
    <x v="0"/>
    <x v="0"/>
    <x v="0"/>
    <x v="0"/>
    <x v="1"/>
    <x v="965"/>
    <n v="23343"/>
    <n v="4"/>
    <s v="Y"/>
    <x v="1"/>
    <n v="12"/>
    <x v="0"/>
    <x v="3"/>
    <n v="80"/>
    <n v="1"/>
    <n v="7"/>
    <n v="3"/>
    <x v="2"/>
    <x v="9"/>
    <n v="3"/>
    <x v="0"/>
    <x v="6"/>
    <x v="1"/>
    <x v="2"/>
    <x v="0"/>
    <n v="0"/>
  </r>
  <r>
    <x v="13"/>
    <x v="1"/>
    <x v="0"/>
    <n v="401"/>
    <x v="1"/>
    <n v="1"/>
    <x v="3"/>
    <x v="0"/>
    <x v="0"/>
    <n v="1447"/>
    <x v="2"/>
    <x v="0"/>
    <n v="86"/>
    <x v="1"/>
    <x v="1"/>
    <x v="2"/>
    <x v="1"/>
    <x v="1"/>
    <x v="635"/>
    <n v="3708"/>
    <n v="5"/>
    <s v="Y"/>
    <x v="1"/>
    <n v="17"/>
    <x v="0"/>
    <x v="0"/>
    <n v="80"/>
    <n v="1"/>
    <n v="7"/>
    <n v="2"/>
    <x v="2"/>
    <x v="8"/>
    <n v="4"/>
    <x v="0"/>
    <x v="3"/>
    <x v="1"/>
    <x v="2"/>
    <x v="1"/>
    <n v="0"/>
  </r>
  <r>
    <x v="0"/>
    <x v="1"/>
    <x v="0"/>
    <n v="1283"/>
    <x v="1"/>
    <n v="5"/>
    <x v="4"/>
    <x v="2"/>
    <x v="0"/>
    <n v="1448"/>
    <x v="0"/>
    <x v="1"/>
    <n v="90"/>
    <x v="2"/>
    <x v="1"/>
    <x v="1"/>
    <x v="2"/>
    <x v="1"/>
    <x v="459"/>
    <n v="5561"/>
    <n v="2"/>
    <s v="Y"/>
    <x v="0"/>
    <n v="12"/>
    <x v="0"/>
    <x v="0"/>
    <n v="80"/>
    <n v="0"/>
    <n v="7"/>
    <n v="5"/>
    <x v="2"/>
    <x v="9"/>
    <n v="2"/>
    <x v="0"/>
    <x v="6"/>
    <x v="0"/>
    <x v="2"/>
    <x v="1"/>
    <n v="0"/>
  </r>
  <r>
    <x v="32"/>
    <x v="1"/>
    <x v="2"/>
    <n v="663"/>
    <x v="1"/>
    <n v="9"/>
    <x v="2"/>
    <x v="1"/>
    <x v="0"/>
    <n v="1449"/>
    <x v="1"/>
    <x v="1"/>
    <n v="81"/>
    <x v="0"/>
    <x v="0"/>
    <x v="2"/>
    <x v="2"/>
    <x v="2"/>
    <x v="966"/>
    <n v="23099"/>
    <n v="3"/>
    <s v="Y"/>
    <x v="1"/>
    <n v="11"/>
    <x v="0"/>
    <x v="3"/>
    <n v="80"/>
    <n v="2"/>
    <n v="11"/>
    <n v="2"/>
    <x v="3"/>
    <x v="3"/>
    <n v="7"/>
    <x v="0"/>
    <x v="1"/>
    <x v="0"/>
    <x v="0"/>
    <x v="1"/>
    <n v="0"/>
  </r>
  <r>
    <x v="12"/>
    <x v="1"/>
    <x v="0"/>
    <n v="326"/>
    <x v="0"/>
    <n v="8"/>
    <x v="0"/>
    <x v="0"/>
    <x v="0"/>
    <n v="1453"/>
    <x v="3"/>
    <x v="1"/>
    <n v="31"/>
    <x v="0"/>
    <x v="2"/>
    <x v="0"/>
    <x v="0"/>
    <x v="2"/>
    <x v="967"/>
    <n v="8386"/>
    <n v="1"/>
    <s v="Y"/>
    <x v="1"/>
    <n v="18"/>
    <x v="0"/>
    <x v="0"/>
    <n v="80"/>
    <n v="1"/>
    <n v="13"/>
    <n v="5"/>
    <x v="1"/>
    <x v="20"/>
    <n v="7"/>
    <x v="10"/>
    <x v="12"/>
    <x v="1"/>
    <x v="3"/>
    <x v="3"/>
    <n v="0"/>
  </r>
  <r>
    <x v="21"/>
    <x v="0"/>
    <x v="0"/>
    <n v="377"/>
    <x v="0"/>
    <n v="9"/>
    <x v="3"/>
    <x v="3"/>
    <x v="0"/>
    <n v="1457"/>
    <x v="3"/>
    <x v="1"/>
    <n v="52"/>
    <x v="0"/>
    <x v="2"/>
    <x v="0"/>
    <x v="0"/>
    <x v="2"/>
    <x v="61"/>
    <n v="15986"/>
    <n v="4"/>
    <s v="Y"/>
    <x v="1"/>
    <n v="11"/>
    <x v="0"/>
    <x v="0"/>
    <n v="80"/>
    <n v="1"/>
    <n v="28"/>
    <n v="1"/>
    <x v="3"/>
    <x v="5"/>
    <n v="7"/>
    <x v="5"/>
    <x v="6"/>
    <x v="0"/>
    <x v="0"/>
    <x v="3"/>
    <n v="1"/>
  </r>
  <r>
    <x v="22"/>
    <x v="0"/>
    <x v="2"/>
    <n v="592"/>
    <x v="1"/>
    <n v="2"/>
    <x v="3"/>
    <x v="0"/>
    <x v="0"/>
    <n v="1458"/>
    <x v="3"/>
    <x v="0"/>
    <n v="54"/>
    <x v="1"/>
    <x v="1"/>
    <x v="2"/>
    <x v="3"/>
    <x v="0"/>
    <x v="968"/>
    <n v="17181"/>
    <n v="2"/>
    <s v="Y"/>
    <x v="0"/>
    <n v="23"/>
    <x v="1"/>
    <x v="2"/>
    <n v="80"/>
    <n v="0"/>
    <n v="11"/>
    <n v="2"/>
    <x v="3"/>
    <x v="6"/>
    <n v="0"/>
    <x v="0"/>
    <x v="2"/>
    <x v="1"/>
    <x v="1"/>
    <x v="1"/>
    <n v="1"/>
  </r>
  <r>
    <x v="12"/>
    <x v="0"/>
    <x v="1"/>
    <n v="1445"/>
    <x v="1"/>
    <n v="1"/>
    <x v="4"/>
    <x v="0"/>
    <x v="0"/>
    <n v="1459"/>
    <x v="1"/>
    <x v="0"/>
    <n v="100"/>
    <x v="2"/>
    <x v="2"/>
    <x v="3"/>
    <x v="1"/>
    <x v="0"/>
    <x v="969"/>
    <n v="8931"/>
    <n v="1"/>
    <s v="Y"/>
    <x v="1"/>
    <n v="11"/>
    <x v="0"/>
    <x v="0"/>
    <n v="80"/>
    <n v="0"/>
    <n v="10"/>
    <n v="2"/>
    <x v="1"/>
    <x v="1"/>
    <n v="8"/>
    <x v="5"/>
    <x v="1"/>
    <x v="1"/>
    <x v="0"/>
    <x v="0"/>
    <n v="1"/>
  </r>
  <r>
    <x v="28"/>
    <x v="1"/>
    <x v="0"/>
    <n v="1038"/>
    <x v="1"/>
    <n v="20"/>
    <x v="3"/>
    <x v="2"/>
    <x v="0"/>
    <n v="1460"/>
    <x v="0"/>
    <x v="1"/>
    <n v="95"/>
    <x v="3"/>
    <x v="2"/>
    <x v="4"/>
    <x v="3"/>
    <x v="2"/>
    <x v="970"/>
    <n v="19863"/>
    <n v="2"/>
    <s v="Y"/>
    <x v="0"/>
    <n v="18"/>
    <x v="0"/>
    <x v="2"/>
    <n v="80"/>
    <n v="1"/>
    <n v="24"/>
    <n v="2"/>
    <x v="1"/>
    <x v="5"/>
    <n v="7"/>
    <x v="0"/>
    <x v="1"/>
    <x v="0"/>
    <x v="0"/>
    <x v="3"/>
    <n v="0"/>
  </r>
  <r>
    <x v="12"/>
    <x v="1"/>
    <x v="0"/>
    <n v="1398"/>
    <x v="2"/>
    <n v="8"/>
    <x v="0"/>
    <x v="2"/>
    <x v="0"/>
    <n v="1461"/>
    <x v="2"/>
    <x v="0"/>
    <n v="96"/>
    <x v="2"/>
    <x v="1"/>
    <x v="8"/>
    <x v="1"/>
    <x v="0"/>
    <x v="971"/>
    <n v="24609"/>
    <n v="9"/>
    <s v="Y"/>
    <x v="1"/>
    <n v="18"/>
    <x v="0"/>
    <x v="1"/>
    <n v="80"/>
    <n v="0"/>
    <n v="8"/>
    <n v="3"/>
    <x v="1"/>
    <x v="11"/>
    <n v="2"/>
    <x v="0"/>
    <x v="3"/>
    <x v="1"/>
    <x v="2"/>
    <x v="1"/>
    <n v="0"/>
  </r>
  <r>
    <x v="12"/>
    <x v="0"/>
    <x v="1"/>
    <n v="523"/>
    <x v="1"/>
    <n v="2"/>
    <x v="3"/>
    <x v="0"/>
    <x v="0"/>
    <n v="1464"/>
    <x v="0"/>
    <x v="1"/>
    <n v="94"/>
    <x v="0"/>
    <x v="1"/>
    <x v="2"/>
    <x v="0"/>
    <x v="1"/>
    <x v="972"/>
    <n v="21081"/>
    <n v="6"/>
    <s v="Y"/>
    <x v="0"/>
    <n v="13"/>
    <x v="0"/>
    <x v="3"/>
    <n v="80"/>
    <n v="1"/>
    <n v="7"/>
    <n v="2"/>
    <x v="0"/>
    <x v="4"/>
    <n v="2"/>
    <x v="3"/>
    <x v="3"/>
    <x v="1"/>
    <x v="1"/>
    <x v="1"/>
    <n v="1"/>
  </r>
  <r>
    <x v="28"/>
    <x v="1"/>
    <x v="0"/>
    <n v="1448"/>
    <x v="1"/>
    <n v="29"/>
    <x v="3"/>
    <x v="4"/>
    <x v="0"/>
    <n v="1465"/>
    <x v="0"/>
    <x v="1"/>
    <n v="55"/>
    <x v="0"/>
    <x v="2"/>
    <x v="3"/>
    <x v="0"/>
    <x v="1"/>
    <x v="973"/>
    <n v="14720"/>
    <n v="4"/>
    <s v="Y"/>
    <x v="0"/>
    <n v="18"/>
    <x v="0"/>
    <x v="1"/>
    <n v="80"/>
    <n v="2"/>
    <n v="10"/>
    <n v="4"/>
    <x v="3"/>
    <x v="11"/>
    <n v="1"/>
    <x v="1"/>
    <x v="3"/>
    <x v="0"/>
    <x v="2"/>
    <x v="0"/>
    <n v="0"/>
  </r>
  <r>
    <x v="26"/>
    <x v="1"/>
    <x v="0"/>
    <n v="1221"/>
    <x v="0"/>
    <n v="7"/>
    <x v="3"/>
    <x v="3"/>
    <x v="0"/>
    <n v="1466"/>
    <x v="1"/>
    <x v="1"/>
    <n v="96"/>
    <x v="0"/>
    <x v="0"/>
    <x v="0"/>
    <x v="3"/>
    <x v="2"/>
    <x v="974"/>
    <n v="24795"/>
    <n v="4"/>
    <s v="Y"/>
    <x v="1"/>
    <n v="11"/>
    <x v="0"/>
    <x v="0"/>
    <n v="80"/>
    <n v="3"/>
    <n v="15"/>
    <n v="3"/>
    <x v="1"/>
    <x v="4"/>
    <n v="2"/>
    <x v="3"/>
    <x v="3"/>
    <x v="0"/>
    <x v="1"/>
    <x v="0"/>
    <n v="0"/>
  </r>
  <r>
    <x v="13"/>
    <x v="0"/>
    <x v="0"/>
    <n v="1107"/>
    <x v="2"/>
    <n v="9"/>
    <x v="2"/>
    <x v="4"/>
    <x v="0"/>
    <n v="1467"/>
    <x v="3"/>
    <x v="0"/>
    <n v="52"/>
    <x v="0"/>
    <x v="1"/>
    <x v="8"/>
    <x v="2"/>
    <x v="1"/>
    <x v="975"/>
    <n v="3072"/>
    <n v="1"/>
    <s v="Y"/>
    <x v="1"/>
    <n v="15"/>
    <x v="0"/>
    <x v="1"/>
    <n v="80"/>
    <n v="0"/>
    <n v="2"/>
    <n v="0"/>
    <x v="1"/>
    <x v="4"/>
    <n v="2"/>
    <x v="3"/>
    <x v="3"/>
    <x v="1"/>
    <x v="1"/>
    <x v="1"/>
    <n v="1"/>
  </r>
  <r>
    <x v="32"/>
    <x v="1"/>
    <x v="2"/>
    <n v="218"/>
    <x v="1"/>
    <n v="8"/>
    <x v="1"/>
    <x v="2"/>
    <x v="0"/>
    <n v="1468"/>
    <x v="2"/>
    <x v="1"/>
    <n v="55"/>
    <x v="1"/>
    <x v="2"/>
    <x v="7"/>
    <x v="1"/>
    <x v="2"/>
    <x v="976"/>
    <n v="25178"/>
    <n v="2"/>
    <s v="Y"/>
    <x v="1"/>
    <n v="11"/>
    <x v="0"/>
    <x v="3"/>
    <n v="80"/>
    <n v="1"/>
    <n v="16"/>
    <n v="5"/>
    <x v="1"/>
    <x v="7"/>
    <n v="8"/>
    <x v="5"/>
    <x v="5"/>
    <x v="0"/>
    <x v="0"/>
    <x v="3"/>
    <n v="0"/>
  </r>
  <r>
    <x v="14"/>
    <x v="1"/>
    <x v="0"/>
    <n v="866"/>
    <x v="0"/>
    <n v="5"/>
    <x v="3"/>
    <x v="2"/>
    <x v="0"/>
    <n v="1469"/>
    <x v="2"/>
    <x v="1"/>
    <n v="84"/>
    <x v="0"/>
    <x v="0"/>
    <x v="0"/>
    <x v="3"/>
    <x v="0"/>
    <x v="977"/>
    <n v="23490"/>
    <n v="0"/>
    <s v="Y"/>
    <x v="1"/>
    <n v="18"/>
    <x v="0"/>
    <x v="1"/>
    <n v="80"/>
    <n v="0"/>
    <n v="6"/>
    <n v="4"/>
    <x v="1"/>
    <x v="8"/>
    <n v="4"/>
    <x v="1"/>
    <x v="6"/>
    <x v="2"/>
    <x v="2"/>
    <x v="0"/>
    <n v="0"/>
  </r>
  <r>
    <x v="20"/>
    <x v="1"/>
    <x v="2"/>
    <n v="981"/>
    <x v="1"/>
    <n v="5"/>
    <x v="3"/>
    <x v="0"/>
    <x v="0"/>
    <n v="1471"/>
    <x v="1"/>
    <x v="1"/>
    <n v="90"/>
    <x v="1"/>
    <x v="1"/>
    <x v="2"/>
    <x v="2"/>
    <x v="0"/>
    <x v="612"/>
    <n v="7973"/>
    <n v="3"/>
    <s v="Y"/>
    <x v="1"/>
    <n v="14"/>
    <x v="0"/>
    <x v="1"/>
    <n v="80"/>
    <n v="0"/>
    <n v="7"/>
    <n v="5"/>
    <x v="1"/>
    <x v="8"/>
    <n v="2"/>
    <x v="0"/>
    <x v="6"/>
    <x v="0"/>
    <x v="2"/>
    <x v="1"/>
    <n v="0"/>
  </r>
  <r>
    <x v="16"/>
    <x v="1"/>
    <x v="0"/>
    <n v="447"/>
    <x v="1"/>
    <n v="2"/>
    <x v="3"/>
    <x v="2"/>
    <x v="0"/>
    <n v="1472"/>
    <x v="2"/>
    <x v="1"/>
    <n v="39"/>
    <x v="2"/>
    <x v="3"/>
    <x v="7"/>
    <x v="1"/>
    <x v="0"/>
    <x v="978"/>
    <n v="19764"/>
    <n v="4"/>
    <s v="Y"/>
    <x v="1"/>
    <n v="12"/>
    <x v="0"/>
    <x v="2"/>
    <n v="80"/>
    <n v="0"/>
    <n v="35"/>
    <n v="2"/>
    <x v="2"/>
    <x v="7"/>
    <n v="8"/>
    <x v="6"/>
    <x v="5"/>
    <x v="3"/>
    <x v="0"/>
    <x v="2"/>
    <n v="0"/>
  </r>
  <r>
    <x v="1"/>
    <x v="1"/>
    <x v="0"/>
    <n v="1495"/>
    <x v="1"/>
    <n v="5"/>
    <x v="2"/>
    <x v="4"/>
    <x v="0"/>
    <n v="1473"/>
    <x v="3"/>
    <x v="1"/>
    <n v="96"/>
    <x v="0"/>
    <x v="0"/>
    <x v="4"/>
    <x v="2"/>
    <x v="1"/>
    <x v="979"/>
    <n v="21534"/>
    <n v="2"/>
    <s v="Y"/>
    <x v="1"/>
    <n v="14"/>
    <x v="0"/>
    <x v="2"/>
    <n v="80"/>
    <n v="1"/>
    <n v="20"/>
    <n v="0"/>
    <x v="2"/>
    <x v="11"/>
    <n v="2"/>
    <x v="1"/>
    <x v="3"/>
    <x v="0"/>
    <x v="2"/>
    <x v="0"/>
    <n v="0"/>
  </r>
  <r>
    <x v="32"/>
    <x v="1"/>
    <x v="0"/>
    <n v="896"/>
    <x v="1"/>
    <n v="2"/>
    <x v="3"/>
    <x v="2"/>
    <x v="0"/>
    <n v="1474"/>
    <x v="1"/>
    <x v="1"/>
    <n v="68"/>
    <x v="0"/>
    <x v="1"/>
    <x v="1"/>
    <x v="2"/>
    <x v="2"/>
    <x v="980"/>
    <n v="8045"/>
    <n v="2"/>
    <s v="Y"/>
    <x v="1"/>
    <n v="14"/>
    <x v="0"/>
    <x v="3"/>
    <n v="80"/>
    <n v="1"/>
    <n v="8"/>
    <n v="3"/>
    <x v="3"/>
    <x v="11"/>
    <n v="1"/>
    <x v="1"/>
    <x v="3"/>
    <x v="0"/>
    <x v="2"/>
    <x v="1"/>
    <n v="0"/>
  </r>
  <r>
    <x v="20"/>
    <x v="1"/>
    <x v="0"/>
    <n v="1467"/>
    <x v="1"/>
    <n v="20"/>
    <x v="3"/>
    <x v="0"/>
    <x v="0"/>
    <n v="1475"/>
    <x v="2"/>
    <x v="1"/>
    <n v="49"/>
    <x v="0"/>
    <x v="1"/>
    <x v="1"/>
    <x v="1"/>
    <x v="0"/>
    <x v="959"/>
    <n v="21158"/>
    <n v="1"/>
    <s v="Y"/>
    <x v="1"/>
    <n v="13"/>
    <x v="0"/>
    <x v="3"/>
    <n v="80"/>
    <n v="0"/>
    <n v="6"/>
    <n v="3"/>
    <x v="2"/>
    <x v="8"/>
    <n v="2"/>
    <x v="1"/>
    <x v="6"/>
    <x v="0"/>
    <x v="2"/>
    <x v="1"/>
    <n v="0"/>
  </r>
  <r>
    <x v="3"/>
    <x v="1"/>
    <x v="1"/>
    <n v="430"/>
    <x v="0"/>
    <n v="7"/>
    <x v="3"/>
    <x v="2"/>
    <x v="0"/>
    <n v="1477"/>
    <x v="2"/>
    <x v="1"/>
    <n v="54"/>
    <x v="0"/>
    <x v="0"/>
    <x v="0"/>
    <x v="3"/>
    <x v="1"/>
    <x v="981"/>
    <n v="17456"/>
    <n v="0"/>
    <s v="Y"/>
    <x v="1"/>
    <n v="14"/>
    <x v="0"/>
    <x v="0"/>
    <n v="80"/>
    <n v="2"/>
    <n v="5"/>
    <n v="2"/>
    <x v="1"/>
    <x v="9"/>
    <n v="3"/>
    <x v="0"/>
    <x v="6"/>
    <x v="1"/>
    <x v="2"/>
    <x v="1"/>
    <n v="0"/>
  </r>
  <r>
    <x v="13"/>
    <x v="1"/>
    <x v="0"/>
    <n v="1326"/>
    <x v="0"/>
    <n v="3"/>
    <x v="3"/>
    <x v="1"/>
    <x v="0"/>
    <n v="1478"/>
    <x v="2"/>
    <x v="1"/>
    <n v="81"/>
    <x v="3"/>
    <x v="0"/>
    <x v="0"/>
    <x v="3"/>
    <x v="0"/>
    <x v="982"/>
    <n v="15891"/>
    <n v="3"/>
    <s v="Y"/>
    <x v="1"/>
    <n v="18"/>
    <x v="0"/>
    <x v="1"/>
    <n v="80"/>
    <n v="0"/>
    <n v="15"/>
    <n v="2"/>
    <x v="1"/>
    <x v="20"/>
    <n v="9"/>
    <x v="2"/>
    <x v="11"/>
    <x v="1"/>
    <x v="3"/>
    <x v="1"/>
    <n v="0"/>
  </r>
  <r>
    <x v="7"/>
    <x v="1"/>
    <x v="0"/>
    <n v="1358"/>
    <x v="0"/>
    <n v="16"/>
    <x v="1"/>
    <x v="0"/>
    <x v="0"/>
    <n v="1479"/>
    <x v="2"/>
    <x v="1"/>
    <n v="96"/>
    <x v="0"/>
    <x v="0"/>
    <x v="0"/>
    <x v="2"/>
    <x v="1"/>
    <x v="983"/>
    <n v="2939"/>
    <n v="8"/>
    <s v="Y"/>
    <x v="1"/>
    <n v="15"/>
    <x v="0"/>
    <x v="3"/>
    <n v="80"/>
    <n v="2"/>
    <n v="4"/>
    <n v="2"/>
    <x v="2"/>
    <x v="4"/>
    <n v="1"/>
    <x v="3"/>
    <x v="3"/>
    <x v="1"/>
    <x v="1"/>
    <x v="0"/>
    <n v="0"/>
  </r>
  <r>
    <x v="19"/>
    <x v="1"/>
    <x v="1"/>
    <n v="748"/>
    <x v="1"/>
    <n v="9"/>
    <x v="0"/>
    <x v="2"/>
    <x v="0"/>
    <n v="1480"/>
    <x v="3"/>
    <x v="0"/>
    <n v="74"/>
    <x v="0"/>
    <x v="1"/>
    <x v="2"/>
    <x v="0"/>
    <x v="0"/>
    <x v="984"/>
    <n v="16458"/>
    <n v="1"/>
    <s v="Y"/>
    <x v="1"/>
    <n v="13"/>
    <x v="0"/>
    <x v="3"/>
    <n v="80"/>
    <n v="0"/>
    <n v="12"/>
    <n v="3"/>
    <x v="1"/>
    <x v="12"/>
    <n v="9"/>
    <x v="8"/>
    <x v="5"/>
    <x v="0"/>
    <x v="3"/>
    <x v="1"/>
    <n v="0"/>
  </r>
  <r>
    <x v="20"/>
    <x v="1"/>
    <x v="1"/>
    <n v="383"/>
    <x v="0"/>
    <n v="1"/>
    <x v="4"/>
    <x v="3"/>
    <x v="0"/>
    <n v="1481"/>
    <x v="3"/>
    <x v="0"/>
    <n v="79"/>
    <x v="0"/>
    <x v="0"/>
    <x v="0"/>
    <x v="2"/>
    <x v="1"/>
    <x v="985"/>
    <n v="9282"/>
    <n v="7"/>
    <s v="Y"/>
    <x v="1"/>
    <n v="12"/>
    <x v="0"/>
    <x v="3"/>
    <n v="80"/>
    <n v="1"/>
    <n v="11"/>
    <n v="4"/>
    <x v="2"/>
    <x v="6"/>
    <n v="0"/>
    <x v="0"/>
    <x v="2"/>
    <x v="0"/>
    <x v="1"/>
    <x v="1"/>
    <n v="0"/>
  </r>
  <r>
    <x v="7"/>
    <x v="1"/>
    <x v="2"/>
    <n v="990"/>
    <x v="1"/>
    <n v="7"/>
    <x v="3"/>
    <x v="4"/>
    <x v="0"/>
    <n v="1482"/>
    <x v="1"/>
    <x v="1"/>
    <n v="64"/>
    <x v="0"/>
    <x v="1"/>
    <x v="1"/>
    <x v="2"/>
    <x v="2"/>
    <x v="986"/>
    <n v="7152"/>
    <n v="1"/>
    <s v="Y"/>
    <x v="1"/>
    <n v="13"/>
    <x v="0"/>
    <x v="2"/>
    <n v="80"/>
    <n v="2"/>
    <n v="1"/>
    <n v="2"/>
    <x v="2"/>
    <x v="6"/>
    <n v="0"/>
    <x v="0"/>
    <x v="2"/>
    <x v="1"/>
    <x v="1"/>
    <x v="1"/>
    <n v="0"/>
  </r>
  <r>
    <x v="38"/>
    <x v="1"/>
    <x v="0"/>
    <n v="405"/>
    <x v="1"/>
    <n v="1"/>
    <x v="0"/>
    <x v="0"/>
    <x v="0"/>
    <n v="1483"/>
    <x v="0"/>
    <x v="1"/>
    <n v="93"/>
    <x v="2"/>
    <x v="0"/>
    <x v="1"/>
    <x v="2"/>
    <x v="1"/>
    <x v="987"/>
    <n v="2721"/>
    <n v="0"/>
    <s v="Y"/>
    <x v="1"/>
    <n v="24"/>
    <x v="1"/>
    <x v="0"/>
    <n v="80"/>
    <n v="1"/>
    <n v="13"/>
    <n v="2"/>
    <x v="2"/>
    <x v="12"/>
    <n v="9"/>
    <x v="3"/>
    <x v="5"/>
    <x v="3"/>
    <x v="3"/>
    <x v="1"/>
    <n v="0"/>
  </r>
  <r>
    <x v="1"/>
    <x v="1"/>
    <x v="0"/>
    <n v="1490"/>
    <x v="1"/>
    <n v="7"/>
    <x v="2"/>
    <x v="0"/>
    <x v="0"/>
    <n v="1484"/>
    <x v="1"/>
    <x v="1"/>
    <n v="35"/>
    <x v="0"/>
    <x v="2"/>
    <x v="4"/>
    <x v="1"/>
    <x v="2"/>
    <x v="988"/>
    <n v="20948"/>
    <n v="3"/>
    <s v="Y"/>
    <x v="1"/>
    <n v="14"/>
    <x v="0"/>
    <x v="2"/>
    <n v="80"/>
    <n v="2"/>
    <n v="29"/>
    <n v="3"/>
    <x v="1"/>
    <x v="3"/>
    <n v="7"/>
    <x v="0"/>
    <x v="1"/>
    <x v="0"/>
    <x v="0"/>
    <x v="3"/>
    <n v="0"/>
  </r>
  <r>
    <x v="13"/>
    <x v="1"/>
    <x v="1"/>
    <n v="829"/>
    <x v="1"/>
    <n v="15"/>
    <x v="3"/>
    <x v="2"/>
    <x v="0"/>
    <n v="1485"/>
    <x v="0"/>
    <x v="1"/>
    <n v="71"/>
    <x v="0"/>
    <x v="3"/>
    <x v="7"/>
    <x v="3"/>
    <x v="2"/>
    <x v="989"/>
    <n v="11929"/>
    <n v="7"/>
    <s v="Y"/>
    <x v="1"/>
    <n v="14"/>
    <x v="0"/>
    <x v="1"/>
    <n v="80"/>
    <n v="2"/>
    <n v="16"/>
    <n v="3"/>
    <x v="2"/>
    <x v="13"/>
    <n v="8"/>
    <x v="7"/>
    <x v="12"/>
    <x v="1"/>
    <x v="3"/>
    <x v="2"/>
    <n v="0"/>
  </r>
  <r>
    <x v="14"/>
    <x v="0"/>
    <x v="1"/>
    <n v="1496"/>
    <x v="0"/>
    <n v="1"/>
    <x v="3"/>
    <x v="4"/>
    <x v="0"/>
    <n v="1486"/>
    <x v="3"/>
    <x v="1"/>
    <n v="92"/>
    <x v="0"/>
    <x v="1"/>
    <x v="6"/>
    <x v="2"/>
    <x v="1"/>
    <x v="3"/>
    <n v="15747"/>
    <n v="3"/>
    <s v="Y"/>
    <x v="1"/>
    <n v="15"/>
    <x v="0"/>
    <x v="1"/>
    <n v="80"/>
    <n v="1"/>
    <n v="5"/>
    <n v="3"/>
    <x v="3"/>
    <x v="11"/>
    <n v="2"/>
    <x v="1"/>
    <x v="3"/>
    <x v="2"/>
    <x v="2"/>
    <x v="1"/>
    <n v="1"/>
  </r>
  <r>
    <x v="11"/>
    <x v="0"/>
    <x v="1"/>
    <n v="115"/>
    <x v="0"/>
    <n v="13"/>
    <x v="3"/>
    <x v="4"/>
    <x v="0"/>
    <n v="1487"/>
    <x v="3"/>
    <x v="0"/>
    <n v="51"/>
    <x v="0"/>
    <x v="0"/>
    <x v="0"/>
    <x v="1"/>
    <x v="0"/>
    <x v="990"/>
    <n v="17485"/>
    <n v="5"/>
    <s v="Y"/>
    <x v="1"/>
    <n v="11"/>
    <x v="0"/>
    <x v="0"/>
    <n v="80"/>
    <n v="0"/>
    <n v="7"/>
    <n v="4"/>
    <x v="0"/>
    <x v="8"/>
    <n v="3"/>
    <x v="0"/>
    <x v="2"/>
    <x v="2"/>
    <x v="2"/>
    <x v="0"/>
    <n v="1"/>
  </r>
  <r>
    <x v="13"/>
    <x v="0"/>
    <x v="0"/>
    <n v="790"/>
    <x v="0"/>
    <n v="24"/>
    <x v="2"/>
    <x v="2"/>
    <x v="0"/>
    <n v="1489"/>
    <x v="3"/>
    <x v="0"/>
    <n v="40"/>
    <x v="1"/>
    <x v="0"/>
    <x v="0"/>
    <x v="1"/>
    <x v="0"/>
    <x v="991"/>
    <n v="7815"/>
    <n v="0"/>
    <s v="Y"/>
    <x v="0"/>
    <n v="23"/>
    <x v="1"/>
    <x v="3"/>
    <n v="80"/>
    <n v="0"/>
    <n v="16"/>
    <n v="2"/>
    <x v="3"/>
    <x v="15"/>
    <n v="9"/>
    <x v="13"/>
    <x v="13"/>
    <x v="1"/>
    <x v="3"/>
    <x v="1"/>
    <n v="1"/>
  </r>
  <r>
    <x v="10"/>
    <x v="1"/>
    <x v="0"/>
    <n v="660"/>
    <x v="0"/>
    <n v="7"/>
    <x v="1"/>
    <x v="0"/>
    <x v="0"/>
    <n v="1492"/>
    <x v="2"/>
    <x v="1"/>
    <n v="76"/>
    <x v="0"/>
    <x v="1"/>
    <x v="6"/>
    <x v="2"/>
    <x v="1"/>
    <x v="639"/>
    <n v="16192"/>
    <n v="1"/>
    <s v="Y"/>
    <x v="1"/>
    <n v="13"/>
    <x v="0"/>
    <x v="0"/>
    <n v="80"/>
    <n v="1"/>
    <n v="1"/>
    <n v="3"/>
    <x v="1"/>
    <x v="6"/>
    <n v="0"/>
    <x v="0"/>
    <x v="2"/>
    <x v="1"/>
    <x v="1"/>
    <x v="1"/>
    <n v="0"/>
  </r>
  <r>
    <x v="17"/>
    <x v="0"/>
    <x v="1"/>
    <n v="381"/>
    <x v="1"/>
    <n v="9"/>
    <x v="3"/>
    <x v="2"/>
    <x v="0"/>
    <n v="1494"/>
    <x v="0"/>
    <x v="1"/>
    <n v="89"/>
    <x v="0"/>
    <x v="1"/>
    <x v="2"/>
    <x v="3"/>
    <x v="0"/>
    <x v="992"/>
    <n v="16998"/>
    <n v="2"/>
    <s v="Y"/>
    <x v="0"/>
    <n v="11"/>
    <x v="0"/>
    <x v="3"/>
    <n v="80"/>
    <n v="0"/>
    <n v="4"/>
    <n v="2"/>
    <x v="2"/>
    <x v="2"/>
    <n v="0"/>
    <x v="0"/>
    <x v="2"/>
    <x v="2"/>
    <x v="1"/>
    <x v="1"/>
    <n v="1"/>
  </r>
  <r>
    <x v="17"/>
    <x v="1"/>
    <x v="2"/>
    <n v="830"/>
    <x v="0"/>
    <n v="13"/>
    <x v="0"/>
    <x v="0"/>
    <x v="0"/>
    <n v="1495"/>
    <x v="2"/>
    <x v="0"/>
    <n v="78"/>
    <x v="0"/>
    <x v="1"/>
    <x v="6"/>
    <x v="1"/>
    <x v="1"/>
    <x v="462"/>
    <n v="7103"/>
    <n v="1"/>
    <s v="Y"/>
    <x v="1"/>
    <n v="13"/>
    <x v="0"/>
    <x v="3"/>
    <n v="80"/>
    <n v="1"/>
    <n v="1"/>
    <n v="2"/>
    <x v="1"/>
    <x v="6"/>
    <n v="0"/>
    <x v="0"/>
    <x v="2"/>
    <x v="2"/>
    <x v="1"/>
    <x v="1"/>
    <n v="0"/>
  </r>
  <r>
    <x v="20"/>
    <x v="1"/>
    <x v="1"/>
    <n v="1193"/>
    <x v="1"/>
    <n v="2"/>
    <x v="1"/>
    <x v="2"/>
    <x v="0"/>
    <n v="1496"/>
    <x v="0"/>
    <x v="1"/>
    <n v="86"/>
    <x v="0"/>
    <x v="2"/>
    <x v="3"/>
    <x v="2"/>
    <x v="0"/>
    <x v="993"/>
    <n v="19719"/>
    <n v="5"/>
    <s v="Y"/>
    <x v="0"/>
    <n v="18"/>
    <x v="0"/>
    <x v="2"/>
    <n v="80"/>
    <n v="0"/>
    <n v="16"/>
    <n v="2"/>
    <x v="2"/>
    <x v="4"/>
    <n v="2"/>
    <x v="3"/>
    <x v="3"/>
    <x v="0"/>
    <x v="1"/>
    <x v="3"/>
    <n v="0"/>
  </r>
  <r>
    <x v="11"/>
    <x v="1"/>
    <x v="0"/>
    <n v="1246"/>
    <x v="0"/>
    <n v="19"/>
    <x v="3"/>
    <x v="0"/>
    <x v="0"/>
    <n v="1497"/>
    <x v="1"/>
    <x v="1"/>
    <n v="77"/>
    <x v="1"/>
    <x v="0"/>
    <x v="0"/>
    <x v="2"/>
    <x v="2"/>
    <x v="994"/>
    <n v="23757"/>
    <n v="1"/>
    <s v="Y"/>
    <x v="1"/>
    <n v="14"/>
    <x v="0"/>
    <x v="3"/>
    <n v="80"/>
    <n v="2"/>
    <n v="10"/>
    <n v="3"/>
    <x v="1"/>
    <x v="1"/>
    <n v="7"/>
    <x v="0"/>
    <x v="10"/>
    <x v="2"/>
    <x v="0"/>
    <x v="0"/>
    <n v="0"/>
  </r>
  <r>
    <x v="7"/>
    <x v="1"/>
    <x v="0"/>
    <n v="330"/>
    <x v="2"/>
    <n v="1"/>
    <x v="3"/>
    <x v="0"/>
    <x v="0"/>
    <n v="1499"/>
    <x v="1"/>
    <x v="1"/>
    <n v="46"/>
    <x v="0"/>
    <x v="1"/>
    <x v="8"/>
    <x v="2"/>
    <x v="2"/>
    <x v="995"/>
    <n v="15428"/>
    <n v="0"/>
    <s v="Y"/>
    <x v="1"/>
    <n v="21"/>
    <x v="1"/>
    <x v="0"/>
    <n v="80"/>
    <n v="1"/>
    <n v="6"/>
    <n v="3"/>
    <x v="3"/>
    <x v="8"/>
    <n v="3"/>
    <x v="1"/>
    <x v="6"/>
    <x v="1"/>
    <x v="2"/>
    <x v="1"/>
    <n v="0"/>
  </r>
  <r>
    <x v="27"/>
    <x v="1"/>
    <x v="0"/>
    <n v="1229"/>
    <x v="1"/>
    <n v="4"/>
    <x v="2"/>
    <x v="0"/>
    <x v="0"/>
    <n v="1501"/>
    <x v="2"/>
    <x v="1"/>
    <n v="30"/>
    <x v="0"/>
    <x v="0"/>
    <x v="4"/>
    <x v="2"/>
    <x v="1"/>
    <x v="996"/>
    <n v="16143"/>
    <n v="0"/>
    <s v="Y"/>
    <x v="0"/>
    <n v="16"/>
    <x v="0"/>
    <x v="2"/>
    <n v="80"/>
    <n v="0"/>
    <n v="4"/>
    <n v="2"/>
    <x v="1"/>
    <x v="11"/>
    <n v="2"/>
    <x v="1"/>
    <x v="3"/>
    <x v="3"/>
    <x v="2"/>
    <x v="1"/>
    <n v="0"/>
  </r>
  <r>
    <x v="3"/>
    <x v="1"/>
    <x v="0"/>
    <n v="1099"/>
    <x v="1"/>
    <n v="4"/>
    <x v="2"/>
    <x v="2"/>
    <x v="0"/>
    <n v="1502"/>
    <x v="3"/>
    <x v="0"/>
    <n v="82"/>
    <x v="1"/>
    <x v="1"/>
    <x v="2"/>
    <x v="1"/>
    <x v="1"/>
    <x v="997"/>
    <n v="8192"/>
    <n v="8"/>
    <s v="Y"/>
    <x v="1"/>
    <n v="11"/>
    <x v="0"/>
    <x v="1"/>
    <n v="80"/>
    <n v="0"/>
    <n v="8"/>
    <n v="5"/>
    <x v="1"/>
    <x v="8"/>
    <n v="4"/>
    <x v="0"/>
    <x v="3"/>
    <x v="1"/>
    <x v="2"/>
    <x v="1"/>
    <n v="0"/>
  </r>
  <r>
    <x v="40"/>
    <x v="1"/>
    <x v="0"/>
    <n v="571"/>
    <x v="0"/>
    <n v="14"/>
    <x v="3"/>
    <x v="2"/>
    <x v="0"/>
    <n v="1503"/>
    <x v="1"/>
    <x v="0"/>
    <n v="78"/>
    <x v="0"/>
    <x v="0"/>
    <x v="0"/>
    <x v="2"/>
    <x v="1"/>
    <x v="998"/>
    <n v="24200"/>
    <n v="3"/>
    <s v="Y"/>
    <x v="0"/>
    <n v="17"/>
    <x v="0"/>
    <x v="3"/>
    <n v="80"/>
    <n v="1"/>
    <n v="11"/>
    <n v="4"/>
    <x v="2"/>
    <x v="8"/>
    <n v="4"/>
    <x v="1"/>
    <x v="3"/>
    <x v="0"/>
    <x v="2"/>
    <x v="1"/>
    <n v="0"/>
  </r>
  <r>
    <x v="14"/>
    <x v="0"/>
    <x v="1"/>
    <n v="289"/>
    <x v="1"/>
    <n v="2"/>
    <x v="0"/>
    <x v="2"/>
    <x v="0"/>
    <n v="1504"/>
    <x v="1"/>
    <x v="1"/>
    <n v="38"/>
    <x v="1"/>
    <x v="1"/>
    <x v="2"/>
    <x v="3"/>
    <x v="0"/>
    <x v="999"/>
    <n v="5355"/>
    <n v="7"/>
    <s v="Y"/>
    <x v="1"/>
    <n v="11"/>
    <x v="0"/>
    <x v="3"/>
    <n v="80"/>
    <n v="0"/>
    <n v="8"/>
    <n v="2"/>
    <x v="2"/>
    <x v="2"/>
    <n v="0"/>
    <x v="0"/>
    <x v="2"/>
    <x v="2"/>
    <x v="1"/>
    <x v="1"/>
    <n v="1"/>
  </r>
  <r>
    <x v="14"/>
    <x v="1"/>
    <x v="0"/>
    <n v="1423"/>
    <x v="1"/>
    <n v="1"/>
    <x v="3"/>
    <x v="0"/>
    <x v="0"/>
    <n v="1506"/>
    <x v="3"/>
    <x v="1"/>
    <n v="72"/>
    <x v="1"/>
    <x v="1"/>
    <x v="1"/>
    <x v="2"/>
    <x v="2"/>
    <x v="1000"/>
    <n v="12530"/>
    <n v="1"/>
    <s v="Y"/>
    <x v="1"/>
    <n v="14"/>
    <x v="0"/>
    <x v="1"/>
    <n v="80"/>
    <n v="1"/>
    <n v="1"/>
    <n v="2"/>
    <x v="0"/>
    <x v="6"/>
    <n v="0"/>
    <x v="0"/>
    <x v="2"/>
    <x v="2"/>
    <x v="1"/>
    <x v="1"/>
    <n v="0"/>
  </r>
  <r>
    <x v="14"/>
    <x v="1"/>
    <x v="1"/>
    <n v="467"/>
    <x v="0"/>
    <n v="7"/>
    <x v="3"/>
    <x v="0"/>
    <x v="0"/>
    <n v="1507"/>
    <x v="1"/>
    <x v="1"/>
    <n v="55"/>
    <x v="0"/>
    <x v="0"/>
    <x v="0"/>
    <x v="3"/>
    <x v="0"/>
    <x v="249"/>
    <n v="11827"/>
    <n v="0"/>
    <s v="Y"/>
    <x v="1"/>
    <n v="14"/>
    <x v="0"/>
    <x v="1"/>
    <n v="80"/>
    <n v="0"/>
    <n v="5"/>
    <n v="5"/>
    <x v="1"/>
    <x v="9"/>
    <n v="2"/>
    <x v="1"/>
    <x v="6"/>
    <x v="2"/>
    <x v="2"/>
    <x v="1"/>
    <n v="0"/>
  </r>
  <r>
    <x v="1"/>
    <x v="1"/>
    <x v="0"/>
    <n v="271"/>
    <x v="1"/>
    <n v="3"/>
    <x v="0"/>
    <x v="2"/>
    <x v="0"/>
    <n v="1509"/>
    <x v="1"/>
    <x v="0"/>
    <n v="43"/>
    <x v="1"/>
    <x v="0"/>
    <x v="2"/>
    <x v="3"/>
    <x v="1"/>
    <x v="1001"/>
    <n v="23070"/>
    <n v="4"/>
    <s v="Y"/>
    <x v="1"/>
    <n v="25"/>
    <x v="1"/>
    <x v="0"/>
    <n v="80"/>
    <n v="1"/>
    <n v="10"/>
    <n v="3"/>
    <x v="1"/>
    <x v="11"/>
    <n v="2"/>
    <x v="1"/>
    <x v="3"/>
    <x v="0"/>
    <x v="2"/>
    <x v="1"/>
    <n v="0"/>
  </r>
  <r>
    <x v="11"/>
    <x v="1"/>
    <x v="1"/>
    <n v="410"/>
    <x v="1"/>
    <n v="2"/>
    <x v="1"/>
    <x v="0"/>
    <x v="0"/>
    <n v="1513"/>
    <x v="2"/>
    <x v="0"/>
    <n v="97"/>
    <x v="0"/>
    <x v="1"/>
    <x v="2"/>
    <x v="1"/>
    <x v="1"/>
    <x v="1002"/>
    <n v="4668"/>
    <n v="0"/>
    <s v="Y"/>
    <x v="1"/>
    <n v="13"/>
    <x v="0"/>
    <x v="3"/>
    <n v="80"/>
    <n v="3"/>
    <n v="4"/>
    <n v="3"/>
    <x v="1"/>
    <x v="11"/>
    <n v="2"/>
    <x v="0"/>
    <x v="3"/>
    <x v="2"/>
    <x v="2"/>
    <x v="1"/>
    <n v="0"/>
  </r>
  <r>
    <x v="14"/>
    <x v="1"/>
    <x v="0"/>
    <n v="1083"/>
    <x v="1"/>
    <n v="29"/>
    <x v="1"/>
    <x v="0"/>
    <x v="0"/>
    <n v="1514"/>
    <x v="1"/>
    <x v="1"/>
    <n v="96"/>
    <x v="3"/>
    <x v="0"/>
    <x v="3"/>
    <x v="1"/>
    <x v="1"/>
    <x v="1003"/>
    <n v="3173"/>
    <n v="1"/>
    <s v="Y"/>
    <x v="1"/>
    <n v="14"/>
    <x v="0"/>
    <x v="2"/>
    <n v="80"/>
    <n v="2"/>
    <n v="8"/>
    <n v="2"/>
    <x v="2"/>
    <x v="3"/>
    <n v="6"/>
    <x v="1"/>
    <x v="1"/>
    <x v="2"/>
    <x v="0"/>
    <x v="0"/>
    <n v="0"/>
  </r>
  <r>
    <x v="3"/>
    <x v="1"/>
    <x v="0"/>
    <n v="516"/>
    <x v="1"/>
    <n v="8"/>
    <x v="4"/>
    <x v="0"/>
    <x v="0"/>
    <n v="1515"/>
    <x v="2"/>
    <x v="1"/>
    <n v="69"/>
    <x v="0"/>
    <x v="0"/>
    <x v="4"/>
    <x v="2"/>
    <x v="0"/>
    <x v="1004"/>
    <n v="22049"/>
    <n v="2"/>
    <s v="Y"/>
    <x v="0"/>
    <n v="17"/>
    <x v="0"/>
    <x v="0"/>
    <n v="80"/>
    <n v="0"/>
    <n v="14"/>
    <n v="6"/>
    <x v="1"/>
    <x v="2"/>
    <n v="0"/>
    <x v="0"/>
    <x v="2"/>
    <x v="1"/>
    <x v="1"/>
    <x v="0"/>
    <n v="0"/>
  </r>
  <r>
    <x v="5"/>
    <x v="1"/>
    <x v="0"/>
    <n v="495"/>
    <x v="1"/>
    <n v="10"/>
    <x v="3"/>
    <x v="2"/>
    <x v="0"/>
    <n v="1516"/>
    <x v="1"/>
    <x v="1"/>
    <n v="64"/>
    <x v="0"/>
    <x v="2"/>
    <x v="5"/>
    <x v="0"/>
    <x v="0"/>
    <x v="1005"/>
    <n v="21072"/>
    <n v="2"/>
    <s v="Y"/>
    <x v="1"/>
    <n v="25"/>
    <x v="1"/>
    <x v="2"/>
    <n v="80"/>
    <n v="0"/>
    <n v="10"/>
    <n v="5"/>
    <x v="3"/>
    <x v="8"/>
    <n v="2"/>
    <x v="0"/>
    <x v="2"/>
    <x v="1"/>
    <x v="2"/>
    <x v="3"/>
    <n v="0"/>
  </r>
  <r>
    <x v="33"/>
    <x v="1"/>
    <x v="1"/>
    <n v="1050"/>
    <x v="1"/>
    <n v="11"/>
    <x v="2"/>
    <x v="2"/>
    <x v="0"/>
    <n v="1520"/>
    <x v="0"/>
    <x v="0"/>
    <n v="87"/>
    <x v="0"/>
    <x v="3"/>
    <x v="5"/>
    <x v="0"/>
    <x v="2"/>
    <x v="1006"/>
    <n v="24456"/>
    <n v="3"/>
    <s v="Y"/>
    <x v="1"/>
    <n v="20"/>
    <x v="1"/>
    <x v="0"/>
    <n v="80"/>
    <n v="1"/>
    <n v="26"/>
    <n v="2"/>
    <x v="1"/>
    <x v="13"/>
    <n v="9"/>
    <x v="1"/>
    <x v="11"/>
    <x v="3"/>
    <x v="3"/>
    <x v="2"/>
    <n v="0"/>
  </r>
  <r>
    <x v="11"/>
    <x v="0"/>
    <x v="0"/>
    <n v="224"/>
    <x v="1"/>
    <n v="1"/>
    <x v="2"/>
    <x v="4"/>
    <x v="0"/>
    <n v="1522"/>
    <x v="3"/>
    <x v="1"/>
    <n v="100"/>
    <x v="1"/>
    <x v="1"/>
    <x v="1"/>
    <x v="3"/>
    <x v="0"/>
    <x v="898"/>
    <n v="7568"/>
    <n v="6"/>
    <s v="Y"/>
    <x v="1"/>
    <n v="13"/>
    <x v="0"/>
    <x v="3"/>
    <n v="80"/>
    <n v="0"/>
    <n v="11"/>
    <n v="2"/>
    <x v="0"/>
    <x v="7"/>
    <n v="7"/>
    <x v="0"/>
    <x v="1"/>
    <x v="2"/>
    <x v="0"/>
    <x v="1"/>
    <n v="1"/>
  </r>
  <r>
    <x v="20"/>
    <x v="1"/>
    <x v="0"/>
    <n v="136"/>
    <x v="1"/>
    <n v="28"/>
    <x v="3"/>
    <x v="0"/>
    <x v="0"/>
    <n v="1523"/>
    <x v="2"/>
    <x v="1"/>
    <n v="32"/>
    <x v="0"/>
    <x v="3"/>
    <x v="7"/>
    <x v="3"/>
    <x v="1"/>
    <x v="1007"/>
    <n v="22074"/>
    <n v="3"/>
    <s v="Y"/>
    <x v="1"/>
    <n v="13"/>
    <x v="0"/>
    <x v="3"/>
    <n v="80"/>
    <n v="1"/>
    <n v="24"/>
    <n v="1"/>
    <x v="3"/>
    <x v="23"/>
    <n v="6"/>
    <x v="15"/>
    <x v="8"/>
    <x v="0"/>
    <x v="3"/>
    <x v="2"/>
    <n v="0"/>
  </r>
  <r>
    <x v="22"/>
    <x v="1"/>
    <x v="0"/>
    <n v="1089"/>
    <x v="1"/>
    <n v="6"/>
    <x v="3"/>
    <x v="0"/>
    <x v="0"/>
    <n v="1525"/>
    <x v="0"/>
    <x v="0"/>
    <n v="32"/>
    <x v="0"/>
    <x v="2"/>
    <x v="3"/>
    <x v="1"/>
    <x v="0"/>
    <x v="1008"/>
    <n v="9150"/>
    <n v="4"/>
    <s v="Y"/>
    <x v="1"/>
    <n v="18"/>
    <x v="0"/>
    <x v="1"/>
    <n v="80"/>
    <n v="0"/>
    <n v="9"/>
    <n v="3"/>
    <x v="1"/>
    <x v="4"/>
    <n v="0"/>
    <x v="3"/>
    <x v="3"/>
    <x v="1"/>
    <x v="1"/>
    <x v="0"/>
    <n v="0"/>
  </r>
  <r>
    <x v="21"/>
    <x v="1"/>
    <x v="0"/>
    <n v="228"/>
    <x v="0"/>
    <n v="3"/>
    <x v="3"/>
    <x v="0"/>
    <x v="0"/>
    <n v="1527"/>
    <x v="1"/>
    <x v="0"/>
    <n v="51"/>
    <x v="0"/>
    <x v="3"/>
    <x v="5"/>
    <x v="1"/>
    <x v="1"/>
    <x v="1009"/>
    <n v="11380"/>
    <n v="8"/>
    <s v="Y"/>
    <x v="1"/>
    <n v="12"/>
    <x v="0"/>
    <x v="1"/>
    <n v="80"/>
    <n v="1"/>
    <n v="23"/>
    <n v="2"/>
    <x v="3"/>
    <x v="20"/>
    <n v="12"/>
    <x v="8"/>
    <x v="9"/>
    <x v="0"/>
    <x v="3"/>
    <x v="2"/>
    <n v="0"/>
  </r>
  <r>
    <x v="10"/>
    <x v="1"/>
    <x v="0"/>
    <n v="1029"/>
    <x v="1"/>
    <n v="16"/>
    <x v="3"/>
    <x v="0"/>
    <x v="0"/>
    <n v="1529"/>
    <x v="2"/>
    <x v="0"/>
    <n v="91"/>
    <x v="1"/>
    <x v="2"/>
    <x v="4"/>
    <x v="1"/>
    <x v="0"/>
    <x v="1010"/>
    <n v="21195"/>
    <n v="1"/>
    <s v="Y"/>
    <x v="1"/>
    <n v="19"/>
    <x v="0"/>
    <x v="1"/>
    <n v="80"/>
    <n v="0"/>
    <n v="11"/>
    <n v="3"/>
    <x v="0"/>
    <x v="19"/>
    <n v="8"/>
    <x v="2"/>
    <x v="6"/>
    <x v="1"/>
    <x v="3"/>
    <x v="0"/>
    <n v="0"/>
  </r>
  <r>
    <x v="30"/>
    <x v="1"/>
    <x v="0"/>
    <n v="507"/>
    <x v="1"/>
    <n v="20"/>
    <x v="1"/>
    <x v="0"/>
    <x v="0"/>
    <n v="1533"/>
    <x v="3"/>
    <x v="1"/>
    <n v="97"/>
    <x v="0"/>
    <x v="0"/>
    <x v="2"/>
    <x v="2"/>
    <x v="0"/>
    <x v="1011"/>
    <n v="24812"/>
    <n v="0"/>
    <s v="Y"/>
    <x v="1"/>
    <n v="14"/>
    <x v="0"/>
    <x v="2"/>
    <n v="80"/>
    <n v="0"/>
    <n v="5"/>
    <n v="2"/>
    <x v="1"/>
    <x v="9"/>
    <n v="3"/>
    <x v="1"/>
    <x v="3"/>
    <x v="2"/>
    <x v="2"/>
    <x v="1"/>
    <n v="0"/>
  </r>
  <r>
    <x v="32"/>
    <x v="0"/>
    <x v="0"/>
    <n v="676"/>
    <x v="1"/>
    <n v="9"/>
    <x v="2"/>
    <x v="0"/>
    <x v="0"/>
    <n v="1534"/>
    <x v="2"/>
    <x v="1"/>
    <n v="86"/>
    <x v="0"/>
    <x v="1"/>
    <x v="2"/>
    <x v="3"/>
    <x v="0"/>
    <x v="1012"/>
    <n v="21831"/>
    <n v="3"/>
    <s v="Y"/>
    <x v="1"/>
    <n v="14"/>
    <x v="0"/>
    <x v="2"/>
    <n v="80"/>
    <n v="0"/>
    <n v="15"/>
    <n v="3"/>
    <x v="0"/>
    <x v="8"/>
    <n v="4"/>
    <x v="1"/>
    <x v="2"/>
    <x v="0"/>
    <x v="2"/>
    <x v="1"/>
    <n v="1"/>
  </r>
  <r>
    <x v="13"/>
    <x v="1"/>
    <x v="0"/>
    <n v="971"/>
    <x v="0"/>
    <n v="1"/>
    <x v="3"/>
    <x v="4"/>
    <x v="0"/>
    <n v="1535"/>
    <x v="2"/>
    <x v="1"/>
    <n v="64"/>
    <x v="1"/>
    <x v="2"/>
    <x v="0"/>
    <x v="2"/>
    <x v="1"/>
    <x v="1013"/>
    <n v="12288"/>
    <n v="1"/>
    <s v="Y"/>
    <x v="0"/>
    <n v="14"/>
    <x v="0"/>
    <x v="1"/>
    <n v="80"/>
    <n v="0"/>
    <n v="10"/>
    <n v="3"/>
    <x v="1"/>
    <x v="1"/>
    <n v="9"/>
    <x v="6"/>
    <x v="4"/>
    <x v="1"/>
    <x v="0"/>
    <x v="0"/>
    <n v="0"/>
  </r>
  <r>
    <x v="12"/>
    <x v="0"/>
    <x v="1"/>
    <n v="561"/>
    <x v="1"/>
    <n v="3"/>
    <x v="3"/>
    <x v="0"/>
    <x v="0"/>
    <n v="1537"/>
    <x v="2"/>
    <x v="0"/>
    <n v="33"/>
    <x v="0"/>
    <x v="1"/>
    <x v="1"/>
    <x v="2"/>
    <x v="0"/>
    <x v="1014"/>
    <n v="4156"/>
    <n v="1"/>
    <s v="Y"/>
    <x v="1"/>
    <n v="12"/>
    <x v="0"/>
    <x v="0"/>
    <n v="80"/>
    <n v="0"/>
    <n v="7"/>
    <n v="2"/>
    <x v="0"/>
    <x v="5"/>
    <n v="2"/>
    <x v="4"/>
    <x v="1"/>
    <x v="1"/>
    <x v="0"/>
    <x v="1"/>
    <n v="1"/>
  </r>
  <r>
    <x v="24"/>
    <x v="1"/>
    <x v="1"/>
    <n v="333"/>
    <x v="1"/>
    <n v="22"/>
    <x v="4"/>
    <x v="2"/>
    <x v="0"/>
    <n v="1539"/>
    <x v="1"/>
    <x v="1"/>
    <n v="88"/>
    <x v="3"/>
    <x v="3"/>
    <x v="7"/>
    <x v="0"/>
    <x v="0"/>
    <x v="1015"/>
    <n v="24450"/>
    <n v="1"/>
    <s v="Y"/>
    <x v="0"/>
    <n v="13"/>
    <x v="0"/>
    <x v="1"/>
    <n v="80"/>
    <n v="0"/>
    <n v="32"/>
    <n v="2"/>
    <x v="1"/>
    <x v="32"/>
    <n v="6"/>
    <x v="11"/>
    <x v="12"/>
    <x v="3"/>
    <x v="3"/>
    <x v="3"/>
    <n v="0"/>
  </r>
  <r>
    <x v="13"/>
    <x v="1"/>
    <x v="0"/>
    <n v="1440"/>
    <x v="0"/>
    <n v="7"/>
    <x v="0"/>
    <x v="4"/>
    <x v="0"/>
    <n v="1541"/>
    <x v="0"/>
    <x v="1"/>
    <n v="55"/>
    <x v="0"/>
    <x v="1"/>
    <x v="6"/>
    <x v="2"/>
    <x v="1"/>
    <x v="1016"/>
    <n v="4944"/>
    <n v="0"/>
    <s v="Y"/>
    <x v="0"/>
    <n v="25"/>
    <x v="1"/>
    <x v="2"/>
    <n v="80"/>
    <n v="1"/>
    <n v="12"/>
    <n v="4"/>
    <x v="1"/>
    <x v="19"/>
    <n v="10"/>
    <x v="8"/>
    <x v="1"/>
    <x v="1"/>
    <x v="3"/>
    <x v="1"/>
    <n v="0"/>
  </r>
  <r>
    <x v="19"/>
    <x v="1"/>
    <x v="0"/>
    <n v="1210"/>
    <x v="1"/>
    <n v="2"/>
    <x v="3"/>
    <x v="2"/>
    <x v="0"/>
    <n v="1542"/>
    <x v="1"/>
    <x v="1"/>
    <n v="68"/>
    <x v="1"/>
    <x v="1"/>
    <x v="2"/>
    <x v="1"/>
    <x v="1"/>
    <x v="1017"/>
    <n v="24052"/>
    <n v="4"/>
    <s v="Y"/>
    <x v="1"/>
    <n v="14"/>
    <x v="0"/>
    <x v="2"/>
    <n v="80"/>
    <n v="1"/>
    <n v="4"/>
    <n v="3"/>
    <x v="1"/>
    <x v="6"/>
    <n v="0"/>
    <x v="0"/>
    <x v="2"/>
    <x v="0"/>
    <x v="1"/>
    <x v="1"/>
    <n v="0"/>
  </r>
  <r>
    <x v="2"/>
    <x v="1"/>
    <x v="0"/>
    <n v="674"/>
    <x v="1"/>
    <n v="13"/>
    <x v="3"/>
    <x v="2"/>
    <x v="0"/>
    <n v="1543"/>
    <x v="3"/>
    <x v="1"/>
    <n v="47"/>
    <x v="0"/>
    <x v="0"/>
    <x v="1"/>
    <x v="0"/>
    <x v="1"/>
    <x v="1018"/>
    <n v="3031"/>
    <n v="1"/>
    <s v="Y"/>
    <x v="1"/>
    <n v="17"/>
    <x v="0"/>
    <x v="0"/>
    <n v="80"/>
    <n v="0"/>
    <n v="10"/>
    <n v="2"/>
    <x v="1"/>
    <x v="1"/>
    <n v="8"/>
    <x v="2"/>
    <x v="1"/>
    <x v="1"/>
    <x v="0"/>
    <x v="1"/>
    <n v="0"/>
  </r>
  <r>
    <x v="11"/>
    <x v="1"/>
    <x v="0"/>
    <n v="441"/>
    <x v="1"/>
    <n v="8"/>
    <x v="1"/>
    <x v="1"/>
    <x v="0"/>
    <n v="1544"/>
    <x v="1"/>
    <x v="0"/>
    <n v="39"/>
    <x v="3"/>
    <x v="0"/>
    <x v="4"/>
    <x v="3"/>
    <x v="1"/>
    <x v="1019"/>
    <n v="7288"/>
    <n v="3"/>
    <s v="Y"/>
    <x v="1"/>
    <n v="13"/>
    <x v="0"/>
    <x v="3"/>
    <n v="80"/>
    <n v="1"/>
    <n v="9"/>
    <n v="3"/>
    <x v="1"/>
    <x v="5"/>
    <n v="7"/>
    <x v="0"/>
    <x v="1"/>
    <x v="2"/>
    <x v="0"/>
    <x v="0"/>
    <n v="0"/>
  </r>
  <r>
    <x v="3"/>
    <x v="1"/>
    <x v="0"/>
    <n v="575"/>
    <x v="1"/>
    <n v="25"/>
    <x v="3"/>
    <x v="0"/>
    <x v="0"/>
    <n v="1545"/>
    <x v="2"/>
    <x v="1"/>
    <n v="44"/>
    <x v="1"/>
    <x v="0"/>
    <x v="3"/>
    <x v="1"/>
    <x v="0"/>
    <x v="1020"/>
    <n v="24152"/>
    <n v="1"/>
    <s v="Y"/>
    <x v="1"/>
    <n v="13"/>
    <x v="0"/>
    <x v="1"/>
    <n v="80"/>
    <n v="0"/>
    <n v="5"/>
    <n v="2"/>
    <x v="1"/>
    <x v="8"/>
    <n v="3"/>
    <x v="0"/>
    <x v="3"/>
    <x v="1"/>
    <x v="2"/>
    <x v="1"/>
    <n v="0"/>
  </r>
  <r>
    <x v="28"/>
    <x v="1"/>
    <x v="0"/>
    <n v="950"/>
    <x v="1"/>
    <n v="28"/>
    <x v="3"/>
    <x v="4"/>
    <x v="0"/>
    <n v="1546"/>
    <x v="2"/>
    <x v="1"/>
    <n v="97"/>
    <x v="0"/>
    <x v="1"/>
    <x v="1"/>
    <x v="0"/>
    <x v="1"/>
    <x v="685"/>
    <n v="4585"/>
    <n v="4"/>
    <s v="Y"/>
    <x v="1"/>
    <n v="20"/>
    <x v="1"/>
    <x v="1"/>
    <n v="80"/>
    <n v="1"/>
    <n v="8"/>
    <n v="3"/>
    <x v="1"/>
    <x v="8"/>
    <n v="4"/>
    <x v="0"/>
    <x v="6"/>
    <x v="0"/>
    <x v="2"/>
    <x v="1"/>
    <n v="0"/>
  </r>
  <r>
    <x v="19"/>
    <x v="1"/>
    <x v="1"/>
    <n v="288"/>
    <x v="1"/>
    <n v="2"/>
    <x v="3"/>
    <x v="0"/>
    <x v="0"/>
    <n v="1547"/>
    <x v="2"/>
    <x v="1"/>
    <n v="40"/>
    <x v="0"/>
    <x v="2"/>
    <x v="4"/>
    <x v="0"/>
    <x v="1"/>
    <x v="1021"/>
    <n v="18611"/>
    <n v="2"/>
    <s v="Y"/>
    <x v="0"/>
    <n v="14"/>
    <x v="0"/>
    <x v="3"/>
    <n v="80"/>
    <n v="1"/>
    <n v="24"/>
    <n v="3"/>
    <x v="0"/>
    <x v="23"/>
    <n v="8"/>
    <x v="11"/>
    <x v="12"/>
    <x v="0"/>
    <x v="3"/>
    <x v="3"/>
    <n v="0"/>
  </r>
  <r>
    <x v="32"/>
    <x v="1"/>
    <x v="0"/>
    <n v="1342"/>
    <x v="0"/>
    <n v="9"/>
    <x v="0"/>
    <x v="2"/>
    <x v="0"/>
    <n v="1548"/>
    <x v="3"/>
    <x v="1"/>
    <n v="47"/>
    <x v="0"/>
    <x v="0"/>
    <x v="0"/>
    <x v="3"/>
    <x v="1"/>
    <x v="67"/>
    <n v="19345"/>
    <n v="0"/>
    <s v="Y"/>
    <x v="1"/>
    <n v="12"/>
    <x v="0"/>
    <x v="1"/>
    <n v="80"/>
    <n v="0"/>
    <n v="9"/>
    <n v="5"/>
    <x v="3"/>
    <x v="3"/>
    <n v="4"/>
    <x v="4"/>
    <x v="9"/>
    <x v="0"/>
    <x v="0"/>
    <x v="0"/>
    <n v="0"/>
  </r>
  <r>
    <x v="3"/>
    <x v="1"/>
    <x v="0"/>
    <n v="589"/>
    <x v="1"/>
    <n v="28"/>
    <x v="2"/>
    <x v="0"/>
    <x v="0"/>
    <n v="1549"/>
    <x v="0"/>
    <x v="1"/>
    <n v="79"/>
    <x v="0"/>
    <x v="0"/>
    <x v="2"/>
    <x v="2"/>
    <x v="1"/>
    <x v="1022"/>
    <n v="22949"/>
    <n v="1"/>
    <s v="Y"/>
    <x v="0"/>
    <n v="12"/>
    <x v="0"/>
    <x v="2"/>
    <n v="80"/>
    <n v="1"/>
    <n v="15"/>
    <n v="3"/>
    <x v="1"/>
    <x v="15"/>
    <n v="14"/>
    <x v="8"/>
    <x v="1"/>
    <x v="1"/>
    <x v="3"/>
    <x v="0"/>
    <n v="0"/>
  </r>
  <r>
    <x v="32"/>
    <x v="1"/>
    <x v="0"/>
    <n v="898"/>
    <x v="2"/>
    <n v="6"/>
    <x v="0"/>
    <x v="2"/>
    <x v="0"/>
    <n v="1550"/>
    <x v="1"/>
    <x v="1"/>
    <n v="38"/>
    <x v="0"/>
    <x v="3"/>
    <x v="5"/>
    <x v="0"/>
    <x v="0"/>
    <x v="1023"/>
    <n v="17381"/>
    <n v="1"/>
    <s v="Y"/>
    <x v="0"/>
    <n v="21"/>
    <x v="1"/>
    <x v="1"/>
    <n v="80"/>
    <n v="0"/>
    <n v="21"/>
    <n v="2"/>
    <x v="1"/>
    <x v="17"/>
    <n v="7"/>
    <x v="4"/>
    <x v="1"/>
    <x v="0"/>
    <x v="3"/>
    <x v="2"/>
    <n v="0"/>
  </r>
  <r>
    <x v="17"/>
    <x v="1"/>
    <x v="0"/>
    <n v="350"/>
    <x v="1"/>
    <n v="21"/>
    <x v="0"/>
    <x v="4"/>
    <x v="0"/>
    <n v="1551"/>
    <x v="1"/>
    <x v="1"/>
    <n v="57"/>
    <x v="1"/>
    <x v="1"/>
    <x v="2"/>
    <x v="3"/>
    <x v="2"/>
    <x v="1024"/>
    <n v="10036"/>
    <n v="0"/>
    <s v="Y"/>
    <x v="1"/>
    <n v="14"/>
    <x v="0"/>
    <x v="2"/>
    <n v="80"/>
    <n v="3"/>
    <n v="2"/>
    <n v="3"/>
    <x v="1"/>
    <x v="6"/>
    <n v="1"/>
    <x v="0"/>
    <x v="2"/>
    <x v="2"/>
    <x v="1"/>
    <x v="1"/>
    <n v="0"/>
  </r>
  <r>
    <x v="32"/>
    <x v="1"/>
    <x v="2"/>
    <n v="1142"/>
    <x v="1"/>
    <n v="8"/>
    <x v="0"/>
    <x v="0"/>
    <x v="0"/>
    <n v="1552"/>
    <x v="2"/>
    <x v="1"/>
    <n v="72"/>
    <x v="0"/>
    <x v="0"/>
    <x v="4"/>
    <x v="0"/>
    <x v="2"/>
    <x v="1025"/>
    <n v="8841"/>
    <n v="3"/>
    <s v="Y"/>
    <x v="0"/>
    <n v="18"/>
    <x v="0"/>
    <x v="3"/>
    <n v="80"/>
    <n v="0"/>
    <n v="8"/>
    <n v="2"/>
    <x v="1"/>
    <x v="4"/>
    <n v="2"/>
    <x v="3"/>
    <x v="3"/>
    <x v="0"/>
    <x v="1"/>
    <x v="1"/>
    <n v="0"/>
  </r>
  <r>
    <x v="28"/>
    <x v="1"/>
    <x v="0"/>
    <n v="538"/>
    <x v="1"/>
    <n v="1"/>
    <x v="2"/>
    <x v="4"/>
    <x v="0"/>
    <n v="1553"/>
    <x v="3"/>
    <x v="1"/>
    <n v="66"/>
    <x v="0"/>
    <x v="2"/>
    <x v="4"/>
    <x v="1"/>
    <x v="2"/>
    <x v="1026"/>
    <n v="20933"/>
    <n v="1"/>
    <s v="Y"/>
    <x v="1"/>
    <n v="12"/>
    <x v="0"/>
    <x v="0"/>
    <n v="80"/>
    <n v="3"/>
    <n v="10"/>
    <n v="4"/>
    <x v="1"/>
    <x v="1"/>
    <n v="8"/>
    <x v="4"/>
    <x v="1"/>
    <x v="0"/>
    <x v="0"/>
    <x v="0"/>
    <n v="0"/>
  </r>
  <r>
    <x v="10"/>
    <x v="1"/>
    <x v="0"/>
    <n v="1402"/>
    <x v="0"/>
    <n v="28"/>
    <x v="2"/>
    <x v="0"/>
    <x v="0"/>
    <n v="1554"/>
    <x v="0"/>
    <x v="0"/>
    <n v="98"/>
    <x v="1"/>
    <x v="1"/>
    <x v="6"/>
    <x v="2"/>
    <x v="1"/>
    <x v="1027"/>
    <n v="26204"/>
    <n v="0"/>
    <s v="Y"/>
    <x v="1"/>
    <n v="23"/>
    <x v="1"/>
    <x v="0"/>
    <n v="80"/>
    <n v="2"/>
    <n v="6"/>
    <n v="5"/>
    <x v="1"/>
    <x v="8"/>
    <n v="3"/>
    <x v="5"/>
    <x v="3"/>
    <x v="1"/>
    <x v="2"/>
    <x v="1"/>
    <n v="0"/>
  </r>
  <r>
    <x v="5"/>
    <x v="1"/>
    <x v="0"/>
    <n v="824"/>
    <x v="1"/>
    <n v="5"/>
    <x v="0"/>
    <x v="0"/>
    <x v="0"/>
    <n v="1555"/>
    <x v="2"/>
    <x v="0"/>
    <n v="67"/>
    <x v="1"/>
    <x v="0"/>
    <x v="1"/>
    <x v="1"/>
    <x v="1"/>
    <x v="1028"/>
    <n v="15624"/>
    <n v="3"/>
    <s v="Y"/>
    <x v="1"/>
    <n v="12"/>
    <x v="0"/>
    <x v="0"/>
    <n v="80"/>
    <n v="1"/>
    <n v="12"/>
    <n v="2"/>
    <x v="1"/>
    <x v="5"/>
    <n v="1"/>
    <x v="3"/>
    <x v="0"/>
    <x v="1"/>
    <x v="0"/>
    <x v="0"/>
    <n v="0"/>
  </r>
  <r>
    <x v="9"/>
    <x v="1"/>
    <x v="0"/>
    <n v="1157"/>
    <x v="0"/>
    <n v="2"/>
    <x v="2"/>
    <x v="0"/>
    <x v="0"/>
    <n v="1556"/>
    <x v="1"/>
    <x v="1"/>
    <n v="70"/>
    <x v="0"/>
    <x v="1"/>
    <x v="6"/>
    <x v="0"/>
    <x v="0"/>
    <x v="1029"/>
    <n v="17001"/>
    <n v="3"/>
    <s v="Y"/>
    <x v="0"/>
    <n v="21"/>
    <x v="1"/>
    <x v="1"/>
    <n v="80"/>
    <n v="0"/>
    <n v="7"/>
    <n v="3"/>
    <x v="2"/>
    <x v="11"/>
    <n v="2"/>
    <x v="1"/>
    <x v="3"/>
    <x v="1"/>
    <x v="2"/>
    <x v="1"/>
    <n v="0"/>
  </r>
  <r>
    <x v="26"/>
    <x v="1"/>
    <x v="0"/>
    <n v="492"/>
    <x v="0"/>
    <n v="16"/>
    <x v="2"/>
    <x v="0"/>
    <x v="0"/>
    <n v="1557"/>
    <x v="1"/>
    <x v="0"/>
    <n v="96"/>
    <x v="0"/>
    <x v="0"/>
    <x v="0"/>
    <x v="2"/>
    <x v="2"/>
    <x v="1030"/>
    <n v="13693"/>
    <n v="8"/>
    <s v="Y"/>
    <x v="1"/>
    <n v="14"/>
    <x v="0"/>
    <x v="3"/>
    <n v="80"/>
    <n v="1"/>
    <n v="18"/>
    <n v="2"/>
    <x v="1"/>
    <x v="3"/>
    <n v="7"/>
    <x v="4"/>
    <x v="1"/>
    <x v="0"/>
    <x v="0"/>
    <x v="0"/>
    <n v="0"/>
  </r>
  <r>
    <x v="11"/>
    <x v="1"/>
    <x v="0"/>
    <n v="598"/>
    <x v="1"/>
    <n v="9"/>
    <x v="3"/>
    <x v="0"/>
    <x v="0"/>
    <n v="1558"/>
    <x v="1"/>
    <x v="1"/>
    <n v="91"/>
    <x v="2"/>
    <x v="1"/>
    <x v="1"/>
    <x v="2"/>
    <x v="1"/>
    <x v="163"/>
    <n v="22376"/>
    <n v="6"/>
    <s v="Y"/>
    <x v="1"/>
    <n v="18"/>
    <x v="0"/>
    <x v="0"/>
    <n v="80"/>
    <n v="2"/>
    <n v="5"/>
    <n v="2"/>
    <x v="2"/>
    <x v="6"/>
    <n v="0"/>
    <x v="0"/>
    <x v="2"/>
    <x v="2"/>
    <x v="1"/>
    <x v="1"/>
    <n v="0"/>
  </r>
  <r>
    <x v="3"/>
    <x v="1"/>
    <x v="0"/>
    <n v="1242"/>
    <x v="0"/>
    <n v="8"/>
    <x v="2"/>
    <x v="0"/>
    <x v="0"/>
    <n v="1560"/>
    <x v="3"/>
    <x v="1"/>
    <n v="46"/>
    <x v="0"/>
    <x v="0"/>
    <x v="0"/>
    <x v="3"/>
    <x v="1"/>
    <x v="1031"/>
    <n v="10589"/>
    <n v="2"/>
    <s v="Y"/>
    <x v="1"/>
    <n v="13"/>
    <x v="0"/>
    <x v="1"/>
    <n v="80"/>
    <n v="1"/>
    <n v="8"/>
    <n v="6"/>
    <x v="0"/>
    <x v="4"/>
    <n v="2"/>
    <x v="3"/>
    <x v="3"/>
    <x v="1"/>
    <x v="1"/>
    <x v="0"/>
    <n v="0"/>
  </r>
  <r>
    <x v="7"/>
    <x v="0"/>
    <x v="0"/>
    <n v="740"/>
    <x v="0"/>
    <n v="1"/>
    <x v="3"/>
    <x v="0"/>
    <x v="0"/>
    <n v="1562"/>
    <x v="0"/>
    <x v="1"/>
    <n v="64"/>
    <x v="1"/>
    <x v="0"/>
    <x v="0"/>
    <x v="3"/>
    <x v="1"/>
    <x v="1032"/>
    <n v="5323"/>
    <n v="1"/>
    <s v="Y"/>
    <x v="1"/>
    <n v="11"/>
    <x v="0"/>
    <x v="1"/>
    <n v="80"/>
    <n v="1"/>
    <n v="10"/>
    <n v="4"/>
    <x v="1"/>
    <x v="1"/>
    <n v="8"/>
    <x v="7"/>
    <x v="1"/>
    <x v="1"/>
    <x v="0"/>
    <x v="0"/>
    <n v="1"/>
  </r>
  <r>
    <x v="8"/>
    <x v="1"/>
    <x v="1"/>
    <n v="888"/>
    <x v="2"/>
    <n v="10"/>
    <x v="2"/>
    <x v="5"/>
    <x v="0"/>
    <n v="1563"/>
    <x v="1"/>
    <x v="1"/>
    <n v="71"/>
    <x v="0"/>
    <x v="0"/>
    <x v="8"/>
    <x v="2"/>
    <x v="1"/>
    <x v="1033"/>
    <n v="14814"/>
    <n v="3"/>
    <s v="Y"/>
    <x v="1"/>
    <n v="11"/>
    <x v="0"/>
    <x v="3"/>
    <n v="80"/>
    <n v="0"/>
    <n v="10"/>
    <n v="2"/>
    <x v="1"/>
    <x v="0"/>
    <n v="3"/>
    <x v="1"/>
    <x v="3"/>
    <x v="1"/>
    <x v="0"/>
    <x v="0"/>
    <n v="0"/>
  </r>
  <r>
    <x v="10"/>
    <x v="1"/>
    <x v="0"/>
    <n v="992"/>
    <x v="1"/>
    <n v="1"/>
    <x v="3"/>
    <x v="2"/>
    <x v="0"/>
    <n v="1564"/>
    <x v="2"/>
    <x v="1"/>
    <n v="68"/>
    <x v="1"/>
    <x v="1"/>
    <x v="2"/>
    <x v="3"/>
    <x v="0"/>
    <x v="533"/>
    <n v="21731"/>
    <n v="1"/>
    <s v="Y"/>
    <x v="1"/>
    <n v="19"/>
    <x v="0"/>
    <x v="2"/>
    <n v="80"/>
    <n v="0"/>
    <n v="3"/>
    <n v="3"/>
    <x v="1"/>
    <x v="11"/>
    <n v="0"/>
    <x v="1"/>
    <x v="3"/>
    <x v="1"/>
    <x v="2"/>
    <x v="1"/>
    <n v="0"/>
  </r>
  <r>
    <x v="7"/>
    <x v="1"/>
    <x v="0"/>
    <n v="1288"/>
    <x v="0"/>
    <n v="29"/>
    <x v="2"/>
    <x v="4"/>
    <x v="0"/>
    <n v="1568"/>
    <x v="1"/>
    <x v="1"/>
    <n v="33"/>
    <x v="0"/>
    <x v="2"/>
    <x v="0"/>
    <x v="1"/>
    <x v="1"/>
    <x v="1034"/>
    <n v="17799"/>
    <n v="3"/>
    <s v="Y"/>
    <x v="1"/>
    <n v="12"/>
    <x v="0"/>
    <x v="2"/>
    <n v="80"/>
    <n v="1"/>
    <n v="9"/>
    <n v="3"/>
    <x v="1"/>
    <x v="9"/>
    <n v="2"/>
    <x v="1"/>
    <x v="6"/>
    <x v="1"/>
    <x v="2"/>
    <x v="0"/>
    <n v="0"/>
  </r>
  <r>
    <x v="10"/>
    <x v="0"/>
    <x v="0"/>
    <n v="104"/>
    <x v="1"/>
    <n v="2"/>
    <x v="3"/>
    <x v="0"/>
    <x v="0"/>
    <n v="1569"/>
    <x v="3"/>
    <x v="0"/>
    <n v="69"/>
    <x v="0"/>
    <x v="1"/>
    <x v="2"/>
    <x v="3"/>
    <x v="2"/>
    <x v="1035"/>
    <n v="26619"/>
    <n v="1"/>
    <s v="Y"/>
    <x v="0"/>
    <n v="12"/>
    <x v="0"/>
    <x v="1"/>
    <n v="80"/>
    <n v="1"/>
    <n v="1"/>
    <n v="2"/>
    <x v="1"/>
    <x v="6"/>
    <n v="0"/>
    <x v="0"/>
    <x v="2"/>
    <x v="1"/>
    <x v="1"/>
    <x v="1"/>
    <n v="1"/>
  </r>
  <r>
    <x v="16"/>
    <x v="0"/>
    <x v="0"/>
    <n v="607"/>
    <x v="1"/>
    <n v="2"/>
    <x v="4"/>
    <x v="4"/>
    <x v="0"/>
    <n v="1572"/>
    <x v="1"/>
    <x v="0"/>
    <n v="78"/>
    <x v="1"/>
    <x v="2"/>
    <x v="3"/>
    <x v="0"/>
    <x v="1"/>
    <x v="1036"/>
    <n v="14618"/>
    <n v="0"/>
    <s v="Y"/>
    <x v="1"/>
    <n v="16"/>
    <x v="0"/>
    <x v="2"/>
    <n v="80"/>
    <n v="1"/>
    <n v="34"/>
    <n v="4"/>
    <x v="1"/>
    <x v="26"/>
    <n v="7"/>
    <x v="1"/>
    <x v="12"/>
    <x v="3"/>
    <x v="3"/>
    <x v="3"/>
    <n v="1"/>
  </r>
  <r>
    <x v="8"/>
    <x v="0"/>
    <x v="0"/>
    <n v="903"/>
    <x v="1"/>
    <n v="2"/>
    <x v="3"/>
    <x v="2"/>
    <x v="0"/>
    <n v="1573"/>
    <x v="1"/>
    <x v="1"/>
    <n v="81"/>
    <x v="0"/>
    <x v="0"/>
    <x v="3"/>
    <x v="1"/>
    <x v="1"/>
    <x v="1037"/>
    <n v="7653"/>
    <n v="4"/>
    <s v="Y"/>
    <x v="1"/>
    <n v="11"/>
    <x v="0"/>
    <x v="0"/>
    <n v="80"/>
    <n v="2"/>
    <n v="7"/>
    <n v="2"/>
    <x v="1"/>
    <x v="8"/>
    <n v="2"/>
    <x v="1"/>
    <x v="10"/>
    <x v="1"/>
    <x v="2"/>
    <x v="1"/>
    <n v="1"/>
  </r>
  <r>
    <x v="5"/>
    <x v="1"/>
    <x v="2"/>
    <n v="1200"/>
    <x v="1"/>
    <n v="1"/>
    <x v="2"/>
    <x v="4"/>
    <x v="0"/>
    <n v="1574"/>
    <x v="2"/>
    <x v="1"/>
    <n v="62"/>
    <x v="0"/>
    <x v="0"/>
    <x v="1"/>
    <x v="3"/>
    <x v="1"/>
    <x v="1038"/>
    <n v="25174"/>
    <n v="4"/>
    <s v="Y"/>
    <x v="1"/>
    <n v="14"/>
    <x v="0"/>
    <x v="2"/>
    <n v="80"/>
    <n v="1"/>
    <n v="9"/>
    <n v="3"/>
    <x v="2"/>
    <x v="0"/>
    <n v="5"/>
    <x v="1"/>
    <x v="3"/>
    <x v="1"/>
    <x v="0"/>
    <x v="1"/>
    <n v="0"/>
  </r>
  <r>
    <x v="26"/>
    <x v="1"/>
    <x v="0"/>
    <n v="1108"/>
    <x v="1"/>
    <n v="15"/>
    <x v="2"/>
    <x v="1"/>
    <x v="0"/>
    <n v="1576"/>
    <x v="1"/>
    <x v="0"/>
    <n v="65"/>
    <x v="0"/>
    <x v="1"/>
    <x v="1"/>
    <x v="3"/>
    <x v="1"/>
    <x v="1039"/>
    <n v="16530"/>
    <n v="8"/>
    <s v="Y"/>
    <x v="1"/>
    <n v="12"/>
    <x v="0"/>
    <x v="1"/>
    <n v="80"/>
    <n v="1"/>
    <n v="10"/>
    <n v="3"/>
    <x v="2"/>
    <x v="3"/>
    <n v="2"/>
    <x v="4"/>
    <x v="4"/>
    <x v="0"/>
    <x v="0"/>
    <x v="1"/>
    <n v="0"/>
  </r>
  <r>
    <x v="13"/>
    <x v="1"/>
    <x v="0"/>
    <n v="479"/>
    <x v="1"/>
    <n v="7"/>
    <x v="2"/>
    <x v="2"/>
    <x v="0"/>
    <n v="1577"/>
    <x v="3"/>
    <x v="1"/>
    <n v="35"/>
    <x v="0"/>
    <x v="1"/>
    <x v="1"/>
    <x v="0"/>
    <x v="0"/>
    <x v="1040"/>
    <n v="22061"/>
    <n v="1"/>
    <s v="Y"/>
    <x v="1"/>
    <n v="13"/>
    <x v="0"/>
    <x v="3"/>
    <n v="80"/>
    <n v="0"/>
    <n v="1"/>
    <n v="4"/>
    <x v="0"/>
    <x v="6"/>
    <n v="0"/>
    <x v="0"/>
    <x v="2"/>
    <x v="1"/>
    <x v="1"/>
    <x v="1"/>
    <n v="0"/>
  </r>
  <r>
    <x v="27"/>
    <x v="1"/>
    <x v="0"/>
    <n v="685"/>
    <x v="0"/>
    <n v="26"/>
    <x v="4"/>
    <x v="3"/>
    <x v="0"/>
    <n v="1578"/>
    <x v="1"/>
    <x v="1"/>
    <n v="60"/>
    <x v="1"/>
    <x v="4"/>
    <x v="5"/>
    <x v="0"/>
    <x v="1"/>
    <x v="1041"/>
    <n v="23037"/>
    <n v="1"/>
    <s v="Y"/>
    <x v="1"/>
    <n v="21"/>
    <x v="1"/>
    <x v="3"/>
    <n v="80"/>
    <n v="1"/>
    <n v="36"/>
    <n v="3"/>
    <x v="1"/>
    <x v="28"/>
    <n v="6"/>
    <x v="3"/>
    <x v="15"/>
    <x v="3"/>
    <x v="3"/>
    <x v="2"/>
    <n v="0"/>
  </r>
  <r>
    <x v="13"/>
    <x v="1"/>
    <x v="0"/>
    <n v="1351"/>
    <x v="1"/>
    <n v="1"/>
    <x v="2"/>
    <x v="0"/>
    <x v="0"/>
    <n v="1580"/>
    <x v="0"/>
    <x v="1"/>
    <n v="45"/>
    <x v="0"/>
    <x v="0"/>
    <x v="1"/>
    <x v="0"/>
    <x v="1"/>
    <x v="299"/>
    <n v="13008"/>
    <n v="9"/>
    <s v="Y"/>
    <x v="1"/>
    <n v="17"/>
    <x v="0"/>
    <x v="2"/>
    <n v="80"/>
    <n v="1"/>
    <n v="9"/>
    <n v="3"/>
    <x v="2"/>
    <x v="4"/>
    <n v="2"/>
    <x v="3"/>
    <x v="9"/>
    <x v="1"/>
    <x v="1"/>
    <x v="0"/>
    <n v="0"/>
  </r>
  <r>
    <x v="25"/>
    <x v="1"/>
    <x v="0"/>
    <n v="474"/>
    <x v="1"/>
    <n v="3"/>
    <x v="3"/>
    <x v="0"/>
    <x v="0"/>
    <n v="1581"/>
    <x v="3"/>
    <x v="0"/>
    <n v="89"/>
    <x v="0"/>
    <x v="1"/>
    <x v="1"/>
    <x v="0"/>
    <x v="1"/>
    <x v="1042"/>
    <n v="11133"/>
    <n v="1"/>
    <s v="Y"/>
    <x v="1"/>
    <n v="21"/>
    <x v="1"/>
    <x v="0"/>
    <n v="80"/>
    <n v="0"/>
    <n v="1"/>
    <n v="5"/>
    <x v="1"/>
    <x v="6"/>
    <n v="0"/>
    <x v="0"/>
    <x v="2"/>
    <x v="2"/>
    <x v="1"/>
    <x v="1"/>
    <n v="0"/>
  </r>
  <r>
    <x v="8"/>
    <x v="1"/>
    <x v="0"/>
    <n v="1245"/>
    <x v="0"/>
    <n v="14"/>
    <x v="3"/>
    <x v="0"/>
    <x v="0"/>
    <n v="1582"/>
    <x v="1"/>
    <x v="1"/>
    <n v="80"/>
    <x v="0"/>
    <x v="0"/>
    <x v="0"/>
    <x v="1"/>
    <x v="1"/>
    <x v="1043"/>
    <n v="12355"/>
    <n v="0"/>
    <s v="Y"/>
    <x v="1"/>
    <n v="11"/>
    <x v="0"/>
    <x v="1"/>
    <n v="80"/>
    <n v="1"/>
    <n v="10"/>
    <n v="3"/>
    <x v="1"/>
    <x v="7"/>
    <n v="8"/>
    <x v="4"/>
    <x v="1"/>
    <x v="1"/>
    <x v="0"/>
    <x v="0"/>
    <n v="0"/>
  </r>
  <r>
    <x v="8"/>
    <x v="1"/>
    <x v="0"/>
    <n v="437"/>
    <x v="0"/>
    <n v="16"/>
    <x v="3"/>
    <x v="0"/>
    <x v="0"/>
    <n v="1583"/>
    <x v="0"/>
    <x v="0"/>
    <n v="90"/>
    <x v="0"/>
    <x v="0"/>
    <x v="0"/>
    <x v="1"/>
    <x v="0"/>
    <x v="1044"/>
    <n v="16379"/>
    <n v="2"/>
    <s v="Y"/>
    <x v="1"/>
    <n v="12"/>
    <x v="0"/>
    <x v="2"/>
    <n v="80"/>
    <n v="0"/>
    <n v="8"/>
    <n v="5"/>
    <x v="3"/>
    <x v="11"/>
    <n v="2"/>
    <x v="1"/>
    <x v="3"/>
    <x v="1"/>
    <x v="2"/>
    <x v="1"/>
    <n v="0"/>
  </r>
  <r>
    <x v="9"/>
    <x v="1"/>
    <x v="0"/>
    <n v="884"/>
    <x v="0"/>
    <n v="1"/>
    <x v="2"/>
    <x v="0"/>
    <x v="0"/>
    <n v="1585"/>
    <x v="0"/>
    <x v="0"/>
    <n v="73"/>
    <x v="0"/>
    <x v="0"/>
    <x v="0"/>
    <x v="2"/>
    <x v="0"/>
    <x v="1045"/>
    <n v="21447"/>
    <n v="6"/>
    <s v="Y"/>
    <x v="1"/>
    <n v="13"/>
    <x v="0"/>
    <x v="0"/>
    <n v="80"/>
    <n v="0"/>
    <n v="15"/>
    <n v="5"/>
    <x v="1"/>
    <x v="6"/>
    <n v="0"/>
    <x v="0"/>
    <x v="2"/>
    <x v="1"/>
    <x v="1"/>
    <x v="0"/>
    <n v="0"/>
  </r>
  <r>
    <x v="11"/>
    <x v="1"/>
    <x v="0"/>
    <n v="1370"/>
    <x v="1"/>
    <n v="3"/>
    <x v="1"/>
    <x v="2"/>
    <x v="0"/>
    <n v="1586"/>
    <x v="0"/>
    <x v="1"/>
    <n v="87"/>
    <x v="0"/>
    <x v="1"/>
    <x v="2"/>
    <x v="3"/>
    <x v="0"/>
    <x v="1046"/>
    <n v="16213"/>
    <n v="1"/>
    <s v="Y"/>
    <x v="0"/>
    <n v="18"/>
    <x v="0"/>
    <x v="1"/>
    <n v="80"/>
    <n v="0"/>
    <n v="10"/>
    <n v="3"/>
    <x v="1"/>
    <x v="1"/>
    <n v="9"/>
    <x v="1"/>
    <x v="0"/>
    <x v="2"/>
    <x v="0"/>
    <x v="1"/>
    <n v="0"/>
  </r>
  <r>
    <x v="10"/>
    <x v="1"/>
    <x v="0"/>
    <n v="670"/>
    <x v="1"/>
    <n v="10"/>
    <x v="2"/>
    <x v="2"/>
    <x v="0"/>
    <n v="1587"/>
    <x v="3"/>
    <x v="0"/>
    <n v="51"/>
    <x v="0"/>
    <x v="0"/>
    <x v="4"/>
    <x v="2"/>
    <x v="0"/>
    <x v="528"/>
    <n v="4223"/>
    <n v="3"/>
    <s v="Y"/>
    <x v="0"/>
    <n v="16"/>
    <x v="0"/>
    <x v="3"/>
    <n v="80"/>
    <n v="0"/>
    <n v="10"/>
    <n v="4"/>
    <x v="1"/>
    <x v="8"/>
    <n v="2"/>
    <x v="0"/>
    <x v="10"/>
    <x v="1"/>
    <x v="2"/>
    <x v="0"/>
    <n v="0"/>
  </r>
  <r>
    <x v="22"/>
    <x v="1"/>
    <x v="0"/>
    <n v="1462"/>
    <x v="0"/>
    <n v="6"/>
    <x v="3"/>
    <x v="2"/>
    <x v="0"/>
    <n v="1588"/>
    <x v="2"/>
    <x v="1"/>
    <n v="38"/>
    <x v="2"/>
    <x v="2"/>
    <x v="0"/>
    <x v="2"/>
    <x v="1"/>
    <x v="1047"/>
    <n v="4658"/>
    <n v="2"/>
    <s v="Y"/>
    <x v="1"/>
    <n v="11"/>
    <x v="0"/>
    <x v="0"/>
    <n v="80"/>
    <n v="1"/>
    <n v="11"/>
    <n v="3"/>
    <x v="1"/>
    <x v="5"/>
    <n v="6"/>
    <x v="4"/>
    <x v="4"/>
    <x v="1"/>
    <x v="0"/>
    <x v="0"/>
    <n v="0"/>
  </r>
  <r>
    <x v="11"/>
    <x v="1"/>
    <x v="1"/>
    <n v="995"/>
    <x v="1"/>
    <n v="2"/>
    <x v="1"/>
    <x v="0"/>
    <x v="0"/>
    <n v="1590"/>
    <x v="3"/>
    <x v="1"/>
    <n v="87"/>
    <x v="0"/>
    <x v="0"/>
    <x v="4"/>
    <x v="0"/>
    <x v="2"/>
    <x v="1048"/>
    <n v="24483"/>
    <n v="1"/>
    <s v="Y"/>
    <x v="1"/>
    <n v="19"/>
    <x v="0"/>
    <x v="1"/>
    <n v="80"/>
    <n v="1"/>
    <n v="6"/>
    <n v="0"/>
    <x v="3"/>
    <x v="0"/>
    <n v="4"/>
    <x v="1"/>
    <x v="6"/>
    <x v="2"/>
    <x v="0"/>
    <x v="0"/>
    <n v="0"/>
  </r>
  <r>
    <x v="24"/>
    <x v="1"/>
    <x v="0"/>
    <n v="264"/>
    <x v="0"/>
    <n v="9"/>
    <x v="3"/>
    <x v="3"/>
    <x v="0"/>
    <n v="1591"/>
    <x v="1"/>
    <x v="1"/>
    <n v="59"/>
    <x v="0"/>
    <x v="4"/>
    <x v="5"/>
    <x v="2"/>
    <x v="1"/>
    <x v="1049"/>
    <n v="19519"/>
    <n v="4"/>
    <s v="Y"/>
    <x v="0"/>
    <n v="16"/>
    <x v="0"/>
    <x v="3"/>
    <n v="80"/>
    <n v="1"/>
    <n v="27"/>
    <n v="2"/>
    <x v="1"/>
    <x v="6"/>
    <n v="0"/>
    <x v="0"/>
    <x v="2"/>
    <x v="3"/>
    <x v="1"/>
    <x v="2"/>
    <n v="0"/>
  </r>
  <r>
    <x v="30"/>
    <x v="1"/>
    <x v="0"/>
    <n v="977"/>
    <x v="1"/>
    <n v="10"/>
    <x v="3"/>
    <x v="4"/>
    <x v="0"/>
    <n v="1592"/>
    <x v="2"/>
    <x v="1"/>
    <n v="45"/>
    <x v="2"/>
    <x v="1"/>
    <x v="1"/>
    <x v="2"/>
    <x v="1"/>
    <x v="97"/>
    <n v="12826"/>
    <n v="2"/>
    <s v="Y"/>
    <x v="1"/>
    <n v="16"/>
    <x v="0"/>
    <x v="1"/>
    <n v="80"/>
    <n v="1"/>
    <n v="4"/>
    <n v="2"/>
    <x v="1"/>
    <x v="4"/>
    <n v="2"/>
    <x v="3"/>
    <x v="3"/>
    <x v="2"/>
    <x v="1"/>
    <x v="1"/>
    <n v="0"/>
  </r>
  <r>
    <x v="9"/>
    <x v="1"/>
    <x v="1"/>
    <n v="1302"/>
    <x v="1"/>
    <n v="6"/>
    <x v="2"/>
    <x v="0"/>
    <x v="0"/>
    <n v="1594"/>
    <x v="3"/>
    <x v="1"/>
    <n v="80"/>
    <x v="2"/>
    <x v="0"/>
    <x v="2"/>
    <x v="3"/>
    <x v="1"/>
    <x v="622"/>
    <n v="19711"/>
    <n v="3"/>
    <s v="Y"/>
    <x v="0"/>
    <n v="13"/>
    <x v="0"/>
    <x v="1"/>
    <n v="80"/>
    <n v="1"/>
    <n v="9"/>
    <n v="3"/>
    <x v="1"/>
    <x v="11"/>
    <n v="2"/>
    <x v="0"/>
    <x v="3"/>
    <x v="1"/>
    <x v="2"/>
    <x v="0"/>
    <n v="0"/>
  </r>
  <r>
    <x v="19"/>
    <x v="1"/>
    <x v="0"/>
    <n v="1059"/>
    <x v="1"/>
    <n v="9"/>
    <x v="0"/>
    <x v="1"/>
    <x v="0"/>
    <n v="1595"/>
    <x v="2"/>
    <x v="1"/>
    <n v="93"/>
    <x v="1"/>
    <x v="4"/>
    <x v="5"/>
    <x v="0"/>
    <x v="0"/>
    <x v="1050"/>
    <n v="26362"/>
    <n v="8"/>
    <s v="Y"/>
    <x v="1"/>
    <n v="22"/>
    <x v="1"/>
    <x v="1"/>
    <n v="80"/>
    <n v="0"/>
    <n v="24"/>
    <n v="2"/>
    <x v="1"/>
    <x v="6"/>
    <n v="0"/>
    <x v="0"/>
    <x v="9"/>
    <x v="0"/>
    <x v="1"/>
    <x v="2"/>
    <n v="0"/>
  </r>
  <r>
    <x v="10"/>
    <x v="1"/>
    <x v="0"/>
    <n v="750"/>
    <x v="1"/>
    <n v="28"/>
    <x v="3"/>
    <x v="0"/>
    <x v="0"/>
    <n v="1596"/>
    <x v="0"/>
    <x v="1"/>
    <n v="46"/>
    <x v="2"/>
    <x v="0"/>
    <x v="2"/>
    <x v="2"/>
    <x v="1"/>
    <x v="21"/>
    <n v="25348"/>
    <n v="1"/>
    <s v="Y"/>
    <x v="1"/>
    <n v="17"/>
    <x v="0"/>
    <x v="1"/>
    <n v="80"/>
    <n v="2"/>
    <n v="10"/>
    <n v="3"/>
    <x v="2"/>
    <x v="1"/>
    <n v="9"/>
    <x v="7"/>
    <x v="5"/>
    <x v="1"/>
    <x v="0"/>
    <x v="1"/>
    <n v="0"/>
  </r>
  <r>
    <x v="13"/>
    <x v="1"/>
    <x v="1"/>
    <n v="653"/>
    <x v="1"/>
    <n v="10"/>
    <x v="2"/>
    <x v="4"/>
    <x v="0"/>
    <n v="1597"/>
    <x v="2"/>
    <x v="1"/>
    <n v="92"/>
    <x v="1"/>
    <x v="0"/>
    <x v="4"/>
    <x v="2"/>
    <x v="1"/>
    <x v="1051"/>
    <n v="15332"/>
    <n v="1"/>
    <s v="Y"/>
    <x v="1"/>
    <n v="14"/>
    <x v="0"/>
    <x v="2"/>
    <n v="80"/>
    <n v="1"/>
    <n v="8"/>
    <n v="3"/>
    <x v="2"/>
    <x v="3"/>
    <n v="2"/>
    <x v="4"/>
    <x v="1"/>
    <x v="1"/>
    <x v="0"/>
    <x v="0"/>
    <n v="0"/>
  </r>
  <r>
    <x v="32"/>
    <x v="1"/>
    <x v="0"/>
    <n v="118"/>
    <x v="0"/>
    <n v="14"/>
    <x v="0"/>
    <x v="0"/>
    <x v="0"/>
    <n v="1598"/>
    <x v="2"/>
    <x v="0"/>
    <n v="84"/>
    <x v="0"/>
    <x v="0"/>
    <x v="0"/>
    <x v="3"/>
    <x v="1"/>
    <x v="912"/>
    <n v="11262"/>
    <n v="1"/>
    <s v="Y"/>
    <x v="1"/>
    <n v="15"/>
    <x v="0"/>
    <x v="3"/>
    <n v="80"/>
    <n v="1"/>
    <n v="5"/>
    <n v="2"/>
    <x v="1"/>
    <x v="8"/>
    <n v="4"/>
    <x v="1"/>
    <x v="3"/>
    <x v="0"/>
    <x v="2"/>
    <x v="1"/>
    <n v="0"/>
  </r>
  <r>
    <x v="23"/>
    <x v="1"/>
    <x v="0"/>
    <n v="990"/>
    <x v="1"/>
    <n v="27"/>
    <x v="3"/>
    <x v="4"/>
    <x v="0"/>
    <n v="1599"/>
    <x v="2"/>
    <x v="1"/>
    <n v="87"/>
    <x v="2"/>
    <x v="1"/>
    <x v="2"/>
    <x v="1"/>
    <x v="2"/>
    <x v="204"/>
    <n v="5855"/>
    <n v="5"/>
    <s v="Y"/>
    <x v="1"/>
    <n v="12"/>
    <x v="0"/>
    <x v="3"/>
    <n v="80"/>
    <n v="1"/>
    <n v="8"/>
    <n v="0"/>
    <x v="1"/>
    <x v="0"/>
    <n v="4"/>
    <x v="0"/>
    <x v="3"/>
    <x v="0"/>
    <x v="0"/>
    <x v="1"/>
    <n v="0"/>
  </r>
  <r>
    <x v="10"/>
    <x v="1"/>
    <x v="0"/>
    <n v="1349"/>
    <x v="1"/>
    <n v="7"/>
    <x v="0"/>
    <x v="0"/>
    <x v="0"/>
    <n v="1601"/>
    <x v="1"/>
    <x v="1"/>
    <n v="63"/>
    <x v="1"/>
    <x v="1"/>
    <x v="2"/>
    <x v="0"/>
    <x v="1"/>
    <x v="1052"/>
    <n v="7713"/>
    <n v="1"/>
    <s v="Y"/>
    <x v="1"/>
    <n v="18"/>
    <x v="0"/>
    <x v="1"/>
    <n v="80"/>
    <n v="1"/>
    <n v="1"/>
    <n v="5"/>
    <x v="2"/>
    <x v="6"/>
    <n v="0"/>
    <x v="0"/>
    <x v="9"/>
    <x v="1"/>
    <x v="1"/>
    <x v="1"/>
    <n v="0"/>
  </r>
  <r>
    <x v="21"/>
    <x v="1"/>
    <x v="0"/>
    <n v="563"/>
    <x v="0"/>
    <n v="1"/>
    <x v="2"/>
    <x v="0"/>
    <x v="0"/>
    <n v="1602"/>
    <x v="2"/>
    <x v="1"/>
    <n v="56"/>
    <x v="2"/>
    <x v="3"/>
    <x v="5"/>
    <x v="3"/>
    <x v="0"/>
    <x v="1053"/>
    <n v="3156"/>
    <n v="1"/>
    <s v="Y"/>
    <x v="1"/>
    <n v="15"/>
    <x v="0"/>
    <x v="2"/>
    <n v="80"/>
    <n v="0"/>
    <n v="27"/>
    <n v="5"/>
    <x v="0"/>
    <x v="34"/>
    <n v="0"/>
    <x v="0"/>
    <x v="11"/>
    <x v="0"/>
    <x v="3"/>
    <x v="2"/>
    <n v="0"/>
  </r>
  <r>
    <x v="14"/>
    <x v="0"/>
    <x v="0"/>
    <n v="329"/>
    <x v="1"/>
    <n v="24"/>
    <x v="3"/>
    <x v="2"/>
    <x v="0"/>
    <n v="1604"/>
    <x v="1"/>
    <x v="1"/>
    <n v="51"/>
    <x v="0"/>
    <x v="1"/>
    <x v="2"/>
    <x v="1"/>
    <x v="1"/>
    <x v="1054"/>
    <n v="7324"/>
    <n v="1"/>
    <s v="Y"/>
    <x v="0"/>
    <n v="17"/>
    <x v="0"/>
    <x v="3"/>
    <n v="80"/>
    <n v="3"/>
    <n v="1"/>
    <n v="3"/>
    <x v="1"/>
    <x v="6"/>
    <n v="1"/>
    <x v="0"/>
    <x v="2"/>
    <x v="2"/>
    <x v="1"/>
    <x v="1"/>
    <n v="1"/>
  </r>
  <r>
    <x v="15"/>
    <x v="1"/>
    <x v="2"/>
    <n v="457"/>
    <x v="1"/>
    <n v="26"/>
    <x v="0"/>
    <x v="1"/>
    <x v="0"/>
    <n v="1605"/>
    <x v="0"/>
    <x v="0"/>
    <n v="85"/>
    <x v="1"/>
    <x v="1"/>
    <x v="1"/>
    <x v="2"/>
    <x v="1"/>
    <x v="1055"/>
    <n v="10293"/>
    <n v="1"/>
    <s v="Y"/>
    <x v="0"/>
    <n v="14"/>
    <x v="0"/>
    <x v="2"/>
    <n v="80"/>
    <n v="0"/>
    <n v="4"/>
    <n v="2"/>
    <x v="2"/>
    <x v="9"/>
    <n v="2"/>
    <x v="1"/>
    <x v="6"/>
    <x v="2"/>
    <x v="2"/>
    <x v="1"/>
    <n v="0"/>
  </r>
  <r>
    <x v="24"/>
    <x v="1"/>
    <x v="1"/>
    <n v="1234"/>
    <x v="1"/>
    <n v="20"/>
    <x v="4"/>
    <x v="2"/>
    <x v="0"/>
    <n v="1606"/>
    <x v="0"/>
    <x v="1"/>
    <n v="41"/>
    <x v="0"/>
    <x v="3"/>
    <x v="4"/>
    <x v="2"/>
    <x v="1"/>
    <x v="1056"/>
    <n v="20689"/>
    <n v="2"/>
    <s v="Y"/>
    <x v="0"/>
    <n v="15"/>
    <x v="0"/>
    <x v="3"/>
    <n v="80"/>
    <n v="1"/>
    <n v="32"/>
    <n v="3"/>
    <x v="1"/>
    <x v="35"/>
    <n v="8"/>
    <x v="12"/>
    <x v="15"/>
    <x v="3"/>
    <x v="3"/>
    <x v="3"/>
    <n v="0"/>
  </r>
  <r>
    <x v="5"/>
    <x v="1"/>
    <x v="0"/>
    <n v="634"/>
    <x v="1"/>
    <n v="5"/>
    <x v="2"/>
    <x v="1"/>
    <x v="0"/>
    <n v="1607"/>
    <x v="0"/>
    <x v="0"/>
    <n v="35"/>
    <x v="2"/>
    <x v="1"/>
    <x v="1"/>
    <x v="0"/>
    <x v="1"/>
    <x v="1057"/>
    <n v="18783"/>
    <n v="3"/>
    <s v="Y"/>
    <x v="1"/>
    <n v="17"/>
    <x v="0"/>
    <x v="1"/>
    <n v="80"/>
    <n v="2"/>
    <n v="6"/>
    <n v="3"/>
    <x v="1"/>
    <x v="11"/>
    <n v="2"/>
    <x v="0"/>
    <x v="3"/>
    <x v="1"/>
    <x v="2"/>
    <x v="1"/>
    <n v="0"/>
  </r>
  <r>
    <x v="20"/>
    <x v="1"/>
    <x v="0"/>
    <n v="1313"/>
    <x v="1"/>
    <n v="7"/>
    <x v="3"/>
    <x v="2"/>
    <x v="0"/>
    <n v="1608"/>
    <x v="0"/>
    <x v="0"/>
    <n v="31"/>
    <x v="0"/>
    <x v="4"/>
    <x v="7"/>
    <x v="0"/>
    <x v="2"/>
    <x v="1058"/>
    <n v="3549"/>
    <n v="0"/>
    <s v="Y"/>
    <x v="0"/>
    <n v="14"/>
    <x v="0"/>
    <x v="1"/>
    <n v="80"/>
    <n v="1"/>
    <n v="23"/>
    <n v="4"/>
    <x v="2"/>
    <x v="14"/>
    <n v="7"/>
    <x v="1"/>
    <x v="13"/>
    <x v="0"/>
    <x v="3"/>
    <x v="2"/>
    <n v="0"/>
  </r>
  <r>
    <x v="7"/>
    <x v="1"/>
    <x v="0"/>
    <n v="241"/>
    <x v="1"/>
    <n v="7"/>
    <x v="3"/>
    <x v="2"/>
    <x v="0"/>
    <n v="1609"/>
    <x v="0"/>
    <x v="1"/>
    <n v="48"/>
    <x v="1"/>
    <x v="1"/>
    <x v="1"/>
    <x v="1"/>
    <x v="1"/>
    <x v="1059"/>
    <n v="5348"/>
    <n v="1"/>
    <s v="Y"/>
    <x v="1"/>
    <n v="12"/>
    <x v="0"/>
    <x v="2"/>
    <n v="80"/>
    <n v="1"/>
    <n v="6"/>
    <n v="3"/>
    <x v="2"/>
    <x v="0"/>
    <n v="4"/>
    <x v="1"/>
    <x v="9"/>
    <x v="1"/>
    <x v="0"/>
    <x v="1"/>
    <n v="0"/>
  </r>
  <r>
    <x v="28"/>
    <x v="1"/>
    <x v="0"/>
    <n v="1015"/>
    <x v="1"/>
    <n v="5"/>
    <x v="4"/>
    <x v="2"/>
    <x v="0"/>
    <n v="1611"/>
    <x v="1"/>
    <x v="0"/>
    <n v="50"/>
    <x v="3"/>
    <x v="0"/>
    <x v="2"/>
    <x v="3"/>
    <x v="0"/>
    <x v="939"/>
    <n v="23447"/>
    <n v="1"/>
    <s v="Y"/>
    <x v="0"/>
    <n v="14"/>
    <x v="0"/>
    <x v="0"/>
    <n v="80"/>
    <n v="0"/>
    <n v="10"/>
    <n v="3"/>
    <x v="1"/>
    <x v="1"/>
    <n v="7"/>
    <x v="1"/>
    <x v="10"/>
    <x v="0"/>
    <x v="0"/>
    <x v="0"/>
    <n v="0"/>
  </r>
  <r>
    <x v="28"/>
    <x v="1"/>
    <x v="2"/>
    <n v="336"/>
    <x v="0"/>
    <n v="26"/>
    <x v="3"/>
    <x v="3"/>
    <x v="0"/>
    <n v="1612"/>
    <x v="3"/>
    <x v="1"/>
    <n v="52"/>
    <x v="1"/>
    <x v="0"/>
    <x v="0"/>
    <x v="3"/>
    <x v="1"/>
    <x v="1060"/>
    <n v="24162"/>
    <n v="1"/>
    <s v="Y"/>
    <x v="1"/>
    <n v="15"/>
    <x v="0"/>
    <x v="0"/>
    <n v="80"/>
    <n v="1"/>
    <n v="10"/>
    <n v="2"/>
    <x v="1"/>
    <x v="1"/>
    <n v="7"/>
    <x v="5"/>
    <x v="0"/>
    <x v="0"/>
    <x v="0"/>
    <x v="1"/>
    <n v="0"/>
  </r>
  <r>
    <x v="12"/>
    <x v="1"/>
    <x v="1"/>
    <n v="715"/>
    <x v="0"/>
    <n v="2"/>
    <x v="2"/>
    <x v="1"/>
    <x v="0"/>
    <n v="1613"/>
    <x v="2"/>
    <x v="1"/>
    <n v="54"/>
    <x v="0"/>
    <x v="0"/>
    <x v="0"/>
    <x v="3"/>
    <x v="0"/>
    <x v="1061"/>
    <n v="21602"/>
    <n v="7"/>
    <s v="Y"/>
    <x v="1"/>
    <n v="13"/>
    <x v="0"/>
    <x v="1"/>
    <n v="80"/>
    <n v="0"/>
    <n v="10"/>
    <n v="3"/>
    <x v="1"/>
    <x v="8"/>
    <n v="2"/>
    <x v="0"/>
    <x v="6"/>
    <x v="1"/>
    <x v="2"/>
    <x v="0"/>
    <n v="0"/>
  </r>
  <r>
    <x v="9"/>
    <x v="1"/>
    <x v="0"/>
    <n v="559"/>
    <x v="1"/>
    <n v="12"/>
    <x v="2"/>
    <x v="0"/>
    <x v="0"/>
    <n v="1614"/>
    <x v="1"/>
    <x v="0"/>
    <n v="76"/>
    <x v="0"/>
    <x v="0"/>
    <x v="3"/>
    <x v="2"/>
    <x v="1"/>
    <x v="1062"/>
    <n v="12421"/>
    <n v="9"/>
    <s v="Y"/>
    <x v="0"/>
    <n v="12"/>
    <x v="0"/>
    <x v="2"/>
    <n v="80"/>
    <n v="2"/>
    <n v="7"/>
    <n v="2"/>
    <x v="1"/>
    <x v="11"/>
    <n v="2"/>
    <x v="1"/>
    <x v="9"/>
    <x v="1"/>
    <x v="2"/>
    <x v="1"/>
    <n v="0"/>
  </r>
  <r>
    <x v="13"/>
    <x v="1"/>
    <x v="1"/>
    <n v="426"/>
    <x v="1"/>
    <n v="10"/>
    <x v="2"/>
    <x v="0"/>
    <x v="0"/>
    <n v="1615"/>
    <x v="1"/>
    <x v="1"/>
    <n v="42"/>
    <x v="2"/>
    <x v="0"/>
    <x v="3"/>
    <x v="0"/>
    <x v="2"/>
    <x v="927"/>
    <n v="17000"/>
    <n v="1"/>
    <s v="Y"/>
    <x v="1"/>
    <n v="13"/>
    <x v="0"/>
    <x v="0"/>
    <n v="80"/>
    <n v="1"/>
    <n v="9"/>
    <n v="3"/>
    <x v="1"/>
    <x v="7"/>
    <n v="7"/>
    <x v="4"/>
    <x v="3"/>
    <x v="1"/>
    <x v="0"/>
    <x v="1"/>
    <n v="0"/>
  </r>
  <r>
    <x v="1"/>
    <x v="1"/>
    <x v="0"/>
    <n v="722"/>
    <x v="1"/>
    <n v="25"/>
    <x v="2"/>
    <x v="0"/>
    <x v="0"/>
    <n v="1617"/>
    <x v="1"/>
    <x v="0"/>
    <n v="84"/>
    <x v="0"/>
    <x v="1"/>
    <x v="2"/>
    <x v="3"/>
    <x v="1"/>
    <x v="1063"/>
    <n v="22102"/>
    <n v="1"/>
    <s v="Y"/>
    <x v="1"/>
    <n v="14"/>
    <x v="0"/>
    <x v="1"/>
    <n v="80"/>
    <n v="1"/>
    <n v="10"/>
    <n v="3"/>
    <x v="2"/>
    <x v="7"/>
    <n v="6"/>
    <x v="1"/>
    <x v="10"/>
    <x v="0"/>
    <x v="0"/>
    <x v="1"/>
    <n v="0"/>
  </r>
  <r>
    <x v="22"/>
    <x v="1"/>
    <x v="0"/>
    <n v="1387"/>
    <x v="1"/>
    <n v="10"/>
    <x v="4"/>
    <x v="2"/>
    <x v="0"/>
    <n v="1618"/>
    <x v="0"/>
    <x v="1"/>
    <n v="76"/>
    <x v="0"/>
    <x v="0"/>
    <x v="3"/>
    <x v="3"/>
    <x v="1"/>
    <x v="1064"/>
    <n v="3835"/>
    <n v="2"/>
    <s v="Y"/>
    <x v="1"/>
    <n v="13"/>
    <x v="0"/>
    <x v="1"/>
    <n v="80"/>
    <n v="3"/>
    <n v="10"/>
    <n v="3"/>
    <x v="1"/>
    <x v="5"/>
    <n v="7"/>
    <x v="4"/>
    <x v="1"/>
    <x v="1"/>
    <x v="0"/>
    <x v="0"/>
    <n v="0"/>
  </r>
  <r>
    <x v="4"/>
    <x v="1"/>
    <x v="0"/>
    <n v="1302"/>
    <x v="1"/>
    <n v="19"/>
    <x v="3"/>
    <x v="1"/>
    <x v="0"/>
    <n v="1619"/>
    <x v="2"/>
    <x v="1"/>
    <n v="67"/>
    <x v="1"/>
    <x v="1"/>
    <x v="2"/>
    <x v="3"/>
    <x v="2"/>
    <x v="1065"/>
    <n v="16290"/>
    <n v="1"/>
    <s v="Y"/>
    <x v="1"/>
    <n v="11"/>
    <x v="0"/>
    <x v="0"/>
    <n v="80"/>
    <n v="2"/>
    <n v="7"/>
    <n v="3"/>
    <x v="1"/>
    <x v="5"/>
    <n v="7"/>
    <x v="0"/>
    <x v="1"/>
    <x v="2"/>
    <x v="0"/>
    <x v="1"/>
    <n v="0"/>
  </r>
  <r>
    <x v="10"/>
    <x v="1"/>
    <x v="0"/>
    <n v="819"/>
    <x v="1"/>
    <n v="18"/>
    <x v="4"/>
    <x v="0"/>
    <x v="0"/>
    <n v="1621"/>
    <x v="0"/>
    <x v="1"/>
    <n v="48"/>
    <x v="2"/>
    <x v="0"/>
    <x v="1"/>
    <x v="3"/>
    <x v="1"/>
    <x v="1066"/>
    <n v="26312"/>
    <n v="1"/>
    <s v="Y"/>
    <x v="1"/>
    <n v="11"/>
    <x v="0"/>
    <x v="1"/>
    <n v="80"/>
    <n v="0"/>
    <n v="16"/>
    <n v="2"/>
    <x v="1"/>
    <x v="22"/>
    <n v="15"/>
    <x v="1"/>
    <x v="13"/>
    <x v="1"/>
    <x v="3"/>
    <x v="0"/>
    <n v="0"/>
  </r>
  <r>
    <x v="14"/>
    <x v="1"/>
    <x v="0"/>
    <n v="580"/>
    <x v="1"/>
    <n v="27"/>
    <x v="3"/>
    <x v="2"/>
    <x v="0"/>
    <n v="1622"/>
    <x v="0"/>
    <x v="0"/>
    <n v="39"/>
    <x v="3"/>
    <x v="0"/>
    <x v="3"/>
    <x v="3"/>
    <x v="2"/>
    <x v="1067"/>
    <n v="20460"/>
    <n v="0"/>
    <s v="Y"/>
    <x v="1"/>
    <n v="21"/>
    <x v="1"/>
    <x v="2"/>
    <n v="80"/>
    <n v="1"/>
    <n v="6"/>
    <n v="5"/>
    <x v="2"/>
    <x v="8"/>
    <n v="3"/>
    <x v="0"/>
    <x v="2"/>
    <x v="2"/>
    <x v="2"/>
    <x v="1"/>
    <n v="0"/>
  </r>
  <r>
    <x v="18"/>
    <x v="1"/>
    <x v="0"/>
    <n v="546"/>
    <x v="1"/>
    <n v="5"/>
    <x v="1"/>
    <x v="2"/>
    <x v="0"/>
    <n v="1623"/>
    <x v="1"/>
    <x v="1"/>
    <n v="97"/>
    <x v="0"/>
    <x v="1"/>
    <x v="1"/>
    <x v="0"/>
    <x v="0"/>
    <x v="1068"/>
    <n v="26009"/>
    <n v="1"/>
    <s v="Y"/>
    <x v="1"/>
    <n v="18"/>
    <x v="0"/>
    <x v="3"/>
    <n v="80"/>
    <n v="0"/>
    <n v="3"/>
    <n v="2"/>
    <x v="1"/>
    <x v="4"/>
    <n v="2"/>
    <x v="3"/>
    <x v="3"/>
    <x v="2"/>
    <x v="1"/>
    <x v="1"/>
    <n v="0"/>
  </r>
  <r>
    <x v="41"/>
    <x v="0"/>
    <x v="1"/>
    <n v="544"/>
    <x v="0"/>
    <n v="3"/>
    <x v="0"/>
    <x v="2"/>
    <x v="0"/>
    <n v="1624"/>
    <x v="0"/>
    <x v="0"/>
    <n v="70"/>
    <x v="0"/>
    <x v="1"/>
    <x v="6"/>
    <x v="0"/>
    <x v="0"/>
    <x v="1069"/>
    <n v="18420"/>
    <n v="1"/>
    <s v="Y"/>
    <x v="0"/>
    <n v="12"/>
    <x v="0"/>
    <x v="3"/>
    <n v="80"/>
    <n v="0"/>
    <n v="0"/>
    <n v="2"/>
    <x v="3"/>
    <x v="2"/>
    <n v="0"/>
    <x v="0"/>
    <x v="2"/>
    <x v="4"/>
    <x v="1"/>
    <x v="1"/>
    <n v="1"/>
  </r>
  <r>
    <x v="40"/>
    <x v="1"/>
    <x v="0"/>
    <n v="1176"/>
    <x v="2"/>
    <n v="26"/>
    <x v="2"/>
    <x v="0"/>
    <x v="0"/>
    <n v="1625"/>
    <x v="2"/>
    <x v="0"/>
    <n v="98"/>
    <x v="0"/>
    <x v="4"/>
    <x v="5"/>
    <x v="2"/>
    <x v="1"/>
    <x v="1070"/>
    <n v="5220"/>
    <n v="3"/>
    <s v="Y"/>
    <x v="1"/>
    <n v="11"/>
    <x v="0"/>
    <x v="3"/>
    <n v="80"/>
    <n v="1"/>
    <n v="27"/>
    <n v="2"/>
    <x v="1"/>
    <x v="8"/>
    <n v="2"/>
    <x v="1"/>
    <x v="2"/>
    <x v="0"/>
    <x v="2"/>
    <x v="2"/>
    <n v="0"/>
  </r>
  <r>
    <x v="22"/>
    <x v="1"/>
    <x v="0"/>
    <n v="170"/>
    <x v="1"/>
    <n v="3"/>
    <x v="0"/>
    <x v="2"/>
    <x v="0"/>
    <n v="1627"/>
    <x v="1"/>
    <x v="1"/>
    <n v="76"/>
    <x v="1"/>
    <x v="0"/>
    <x v="2"/>
    <x v="2"/>
    <x v="2"/>
    <x v="1071"/>
    <n v="10302"/>
    <n v="0"/>
    <s v="Y"/>
    <x v="1"/>
    <n v="15"/>
    <x v="0"/>
    <x v="1"/>
    <n v="80"/>
    <n v="1"/>
    <n v="11"/>
    <n v="3"/>
    <x v="1"/>
    <x v="1"/>
    <n v="8"/>
    <x v="0"/>
    <x v="1"/>
    <x v="1"/>
    <x v="0"/>
    <x v="1"/>
    <n v="0"/>
  </r>
  <r>
    <x v="32"/>
    <x v="1"/>
    <x v="0"/>
    <n v="884"/>
    <x v="1"/>
    <n v="15"/>
    <x v="3"/>
    <x v="0"/>
    <x v="0"/>
    <n v="1628"/>
    <x v="3"/>
    <x v="0"/>
    <n v="80"/>
    <x v="1"/>
    <x v="2"/>
    <x v="3"/>
    <x v="2"/>
    <x v="1"/>
    <x v="1072"/>
    <n v="25800"/>
    <n v="1"/>
    <s v="Y"/>
    <x v="1"/>
    <n v="13"/>
    <x v="0"/>
    <x v="1"/>
    <n v="80"/>
    <n v="2"/>
    <n v="18"/>
    <n v="2"/>
    <x v="1"/>
    <x v="29"/>
    <n v="15"/>
    <x v="15"/>
    <x v="11"/>
    <x v="0"/>
    <x v="3"/>
    <x v="3"/>
    <n v="0"/>
  </r>
  <r>
    <x v="10"/>
    <x v="1"/>
    <x v="2"/>
    <n v="208"/>
    <x v="1"/>
    <n v="8"/>
    <x v="2"/>
    <x v="0"/>
    <x v="0"/>
    <n v="1630"/>
    <x v="1"/>
    <x v="0"/>
    <n v="52"/>
    <x v="0"/>
    <x v="0"/>
    <x v="4"/>
    <x v="2"/>
    <x v="1"/>
    <x v="691"/>
    <n v="12250"/>
    <n v="1"/>
    <s v="Y"/>
    <x v="1"/>
    <n v="12"/>
    <x v="0"/>
    <x v="1"/>
    <n v="80"/>
    <n v="1"/>
    <n v="15"/>
    <n v="5"/>
    <x v="1"/>
    <x v="13"/>
    <n v="11"/>
    <x v="3"/>
    <x v="12"/>
    <x v="1"/>
    <x v="3"/>
    <x v="1"/>
    <n v="0"/>
  </r>
  <r>
    <x v="2"/>
    <x v="1"/>
    <x v="0"/>
    <n v="671"/>
    <x v="1"/>
    <n v="19"/>
    <x v="3"/>
    <x v="0"/>
    <x v="0"/>
    <n v="1631"/>
    <x v="1"/>
    <x v="1"/>
    <n v="85"/>
    <x v="0"/>
    <x v="0"/>
    <x v="3"/>
    <x v="2"/>
    <x v="1"/>
    <x v="1073"/>
    <n v="26493"/>
    <n v="3"/>
    <s v="Y"/>
    <x v="1"/>
    <n v="17"/>
    <x v="0"/>
    <x v="0"/>
    <n v="80"/>
    <n v="3"/>
    <n v="9"/>
    <n v="2"/>
    <x v="2"/>
    <x v="9"/>
    <n v="3"/>
    <x v="0"/>
    <x v="3"/>
    <x v="1"/>
    <x v="2"/>
    <x v="0"/>
    <n v="0"/>
  </r>
  <r>
    <x v="22"/>
    <x v="1"/>
    <x v="1"/>
    <n v="711"/>
    <x v="1"/>
    <n v="4"/>
    <x v="3"/>
    <x v="2"/>
    <x v="0"/>
    <n v="1633"/>
    <x v="3"/>
    <x v="0"/>
    <n v="81"/>
    <x v="0"/>
    <x v="0"/>
    <x v="3"/>
    <x v="2"/>
    <x v="0"/>
    <x v="1074"/>
    <n v="3140"/>
    <n v="0"/>
    <s v="Y"/>
    <x v="1"/>
    <n v="13"/>
    <x v="0"/>
    <x v="1"/>
    <n v="80"/>
    <n v="0"/>
    <n v="10"/>
    <n v="2"/>
    <x v="0"/>
    <x v="7"/>
    <n v="2"/>
    <x v="2"/>
    <x v="5"/>
    <x v="1"/>
    <x v="0"/>
    <x v="0"/>
    <n v="0"/>
  </r>
  <r>
    <x v="28"/>
    <x v="1"/>
    <x v="0"/>
    <n v="1329"/>
    <x v="1"/>
    <n v="2"/>
    <x v="0"/>
    <x v="1"/>
    <x v="0"/>
    <n v="1635"/>
    <x v="2"/>
    <x v="0"/>
    <n v="59"/>
    <x v="1"/>
    <x v="0"/>
    <x v="3"/>
    <x v="0"/>
    <x v="2"/>
    <x v="1075"/>
    <n v="5388"/>
    <n v="1"/>
    <s v="Y"/>
    <x v="1"/>
    <n v="19"/>
    <x v="0"/>
    <x v="0"/>
    <n v="80"/>
    <n v="2"/>
    <n v="10"/>
    <n v="3"/>
    <x v="1"/>
    <x v="1"/>
    <n v="7"/>
    <x v="2"/>
    <x v="12"/>
    <x v="0"/>
    <x v="0"/>
    <x v="0"/>
    <n v="0"/>
  </r>
  <r>
    <x v="8"/>
    <x v="1"/>
    <x v="0"/>
    <n v="397"/>
    <x v="1"/>
    <n v="2"/>
    <x v="0"/>
    <x v="2"/>
    <x v="0"/>
    <n v="1638"/>
    <x v="2"/>
    <x v="0"/>
    <n v="54"/>
    <x v="1"/>
    <x v="2"/>
    <x v="3"/>
    <x v="2"/>
    <x v="1"/>
    <x v="751"/>
    <n v="14199"/>
    <n v="3"/>
    <s v="Y"/>
    <x v="0"/>
    <n v="19"/>
    <x v="0"/>
    <x v="1"/>
    <n v="80"/>
    <n v="1"/>
    <n v="10"/>
    <n v="6"/>
    <x v="3"/>
    <x v="8"/>
    <n v="4"/>
    <x v="0"/>
    <x v="3"/>
    <x v="1"/>
    <x v="2"/>
    <x v="0"/>
    <n v="0"/>
  </r>
  <r>
    <x v="10"/>
    <x v="0"/>
    <x v="0"/>
    <n v="737"/>
    <x v="0"/>
    <n v="10"/>
    <x v="3"/>
    <x v="2"/>
    <x v="0"/>
    <n v="1639"/>
    <x v="2"/>
    <x v="1"/>
    <n v="55"/>
    <x v="1"/>
    <x v="2"/>
    <x v="0"/>
    <x v="3"/>
    <x v="1"/>
    <x v="1076"/>
    <n v="21530"/>
    <n v="9"/>
    <s v="Y"/>
    <x v="1"/>
    <n v="17"/>
    <x v="0"/>
    <x v="3"/>
    <n v="80"/>
    <n v="0"/>
    <n v="15"/>
    <n v="3"/>
    <x v="1"/>
    <x v="20"/>
    <n v="12"/>
    <x v="7"/>
    <x v="2"/>
    <x v="1"/>
    <x v="3"/>
    <x v="3"/>
    <n v="1"/>
  </r>
  <r>
    <x v="2"/>
    <x v="1"/>
    <x v="0"/>
    <n v="1470"/>
    <x v="1"/>
    <n v="10"/>
    <x v="3"/>
    <x v="2"/>
    <x v="0"/>
    <n v="1640"/>
    <x v="0"/>
    <x v="0"/>
    <n v="71"/>
    <x v="0"/>
    <x v="1"/>
    <x v="1"/>
    <x v="1"/>
    <x v="1"/>
    <x v="1077"/>
    <n v="9953"/>
    <n v="1"/>
    <s v="Y"/>
    <x v="1"/>
    <n v="11"/>
    <x v="0"/>
    <x v="0"/>
    <n v="80"/>
    <n v="1"/>
    <n v="8"/>
    <n v="2"/>
    <x v="0"/>
    <x v="3"/>
    <n v="4"/>
    <x v="4"/>
    <x v="1"/>
    <x v="1"/>
    <x v="0"/>
    <x v="1"/>
    <n v="0"/>
  </r>
  <r>
    <x v="32"/>
    <x v="1"/>
    <x v="0"/>
    <n v="448"/>
    <x v="1"/>
    <n v="16"/>
    <x v="3"/>
    <x v="0"/>
    <x v="0"/>
    <n v="1641"/>
    <x v="1"/>
    <x v="0"/>
    <n v="84"/>
    <x v="0"/>
    <x v="2"/>
    <x v="3"/>
    <x v="0"/>
    <x v="0"/>
    <x v="1078"/>
    <n v="19948"/>
    <n v="6"/>
    <s v="Y"/>
    <x v="0"/>
    <n v="15"/>
    <x v="0"/>
    <x v="1"/>
    <n v="80"/>
    <n v="0"/>
    <n v="18"/>
    <n v="2"/>
    <x v="2"/>
    <x v="9"/>
    <n v="2"/>
    <x v="2"/>
    <x v="6"/>
    <x v="0"/>
    <x v="2"/>
    <x v="0"/>
    <n v="0"/>
  </r>
  <r>
    <x v="20"/>
    <x v="1"/>
    <x v="1"/>
    <n v="602"/>
    <x v="2"/>
    <n v="1"/>
    <x v="4"/>
    <x v="5"/>
    <x v="0"/>
    <n v="1642"/>
    <x v="3"/>
    <x v="1"/>
    <n v="37"/>
    <x v="0"/>
    <x v="0"/>
    <x v="8"/>
    <x v="0"/>
    <x v="1"/>
    <x v="1079"/>
    <n v="10503"/>
    <n v="4"/>
    <s v="Y"/>
    <x v="0"/>
    <n v="11"/>
    <x v="0"/>
    <x v="3"/>
    <n v="80"/>
    <n v="0"/>
    <n v="14"/>
    <n v="3"/>
    <x v="1"/>
    <x v="1"/>
    <n v="7"/>
    <x v="0"/>
    <x v="3"/>
    <x v="0"/>
    <x v="0"/>
    <x v="0"/>
    <n v="0"/>
  </r>
  <r>
    <x v="26"/>
    <x v="1"/>
    <x v="1"/>
    <n v="365"/>
    <x v="1"/>
    <n v="4"/>
    <x v="4"/>
    <x v="2"/>
    <x v="0"/>
    <n v="1644"/>
    <x v="1"/>
    <x v="1"/>
    <n v="89"/>
    <x v="1"/>
    <x v="3"/>
    <x v="5"/>
    <x v="0"/>
    <x v="1"/>
    <x v="1080"/>
    <n v="5602"/>
    <n v="2"/>
    <s v="Y"/>
    <x v="1"/>
    <n v="25"/>
    <x v="1"/>
    <x v="2"/>
    <n v="80"/>
    <n v="1"/>
    <n v="23"/>
    <n v="3"/>
    <x v="1"/>
    <x v="4"/>
    <n v="2"/>
    <x v="3"/>
    <x v="3"/>
    <x v="0"/>
    <x v="1"/>
    <x v="2"/>
    <n v="0"/>
  </r>
  <r>
    <x v="10"/>
    <x v="0"/>
    <x v="0"/>
    <n v="763"/>
    <x v="0"/>
    <n v="15"/>
    <x v="0"/>
    <x v="2"/>
    <x v="0"/>
    <n v="1645"/>
    <x v="3"/>
    <x v="1"/>
    <n v="59"/>
    <x v="3"/>
    <x v="0"/>
    <x v="0"/>
    <x v="0"/>
    <x v="2"/>
    <x v="1081"/>
    <n v="22098"/>
    <n v="6"/>
    <s v="Y"/>
    <x v="0"/>
    <n v="14"/>
    <x v="0"/>
    <x v="1"/>
    <n v="80"/>
    <n v="2"/>
    <n v="7"/>
    <n v="2"/>
    <x v="2"/>
    <x v="4"/>
    <n v="2"/>
    <x v="3"/>
    <x v="3"/>
    <x v="1"/>
    <x v="1"/>
    <x v="0"/>
    <n v="1"/>
  </r>
  <r>
    <x v="17"/>
    <x v="1"/>
    <x v="1"/>
    <n v="567"/>
    <x v="1"/>
    <n v="2"/>
    <x v="1"/>
    <x v="4"/>
    <x v="0"/>
    <n v="1646"/>
    <x v="3"/>
    <x v="0"/>
    <n v="32"/>
    <x v="0"/>
    <x v="1"/>
    <x v="1"/>
    <x v="0"/>
    <x v="0"/>
    <x v="841"/>
    <n v="17218"/>
    <n v="1"/>
    <s v="Y"/>
    <x v="0"/>
    <n v="13"/>
    <x v="0"/>
    <x v="3"/>
    <n v="80"/>
    <n v="0"/>
    <n v="6"/>
    <n v="2"/>
    <x v="1"/>
    <x v="0"/>
    <n v="3"/>
    <x v="1"/>
    <x v="6"/>
    <x v="2"/>
    <x v="0"/>
    <x v="1"/>
    <n v="0"/>
  </r>
  <r>
    <x v="4"/>
    <x v="1"/>
    <x v="0"/>
    <n v="486"/>
    <x v="1"/>
    <n v="8"/>
    <x v="3"/>
    <x v="2"/>
    <x v="0"/>
    <n v="1647"/>
    <x v="0"/>
    <x v="0"/>
    <n v="86"/>
    <x v="2"/>
    <x v="1"/>
    <x v="1"/>
    <x v="2"/>
    <x v="1"/>
    <x v="1082"/>
    <n v="22490"/>
    <n v="7"/>
    <s v="Y"/>
    <x v="1"/>
    <n v="17"/>
    <x v="0"/>
    <x v="0"/>
    <n v="80"/>
    <n v="0"/>
    <n v="5"/>
    <n v="0"/>
    <x v="1"/>
    <x v="11"/>
    <n v="2"/>
    <x v="0"/>
    <x v="3"/>
    <x v="2"/>
    <x v="2"/>
    <x v="1"/>
    <n v="0"/>
  </r>
  <r>
    <x v="4"/>
    <x v="1"/>
    <x v="1"/>
    <n v="591"/>
    <x v="1"/>
    <n v="2"/>
    <x v="3"/>
    <x v="2"/>
    <x v="0"/>
    <n v="1648"/>
    <x v="2"/>
    <x v="1"/>
    <n v="87"/>
    <x v="0"/>
    <x v="1"/>
    <x v="1"/>
    <x v="0"/>
    <x v="0"/>
    <x v="1083"/>
    <n v="6297"/>
    <n v="2"/>
    <s v="Y"/>
    <x v="1"/>
    <n v="13"/>
    <x v="0"/>
    <x v="3"/>
    <n v="80"/>
    <n v="0"/>
    <n v="6"/>
    <n v="0"/>
    <x v="2"/>
    <x v="9"/>
    <n v="2"/>
    <x v="1"/>
    <x v="3"/>
    <x v="2"/>
    <x v="2"/>
    <x v="1"/>
    <n v="0"/>
  </r>
  <r>
    <x v="32"/>
    <x v="0"/>
    <x v="0"/>
    <n v="1329"/>
    <x v="1"/>
    <n v="7"/>
    <x v="3"/>
    <x v="0"/>
    <x v="0"/>
    <n v="1649"/>
    <x v="3"/>
    <x v="1"/>
    <n v="73"/>
    <x v="0"/>
    <x v="1"/>
    <x v="2"/>
    <x v="3"/>
    <x v="0"/>
    <x v="1084"/>
    <n v="3339"/>
    <n v="3"/>
    <s v="Y"/>
    <x v="0"/>
    <n v="14"/>
    <x v="0"/>
    <x v="2"/>
    <n v="80"/>
    <n v="0"/>
    <n v="10"/>
    <n v="3"/>
    <x v="0"/>
    <x v="9"/>
    <n v="2"/>
    <x v="0"/>
    <x v="6"/>
    <x v="0"/>
    <x v="2"/>
    <x v="1"/>
    <n v="1"/>
  </r>
  <r>
    <x v="11"/>
    <x v="1"/>
    <x v="0"/>
    <n v="469"/>
    <x v="0"/>
    <n v="10"/>
    <x v="3"/>
    <x v="2"/>
    <x v="0"/>
    <n v="1650"/>
    <x v="1"/>
    <x v="1"/>
    <n v="42"/>
    <x v="1"/>
    <x v="0"/>
    <x v="0"/>
    <x v="2"/>
    <x v="0"/>
    <x v="1085"/>
    <n v="23413"/>
    <n v="9"/>
    <s v="Y"/>
    <x v="1"/>
    <n v="11"/>
    <x v="0"/>
    <x v="3"/>
    <n v="80"/>
    <n v="0"/>
    <n v="8"/>
    <n v="2"/>
    <x v="1"/>
    <x v="8"/>
    <n v="2"/>
    <x v="1"/>
    <x v="10"/>
    <x v="2"/>
    <x v="2"/>
    <x v="0"/>
    <n v="0"/>
  </r>
  <r>
    <x v="9"/>
    <x v="1"/>
    <x v="0"/>
    <n v="711"/>
    <x v="1"/>
    <n v="5"/>
    <x v="2"/>
    <x v="0"/>
    <x v="0"/>
    <n v="1651"/>
    <x v="0"/>
    <x v="0"/>
    <n v="42"/>
    <x v="0"/>
    <x v="2"/>
    <x v="4"/>
    <x v="3"/>
    <x v="1"/>
    <x v="1086"/>
    <n v="22792"/>
    <n v="4"/>
    <s v="Y"/>
    <x v="1"/>
    <n v="12"/>
    <x v="0"/>
    <x v="3"/>
    <n v="80"/>
    <n v="2"/>
    <n v="9"/>
    <n v="6"/>
    <x v="1"/>
    <x v="11"/>
    <n v="2"/>
    <x v="0"/>
    <x v="3"/>
    <x v="1"/>
    <x v="2"/>
    <x v="0"/>
    <n v="0"/>
  </r>
  <r>
    <x v="36"/>
    <x v="1"/>
    <x v="1"/>
    <n v="772"/>
    <x v="1"/>
    <n v="2"/>
    <x v="1"/>
    <x v="0"/>
    <x v="0"/>
    <n v="1653"/>
    <x v="2"/>
    <x v="1"/>
    <n v="77"/>
    <x v="2"/>
    <x v="0"/>
    <x v="3"/>
    <x v="2"/>
    <x v="2"/>
    <x v="1087"/>
    <n v="4973"/>
    <n v="1"/>
    <s v="Y"/>
    <x v="1"/>
    <n v="17"/>
    <x v="0"/>
    <x v="3"/>
    <n v="80"/>
    <n v="2"/>
    <n v="7"/>
    <n v="6"/>
    <x v="1"/>
    <x v="5"/>
    <n v="7"/>
    <x v="0"/>
    <x v="1"/>
    <x v="2"/>
    <x v="0"/>
    <x v="0"/>
    <n v="0"/>
  </r>
  <r>
    <x v="22"/>
    <x v="1"/>
    <x v="0"/>
    <n v="492"/>
    <x v="1"/>
    <n v="12"/>
    <x v="3"/>
    <x v="2"/>
    <x v="0"/>
    <n v="1654"/>
    <x v="2"/>
    <x v="1"/>
    <n v="66"/>
    <x v="0"/>
    <x v="0"/>
    <x v="3"/>
    <x v="1"/>
    <x v="1"/>
    <x v="1088"/>
    <n v="7693"/>
    <n v="4"/>
    <s v="Y"/>
    <x v="1"/>
    <n v="21"/>
    <x v="1"/>
    <x v="3"/>
    <n v="80"/>
    <n v="0"/>
    <n v="7"/>
    <n v="3"/>
    <x v="1"/>
    <x v="8"/>
    <n v="4"/>
    <x v="1"/>
    <x v="2"/>
    <x v="1"/>
    <x v="2"/>
    <x v="0"/>
    <n v="0"/>
  </r>
  <r>
    <x v="1"/>
    <x v="1"/>
    <x v="0"/>
    <n v="301"/>
    <x v="1"/>
    <n v="22"/>
    <x v="2"/>
    <x v="1"/>
    <x v="0"/>
    <n v="1655"/>
    <x v="3"/>
    <x v="0"/>
    <n v="72"/>
    <x v="0"/>
    <x v="3"/>
    <x v="7"/>
    <x v="1"/>
    <x v="1"/>
    <x v="1089"/>
    <n v="3498"/>
    <n v="3"/>
    <s v="Y"/>
    <x v="1"/>
    <n v="16"/>
    <x v="0"/>
    <x v="2"/>
    <n v="80"/>
    <n v="2"/>
    <n v="27"/>
    <n v="2"/>
    <x v="1"/>
    <x v="9"/>
    <n v="2"/>
    <x v="1"/>
    <x v="3"/>
    <x v="0"/>
    <x v="2"/>
    <x v="2"/>
    <n v="0"/>
  </r>
  <r>
    <x v="24"/>
    <x v="1"/>
    <x v="0"/>
    <n v="813"/>
    <x v="1"/>
    <n v="17"/>
    <x v="4"/>
    <x v="0"/>
    <x v="0"/>
    <n v="1656"/>
    <x v="2"/>
    <x v="0"/>
    <n v="50"/>
    <x v="1"/>
    <x v="2"/>
    <x v="7"/>
    <x v="3"/>
    <x v="2"/>
    <x v="1090"/>
    <n v="21981"/>
    <n v="5"/>
    <s v="Y"/>
    <x v="1"/>
    <n v="15"/>
    <x v="0"/>
    <x v="3"/>
    <n v="80"/>
    <n v="3"/>
    <n v="19"/>
    <n v="3"/>
    <x v="1"/>
    <x v="13"/>
    <n v="11"/>
    <x v="1"/>
    <x v="7"/>
    <x v="3"/>
    <x v="3"/>
    <x v="3"/>
    <n v="0"/>
  </r>
  <r>
    <x v="35"/>
    <x v="1"/>
    <x v="0"/>
    <n v="1141"/>
    <x v="0"/>
    <n v="2"/>
    <x v="3"/>
    <x v="2"/>
    <x v="0"/>
    <n v="1657"/>
    <x v="1"/>
    <x v="0"/>
    <n v="31"/>
    <x v="0"/>
    <x v="1"/>
    <x v="6"/>
    <x v="2"/>
    <x v="0"/>
    <x v="1091"/>
    <n v="13251"/>
    <n v="1"/>
    <s v="Y"/>
    <x v="1"/>
    <n v="19"/>
    <x v="0"/>
    <x v="0"/>
    <n v="80"/>
    <n v="0"/>
    <n v="2"/>
    <n v="3"/>
    <x v="1"/>
    <x v="4"/>
    <n v="2"/>
    <x v="3"/>
    <x v="3"/>
    <x v="2"/>
    <x v="1"/>
    <x v="1"/>
    <n v="0"/>
  </r>
  <r>
    <x v="13"/>
    <x v="1"/>
    <x v="0"/>
    <n v="1130"/>
    <x v="1"/>
    <n v="3"/>
    <x v="3"/>
    <x v="0"/>
    <x v="0"/>
    <n v="1658"/>
    <x v="2"/>
    <x v="0"/>
    <n v="66"/>
    <x v="0"/>
    <x v="0"/>
    <x v="1"/>
    <x v="1"/>
    <x v="2"/>
    <x v="1092"/>
    <n v="19332"/>
    <n v="1"/>
    <s v="Y"/>
    <x v="1"/>
    <n v="12"/>
    <x v="0"/>
    <x v="3"/>
    <n v="80"/>
    <n v="1"/>
    <n v="11"/>
    <n v="2"/>
    <x v="1"/>
    <x v="19"/>
    <n v="8"/>
    <x v="4"/>
    <x v="12"/>
    <x v="1"/>
    <x v="3"/>
    <x v="0"/>
    <n v="0"/>
  </r>
  <r>
    <x v="9"/>
    <x v="1"/>
    <x v="0"/>
    <n v="311"/>
    <x v="1"/>
    <n v="7"/>
    <x v="3"/>
    <x v="0"/>
    <x v="0"/>
    <n v="1659"/>
    <x v="3"/>
    <x v="1"/>
    <n v="77"/>
    <x v="0"/>
    <x v="1"/>
    <x v="2"/>
    <x v="1"/>
    <x v="0"/>
    <x v="1093"/>
    <n v="10950"/>
    <n v="2"/>
    <s v="Y"/>
    <x v="1"/>
    <n v="11"/>
    <x v="0"/>
    <x v="3"/>
    <n v="80"/>
    <n v="0"/>
    <n v="15"/>
    <n v="4"/>
    <x v="1"/>
    <x v="9"/>
    <n v="3"/>
    <x v="1"/>
    <x v="6"/>
    <x v="1"/>
    <x v="2"/>
    <x v="1"/>
    <n v="0"/>
  </r>
  <r>
    <x v="1"/>
    <x v="1"/>
    <x v="0"/>
    <n v="465"/>
    <x v="1"/>
    <n v="6"/>
    <x v="1"/>
    <x v="0"/>
    <x v="0"/>
    <n v="1661"/>
    <x v="1"/>
    <x v="0"/>
    <n v="41"/>
    <x v="1"/>
    <x v="3"/>
    <x v="4"/>
    <x v="2"/>
    <x v="1"/>
    <x v="1094"/>
    <n v="11652"/>
    <n v="2"/>
    <s v="Y"/>
    <x v="0"/>
    <n v="19"/>
    <x v="0"/>
    <x v="2"/>
    <n v="80"/>
    <n v="1"/>
    <n v="30"/>
    <n v="3"/>
    <x v="1"/>
    <x v="15"/>
    <n v="11"/>
    <x v="3"/>
    <x v="11"/>
    <x v="0"/>
    <x v="3"/>
    <x v="3"/>
    <n v="0"/>
  </r>
  <r>
    <x v="9"/>
    <x v="1"/>
    <x v="2"/>
    <n v="894"/>
    <x v="1"/>
    <n v="1"/>
    <x v="2"/>
    <x v="2"/>
    <x v="0"/>
    <n v="1662"/>
    <x v="2"/>
    <x v="0"/>
    <n v="33"/>
    <x v="1"/>
    <x v="0"/>
    <x v="3"/>
    <x v="2"/>
    <x v="1"/>
    <x v="1095"/>
    <n v="15411"/>
    <n v="0"/>
    <s v="Y"/>
    <x v="1"/>
    <n v="15"/>
    <x v="0"/>
    <x v="3"/>
    <n v="80"/>
    <n v="0"/>
    <n v="4"/>
    <n v="6"/>
    <x v="1"/>
    <x v="11"/>
    <n v="2"/>
    <x v="1"/>
    <x v="3"/>
    <x v="1"/>
    <x v="2"/>
    <x v="1"/>
    <n v="0"/>
  </r>
  <r>
    <x v="9"/>
    <x v="1"/>
    <x v="0"/>
    <n v="1040"/>
    <x v="1"/>
    <n v="3"/>
    <x v="0"/>
    <x v="0"/>
    <x v="0"/>
    <n v="1664"/>
    <x v="2"/>
    <x v="1"/>
    <n v="79"/>
    <x v="2"/>
    <x v="0"/>
    <x v="4"/>
    <x v="3"/>
    <x v="2"/>
    <x v="1096"/>
    <n v="26308"/>
    <n v="6"/>
    <s v="Y"/>
    <x v="1"/>
    <n v="20"/>
    <x v="1"/>
    <x v="0"/>
    <n v="80"/>
    <n v="1"/>
    <n v="13"/>
    <n v="3"/>
    <x v="1"/>
    <x v="8"/>
    <n v="4"/>
    <x v="0"/>
    <x v="10"/>
    <x v="1"/>
    <x v="2"/>
    <x v="0"/>
    <n v="0"/>
  </r>
  <r>
    <x v="33"/>
    <x v="1"/>
    <x v="0"/>
    <n v="584"/>
    <x v="1"/>
    <n v="22"/>
    <x v="4"/>
    <x v="2"/>
    <x v="0"/>
    <n v="1665"/>
    <x v="0"/>
    <x v="0"/>
    <n v="91"/>
    <x v="0"/>
    <x v="3"/>
    <x v="5"/>
    <x v="2"/>
    <x v="1"/>
    <x v="1097"/>
    <n v="18685"/>
    <n v="3"/>
    <s v="Y"/>
    <x v="1"/>
    <n v="25"/>
    <x v="1"/>
    <x v="3"/>
    <n v="80"/>
    <n v="1"/>
    <n v="36"/>
    <n v="6"/>
    <x v="1"/>
    <x v="1"/>
    <n v="8"/>
    <x v="5"/>
    <x v="1"/>
    <x v="3"/>
    <x v="0"/>
    <x v="2"/>
    <n v="0"/>
  </r>
  <r>
    <x v="23"/>
    <x v="1"/>
    <x v="0"/>
    <n v="1291"/>
    <x v="1"/>
    <n v="15"/>
    <x v="0"/>
    <x v="0"/>
    <x v="0"/>
    <n v="1666"/>
    <x v="1"/>
    <x v="1"/>
    <n v="65"/>
    <x v="1"/>
    <x v="3"/>
    <x v="7"/>
    <x v="2"/>
    <x v="1"/>
    <x v="1098"/>
    <n v="3525"/>
    <n v="1"/>
    <s v="Y"/>
    <x v="1"/>
    <n v="24"/>
    <x v="1"/>
    <x v="0"/>
    <n v="80"/>
    <n v="1"/>
    <n v="14"/>
    <n v="3"/>
    <x v="1"/>
    <x v="13"/>
    <n v="10"/>
    <x v="7"/>
    <x v="7"/>
    <x v="0"/>
    <x v="3"/>
    <x v="2"/>
    <n v="0"/>
  </r>
  <r>
    <x v="10"/>
    <x v="0"/>
    <x v="1"/>
    <n v="880"/>
    <x v="0"/>
    <n v="12"/>
    <x v="2"/>
    <x v="1"/>
    <x v="0"/>
    <n v="1667"/>
    <x v="2"/>
    <x v="1"/>
    <n v="36"/>
    <x v="0"/>
    <x v="0"/>
    <x v="0"/>
    <x v="0"/>
    <x v="0"/>
    <x v="1099"/>
    <n v="10414"/>
    <n v="3"/>
    <s v="Y"/>
    <x v="0"/>
    <n v="24"/>
    <x v="1"/>
    <x v="0"/>
    <n v="80"/>
    <n v="0"/>
    <n v="13"/>
    <n v="2"/>
    <x v="3"/>
    <x v="19"/>
    <n v="9"/>
    <x v="7"/>
    <x v="1"/>
    <x v="1"/>
    <x v="3"/>
    <x v="1"/>
    <n v="1"/>
  </r>
  <r>
    <x v="8"/>
    <x v="1"/>
    <x v="1"/>
    <n v="1189"/>
    <x v="1"/>
    <n v="1"/>
    <x v="3"/>
    <x v="0"/>
    <x v="0"/>
    <n v="1668"/>
    <x v="2"/>
    <x v="1"/>
    <n v="90"/>
    <x v="0"/>
    <x v="0"/>
    <x v="1"/>
    <x v="0"/>
    <x v="1"/>
    <x v="1100"/>
    <n v="9867"/>
    <n v="7"/>
    <s v="Y"/>
    <x v="1"/>
    <n v="15"/>
    <x v="0"/>
    <x v="1"/>
    <n v="80"/>
    <n v="2"/>
    <n v="19"/>
    <n v="4"/>
    <x v="3"/>
    <x v="20"/>
    <n v="11"/>
    <x v="3"/>
    <x v="12"/>
    <x v="1"/>
    <x v="3"/>
    <x v="1"/>
    <n v="0"/>
  </r>
  <r>
    <x v="11"/>
    <x v="1"/>
    <x v="0"/>
    <n v="991"/>
    <x v="0"/>
    <n v="5"/>
    <x v="3"/>
    <x v="2"/>
    <x v="0"/>
    <n v="1669"/>
    <x v="3"/>
    <x v="1"/>
    <n v="43"/>
    <x v="1"/>
    <x v="0"/>
    <x v="0"/>
    <x v="1"/>
    <x v="2"/>
    <x v="1101"/>
    <n v="3356"/>
    <n v="1"/>
    <s v="Y"/>
    <x v="0"/>
    <n v="13"/>
    <x v="0"/>
    <x v="2"/>
    <n v="80"/>
    <n v="1"/>
    <n v="10"/>
    <n v="3"/>
    <x v="2"/>
    <x v="1"/>
    <n v="0"/>
    <x v="0"/>
    <x v="12"/>
    <x v="2"/>
    <x v="0"/>
    <x v="1"/>
    <n v="0"/>
  </r>
  <r>
    <x v="3"/>
    <x v="1"/>
    <x v="0"/>
    <n v="392"/>
    <x v="0"/>
    <n v="2"/>
    <x v="2"/>
    <x v="2"/>
    <x v="0"/>
    <n v="1670"/>
    <x v="2"/>
    <x v="1"/>
    <n v="93"/>
    <x v="0"/>
    <x v="0"/>
    <x v="0"/>
    <x v="0"/>
    <x v="2"/>
    <x v="1102"/>
    <n v="3921"/>
    <n v="1"/>
    <s v="Y"/>
    <x v="1"/>
    <n v="14"/>
    <x v="0"/>
    <x v="3"/>
    <n v="80"/>
    <n v="2"/>
    <n v="6"/>
    <n v="5"/>
    <x v="1"/>
    <x v="0"/>
    <n v="2"/>
    <x v="0"/>
    <x v="10"/>
    <x v="1"/>
    <x v="0"/>
    <x v="0"/>
    <n v="0"/>
  </r>
  <r>
    <x v="5"/>
    <x v="1"/>
    <x v="0"/>
    <n v="977"/>
    <x v="1"/>
    <n v="2"/>
    <x v="3"/>
    <x v="2"/>
    <x v="0"/>
    <n v="1671"/>
    <x v="2"/>
    <x v="1"/>
    <n v="45"/>
    <x v="0"/>
    <x v="0"/>
    <x v="1"/>
    <x v="1"/>
    <x v="2"/>
    <x v="1103"/>
    <n v="25518"/>
    <n v="0"/>
    <s v="Y"/>
    <x v="1"/>
    <n v="13"/>
    <x v="0"/>
    <x v="3"/>
    <n v="80"/>
    <n v="2"/>
    <n v="10"/>
    <n v="4"/>
    <x v="2"/>
    <x v="7"/>
    <n v="5"/>
    <x v="1"/>
    <x v="4"/>
    <x v="1"/>
    <x v="0"/>
    <x v="0"/>
    <n v="0"/>
  </r>
  <r>
    <x v="12"/>
    <x v="1"/>
    <x v="0"/>
    <n v="1112"/>
    <x v="0"/>
    <n v="5"/>
    <x v="2"/>
    <x v="0"/>
    <x v="0"/>
    <n v="1673"/>
    <x v="3"/>
    <x v="0"/>
    <n v="67"/>
    <x v="0"/>
    <x v="0"/>
    <x v="0"/>
    <x v="0"/>
    <x v="1"/>
    <x v="1104"/>
    <n v="22589"/>
    <n v="1"/>
    <s v="Y"/>
    <x v="1"/>
    <n v="11"/>
    <x v="0"/>
    <x v="0"/>
    <n v="80"/>
    <n v="2"/>
    <n v="10"/>
    <n v="2"/>
    <x v="1"/>
    <x v="1"/>
    <n v="0"/>
    <x v="0"/>
    <x v="3"/>
    <x v="1"/>
    <x v="0"/>
    <x v="0"/>
    <n v="0"/>
  </r>
  <r>
    <x v="1"/>
    <x v="1"/>
    <x v="0"/>
    <n v="464"/>
    <x v="1"/>
    <n v="16"/>
    <x v="3"/>
    <x v="2"/>
    <x v="0"/>
    <n v="1674"/>
    <x v="2"/>
    <x v="0"/>
    <n v="74"/>
    <x v="0"/>
    <x v="1"/>
    <x v="2"/>
    <x v="3"/>
    <x v="2"/>
    <x v="1105"/>
    <n v="24941"/>
    <n v="4"/>
    <s v="Y"/>
    <x v="0"/>
    <n v="16"/>
    <x v="0"/>
    <x v="2"/>
    <n v="80"/>
    <n v="1"/>
    <n v="17"/>
    <n v="2"/>
    <x v="2"/>
    <x v="4"/>
    <n v="2"/>
    <x v="3"/>
    <x v="3"/>
    <x v="0"/>
    <x v="1"/>
    <x v="1"/>
    <n v="0"/>
  </r>
  <r>
    <x v="8"/>
    <x v="1"/>
    <x v="1"/>
    <n v="148"/>
    <x v="1"/>
    <n v="2"/>
    <x v="3"/>
    <x v="2"/>
    <x v="0"/>
    <n v="1675"/>
    <x v="2"/>
    <x v="0"/>
    <n v="42"/>
    <x v="1"/>
    <x v="1"/>
    <x v="2"/>
    <x v="1"/>
    <x v="0"/>
    <x v="1106"/>
    <n v="23826"/>
    <n v="1"/>
    <s v="Y"/>
    <x v="1"/>
    <n v="22"/>
    <x v="1"/>
    <x v="2"/>
    <n v="80"/>
    <n v="0"/>
    <n v="4"/>
    <n v="3"/>
    <x v="1"/>
    <x v="9"/>
    <n v="3"/>
    <x v="2"/>
    <x v="6"/>
    <x v="1"/>
    <x v="2"/>
    <x v="1"/>
    <n v="0"/>
  </r>
  <r>
    <x v="40"/>
    <x v="1"/>
    <x v="0"/>
    <n v="1225"/>
    <x v="0"/>
    <n v="2"/>
    <x v="2"/>
    <x v="0"/>
    <x v="0"/>
    <n v="1676"/>
    <x v="0"/>
    <x v="0"/>
    <n v="47"/>
    <x v="2"/>
    <x v="3"/>
    <x v="5"/>
    <x v="1"/>
    <x v="2"/>
    <x v="1107"/>
    <n v="21086"/>
    <n v="6"/>
    <s v="Y"/>
    <x v="1"/>
    <n v="14"/>
    <x v="0"/>
    <x v="3"/>
    <n v="80"/>
    <n v="3"/>
    <n v="29"/>
    <n v="2"/>
    <x v="1"/>
    <x v="11"/>
    <n v="2"/>
    <x v="1"/>
    <x v="3"/>
    <x v="0"/>
    <x v="2"/>
    <x v="2"/>
    <n v="0"/>
  </r>
  <r>
    <x v="1"/>
    <x v="1"/>
    <x v="0"/>
    <n v="809"/>
    <x v="1"/>
    <n v="1"/>
    <x v="3"/>
    <x v="0"/>
    <x v="0"/>
    <n v="1677"/>
    <x v="1"/>
    <x v="1"/>
    <n v="36"/>
    <x v="0"/>
    <x v="3"/>
    <x v="5"/>
    <x v="2"/>
    <x v="0"/>
    <x v="1108"/>
    <n v="22384"/>
    <n v="4"/>
    <s v="Y"/>
    <x v="1"/>
    <n v="14"/>
    <x v="0"/>
    <x v="0"/>
    <n v="80"/>
    <n v="0"/>
    <n v="23"/>
    <n v="2"/>
    <x v="1"/>
    <x v="3"/>
    <n v="7"/>
    <x v="0"/>
    <x v="2"/>
    <x v="0"/>
    <x v="0"/>
    <x v="2"/>
    <n v="0"/>
  </r>
  <r>
    <x v="0"/>
    <x v="1"/>
    <x v="0"/>
    <n v="1206"/>
    <x v="0"/>
    <n v="23"/>
    <x v="0"/>
    <x v="0"/>
    <x v="0"/>
    <n v="1678"/>
    <x v="2"/>
    <x v="1"/>
    <n v="80"/>
    <x v="0"/>
    <x v="2"/>
    <x v="0"/>
    <x v="2"/>
    <x v="0"/>
    <x v="1109"/>
    <n v="11591"/>
    <n v="3"/>
    <s v="Y"/>
    <x v="0"/>
    <n v="16"/>
    <x v="0"/>
    <x v="1"/>
    <n v="80"/>
    <n v="0"/>
    <n v="21"/>
    <n v="2"/>
    <x v="1"/>
    <x v="4"/>
    <n v="0"/>
    <x v="0"/>
    <x v="3"/>
    <x v="0"/>
    <x v="1"/>
    <x v="0"/>
    <n v="0"/>
  </r>
  <r>
    <x v="35"/>
    <x v="1"/>
    <x v="0"/>
    <n v="727"/>
    <x v="0"/>
    <n v="9"/>
    <x v="1"/>
    <x v="0"/>
    <x v="0"/>
    <n v="1680"/>
    <x v="2"/>
    <x v="1"/>
    <n v="54"/>
    <x v="0"/>
    <x v="1"/>
    <x v="6"/>
    <x v="3"/>
    <x v="0"/>
    <x v="1110"/>
    <n v="21082"/>
    <n v="1"/>
    <s v="Y"/>
    <x v="1"/>
    <n v="11"/>
    <x v="0"/>
    <x v="0"/>
    <n v="80"/>
    <n v="0"/>
    <n v="2"/>
    <n v="3"/>
    <x v="1"/>
    <x v="4"/>
    <n v="2"/>
    <x v="0"/>
    <x v="3"/>
    <x v="2"/>
    <x v="1"/>
    <x v="1"/>
    <n v="0"/>
  </r>
  <r>
    <x v="3"/>
    <x v="1"/>
    <x v="2"/>
    <n v="530"/>
    <x v="0"/>
    <n v="16"/>
    <x v="3"/>
    <x v="0"/>
    <x v="0"/>
    <n v="1681"/>
    <x v="1"/>
    <x v="0"/>
    <n v="36"/>
    <x v="0"/>
    <x v="0"/>
    <x v="0"/>
    <x v="0"/>
    <x v="2"/>
    <x v="1111"/>
    <n v="16130"/>
    <n v="1"/>
    <s v="Y"/>
    <x v="0"/>
    <n v="25"/>
    <x v="1"/>
    <x v="3"/>
    <n v="80"/>
    <n v="1"/>
    <n v="7"/>
    <n v="2"/>
    <x v="1"/>
    <x v="0"/>
    <n v="5"/>
    <x v="1"/>
    <x v="3"/>
    <x v="1"/>
    <x v="0"/>
    <x v="0"/>
    <n v="0"/>
  </r>
  <r>
    <x v="9"/>
    <x v="1"/>
    <x v="0"/>
    <n v="1351"/>
    <x v="1"/>
    <n v="26"/>
    <x v="2"/>
    <x v="0"/>
    <x v="0"/>
    <n v="1682"/>
    <x v="3"/>
    <x v="1"/>
    <n v="80"/>
    <x v="0"/>
    <x v="0"/>
    <x v="4"/>
    <x v="2"/>
    <x v="1"/>
    <x v="1112"/>
    <n v="7419"/>
    <n v="6"/>
    <s v="Y"/>
    <x v="1"/>
    <n v="14"/>
    <x v="0"/>
    <x v="2"/>
    <n v="80"/>
    <n v="2"/>
    <n v="10"/>
    <n v="2"/>
    <x v="2"/>
    <x v="11"/>
    <n v="2"/>
    <x v="0"/>
    <x v="3"/>
    <x v="1"/>
    <x v="2"/>
    <x v="0"/>
    <n v="0"/>
  </r>
  <r>
    <x v="20"/>
    <x v="1"/>
    <x v="0"/>
    <n v="528"/>
    <x v="2"/>
    <n v="1"/>
    <x v="3"/>
    <x v="0"/>
    <x v="0"/>
    <n v="1683"/>
    <x v="1"/>
    <x v="0"/>
    <n v="44"/>
    <x v="0"/>
    <x v="1"/>
    <x v="8"/>
    <x v="0"/>
    <x v="2"/>
    <x v="1113"/>
    <n v="4167"/>
    <n v="4"/>
    <s v="Y"/>
    <x v="0"/>
    <n v="18"/>
    <x v="0"/>
    <x v="0"/>
    <n v="80"/>
    <n v="3"/>
    <n v="8"/>
    <n v="2"/>
    <x v="1"/>
    <x v="4"/>
    <n v="2"/>
    <x v="3"/>
    <x v="3"/>
    <x v="0"/>
    <x v="1"/>
    <x v="1"/>
    <n v="0"/>
  </r>
  <r>
    <x v="30"/>
    <x v="0"/>
    <x v="0"/>
    <n v="1320"/>
    <x v="1"/>
    <n v="8"/>
    <x v="1"/>
    <x v="2"/>
    <x v="0"/>
    <n v="1684"/>
    <x v="2"/>
    <x v="1"/>
    <n v="93"/>
    <x v="1"/>
    <x v="1"/>
    <x v="2"/>
    <x v="2"/>
    <x v="0"/>
    <x v="1114"/>
    <n v="20586"/>
    <n v="1"/>
    <s v="Y"/>
    <x v="0"/>
    <n v="11"/>
    <x v="0"/>
    <x v="0"/>
    <n v="80"/>
    <n v="0"/>
    <n v="5"/>
    <n v="2"/>
    <x v="1"/>
    <x v="8"/>
    <n v="4"/>
    <x v="1"/>
    <x v="3"/>
    <x v="2"/>
    <x v="2"/>
    <x v="1"/>
    <n v="1"/>
  </r>
  <r>
    <x v="8"/>
    <x v="1"/>
    <x v="0"/>
    <n v="1495"/>
    <x v="1"/>
    <n v="4"/>
    <x v="0"/>
    <x v="2"/>
    <x v="0"/>
    <n v="1687"/>
    <x v="2"/>
    <x v="0"/>
    <n v="87"/>
    <x v="0"/>
    <x v="1"/>
    <x v="2"/>
    <x v="2"/>
    <x v="1"/>
    <x v="1115"/>
    <n v="26176"/>
    <n v="7"/>
    <s v="Y"/>
    <x v="1"/>
    <n v="19"/>
    <x v="0"/>
    <x v="1"/>
    <n v="80"/>
    <n v="1"/>
    <n v="7"/>
    <n v="5"/>
    <x v="2"/>
    <x v="2"/>
    <n v="0"/>
    <x v="0"/>
    <x v="2"/>
    <x v="1"/>
    <x v="1"/>
    <x v="1"/>
    <n v="0"/>
  </r>
  <r>
    <x v="16"/>
    <x v="1"/>
    <x v="0"/>
    <n v="1395"/>
    <x v="1"/>
    <n v="24"/>
    <x v="2"/>
    <x v="2"/>
    <x v="0"/>
    <n v="1689"/>
    <x v="0"/>
    <x v="1"/>
    <n v="48"/>
    <x v="2"/>
    <x v="2"/>
    <x v="4"/>
    <x v="0"/>
    <x v="1"/>
    <x v="1116"/>
    <n v="3458"/>
    <n v="3"/>
    <s v="Y"/>
    <x v="1"/>
    <n v="15"/>
    <x v="0"/>
    <x v="3"/>
    <n v="80"/>
    <n v="0"/>
    <n v="11"/>
    <n v="2"/>
    <x v="1"/>
    <x v="9"/>
    <n v="3"/>
    <x v="1"/>
    <x v="3"/>
    <x v="3"/>
    <x v="2"/>
    <x v="0"/>
    <n v="0"/>
  </r>
  <r>
    <x v="26"/>
    <x v="0"/>
    <x v="1"/>
    <n v="708"/>
    <x v="0"/>
    <n v="7"/>
    <x v="0"/>
    <x v="2"/>
    <x v="0"/>
    <n v="1691"/>
    <x v="2"/>
    <x v="0"/>
    <n v="95"/>
    <x v="0"/>
    <x v="1"/>
    <x v="6"/>
    <x v="2"/>
    <x v="1"/>
    <x v="1117"/>
    <n v="11740"/>
    <n v="2"/>
    <s v="Y"/>
    <x v="0"/>
    <n v="11"/>
    <x v="0"/>
    <x v="3"/>
    <n v="80"/>
    <n v="2"/>
    <n v="19"/>
    <n v="3"/>
    <x v="1"/>
    <x v="7"/>
    <n v="7"/>
    <x v="4"/>
    <x v="1"/>
    <x v="0"/>
    <x v="0"/>
    <x v="1"/>
    <n v="1"/>
  </r>
  <r>
    <x v="5"/>
    <x v="0"/>
    <x v="0"/>
    <n v="1259"/>
    <x v="1"/>
    <n v="2"/>
    <x v="2"/>
    <x v="0"/>
    <x v="0"/>
    <n v="1692"/>
    <x v="2"/>
    <x v="1"/>
    <n v="95"/>
    <x v="0"/>
    <x v="1"/>
    <x v="2"/>
    <x v="1"/>
    <x v="0"/>
    <x v="1118"/>
    <n v="24852"/>
    <n v="1"/>
    <s v="Y"/>
    <x v="1"/>
    <n v="12"/>
    <x v="0"/>
    <x v="0"/>
    <n v="80"/>
    <n v="0"/>
    <n v="1"/>
    <n v="2"/>
    <x v="1"/>
    <x v="6"/>
    <n v="0"/>
    <x v="0"/>
    <x v="2"/>
    <x v="1"/>
    <x v="1"/>
    <x v="1"/>
    <n v="1"/>
  </r>
  <r>
    <x v="25"/>
    <x v="1"/>
    <x v="2"/>
    <n v="786"/>
    <x v="1"/>
    <n v="7"/>
    <x v="3"/>
    <x v="2"/>
    <x v="0"/>
    <n v="1693"/>
    <x v="2"/>
    <x v="1"/>
    <n v="76"/>
    <x v="0"/>
    <x v="1"/>
    <x v="2"/>
    <x v="0"/>
    <x v="0"/>
    <x v="1119"/>
    <n v="11925"/>
    <n v="1"/>
    <s v="Y"/>
    <x v="1"/>
    <n v="20"/>
    <x v="1"/>
    <x v="3"/>
    <n v="80"/>
    <n v="0"/>
    <n v="7"/>
    <n v="5"/>
    <x v="1"/>
    <x v="5"/>
    <n v="7"/>
    <x v="8"/>
    <x v="1"/>
    <x v="2"/>
    <x v="0"/>
    <x v="1"/>
    <n v="0"/>
  </r>
  <r>
    <x v="27"/>
    <x v="1"/>
    <x v="0"/>
    <n v="1441"/>
    <x v="1"/>
    <n v="22"/>
    <x v="3"/>
    <x v="4"/>
    <x v="0"/>
    <n v="1694"/>
    <x v="3"/>
    <x v="1"/>
    <n v="94"/>
    <x v="1"/>
    <x v="1"/>
    <x v="1"/>
    <x v="1"/>
    <x v="2"/>
    <x v="1120"/>
    <n v="23737"/>
    <n v="5"/>
    <s v="Y"/>
    <x v="1"/>
    <n v="12"/>
    <x v="0"/>
    <x v="1"/>
    <n v="80"/>
    <n v="1"/>
    <n v="8"/>
    <n v="1"/>
    <x v="1"/>
    <x v="9"/>
    <n v="2"/>
    <x v="1"/>
    <x v="3"/>
    <x v="3"/>
    <x v="2"/>
    <x v="1"/>
    <n v="0"/>
  </r>
  <r>
    <x v="13"/>
    <x v="1"/>
    <x v="0"/>
    <n v="1157"/>
    <x v="1"/>
    <n v="5"/>
    <x v="0"/>
    <x v="2"/>
    <x v="0"/>
    <n v="1696"/>
    <x v="0"/>
    <x v="1"/>
    <n v="57"/>
    <x v="1"/>
    <x v="0"/>
    <x v="2"/>
    <x v="0"/>
    <x v="1"/>
    <x v="1121"/>
    <n v="11912"/>
    <n v="1"/>
    <s v="Y"/>
    <x v="1"/>
    <n v="14"/>
    <x v="0"/>
    <x v="3"/>
    <n v="80"/>
    <n v="1"/>
    <n v="15"/>
    <n v="3"/>
    <x v="3"/>
    <x v="15"/>
    <n v="10"/>
    <x v="5"/>
    <x v="15"/>
    <x v="1"/>
    <x v="3"/>
    <x v="1"/>
    <n v="0"/>
  </r>
  <r>
    <x v="42"/>
    <x v="1"/>
    <x v="0"/>
    <n v="370"/>
    <x v="1"/>
    <n v="1"/>
    <x v="2"/>
    <x v="2"/>
    <x v="0"/>
    <n v="1697"/>
    <x v="1"/>
    <x v="1"/>
    <n v="92"/>
    <x v="3"/>
    <x v="2"/>
    <x v="4"/>
    <x v="0"/>
    <x v="2"/>
    <x v="1122"/>
    <n v="20467"/>
    <n v="3"/>
    <s v="Y"/>
    <x v="1"/>
    <n v="20"/>
    <x v="1"/>
    <x v="3"/>
    <n v="80"/>
    <n v="1"/>
    <n v="19"/>
    <n v="2"/>
    <x v="3"/>
    <x v="6"/>
    <n v="0"/>
    <x v="0"/>
    <x v="2"/>
    <x v="3"/>
    <x v="1"/>
    <x v="3"/>
    <n v="0"/>
  </r>
  <r>
    <x v="3"/>
    <x v="1"/>
    <x v="0"/>
    <n v="267"/>
    <x v="1"/>
    <n v="21"/>
    <x v="3"/>
    <x v="2"/>
    <x v="0"/>
    <n v="1698"/>
    <x v="0"/>
    <x v="1"/>
    <n v="79"/>
    <x v="2"/>
    <x v="1"/>
    <x v="2"/>
    <x v="1"/>
    <x v="1"/>
    <x v="14"/>
    <n v="13637"/>
    <n v="1"/>
    <s v="Y"/>
    <x v="1"/>
    <n v="18"/>
    <x v="0"/>
    <x v="1"/>
    <n v="80"/>
    <n v="3"/>
    <n v="14"/>
    <n v="6"/>
    <x v="1"/>
    <x v="13"/>
    <n v="11"/>
    <x v="3"/>
    <x v="15"/>
    <x v="1"/>
    <x v="3"/>
    <x v="1"/>
    <n v="0"/>
  </r>
  <r>
    <x v="2"/>
    <x v="1"/>
    <x v="1"/>
    <n v="1278"/>
    <x v="0"/>
    <n v="1"/>
    <x v="2"/>
    <x v="2"/>
    <x v="0"/>
    <n v="1700"/>
    <x v="1"/>
    <x v="1"/>
    <n v="31"/>
    <x v="3"/>
    <x v="0"/>
    <x v="0"/>
    <x v="0"/>
    <x v="2"/>
    <x v="1123"/>
    <n v="7677"/>
    <n v="1"/>
    <s v="Y"/>
    <x v="1"/>
    <n v="14"/>
    <x v="0"/>
    <x v="3"/>
    <n v="80"/>
    <n v="2"/>
    <n v="6"/>
    <n v="2"/>
    <x v="2"/>
    <x v="0"/>
    <n v="3"/>
    <x v="1"/>
    <x v="6"/>
    <x v="1"/>
    <x v="0"/>
    <x v="0"/>
    <n v="0"/>
  </r>
  <r>
    <x v="13"/>
    <x v="1"/>
    <x v="0"/>
    <n v="678"/>
    <x v="1"/>
    <n v="19"/>
    <x v="3"/>
    <x v="0"/>
    <x v="0"/>
    <n v="1701"/>
    <x v="0"/>
    <x v="0"/>
    <n v="35"/>
    <x v="1"/>
    <x v="1"/>
    <x v="1"/>
    <x v="0"/>
    <x v="1"/>
    <x v="1124"/>
    <n v="20338"/>
    <n v="1"/>
    <s v="Y"/>
    <x v="1"/>
    <n v="12"/>
    <x v="0"/>
    <x v="2"/>
    <n v="80"/>
    <n v="0"/>
    <n v="10"/>
    <n v="3"/>
    <x v="1"/>
    <x v="1"/>
    <n v="9"/>
    <x v="6"/>
    <x v="1"/>
    <x v="1"/>
    <x v="0"/>
    <x v="1"/>
    <n v="0"/>
  </r>
  <r>
    <x v="30"/>
    <x v="0"/>
    <x v="0"/>
    <n v="427"/>
    <x v="0"/>
    <n v="7"/>
    <x v="3"/>
    <x v="0"/>
    <x v="0"/>
    <n v="1702"/>
    <x v="1"/>
    <x v="1"/>
    <n v="99"/>
    <x v="0"/>
    <x v="1"/>
    <x v="6"/>
    <x v="0"/>
    <x v="2"/>
    <x v="1125"/>
    <n v="25103"/>
    <n v="1"/>
    <s v="Y"/>
    <x v="0"/>
    <n v="21"/>
    <x v="1"/>
    <x v="2"/>
    <n v="80"/>
    <n v="1"/>
    <n v="3"/>
    <n v="2"/>
    <x v="1"/>
    <x v="11"/>
    <n v="2"/>
    <x v="0"/>
    <x v="3"/>
    <x v="2"/>
    <x v="2"/>
    <x v="1"/>
    <n v="1"/>
  </r>
  <r>
    <x v="20"/>
    <x v="1"/>
    <x v="0"/>
    <n v="921"/>
    <x v="1"/>
    <n v="2"/>
    <x v="3"/>
    <x v="0"/>
    <x v="0"/>
    <n v="1703"/>
    <x v="1"/>
    <x v="0"/>
    <n v="96"/>
    <x v="2"/>
    <x v="2"/>
    <x v="4"/>
    <x v="0"/>
    <x v="1"/>
    <x v="1126"/>
    <n v="14810"/>
    <n v="1"/>
    <s v="Y"/>
    <x v="0"/>
    <n v="19"/>
    <x v="0"/>
    <x v="2"/>
    <n v="80"/>
    <n v="1"/>
    <n v="9"/>
    <n v="2"/>
    <x v="1"/>
    <x v="3"/>
    <n v="7"/>
    <x v="7"/>
    <x v="1"/>
    <x v="0"/>
    <x v="0"/>
    <x v="0"/>
    <n v="0"/>
  </r>
  <r>
    <x v="10"/>
    <x v="1"/>
    <x v="1"/>
    <n v="146"/>
    <x v="1"/>
    <n v="2"/>
    <x v="2"/>
    <x v="2"/>
    <x v="0"/>
    <n v="1704"/>
    <x v="3"/>
    <x v="1"/>
    <n v="79"/>
    <x v="1"/>
    <x v="1"/>
    <x v="1"/>
    <x v="0"/>
    <x v="0"/>
    <x v="1127"/>
    <n v="13970"/>
    <n v="0"/>
    <s v="Y"/>
    <x v="0"/>
    <n v="14"/>
    <x v="0"/>
    <x v="3"/>
    <n v="80"/>
    <n v="0"/>
    <n v="6"/>
    <n v="2"/>
    <x v="3"/>
    <x v="8"/>
    <n v="4"/>
    <x v="1"/>
    <x v="10"/>
    <x v="1"/>
    <x v="2"/>
    <x v="1"/>
    <n v="0"/>
  </r>
  <r>
    <x v="23"/>
    <x v="1"/>
    <x v="0"/>
    <n v="1179"/>
    <x v="0"/>
    <n v="2"/>
    <x v="3"/>
    <x v="2"/>
    <x v="0"/>
    <n v="1706"/>
    <x v="2"/>
    <x v="1"/>
    <n v="73"/>
    <x v="0"/>
    <x v="0"/>
    <x v="0"/>
    <x v="0"/>
    <x v="1"/>
    <x v="1128"/>
    <n v="6069"/>
    <n v="1"/>
    <s v="Y"/>
    <x v="0"/>
    <n v="17"/>
    <x v="0"/>
    <x v="0"/>
    <n v="80"/>
    <n v="1"/>
    <n v="10"/>
    <n v="3"/>
    <x v="1"/>
    <x v="1"/>
    <n v="9"/>
    <x v="6"/>
    <x v="5"/>
    <x v="0"/>
    <x v="0"/>
    <x v="0"/>
    <n v="0"/>
  </r>
  <r>
    <x v="17"/>
    <x v="1"/>
    <x v="0"/>
    <n v="581"/>
    <x v="1"/>
    <n v="9"/>
    <x v="3"/>
    <x v="2"/>
    <x v="0"/>
    <n v="1707"/>
    <x v="1"/>
    <x v="1"/>
    <n v="62"/>
    <x v="2"/>
    <x v="1"/>
    <x v="1"/>
    <x v="2"/>
    <x v="1"/>
    <x v="1129"/>
    <n v="17616"/>
    <n v="1"/>
    <s v="Y"/>
    <x v="1"/>
    <n v="16"/>
    <x v="0"/>
    <x v="1"/>
    <n v="80"/>
    <n v="1"/>
    <n v="5"/>
    <n v="1"/>
    <x v="1"/>
    <x v="8"/>
    <n v="3"/>
    <x v="0"/>
    <x v="10"/>
    <x v="2"/>
    <x v="2"/>
    <x v="1"/>
    <n v="0"/>
  </r>
  <r>
    <x v="0"/>
    <x v="1"/>
    <x v="0"/>
    <n v="918"/>
    <x v="0"/>
    <n v="6"/>
    <x v="3"/>
    <x v="3"/>
    <x v="0"/>
    <n v="1708"/>
    <x v="2"/>
    <x v="1"/>
    <n v="35"/>
    <x v="0"/>
    <x v="2"/>
    <x v="0"/>
    <x v="2"/>
    <x v="0"/>
    <x v="1130"/>
    <n v="15869"/>
    <n v="1"/>
    <s v="Y"/>
    <x v="1"/>
    <n v="12"/>
    <x v="0"/>
    <x v="2"/>
    <n v="80"/>
    <n v="0"/>
    <n v="10"/>
    <n v="3"/>
    <x v="1"/>
    <x v="1"/>
    <n v="8"/>
    <x v="6"/>
    <x v="1"/>
    <x v="0"/>
    <x v="0"/>
    <x v="0"/>
    <n v="0"/>
  </r>
  <r>
    <x v="11"/>
    <x v="1"/>
    <x v="0"/>
    <n v="1082"/>
    <x v="1"/>
    <n v="9"/>
    <x v="2"/>
    <x v="2"/>
    <x v="0"/>
    <n v="1709"/>
    <x v="2"/>
    <x v="0"/>
    <n v="43"/>
    <x v="0"/>
    <x v="1"/>
    <x v="2"/>
    <x v="2"/>
    <x v="1"/>
    <x v="1131"/>
    <n v="25412"/>
    <n v="9"/>
    <s v="Y"/>
    <x v="1"/>
    <n v="17"/>
    <x v="0"/>
    <x v="3"/>
    <n v="80"/>
    <n v="1"/>
    <n v="9"/>
    <n v="2"/>
    <x v="1"/>
    <x v="8"/>
    <n v="3"/>
    <x v="1"/>
    <x v="3"/>
    <x v="2"/>
    <x v="2"/>
    <x v="1"/>
    <n v="0"/>
  </r>
  <r>
    <x v="9"/>
    <x v="1"/>
    <x v="0"/>
    <n v="530"/>
    <x v="0"/>
    <n v="2"/>
    <x v="2"/>
    <x v="0"/>
    <x v="0"/>
    <n v="1710"/>
    <x v="1"/>
    <x v="0"/>
    <n v="51"/>
    <x v="0"/>
    <x v="0"/>
    <x v="6"/>
    <x v="0"/>
    <x v="0"/>
    <x v="1132"/>
    <n v="7439"/>
    <n v="3"/>
    <s v="Y"/>
    <x v="1"/>
    <n v="15"/>
    <x v="0"/>
    <x v="3"/>
    <n v="80"/>
    <n v="0"/>
    <n v="17"/>
    <n v="2"/>
    <x v="2"/>
    <x v="20"/>
    <n v="7"/>
    <x v="7"/>
    <x v="1"/>
    <x v="1"/>
    <x v="3"/>
    <x v="1"/>
    <n v="0"/>
  </r>
  <r>
    <x v="28"/>
    <x v="1"/>
    <x v="2"/>
    <n v="1238"/>
    <x v="1"/>
    <n v="1"/>
    <x v="1"/>
    <x v="0"/>
    <x v="0"/>
    <n v="1712"/>
    <x v="1"/>
    <x v="1"/>
    <n v="74"/>
    <x v="1"/>
    <x v="2"/>
    <x v="4"/>
    <x v="2"/>
    <x v="1"/>
    <x v="1133"/>
    <n v="3395"/>
    <n v="3"/>
    <s v="Y"/>
    <x v="1"/>
    <n v="23"/>
    <x v="1"/>
    <x v="1"/>
    <n v="80"/>
    <n v="1"/>
    <n v="25"/>
    <n v="3"/>
    <x v="2"/>
    <x v="36"/>
    <n v="15"/>
    <x v="15"/>
    <x v="10"/>
    <x v="0"/>
    <x v="3"/>
    <x v="3"/>
    <n v="0"/>
  </r>
  <r>
    <x v="17"/>
    <x v="0"/>
    <x v="0"/>
    <n v="240"/>
    <x v="2"/>
    <n v="22"/>
    <x v="1"/>
    <x v="5"/>
    <x v="0"/>
    <n v="1714"/>
    <x v="2"/>
    <x v="1"/>
    <n v="58"/>
    <x v="3"/>
    <x v="1"/>
    <x v="8"/>
    <x v="2"/>
    <x v="1"/>
    <x v="1134"/>
    <n v="11585"/>
    <n v="1"/>
    <s v="Y"/>
    <x v="1"/>
    <n v="11"/>
    <x v="0"/>
    <x v="3"/>
    <n v="80"/>
    <n v="1"/>
    <n v="1"/>
    <n v="2"/>
    <x v="1"/>
    <x v="6"/>
    <n v="0"/>
    <x v="0"/>
    <x v="2"/>
    <x v="2"/>
    <x v="1"/>
    <x v="1"/>
    <n v="1"/>
  </r>
  <r>
    <x v="40"/>
    <x v="0"/>
    <x v="1"/>
    <n v="1093"/>
    <x v="0"/>
    <n v="9"/>
    <x v="3"/>
    <x v="0"/>
    <x v="0"/>
    <n v="1716"/>
    <x v="1"/>
    <x v="1"/>
    <n v="82"/>
    <x v="3"/>
    <x v="3"/>
    <x v="0"/>
    <x v="2"/>
    <x v="1"/>
    <x v="1135"/>
    <n v="24164"/>
    <n v="7"/>
    <s v="Y"/>
    <x v="1"/>
    <n v="11"/>
    <x v="0"/>
    <x v="3"/>
    <n v="80"/>
    <n v="0"/>
    <n v="25"/>
    <n v="3"/>
    <x v="0"/>
    <x v="36"/>
    <n v="5"/>
    <x v="15"/>
    <x v="13"/>
    <x v="0"/>
    <x v="3"/>
    <x v="3"/>
    <n v="1"/>
  </r>
  <r>
    <x v="25"/>
    <x v="1"/>
    <x v="0"/>
    <n v="390"/>
    <x v="1"/>
    <n v="17"/>
    <x v="2"/>
    <x v="2"/>
    <x v="0"/>
    <n v="1718"/>
    <x v="2"/>
    <x v="1"/>
    <n v="62"/>
    <x v="3"/>
    <x v="1"/>
    <x v="2"/>
    <x v="2"/>
    <x v="1"/>
    <x v="1136"/>
    <n v="6217"/>
    <n v="1"/>
    <s v="Y"/>
    <x v="1"/>
    <n v="15"/>
    <x v="0"/>
    <x v="3"/>
    <n v="80"/>
    <n v="3"/>
    <n v="3"/>
    <n v="3"/>
    <x v="3"/>
    <x v="11"/>
    <n v="2"/>
    <x v="0"/>
    <x v="3"/>
    <x v="2"/>
    <x v="2"/>
    <x v="1"/>
    <n v="0"/>
  </r>
  <r>
    <x v="28"/>
    <x v="1"/>
    <x v="0"/>
    <n v="1005"/>
    <x v="1"/>
    <n v="28"/>
    <x v="0"/>
    <x v="4"/>
    <x v="0"/>
    <n v="1719"/>
    <x v="2"/>
    <x v="0"/>
    <n v="48"/>
    <x v="1"/>
    <x v="3"/>
    <x v="7"/>
    <x v="1"/>
    <x v="0"/>
    <x v="1137"/>
    <n v="17119"/>
    <n v="1"/>
    <s v="Y"/>
    <x v="1"/>
    <n v="11"/>
    <x v="0"/>
    <x v="3"/>
    <n v="80"/>
    <n v="0"/>
    <n v="21"/>
    <n v="2"/>
    <x v="1"/>
    <x v="17"/>
    <n v="6"/>
    <x v="6"/>
    <x v="4"/>
    <x v="0"/>
    <x v="3"/>
    <x v="2"/>
    <n v="0"/>
  </r>
  <r>
    <x v="5"/>
    <x v="1"/>
    <x v="1"/>
    <n v="585"/>
    <x v="1"/>
    <n v="10"/>
    <x v="3"/>
    <x v="0"/>
    <x v="0"/>
    <n v="1720"/>
    <x v="3"/>
    <x v="1"/>
    <n v="56"/>
    <x v="0"/>
    <x v="1"/>
    <x v="1"/>
    <x v="2"/>
    <x v="1"/>
    <x v="1138"/>
    <n v="17360"/>
    <n v="6"/>
    <s v="Y"/>
    <x v="1"/>
    <n v="13"/>
    <x v="0"/>
    <x v="0"/>
    <n v="80"/>
    <n v="1"/>
    <n v="10"/>
    <n v="3"/>
    <x v="2"/>
    <x v="8"/>
    <n v="2"/>
    <x v="1"/>
    <x v="6"/>
    <x v="1"/>
    <x v="2"/>
    <x v="1"/>
    <n v="0"/>
  </r>
  <r>
    <x v="12"/>
    <x v="1"/>
    <x v="0"/>
    <n v="741"/>
    <x v="1"/>
    <n v="2"/>
    <x v="2"/>
    <x v="0"/>
    <x v="0"/>
    <n v="1721"/>
    <x v="0"/>
    <x v="1"/>
    <n v="69"/>
    <x v="0"/>
    <x v="1"/>
    <x v="2"/>
    <x v="2"/>
    <x v="1"/>
    <x v="1139"/>
    <n v="18103"/>
    <n v="1"/>
    <s v="Y"/>
    <x v="1"/>
    <n v="14"/>
    <x v="0"/>
    <x v="1"/>
    <n v="80"/>
    <n v="1"/>
    <n v="6"/>
    <n v="2"/>
    <x v="3"/>
    <x v="8"/>
    <n v="2"/>
    <x v="0"/>
    <x v="6"/>
    <x v="1"/>
    <x v="2"/>
    <x v="1"/>
    <n v="0"/>
  </r>
  <r>
    <x v="0"/>
    <x v="1"/>
    <x v="2"/>
    <n v="552"/>
    <x v="2"/>
    <n v="4"/>
    <x v="3"/>
    <x v="5"/>
    <x v="0"/>
    <n v="1722"/>
    <x v="1"/>
    <x v="1"/>
    <n v="60"/>
    <x v="3"/>
    <x v="0"/>
    <x v="8"/>
    <x v="1"/>
    <x v="1"/>
    <x v="1140"/>
    <n v="20794"/>
    <n v="6"/>
    <s v="Y"/>
    <x v="1"/>
    <n v="19"/>
    <x v="0"/>
    <x v="2"/>
    <n v="80"/>
    <n v="1"/>
    <n v="10"/>
    <n v="4"/>
    <x v="1"/>
    <x v="11"/>
    <n v="2"/>
    <x v="1"/>
    <x v="3"/>
    <x v="0"/>
    <x v="2"/>
    <x v="0"/>
    <n v="0"/>
  </r>
  <r>
    <x v="32"/>
    <x v="1"/>
    <x v="0"/>
    <n v="369"/>
    <x v="1"/>
    <n v="8"/>
    <x v="0"/>
    <x v="0"/>
    <x v="0"/>
    <n v="1724"/>
    <x v="0"/>
    <x v="0"/>
    <n v="92"/>
    <x v="0"/>
    <x v="0"/>
    <x v="3"/>
    <x v="3"/>
    <x v="1"/>
    <x v="1141"/>
    <n v="5041"/>
    <n v="2"/>
    <s v="Y"/>
    <x v="0"/>
    <n v="16"/>
    <x v="0"/>
    <x v="2"/>
    <n v="80"/>
    <n v="1"/>
    <n v="18"/>
    <n v="3"/>
    <x v="1"/>
    <x v="6"/>
    <n v="0"/>
    <x v="0"/>
    <x v="2"/>
    <x v="0"/>
    <x v="1"/>
    <x v="0"/>
    <n v="0"/>
  </r>
  <r>
    <x v="17"/>
    <x v="1"/>
    <x v="0"/>
    <n v="506"/>
    <x v="1"/>
    <n v="29"/>
    <x v="1"/>
    <x v="2"/>
    <x v="0"/>
    <n v="1725"/>
    <x v="0"/>
    <x v="1"/>
    <n v="91"/>
    <x v="0"/>
    <x v="1"/>
    <x v="2"/>
    <x v="3"/>
    <x v="2"/>
    <x v="1142"/>
    <n v="3622"/>
    <n v="1"/>
    <s v="Y"/>
    <x v="1"/>
    <n v="13"/>
    <x v="0"/>
    <x v="2"/>
    <n v="80"/>
    <n v="3"/>
    <n v="6"/>
    <n v="2"/>
    <x v="3"/>
    <x v="0"/>
    <n v="2"/>
    <x v="1"/>
    <x v="3"/>
    <x v="2"/>
    <x v="0"/>
    <x v="1"/>
    <n v="0"/>
  </r>
  <r>
    <x v="21"/>
    <x v="1"/>
    <x v="0"/>
    <n v="717"/>
    <x v="1"/>
    <n v="13"/>
    <x v="2"/>
    <x v="0"/>
    <x v="0"/>
    <n v="1727"/>
    <x v="1"/>
    <x v="1"/>
    <n v="34"/>
    <x v="0"/>
    <x v="0"/>
    <x v="4"/>
    <x v="1"/>
    <x v="0"/>
    <x v="622"/>
    <n v="9697"/>
    <n v="6"/>
    <s v="Y"/>
    <x v="1"/>
    <n v="14"/>
    <x v="0"/>
    <x v="1"/>
    <n v="80"/>
    <n v="0"/>
    <n v="19"/>
    <n v="3"/>
    <x v="1"/>
    <x v="1"/>
    <n v="7"/>
    <x v="0"/>
    <x v="12"/>
    <x v="0"/>
    <x v="0"/>
    <x v="0"/>
    <n v="0"/>
  </r>
  <r>
    <x v="10"/>
    <x v="1"/>
    <x v="0"/>
    <n v="1370"/>
    <x v="1"/>
    <n v="27"/>
    <x v="2"/>
    <x v="0"/>
    <x v="0"/>
    <n v="1728"/>
    <x v="2"/>
    <x v="1"/>
    <n v="49"/>
    <x v="0"/>
    <x v="0"/>
    <x v="3"/>
    <x v="2"/>
    <x v="1"/>
    <x v="1143"/>
    <n v="5151"/>
    <n v="2"/>
    <s v="Y"/>
    <x v="1"/>
    <n v="16"/>
    <x v="0"/>
    <x v="2"/>
    <n v="80"/>
    <n v="1"/>
    <n v="17"/>
    <n v="3"/>
    <x v="1"/>
    <x v="5"/>
    <n v="7"/>
    <x v="0"/>
    <x v="1"/>
    <x v="1"/>
    <x v="0"/>
    <x v="0"/>
    <n v="0"/>
  </r>
  <r>
    <x v="7"/>
    <x v="1"/>
    <x v="0"/>
    <n v="793"/>
    <x v="1"/>
    <n v="16"/>
    <x v="1"/>
    <x v="0"/>
    <x v="0"/>
    <n v="1729"/>
    <x v="0"/>
    <x v="1"/>
    <n v="33"/>
    <x v="0"/>
    <x v="1"/>
    <x v="1"/>
    <x v="0"/>
    <x v="1"/>
    <x v="1144"/>
    <n v="3811"/>
    <n v="1"/>
    <s v="Y"/>
    <x v="1"/>
    <n v="12"/>
    <x v="0"/>
    <x v="2"/>
    <n v="80"/>
    <n v="1"/>
    <n v="10"/>
    <n v="2"/>
    <x v="2"/>
    <x v="1"/>
    <n v="0"/>
    <x v="0"/>
    <x v="5"/>
    <x v="1"/>
    <x v="0"/>
    <x v="1"/>
    <n v="0"/>
  </r>
  <r>
    <x v="40"/>
    <x v="1"/>
    <x v="2"/>
    <n v="543"/>
    <x v="0"/>
    <n v="2"/>
    <x v="2"/>
    <x v="3"/>
    <x v="0"/>
    <n v="1731"/>
    <x v="1"/>
    <x v="1"/>
    <n v="87"/>
    <x v="0"/>
    <x v="0"/>
    <x v="0"/>
    <x v="1"/>
    <x v="1"/>
    <x v="1145"/>
    <n v="3536"/>
    <n v="7"/>
    <s v="Y"/>
    <x v="1"/>
    <n v="11"/>
    <x v="0"/>
    <x v="1"/>
    <n v="80"/>
    <n v="1"/>
    <n v="4"/>
    <n v="3"/>
    <x v="0"/>
    <x v="6"/>
    <n v="0"/>
    <x v="0"/>
    <x v="2"/>
    <x v="0"/>
    <x v="1"/>
    <x v="1"/>
    <n v="0"/>
  </r>
  <r>
    <x v="21"/>
    <x v="1"/>
    <x v="0"/>
    <n v="1277"/>
    <x v="0"/>
    <n v="2"/>
    <x v="3"/>
    <x v="0"/>
    <x v="0"/>
    <n v="1732"/>
    <x v="1"/>
    <x v="1"/>
    <n v="74"/>
    <x v="0"/>
    <x v="2"/>
    <x v="0"/>
    <x v="0"/>
    <x v="2"/>
    <x v="1146"/>
    <n v="5596"/>
    <n v="4"/>
    <s v="Y"/>
    <x v="0"/>
    <n v="12"/>
    <x v="0"/>
    <x v="2"/>
    <n v="80"/>
    <n v="1"/>
    <n v="13"/>
    <n v="5"/>
    <x v="2"/>
    <x v="1"/>
    <n v="6"/>
    <x v="0"/>
    <x v="6"/>
    <x v="0"/>
    <x v="0"/>
    <x v="3"/>
    <n v="0"/>
  </r>
  <r>
    <x v="9"/>
    <x v="0"/>
    <x v="0"/>
    <n v="1456"/>
    <x v="0"/>
    <n v="13"/>
    <x v="4"/>
    <x v="3"/>
    <x v="0"/>
    <n v="1733"/>
    <x v="0"/>
    <x v="1"/>
    <n v="96"/>
    <x v="1"/>
    <x v="0"/>
    <x v="0"/>
    <x v="3"/>
    <x v="2"/>
    <x v="1147"/>
    <n v="8658"/>
    <n v="5"/>
    <s v="Y"/>
    <x v="0"/>
    <n v="13"/>
    <x v="0"/>
    <x v="2"/>
    <n v="80"/>
    <n v="3"/>
    <n v="16"/>
    <n v="3"/>
    <x v="1"/>
    <x v="4"/>
    <n v="2"/>
    <x v="3"/>
    <x v="3"/>
    <x v="1"/>
    <x v="1"/>
    <x v="0"/>
    <n v="1"/>
  </r>
  <r>
    <x v="5"/>
    <x v="0"/>
    <x v="0"/>
    <n v="964"/>
    <x v="0"/>
    <n v="1"/>
    <x v="0"/>
    <x v="0"/>
    <x v="0"/>
    <n v="1734"/>
    <x v="3"/>
    <x v="1"/>
    <n v="34"/>
    <x v="3"/>
    <x v="0"/>
    <x v="0"/>
    <x v="1"/>
    <x v="0"/>
    <x v="1148"/>
    <n v="12147"/>
    <n v="6"/>
    <s v="Y"/>
    <x v="1"/>
    <n v="15"/>
    <x v="0"/>
    <x v="2"/>
    <n v="80"/>
    <n v="0"/>
    <n v="10"/>
    <n v="2"/>
    <x v="1"/>
    <x v="2"/>
    <n v="0"/>
    <x v="0"/>
    <x v="2"/>
    <x v="1"/>
    <x v="1"/>
    <x v="0"/>
    <n v="1"/>
  </r>
  <r>
    <x v="30"/>
    <x v="1"/>
    <x v="0"/>
    <n v="160"/>
    <x v="1"/>
    <n v="4"/>
    <x v="1"/>
    <x v="2"/>
    <x v="0"/>
    <n v="1735"/>
    <x v="1"/>
    <x v="0"/>
    <n v="51"/>
    <x v="0"/>
    <x v="1"/>
    <x v="2"/>
    <x v="1"/>
    <x v="0"/>
    <x v="1149"/>
    <n v="12862"/>
    <n v="1"/>
    <s v="Y"/>
    <x v="1"/>
    <n v="13"/>
    <x v="0"/>
    <x v="3"/>
    <n v="80"/>
    <n v="0"/>
    <n v="3"/>
    <n v="3"/>
    <x v="0"/>
    <x v="11"/>
    <n v="2"/>
    <x v="1"/>
    <x v="3"/>
    <x v="2"/>
    <x v="2"/>
    <x v="1"/>
    <n v="0"/>
  </r>
  <r>
    <x v="12"/>
    <x v="1"/>
    <x v="1"/>
    <n v="163"/>
    <x v="1"/>
    <n v="24"/>
    <x v="1"/>
    <x v="4"/>
    <x v="0"/>
    <n v="1736"/>
    <x v="2"/>
    <x v="0"/>
    <n v="30"/>
    <x v="0"/>
    <x v="0"/>
    <x v="3"/>
    <x v="0"/>
    <x v="0"/>
    <x v="319"/>
    <n v="6670"/>
    <n v="2"/>
    <s v="Y"/>
    <x v="1"/>
    <n v="20"/>
    <x v="1"/>
    <x v="1"/>
    <n v="80"/>
    <n v="0"/>
    <n v="9"/>
    <n v="3"/>
    <x v="2"/>
    <x v="8"/>
    <n v="4"/>
    <x v="1"/>
    <x v="10"/>
    <x v="1"/>
    <x v="2"/>
    <x v="0"/>
    <n v="0"/>
  </r>
  <r>
    <x v="22"/>
    <x v="1"/>
    <x v="2"/>
    <n v="792"/>
    <x v="1"/>
    <n v="1"/>
    <x v="3"/>
    <x v="0"/>
    <x v="0"/>
    <n v="1737"/>
    <x v="2"/>
    <x v="1"/>
    <n v="77"/>
    <x v="0"/>
    <x v="0"/>
    <x v="2"/>
    <x v="0"/>
    <x v="1"/>
    <x v="1150"/>
    <n v="8989"/>
    <n v="1"/>
    <s v="Y"/>
    <x v="0"/>
    <n v="15"/>
    <x v="0"/>
    <x v="1"/>
    <n v="80"/>
    <n v="1"/>
    <n v="9"/>
    <n v="2"/>
    <x v="1"/>
    <x v="7"/>
    <n v="8"/>
    <x v="8"/>
    <x v="5"/>
    <x v="1"/>
    <x v="0"/>
    <x v="0"/>
    <n v="0"/>
  </r>
  <r>
    <x v="5"/>
    <x v="1"/>
    <x v="0"/>
    <n v="371"/>
    <x v="0"/>
    <n v="19"/>
    <x v="3"/>
    <x v="0"/>
    <x v="0"/>
    <n v="1739"/>
    <x v="2"/>
    <x v="1"/>
    <n v="80"/>
    <x v="3"/>
    <x v="2"/>
    <x v="0"/>
    <x v="2"/>
    <x v="1"/>
    <x v="1151"/>
    <n v="3840"/>
    <n v="3"/>
    <s v="Y"/>
    <x v="1"/>
    <n v="13"/>
    <x v="0"/>
    <x v="3"/>
    <n v="80"/>
    <n v="1"/>
    <n v="10"/>
    <n v="2"/>
    <x v="0"/>
    <x v="9"/>
    <n v="3"/>
    <x v="0"/>
    <x v="3"/>
    <x v="1"/>
    <x v="2"/>
    <x v="0"/>
    <n v="0"/>
  </r>
  <r>
    <x v="32"/>
    <x v="1"/>
    <x v="0"/>
    <n v="611"/>
    <x v="0"/>
    <n v="7"/>
    <x v="2"/>
    <x v="2"/>
    <x v="0"/>
    <n v="1740"/>
    <x v="0"/>
    <x v="1"/>
    <n v="88"/>
    <x v="0"/>
    <x v="4"/>
    <x v="5"/>
    <x v="1"/>
    <x v="0"/>
    <x v="1152"/>
    <n v="4349"/>
    <n v="1"/>
    <s v="Y"/>
    <x v="1"/>
    <n v="14"/>
    <x v="0"/>
    <x v="2"/>
    <n v="80"/>
    <n v="0"/>
    <n v="21"/>
    <n v="3"/>
    <x v="2"/>
    <x v="17"/>
    <n v="8"/>
    <x v="12"/>
    <x v="5"/>
    <x v="0"/>
    <x v="3"/>
    <x v="2"/>
    <n v="0"/>
  </r>
  <r>
    <x v="28"/>
    <x v="1"/>
    <x v="0"/>
    <n v="176"/>
    <x v="2"/>
    <n v="4"/>
    <x v="3"/>
    <x v="0"/>
    <x v="0"/>
    <n v="1744"/>
    <x v="1"/>
    <x v="0"/>
    <n v="56"/>
    <x v="3"/>
    <x v="2"/>
    <x v="8"/>
    <x v="2"/>
    <x v="1"/>
    <x v="1153"/>
    <n v="6595"/>
    <n v="4"/>
    <s v="Y"/>
    <x v="1"/>
    <n v="21"/>
    <x v="1"/>
    <x v="3"/>
    <n v="80"/>
    <n v="2"/>
    <n v="9"/>
    <n v="2"/>
    <x v="3"/>
    <x v="8"/>
    <n v="0"/>
    <x v="0"/>
    <x v="6"/>
    <x v="0"/>
    <x v="2"/>
    <x v="0"/>
    <n v="0"/>
  </r>
  <r>
    <x v="7"/>
    <x v="1"/>
    <x v="1"/>
    <n v="1312"/>
    <x v="1"/>
    <n v="2"/>
    <x v="2"/>
    <x v="4"/>
    <x v="0"/>
    <n v="1745"/>
    <x v="2"/>
    <x v="0"/>
    <n v="78"/>
    <x v="1"/>
    <x v="1"/>
    <x v="1"/>
    <x v="3"/>
    <x v="0"/>
    <x v="775"/>
    <n v="26427"/>
    <n v="0"/>
    <s v="Y"/>
    <x v="1"/>
    <n v="16"/>
    <x v="0"/>
    <x v="1"/>
    <n v="80"/>
    <n v="0"/>
    <n v="10"/>
    <n v="2"/>
    <x v="1"/>
    <x v="7"/>
    <n v="7"/>
    <x v="0"/>
    <x v="1"/>
    <x v="1"/>
    <x v="0"/>
    <x v="1"/>
    <n v="0"/>
  </r>
  <r>
    <x v="17"/>
    <x v="1"/>
    <x v="1"/>
    <n v="897"/>
    <x v="2"/>
    <n v="10"/>
    <x v="3"/>
    <x v="2"/>
    <x v="0"/>
    <n v="1746"/>
    <x v="3"/>
    <x v="1"/>
    <n v="59"/>
    <x v="0"/>
    <x v="1"/>
    <x v="8"/>
    <x v="0"/>
    <x v="1"/>
    <x v="1154"/>
    <n v="2097"/>
    <n v="0"/>
    <s v="Y"/>
    <x v="1"/>
    <n v="14"/>
    <x v="0"/>
    <x v="1"/>
    <n v="80"/>
    <n v="1"/>
    <n v="3"/>
    <n v="2"/>
    <x v="1"/>
    <x v="4"/>
    <n v="2"/>
    <x v="3"/>
    <x v="9"/>
    <x v="2"/>
    <x v="1"/>
    <x v="1"/>
    <n v="0"/>
  </r>
  <r>
    <x v="7"/>
    <x v="0"/>
    <x v="1"/>
    <n v="600"/>
    <x v="2"/>
    <n v="8"/>
    <x v="3"/>
    <x v="5"/>
    <x v="0"/>
    <n v="1747"/>
    <x v="1"/>
    <x v="0"/>
    <n v="66"/>
    <x v="1"/>
    <x v="1"/>
    <x v="8"/>
    <x v="0"/>
    <x v="2"/>
    <x v="1155"/>
    <n v="9732"/>
    <n v="6"/>
    <s v="Y"/>
    <x v="1"/>
    <n v="11"/>
    <x v="0"/>
    <x v="3"/>
    <n v="80"/>
    <n v="1"/>
    <n v="6"/>
    <n v="0"/>
    <x v="2"/>
    <x v="9"/>
    <n v="2"/>
    <x v="1"/>
    <x v="3"/>
    <x v="1"/>
    <x v="2"/>
    <x v="1"/>
    <n v="1"/>
  </r>
  <r>
    <x v="12"/>
    <x v="1"/>
    <x v="0"/>
    <n v="1003"/>
    <x v="0"/>
    <n v="5"/>
    <x v="3"/>
    <x v="4"/>
    <x v="0"/>
    <n v="1749"/>
    <x v="3"/>
    <x v="1"/>
    <n v="51"/>
    <x v="0"/>
    <x v="0"/>
    <x v="0"/>
    <x v="2"/>
    <x v="1"/>
    <x v="1156"/>
    <n v="20943"/>
    <n v="1"/>
    <s v="Y"/>
    <x v="1"/>
    <n v="19"/>
    <x v="0"/>
    <x v="3"/>
    <n v="80"/>
    <n v="1"/>
    <n v="6"/>
    <n v="3"/>
    <x v="1"/>
    <x v="8"/>
    <n v="2"/>
    <x v="0"/>
    <x v="3"/>
    <x v="1"/>
    <x v="2"/>
    <x v="0"/>
    <n v="0"/>
  </r>
  <r>
    <x v="4"/>
    <x v="1"/>
    <x v="0"/>
    <n v="1054"/>
    <x v="1"/>
    <n v="8"/>
    <x v="3"/>
    <x v="2"/>
    <x v="0"/>
    <n v="1751"/>
    <x v="1"/>
    <x v="0"/>
    <n v="67"/>
    <x v="0"/>
    <x v="1"/>
    <x v="1"/>
    <x v="0"/>
    <x v="0"/>
    <x v="1157"/>
    <n v="6152"/>
    <n v="1"/>
    <s v="Y"/>
    <x v="1"/>
    <n v="11"/>
    <x v="0"/>
    <x v="3"/>
    <n v="80"/>
    <n v="0"/>
    <n v="6"/>
    <n v="5"/>
    <x v="2"/>
    <x v="0"/>
    <n v="2"/>
    <x v="1"/>
    <x v="10"/>
    <x v="2"/>
    <x v="0"/>
    <x v="1"/>
    <n v="0"/>
  </r>
  <r>
    <x v="11"/>
    <x v="0"/>
    <x v="0"/>
    <n v="428"/>
    <x v="0"/>
    <n v="9"/>
    <x v="3"/>
    <x v="3"/>
    <x v="0"/>
    <n v="1752"/>
    <x v="0"/>
    <x v="0"/>
    <n v="52"/>
    <x v="3"/>
    <x v="1"/>
    <x v="6"/>
    <x v="1"/>
    <x v="0"/>
    <x v="1158"/>
    <n v="14630"/>
    <n v="1"/>
    <s v="Y"/>
    <x v="1"/>
    <n v="13"/>
    <x v="0"/>
    <x v="3"/>
    <n v="80"/>
    <n v="0"/>
    <n v="2"/>
    <n v="3"/>
    <x v="1"/>
    <x v="4"/>
    <n v="2"/>
    <x v="3"/>
    <x v="3"/>
    <x v="2"/>
    <x v="1"/>
    <x v="1"/>
    <n v="1"/>
  </r>
  <r>
    <x v="11"/>
    <x v="1"/>
    <x v="1"/>
    <n v="461"/>
    <x v="1"/>
    <n v="1"/>
    <x v="3"/>
    <x v="0"/>
    <x v="0"/>
    <n v="1753"/>
    <x v="2"/>
    <x v="1"/>
    <n v="70"/>
    <x v="2"/>
    <x v="0"/>
    <x v="4"/>
    <x v="2"/>
    <x v="0"/>
    <x v="1159"/>
    <n v="23060"/>
    <n v="8"/>
    <s v="Y"/>
    <x v="0"/>
    <n v="12"/>
    <x v="0"/>
    <x v="1"/>
    <n v="80"/>
    <n v="0"/>
    <n v="10"/>
    <n v="5"/>
    <x v="3"/>
    <x v="11"/>
    <n v="2"/>
    <x v="0"/>
    <x v="3"/>
    <x v="2"/>
    <x v="2"/>
    <x v="0"/>
    <n v="0"/>
  </r>
  <r>
    <x v="7"/>
    <x v="1"/>
    <x v="0"/>
    <n v="979"/>
    <x v="0"/>
    <n v="15"/>
    <x v="0"/>
    <x v="3"/>
    <x v="0"/>
    <n v="1754"/>
    <x v="1"/>
    <x v="1"/>
    <n v="94"/>
    <x v="1"/>
    <x v="2"/>
    <x v="0"/>
    <x v="3"/>
    <x v="2"/>
    <x v="1160"/>
    <n v="3088"/>
    <n v="2"/>
    <s v="Y"/>
    <x v="1"/>
    <n v="11"/>
    <x v="0"/>
    <x v="0"/>
    <n v="80"/>
    <n v="1"/>
    <n v="12"/>
    <n v="2"/>
    <x v="1"/>
    <x v="5"/>
    <n v="7"/>
    <x v="1"/>
    <x v="1"/>
    <x v="1"/>
    <x v="0"/>
    <x v="0"/>
    <n v="0"/>
  </r>
  <r>
    <x v="13"/>
    <x v="1"/>
    <x v="0"/>
    <n v="181"/>
    <x v="1"/>
    <n v="2"/>
    <x v="2"/>
    <x v="2"/>
    <x v="0"/>
    <n v="1755"/>
    <x v="2"/>
    <x v="1"/>
    <n v="97"/>
    <x v="2"/>
    <x v="1"/>
    <x v="1"/>
    <x v="0"/>
    <x v="1"/>
    <x v="1161"/>
    <n v="5586"/>
    <n v="0"/>
    <s v="Y"/>
    <x v="0"/>
    <n v="14"/>
    <x v="0"/>
    <x v="0"/>
    <n v="80"/>
    <n v="3"/>
    <n v="6"/>
    <n v="3"/>
    <x v="1"/>
    <x v="8"/>
    <n v="0"/>
    <x v="1"/>
    <x v="3"/>
    <x v="1"/>
    <x v="2"/>
    <x v="1"/>
    <n v="0"/>
  </r>
  <r>
    <x v="3"/>
    <x v="1"/>
    <x v="2"/>
    <n v="1283"/>
    <x v="0"/>
    <n v="2"/>
    <x v="3"/>
    <x v="3"/>
    <x v="0"/>
    <n v="1756"/>
    <x v="2"/>
    <x v="0"/>
    <n v="62"/>
    <x v="0"/>
    <x v="0"/>
    <x v="0"/>
    <x v="1"/>
    <x v="0"/>
    <x v="1162"/>
    <n v="10697"/>
    <n v="8"/>
    <s v="Y"/>
    <x v="1"/>
    <n v="15"/>
    <x v="0"/>
    <x v="1"/>
    <n v="80"/>
    <n v="0"/>
    <n v="13"/>
    <n v="2"/>
    <x v="2"/>
    <x v="19"/>
    <n v="7"/>
    <x v="1"/>
    <x v="1"/>
    <x v="1"/>
    <x v="3"/>
    <x v="0"/>
    <n v="0"/>
  </r>
  <r>
    <x v="1"/>
    <x v="1"/>
    <x v="0"/>
    <n v="1313"/>
    <x v="0"/>
    <n v="11"/>
    <x v="2"/>
    <x v="3"/>
    <x v="0"/>
    <n v="1757"/>
    <x v="2"/>
    <x v="0"/>
    <n v="80"/>
    <x v="0"/>
    <x v="0"/>
    <x v="0"/>
    <x v="0"/>
    <x v="0"/>
    <x v="1163"/>
    <n v="8191"/>
    <n v="3"/>
    <s v="Y"/>
    <x v="1"/>
    <n v="12"/>
    <x v="0"/>
    <x v="3"/>
    <n v="80"/>
    <n v="0"/>
    <n v="8"/>
    <n v="1"/>
    <x v="3"/>
    <x v="8"/>
    <n v="1"/>
    <x v="0"/>
    <x v="10"/>
    <x v="0"/>
    <x v="2"/>
    <x v="1"/>
    <n v="0"/>
  </r>
  <r>
    <x v="3"/>
    <x v="0"/>
    <x v="0"/>
    <n v="211"/>
    <x v="0"/>
    <n v="16"/>
    <x v="3"/>
    <x v="0"/>
    <x v="0"/>
    <n v="1758"/>
    <x v="3"/>
    <x v="0"/>
    <n v="74"/>
    <x v="0"/>
    <x v="2"/>
    <x v="0"/>
    <x v="3"/>
    <x v="0"/>
    <x v="1164"/>
    <n v="10092"/>
    <n v="2"/>
    <s v="Y"/>
    <x v="0"/>
    <n v="20"/>
    <x v="1"/>
    <x v="3"/>
    <n v="80"/>
    <n v="0"/>
    <n v="11"/>
    <n v="2"/>
    <x v="2"/>
    <x v="2"/>
    <n v="0"/>
    <x v="0"/>
    <x v="2"/>
    <x v="1"/>
    <x v="1"/>
    <x v="0"/>
    <n v="1"/>
  </r>
  <r>
    <x v="8"/>
    <x v="1"/>
    <x v="1"/>
    <n v="594"/>
    <x v="1"/>
    <n v="2"/>
    <x v="0"/>
    <x v="2"/>
    <x v="0"/>
    <n v="1760"/>
    <x v="1"/>
    <x v="0"/>
    <n v="75"/>
    <x v="1"/>
    <x v="1"/>
    <x v="2"/>
    <x v="1"/>
    <x v="1"/>
    <x v="1165"/>
    <n v="15963"/>
    <n v="4"/>
    <s v="Y"/>
    <x v="1"/>
    <n v="14"/>
    <x v="0"/>
    <x v="2"/>
    <n v="80"/>
    <n v="1"/>
    <n v="9"/>
    <n v="4"/>
    <x v="2"/>
    <x v="0"/>
    <n v="1"/>
    <x v="0"/>
    <x v="0"/>
    <x v="1"/>
    <x v="0"/>
    <x v="1"/>
    <n v="0"/>
  </r>
  <r>
    <x v="12"/>
    <x v="0"/>
    <x v="0"/>
    <n v="1079"/>
    <x v="0"/>
    <n v="16"/>
    <x v="2"/>
    <x v="3"/>
    <x v="0"/>
    <n v="1761"/>
    <x v="3"/>
    <x v="1"/>
    <n v="70"/>
    <x v="0"/>
    <x v="2"/>
    <x v="0"/>
    <x v="2"/>
    <x v="1"/>
    <x v="1166"/>
    <n v="19002"/>
    <n v="2"/>
    <s v="Y"/>
    <x v="1"/>
    <n v="13"/>
    <x v="0"/>
    <x v="0"/>
    <n v="80"/>
    <n v="3"/>
    <n v="10"/>
    <n v="2"/>
    <x v="1"/>
    <x v="6"/>
    <n v="0"/>
    <x v="0"/>
    <x v="2"/>
    <x v="1"/>
    <x v="1"/>
    <x v="0"/>
    <n v="1"/>
  </r>
  <r>
    <x v="11"/>
    <x v="1"/>
    <x v="0"/>
    <n v="590"/>
    <x v="1"/>
    <n v="4"/>
    <x v="3"/>
    <x v="4"/>
    <x v="0"/>
    <n v="1762"/>
    <x v="2"/>
    <x v="0"/>
    <n v="91"/>
    <x v="1"/>
    <x v="1"/>
    <x v="1"/>
    <x v="3"/>
    <x v="2"/>
    <x v="971"/>
    <n v="10007"/>
    <n v="1"/>
    <s v="Y"/>
    <x v="1"/>
    <n v="13"/>
    <x v="0"/>
    <x v="3"/>
    <n v="80"/>
    <n v="1"/>
    <n v="1"/>
    <n v="2"/>
    <x v="1"/>
    <x v="6"/>
    <n v="0"/>
    <x v="0"/>
    <x v="2"/>
    <x v="2"/>
    <x v="1"/>
    <x v="1"/>
    <n v="0"/>
  </r>
  <r>
    <x v="7"/>
    <x v="1"/>
    <x v="0"/>
    <n v="305"/>
    <x v="1"/>
    <n v="16"/>
    <x v="3"/>
    <x v="0"/>
    <x v="0"/>
    <n v="1763"/>
    <x v="1"/>
    <x v="1"/>
    <n v="58"/>
    <x v="2"/>
    <x v="0"/>
    <x v="4"/>
    <x v="2"/>
    <x v="1"/>
    <x v="1167"/>
    <n v="9128"/>
    <n v="3"/>
    <s v="Y"/>
    <x v="1"/>
    <n v="16"/>
    <x v="0"/>
    <x v="3"/>
    <n v="80"/>
    <n v="1"/>
    <n v="10"/>
    <n v="3"/>
    <x v="1"/>
    <x v="5"/>
    <n v="0"/>
    <x v="1"/>
    <x v="1"/>
    <x v="1"/>
    <x v="0"/>
    <x v="0"/>
    <n v="0"/>
  </r>
  <r>
    <x v="5"/>
    <x v="1"/>
    <x v="2"/>
    <n v="953"/>
    <x v="1"/>
    <n v="5"/>
    <x v="2"/>
    <x v="4"/>
    <x v="0"/>
    <n v="1764"/>
    <x v="0"/>
    <x v="1"/>
    <n v="65"/>
    <x v="0"/>
    <x v="1"/>
    <x v="1"/>
    <x v="1"/>
    <x v="0"/>
    <x v="1168"/>
    <n v="17674"/>
    <n v="2"/>
    <s v="Y"/>
    <x v="1"/>
    <n v="14"/>
    <x v="0"/>
    <x v="2"/>
    <n v="80"/>
    <n v="0"/>
    <n v="12"/>
    <n v="3"/>
    <x v="1"/>
    <x v="5"/>
    <n v="7"/>
    <x v="0"/>
    <x v="1"/>
    <x v="1"/>
    <x v="0"/>
    <x v="1"/>
    <n v="0"/>
  </r>
  <r>
    <x v="8"/>
    <x v="1"/>
    <x v="0"/>
    <n v="833"/>
    <x v="1"/>
    <n v="18"/>
    <x v="3"/>
    <x v="2"/>
    <x v="0"/>
    <n v="1766"/>
    <x v="0"/>
    <x v="1"/>
    <n v="60"/>
    <x v="3"/>
    <x v="0"/>
    <x v="4"/>
    <x v="0"/>
    <x v="1"/>
    <x v="1169"/>
    <n v="24539"/>
    <n v="3"/>
    <s v="Y"/>
    <x v="0"/>
    <n v="16"/>
    <x v="0"/>
    <x v="3"/>
    <n v="80"/>
    <n v="1"/>
    <n v="15"/>
    <n v="2"/>
    <x v="1"/>
    <x v="6"/>
    <n v="0"/>
    <x v="1"/>
    <x v="2"/>
    <x v="1"/>
    <x v="1"/>
    <x v="0"/>
    <n v="0"/>
  </r>
  <r>
    <x v="23"/>
    <x v="0"/>
    <x v="1"/>
    <n v="807"/>
    <x v="1"/>
    <n v="17"/>
    <x v="3"/>
    <x v="4"/>
    <x v="0"/>
    <n v="1767"/>
    <x v="1"/>
    <x v="1"/>
    <n v="38"/>
    <x v="1"/>
    <x v="1"/>
    <x v="1"/>
    <x v="2"/>
    <x v="1"/>
    <x v="1170"/>
    <n v="15587"/>
    <n v="9"/>
    <s v="Y"/>
    <x v="0"/>
    <n v="16"/>
    <x v="0"/>
    <x v="1"/>
    <n v="80"/>
    <n v="1"/>
    <n v="6"/>
    <n v="4"/>
    <x v="1"/>
    <x v="6"/>
    <n v="0"/>
    <x v="0"/>
    <x v="2"/>
    <x v="0"/>
    <x v="1"/>
    <x v="1"/>
    <n v="1"/>
  </r>
  <r>
    <x v="19"/>
    <x v="1"/>
    <x v="0"/>
    <n v="855"/>
    <x v="1"/>
    <n v="12"/>
    <x v="3"/>
    <x v="2"/>
    <x v="0"/>
    <n v="1768"/>
    <x v="0"/>
    <x v="1"/>
    <n v="57"/>
    <x v="0"/>
    <x v="1"/>
    <x v="2"/>
    <x v="1"/>
    <x v="2"/>
    <x v="1171"/>
    <n v="8952"/>
    <n v="8"/>
    <s v="Y"/>
    <x v="1"/>
    <n v="22"/>
    <x v="1"/>
    <x v="2"/>
    <n v="80"/>
    <n v="3"/>
    <n v="7"/>
    <n v="6"/>
    <x v="2"/>
    <x v="8"/>
    <n v="3"/>
    <x v="0"/>
    <x v="10"/>
    <x v="0"/>
    <x v="2"/>
    <x v="1"/>
    <n v="0"/>
  </r>
  <r>
    <x v="27"/>
    <x v="1"/>
    <x v="0"/>
    <n v="478"/>
    <x v="1"/>
    <n v="2"/>
    <x v="3"/>
    <x v="2"/>
    <x v="0"/>
    <n v="1770"/>
    <x v="1"/>
    <x v="1"/>
    <n v="60"/>
    <x v="1"/>
    <x v="4"/>
    <x v="7"/>
    <x v="3"/>
    <x v="1"/>
    <x v="1172"/>
    <n v="19805"/>
    <n v="8"/>
    <s v="Y"/>
    <x v="1"/>
    <n v="12"/>
    <x v="0"/>
    <x v="2"/>
    <n v="80"/>
    <n v="3"/>
    <n v="34"/>
    <n v="2"/>
    <x v="1"/>
    <x v="6"/>
    <n v="0"/>
    <x v="0"/>
    <x v="2"/>
    <x v="3"/>
    <x v="1"/>
    <x v="2"/>
    <n v="0"/>
  </r>
  <r>
    <x v="3"/>
    <x v="1"/>
    <x v="2"/>
    <n v="775"/>
    <x v="1"/>
    <n v="4"/>
    <x v="3"/>
    <x v="4"/>
    <x v="0"/>
    <n v="1771"/>
    <x v="2"/>
    <x v="1"/>
    <n v="90"/>
    <x v="0"/>
    <x v="0"/>
    <x v="1"/>
    <x v="1"/>
    <x v="2"/>
    <x v="1173"/>
    <n v="6194"/>
    <n v="5"/>
    <s v="Y"/>
    <x v="1"/>
    <n v="15"/>
    <x v="0"/>
    <x v="1"/>
    <n v="80"/>
    <n v="2"/>
    <n v="11"/>
    <n v="2"/>
    <x v="2"/>
    <x v="7"/>
    <n v="8"/>
    <x v="1"/>
    <x v="1"/>
    <x v="1"/>
    <x v="0"/>
    <x v="1"/>
    <n v="0"/>
  </r>
  <r>
    <x v="0"/>
    <x v="1"/>
    <x v="0"/>
    <n v="548"/>
    <x v="1"/>
    <n v="9"/>
    <x v="2"/>
    <x v="0"/>
    <x v="0"/>
    <n v="1772"/>
    <x v="1"/>
    <x v="1"/>
    <n v="94"/>
    <x v="0"/>
    <x v="1"/>
    <x v="2"/>
    <x v="3"/>
    <x v="2"/>
    <x v="1174"/>
    <n v="20520"/>
    <n v="1"/>
    <s v="Y"/>
    <x v="1"/>
    <n v="20"/>
    <x v="1"/>
    <x v="2"/>
    <n v="80"/>
    <n v="2"/>
    <n v="5"/>
    <n v="2"/>
    <x v="1"/>
    <x v="8"/>
    <n v="3"/>
    <x v="0"/>
    <x v="10"/>
    <x v="0"/>
    <x v="2"/>
    <x v="1"/>
    <n v="0"/>
  </r>
  <r>
    <x v="13"/>
    <x v="1"/>
    <x v="2"/>
    <n v="1375"/>
    <x v="0"/>
    <n v="10"/>
    <x v="3"/>
    <x v="0"/>
    <x v="0"/>
    <n v="1774"/>
    <x v="2"/>
    <x v="1"/>
    <n v="87"/>
    <x v="0"/>
    <x v="0"/>
    <x v="0"/>
    <x v="2"/>
    <x v="2"/>
    <x v="1175"/>
    <n v="12313"/>
    <n v="1"/>
    <s v="Y"/>
    <x v="0"/>
    <n v="14"/>
    <x v="0"/>
    <x v="3"/>
    <n v="80"/>
    <n v="1"/>
    <n v="15"/>
    <n v="3"/>
    <x v="1"/>
    <x v="15"/>
    <n v="14"/>
    <x v="0"/>
    <x v="1"/>
    <x v="1"/>
    <x v="3"/>
    <x v="1"/>
    <n v="0"/>
  </r>
  <r>
    <x v="16"/>
    <x v="1"/>
    <x v="2"/>
    <n v="661"/>
    <x v="1"/>
    <n v="1"/>
    <x v="2"/>
    <x v="2"/>
    <x v="0"/>
    <n v="1775"/>
    <x v="3"/>
    <x v="0"/>
    <n v="60"/>
    <x v="1"/>
    <x v="3"/>
    <x v="3"/>
    <x v="2"/>
    <x v="1"/>
    <x v="1176"/>
    <n v="22308"/>
    <n v="4"/>
    <s v="Y"/>
    <x v="0"/>
    <n v="20"/>
    <x v="1"/>
    <x v="1"/>
    <n v="80"/>
    <n v="3"/>
    <n v="27"/>
    <n v="2"/>
    <x v="2"/>
    <x v="11"/>
    <n v="2"/>
    <x v="0"/>
    <x v="3"/>
    <x v="3"/>
    <x v="2"/>
    <x v="3"/>
    <n v="0"/>
  </r>
  <r>
    <x v="23"/>
    <x v="1"/>
    <x v="0"/>
    <n v="244"/>
    <x v="2"/>
    <n v="2"/>
    <x v="3"/>
    <x v="0"/>
    <x v="0"/>
    <n v="1778"/>
    <x v="0"/>
    <x v="1"/>
    <n v="97"/>
    <x v="0"/>
    <x v="1"/>
    <x v="8"/>
    <x v="0"/>
    <x v="0"/>
    <x v="1177"/>
    <n v="5033"/>
    <n v="0"/>
    <s v="Y"/>
    <x v="1"/>
    <n v="13"/>
    <x v="0"/>
    <x v="2"/>
    <n v="80"/>
    <n v="0"/>
    <n v="10"/>
    <n v="5"/>
    <x v="1"/>
    <x v="7"/>
    <n v="7"/>
    <x v="1"/>
    <x v="5"/>
    <x v="0"/>
    <x v="0"/>
    <x v="1"/>
    <n v="0"/>
  </r>
  <r>
    <x v="13"/>
    <x v="1"/>
    <x v="0"/>
    <n v="511"/>
    <x v="0"/>
    <n v="3"/>
    <x v="0"/>
    <x v="0"/>
    <x v="0"/>
    <n v="1779"/>
    <x v="2"/>
    <x v="0"/>
    <n v="32"/>
    <x v="3"/>
    <x v="0"/>
    <x v="0"/>
    <x v="0"/>
    <x v="0"/>
    <x v="1178"/>
    <n v="25353"/>
    <n v="5"/>
    <s v="Y"/>
    <x v="1"/>
    <n v="12"/>
    <x v="0"/>
    <x v="0"/>
    <n v="80"/>
    <n v="0"/>
    <n v="6"/>
    <n v="3"/>
    <x v="1"/>
    <x v="4"/>
    <n v="2"/>
    <x v="3"/>
    <x v="3"/>
    <x v="1"/>
    <x v="1"/>
    <x v="0"/>
    <n v="0"/>
  </r>
  <r>
    <x v="18"/>
    <x v="0"/>
    <x v="0"/>
    <n v="337"/>
    <x v="0"/>
    <n v="7"/>
    <x v="1"/>
    <x v="3"/>
    <x v="0"/>
    <n v="1780"/>
    <x v="0"/>
    <x v="1"/>
    <n v="31"/>
    <x v="0"/>
    <x v="1"/>
    <x v="6"/>
    <x v="1"/>
    <x v="0"/>
    <x v="1179"/>
    <n v="4567"/>
    <n v="1"/>
    <s v="Y"/>
    <x v="1"/>
    <n v="13"/>
    <x v="0"/>
    <x v="2"/>
    <n v="80"/>
    <n v="0"/>
    <n v="1"/>
    <n v="3"/>
    <x v="1"/>
    <x v="6"/>
    <n v="0"/>
    <x v="1"/>
    <x v="2"/>
    <x v="2"/>
    <x v="1"/>
    <x v="1"/>
    <n v="1"/>
  </r>
  <r>
    <x v="8"/>
    <x v="1"/>
    <x v="0"/>
    <n v="1153"/>
    <x v="1"/>
    <n v="6"/>
    <x v="0"/>
    <x v="1"/>
    <x v="0"/>
    <n v="1782"/>
    <x v="2"/>
    <x v="0"/>
    <n v="40"/>
    <x v="1"/>
    <x v="1"/>
    <x v="2"/>
    <x v="2"/>
    <x v="1"/>
    <x v="1180"/>
    <n v="16376"/>
    <n v="1"/>
    <s v="Y"/>
    <x v="1"/>
    <n v="11"/>
    <x v="0"/>
    <x v="2"/>
    <n v="80"/>
    <n v="1"/>
    <n v="5"/>
    <n v="3"/>
    <x v="1"/>
    <x v="8"/>
    <n v="4"/>
    <x v="0"/>
    <x v="10"/>
    <x v="1"/>
    <x v="2"/>
    <x v="1"/>
    <n v="0"/>
  </r>
  <r>
    <x v="15"/>
    <x v="0"/>
    <x v="0"/>
    <n v="1294"/>
    <x v="1"/>
    <n v="8"/>
    <x v="1"/>
    <x v="2"/>
    <x v="0"/>
    <n v="1783"/>
    <x v="1"/>
    <x v="0"/>
    <n v="79"/>
    <x v="0"/>
    <x v="1"/>
    <x v="2"/>
    <x v="3"/>
    <x v="1"/>
    <x v="1181"/>
    <n v="15999"/>
    <n v="1"/>
    <s v="Y"/>
    <x v="0"/>
    <n v="17"/>
    <x v="0"/>
    <x v="3"/>
    <n v="80"/>
    <n v="0"/>
    <n v="1"/>
    <n v="6"/>
    <x v="1"/>
    <x v="6"/>
    <n v="0"/>
    <x v="0"/>
    <x v="2"/>
    <x v="2"/>
    <x v="1"/>
    <x v="1"/>
    <n v="1"/>
  </r>
  <r>
    <x v="12"/>
    <x v="1"/>
    <x v="0"/>
    <n v="196"/>
    <x v="0"/>
    <n v="29"/>
    <x v="2"/>
    <x v="3"/>
    <x v="0"/>
    <n v="1784"/>
    <x v="3"/>
    <x v="0"/>
    <n v="91"/>
    <x v="1"/>
    <x v="0"/>
    <x v="0"/>
    <x v="0"/>
    <x v="1"/>
    <x v="1182"/>
    <n v="13402"/>
    <n v="1"/>
    <s v="Y"/>
    <x v="1"/>
    <n v="14"/>
    <x v="0"/>
    <x v="0"/>
    <n v="80"/>
    <n v="2"/>
    <n v="13"/>
    <n v="3"/>
    <x v="1"/>
    <x v="12"/>
    <n v="7"/>
    <x v="8"/>
    <x v="1"/>
    <x v="1"/>
    <x v="3"/>
    <x v="0"/>
    <n v="0"/>
  </r>
  <r>
    <x v="31"/>
    <x v="1"/>
    <x v="0"/>
    <n v="942"/>
    <x v="1"/>
    <n v="3"/>
    <x v="3"/>
    <x v="4"/>
    <x v="0"/>
    <n v="1786"/>
    <x v="3"/>
    <x v="0"/>
    <n v="53"/>
    <x v="0"/>
    <x v="2"/>
    <x v="5"/>
    <x v="2"/>
    <x v="1"/>
    <x v="1183"/>
    <n v="22984"/>
    <n v="2"/>
    <s v="Y"/>
    <x v="1"/>
    <n v="11"/>
    <x v="0"/>
    <x v="1"/>
    <n v="80"/>
    <n v="0"/>
    <n v="15"/>
    <n v="2"/>
    <x v="1"/>
    <x v="4"/>
    <n v="2"/>
    <x v="3"/>
    <x v="3"/>
    <x v="3"/>
    <x v="1"/>
    <x v="3"/>
    <n v="0"/>
  </r>
  <r>
    <x v="2"/>
    <x v="1"/>
    <x v="0"/>
    <n v="589"/>
    <x v="0"/>
    <n v="9"/>
    <x v="0"/>
    <x v="3"/>
    <x v="0"/>
    <n v="1787"/>
    <x v="0"/>
    <x v="1"/>
    <n v="46"/>
    <x v="1"/>
    <x v="0"/>
    <x v="0"/>
    <x v="1"/>
    <x v="1"/>
    <x v="1184"/>
    <n v="8800"/>
    <n v="1"/>
    <s v="Y"/>
    <x v="1"/>
    <n v="14"/>
    <x v="0"/>
    <x v="0"/>
    <n v="80"/>
    <n v="2"/>
    <n v="5"/>
    <n v="2"/>
    <x v="1"/>
    <x v="8"/>
    <n v="2"/>
    <x v="0"/>
    <x v="6"/>
    <x v="1"/>
    <x v="2"/>
    <x v="1"/>
    <n v="0"/>
  </r>
  <r>
    <x v="21"/>
    <x v="1"/>
    <x v="0"/>
    <n v="734"/>
    <x v="1"/>
    <n v="2"/>
    <x v="2"/>
    <x v="2"/>
    <x v="0"/>
    <n v="1789"/>
    <x v="1"/>
    <x v="1"/>
    <n v="46"/>
    <x v="0"/>
    <x v="4"/>
    <x v="7"/>
    <x v="0"/>
    <x v="2"/>
    <x v="1185"/>
    <n v="14218"/>
    <n v="7"/>
    <s v="Y"/>
    <x v="0"/>
    <n v="17"/>
    <x v="0"/>
    <x v="3"/>
    <n v="80"/>
    <n v="1"/>
    <n v="24"/>
    <n v="3"/>
    <x v="1"/>
    <x v="4"/>
    <n v="1"/>
    <x v="3"/>
    <x v="3"/>
    <x v="0"/>
    <x v="1"/>
    <x v="2"/>
    <n v="0"/>
  </r>
  <r>
    <x v="9"/>
    <x v="1"/>
    <x v="0"/>
    <n v="1383"/>
    <x v="1"/>
    <n v="10"/>
    <x v="3"/>
    <x v="0"/>
    <x v="0"/>
    <n v="1790"/>
    <x v="2"/>
    <x v="1"/>
    <n v="90"/>
    <x v="0"/>
    <x v="2"/>
    <x v="4"/>
    <x v="3"/>
    <x v="1"/>
    <x v="1186"/>
    <n v="25949"/>
    <n v="7"/>
    <s v="Y"/>
    <x v="0"/>
    <n v="13"/>
    <x v="0"/>
    <x v="1"/>
    <n v="80"/>
    <n v="1"/>
    <n v="15"/>
    <n v="1"/>
    <x v="1"/>
    <x v="12"/>
    <n v="8"/>
    <x v="8"/>
    <x v="1"/>
    <x v="1"/>
    <x v="3"/>
    <x v="0"/>
    <n v="0"/>
  </r>
  <r>
    <x v="20"/>
    <x v="0"/>
    <x v="1"/>
    <n v="429"/>
    <x v="1"/>
    <n v="1"/>
    <x v="0"/>
    <x v="2"/>
    <x v="0"/>
    <n v="1792"/>
    <x v="1"/>
    <x v="1"/>
    <n v="99"/>
    <x v="0"/>
    <x v="1"/>
    <x v="1"/>
    <x v="1"/>
    <x v="2"/>
    <x v="531"/>
    <n v="11092"/>
    <n v="1"/>
    <s v="Y"/>
    <x v="0"/>
    <n v="12"/>
    <x v="0"/>
    <x v="3"/>
    <n v="80"/>
    <n v="3"/>
    <n v="6"/>
    <n v="2"/>
    <x v="2"/>
    <x v="8"/>
    <n v="3"/>
    <x v="3"/>
    <x v="6"/>
    <x v="0"/>
    <x v="2"/>
    <x v="1"/>
    <n v="1"/>
  </r>
  <r>
    <x v="2"/>
    <x v="1"/>
    <x v="0"/>
    <n v="1239"/>
    <x v="2"/>
    <n v="8"/>
    <x v="0"/>
    <x v="1"/>
    <x v="0"/>
    <n v="1794"/>
    <x v="1"/>
    <x v="1"/>
    <n v="89"/>
    <x v="0"/>
    <x v="0"/>
    <x v="8"/>
    <x v="1"/>
    <x v="2"/>
    <x v="1187"/>
    <n v="12832"/>
    <n v="2"/>
    <s v="Y"/>
    <x v="1"/>
    <n v="13"/>
    <x v="0"/>
    <x v="3"/>
    <n v="80"/>
    <n v="0"/>
    <n v="19"/>
    <n v="4"/>
    <x v="2"/>
    <x v="1"/>
    <n v="0"/>
    <x v="5"/>
    <x v="1"/>
    <x v="1"/>
    <x v="0"/>
    <x v="1"/>
    <n v="0"/>
  </r>
  <r>
    <x v="10"/>
    <x v="0"/>
    <x v="0"/>
    <n v="303"/>
    <x v="0"/>
    <n v="27"/>
    <x v="3"/>
    <x v="0"/>
    <x v="0"/>
    <n v="1797"/>
    <x v="1"/>
    <x v="1"/>
    <n v="84"/>
    <x v="0"/>
    <x v="0"/>
    <x v="0"/>
    <x v="0"/>
    <x v="0"/>
    <x v="1188"/>
    <n v="13492"/>
    <n v="1"/>
    <s v="Y"/>
    <x v="0"/>
    <n v="18"/>
    <x v="0"/>
    <x v="1"/>
    <n v="80"/>
    <n v="0"/>
    <n v="10"/>
    <n v="2"/>
    <x v="1"/>
    <x v="1"/>
    <n v="7"/>
    <x v="4"/>
    <x v="1"/>
    <x v="1"/>
    <x v="0"/>
    <x v="0"/>
    <n v="1"/>
  </r>
  <r>
    <x v="3"/>
    <x v="1"/>
    <x v="0"/>
    <n v="867"/>
    <x v="1"/>
    <n v="8"/>
    <x v="2"/>
    <x v="0"/>
    <x v="0"/>
    <n v="1798"/>
    <x v="2"/>
    <x v="1"/>
    <n v="90"/>
    <x v="2"/>
    <x v="1"/>
    <x v="1"/>
    <x v="3"/>
    <x v="1"/>
    <x v="1189"/>
    <n v="6076"/>
    <n v="6"/>
    <s v="Y"/>
    <x v="1"/>
    <n v="19"/>
    <x v="0"/>
    <x v="2"/>
    <n v="80"/>
    <n v="1"/>
    <n v="14"/>
    <n v="1"/>
    <x v="1"/>
    <x v="1"/>
    <n v="8"/>
    <x v="4"/>
    <x v="4"/>
    <x v="1"/>
    <x v="0"/>
    <x v="1"/>
    <n v="0"/>
  </r>
  <r>
    <x v="14"/>
    <x v="1"/>
    <x v="0"/>
    <n v="1181"/>
    <x v="1"/>
    <n v="1"/>
    <x v="3"/>
    <x v="0"/>
    <x v="0"/>
    <n v="1799"/>
    <x v="1"/>
    <x v="1"/>
    <n v="82"/>
    <x v="0"/>
    <x v="1"/>
    <x v="1"/>
    <x v="0"/>
    <x v="1"/>
    <x v="633"/>
    <n v="5531"/>
    <n v="1"/>
    <s v="Y"/>
    <x v="1"/>
    <n v="11"/>
    <x v="0"/>
    <x v="3"/>
    <n v="80"/>
    <n v="1"/>
    <n v="5"/>
    <n v="6"/>
    <x v="3"/>
    <x v="8"/>
    <n v="3"/>
    <x v="0"/>
    <x v="6"/>
    <x v="2"/>
    <x v="2"/>
    <x v="1"/>
    <n v="0"/>
  </r>
  <r>
    <x v="22"/>
    <x v="1"/>
    <x v="0"/>
    <n v="1253"/>
    <x v="1"/>
    <n v="10"/>
    <x v="1"/>
    <x v="2"/>
    <x v="0"/>
    <n v="1800"/>
    <x v="1"/>
    <x v="1"/>
    <n v="65"/>
    <x v="0"/>
    <x v="2"/>
    <x v="7"/>
    <x v="2"/>
    <x v="0"/>
    <x v="1190"/>
    <n v="7914"/>
    <n v="7"/>
    <s v="Y"/>
    <x v="1"/>
    <n v="21"/>
    <x v="1"/>
    <x v="3"/>
    <n v="80"/>
    <n v="0"/>
    <n v="9"/>
    <n v="3"/>
    <x v="1"/>
    <x v="9"/>
    <n v="3"/>
    <x v="3"/>
    <x v="3"/>
    <x v="1"/>
    <x v="2"/>
    <x v="3"/>
    <n v="0"/>
  </r>
  <r>
    <x v="21"/>
    <x v="1"/>
    <x v="2"/>
    <n v="849"/>
    <x v="0"/>
    <n v="26"/>
    <x v="0"/>
    <x v="0"/>
    <x v="0"/>
    <n v="1801"/>
    <x v="0"/>
    <x v="1"/>
    <n v="98"/>
    <x v="1"/>
    <x v="0"/>
    <x v="0"/>
    <x v="1"/>
    <x v="0"/>
    <x v="1191"/>
    <n v="25166"/>
    <n v="8"/>
    <s v="Y"/>
    <x v="1"/>
    <n v="15"/>
    <x v="0"/>
    <x v="3"/>
    <n v="80"/>
    <n v="0"/>
    <n v="6"/>
    <n v="3"/>
    <x v="1"/>
    <x v="4"/>
    <n v="2"/>
    <x v="3"/>
    <x v="3"/>
    <x v="0"/>
    <x v="1"/>
    <x v="0"/>
    <n v="0"/>
  </r>
  <r>
    <x v="32"/>
    <x v="1"/>
    <x v="0"/>
    <n v="616"/>
    <x v="1"/>
    <n v="2"/>
    <x v="0"/>
    <x v="0"/>
    <x v="0"/>
    <n v="1802"/>
    <x v="1"/>
    <x v="0"/>
    <n v="99"/>
    <x v="0"/>
    <x v="1"/>
    <x v="2"/>
    <x v="3"/>
    <x v="1"/>
    <x v="1192"/>
    <n v="25605"/>
    <n v="4"/>
    <s v="Y"/>
    <x v="1"/>
    <n v="17"/>
    <x v="0"/>
    <x v="1"/>
    <n v="80"/>
    <n v="1"/>
    <n v="7"/>
    <n v="5"/>
    <x v="2"/>
    <x v="9"/>
    <n v="3"/>
    <x v="0"/>
    <x v="3"/>
    <x v="0"/>
    <x v="2"/>
    <x v="1"/>
    <n v="0"/>
  </r>
  <r>
    <x v="19"/>
    <x v="1"/>
    <x v="0"/>
    <n v="1128"/>
    <x v="1"/>
    <n v="13"/>
    <x v="3"/>
    <x v="2"/>
    <x v="0"/>
    <n v="1803"/>
    <x v="0"/>
    <x v="1"/>
    <n v="95"/>
    <x v="2"/>
    <x v="0"/>
    <x v="4"/>
    <x v="3"/>
    <x v="1"/>
    <x v="1193"/>
    <n v="5696"/>
    <n v="5"/>
    <s v="Y"/>
    <x v="1"/>
    <n v="18"/>
    <x v="0"/>
    <x v="3"/>
    <n v="80"/>
    <n v="2"/>
    <n v="10"/>
    <n v="2"/>
    <x v="2"/>
    <x v="2"/>
    <n v="0"/>
    <x v="0"/>
    <x v="2"/>
    <x v="0"/>
    <x v="1"/>
    <x v="0"/>
    <n v="0"/>
  </r>
  <r>
    <x v="10"/>
    <x v="1"/>
    <x v="2"/>
    <n v="1180"/>
    <x v="1"/>
    <n v="2"/>
    <x v="0"/>
    <x v="2"/>
    <x v="0"/>
    <n v="1804"/>
    <x v="0"/>
    <x v="1"/>
    <n v="90"/>
    <x v="0"/>
    <x v="0"/>
    <x v="3"/>
    <x v="0"/>
    <x v="2"/>
    <x v="1194"/>
    <n v="24442"/>
    <n v="2"/>
    <s v="Y"/>
    <x v="1"/>
    <n v="14"/>
    <x v="0"/>
    <x v="3"/>
    <n v="80"/>
    <n v="1"/>
    <n v="15"/>
    <n v="6"/>
    <x v="1"/>
    <x v="5"/>
    <n v="7"/>
    <x v="1"/>
    <x v="1"/>
    <x v="1"/>
    <x v="0"/>
    <x v="0"/>
    <n v="0"/>
  </r>
  <r>
    <x v="8"/>
    <x v="1"/>
    <x v="2"/>
    <n v="1336"/>
    <x v="2"/>
    <n v="2"/>
    <x v="3"/>
    <x v="5"/>
    <x v="0"/>
    <n v="1805"/>
    <x v="3"/>
    <x v="1"/>
    <n v="100"/>
    <x v="0"/>
    <x v="1"/>
    <x v="8"/>
    <x v="1"/>
    <x v="2"/>
    <x v="1195"/>
    <n v="7129"/>
    <n v="5"/>
    <s v="Y"/>
    <x v="1"/>
    <n v="13"/>
    <x v="0"/>
    <x v="1"/>
    <n v="80"/>
    <n v="3"/>
    <n v="13"/>
    <n v="3"/>
    <x v="1"/>
    <x v="19"/>
    <n v="10"/>
    <x v="2"/>
    <x v="5"/>
    <x v="1"/>
    <x v="3"/>
    <x v="1"/>
    <n v="0"/>
  </r>
  <r>
    <x v="13"/>
    <x v="0"/>
    <x v="1"/>
    <n v="234"/>
    <x v="1"/>
    <n v="9"/>
    <x v="2"/>
    <x v="0"/>
    <x v="0"/>
    <n v="1807"/>
    <x v="2"/>
    <x v="1"/>
    <n v="93"/>
    <x v="0"/>
    <x v="0"/>
    <x v="2"/>
    <x v="3"/>
    <x v="1"/>
    <x v="800"/>
    <n v="6208"/>
    <n v="4"/>
    <s v="Y"/>
    <x v="1"/>
    <n v="17"/>
    <x v="0"/>
    <x v="3"/>
    <n v="80"/>
    <n v="1"/>
    <n v="11"/>
    <n v="3"/>
    <x v="2"/>
    <x v="5"/>
    <n v="1"/>
    <x v="0"/>
    <x v="1"/>
    <x v="1"/>
    <x v="0"/>
    <x v="0"/>
    <n v="1"/>
  </r>
  <r>
    <x v="2"/>
    <x v="0"/>
    <x v="0"/>
    <n v="370"/>
    <x v="1"/>
    <n v="10"/>
    <x v="2"/>
    <x v="2"/>
    <x v="0"/>
    <n v="1809"/>
    <x v="2"/>
    <x v="1"/>
    <n v="58"/>
    <x v="0"/>
    <x v="0"/>
    <x v="3"/>
    <x v="3"/>
    <x v="0"/>
    <x v="1196"/>
    <n v="4992"/>
    <n v="1"/>
    <s v="Y"/>
    <x v="1"/>
    <n v="15"/>
    <x v="0"/>
    <x v="2"/>
    <n v="80"/>
    <n v="0"/>
    <n v="10"/>
    <n v="4"/>
    <x v="0"/>
    <x v="1"/>
    <n v="3"/>
    <x v="0"/>
    <x v="5"/>
    <x v="1"/>
    <x v="0"/>
    <x v="1"/>
    <n v="1"/>
  </r>
  <r>
    <x v="22"/>
    <x v="1"/>
    <x v="1"/>
    <n v="766"/>
    <x v="0"/>
    <n v="20"/>
    <x v="3"/>
    <x v="0"/>
    <x v="0"/>
    <n v="1812"/>
    <x v="1"/>
    <x v="1"/>
    <n v="83"/>
    <x v="0"/>
    <x v="0"/>
    <x v="0"/>
    <x v="0"/>
    <x v="2"/>
    <x v="1197"/>
    <n v="19188"/>
    <n v="2"/>
    <s v="Y"/>
    <x v="1"/>
    <n v="18"/>
    <x v="0"/>
    <x v="1"/>
    <n v="80"/>
    <n v="1"/>
    <n v="7"/>
    <n v="6"/>
    <x v="1"/>
    <x v="4"/>
    <n v="1"/>
    <x v="3"/>
    <x v="3"/>
    <x v="1"/>
    <x v="1"/>
    <x v="1"/>
    <n v="0"/>
  </r>
  <r>
    <x v="23"/>
    <x v="1"/>
    <x v="2"/>
    <n v="343"/>
    <x v="1"/>
    <n v="9"/>
    <x v="3"/>
    <x v="0"/>
    <x v="0"/>
    <n v="1813"/>
    <x v="3"/>
    <x v="1"/>
    <n v="52"/>
    <x v="0"/>
    <x v="1"/>
    <x v="1"/>
    <x v="2"/>
    <x v="0"/>
    <x v="1198"/>
    <n v="24978"/>
    <n v="4"/>
    <s v="Y"/>
    <x v="1"/>
    <n v="13"/>
    <x v="0"/>
    <x v="3"/>
    <n v="80"/>
    <n v="0"/>
    <n v="7"/>
    <n v="2"/>
    <x v="2"/>
    <x v="11"/>
    <n v="2"/>
    <x v="1"/>
    <x v="3"/>
    <x v="0"/>
    <x v="2"/>
    <x v="1"/>
    <n v="0"/>
  </r>
  <r>
    <x v="0"/>
    <x v="1"/>
    <x v="0"/>
    <n v="447"/>
    <x v="1"/>
    <n v="5"/>
    <x v="3"/>
    <x v="0"/>
    <x v="0"/>
    <n v="1814"/>
    <x v="0"/>
    <x v="1"/>
    <n v="85"/>
    <x v="2"/>
    <x v="0"/>
    <x v="4"/>
    <x v="1"/>
    <x v="0"/>
    <x v="1199"/>
    <n v="15530"/>
    <n v="3"/>
    <s v="Y"/>
    <x v="1"/>
    <n v="12"/>
    <x v="0"/>
    <x v="0"/>
    <n v="80"/>
    <n v="0"/>
    <n v="11"/>
    <n v="3"/>
    <x v="0"/>
    <x v="11"/>
    <n v="2"/>
    <x v="1"/>
    <x v="3"/>
    <x v="0"/>
    <x v="2"/>
    <x v="0"/>
    <n v="0"/>
  </r>
  <r>
    <x v="0"/>
    <x v="1"/>
    <x v="0"/>
    <n v="796"/>
    <x v="0"/>
    <n v="4"/>
    <x v="1"/>
    <x v="3"/>
    <x v="0"/>
    <n v="1815"/>
    <x v="1"/>
    <x v="0"/>
    <n v="81"/>
    <x v="0"/>
    <x v="2"/>
    <x v="0"/>
    <x v="2"/>
    <x v="2"/>
    <x v="1200"/>
    <n v="26458"/>
    <n v="0"/>
    <s v="Y"/>
    <x v="0"/>
    <n v="13"/>
    <x v="0"/>
    <x v="1"/>
    <n v="80"/>
    <n v="1"/>
    <n v="23"/>
    <n v="3"/>
    <x v="3"/>
    <x v="14"/>
    <n v="14"/>
    <x v="11"/>
    <x v="0"/>
    <x v="0"/>
    <x v="3"/>
    <x v="3"/>
    <n v="0"/>
  </r>
  <r>
    <x v="7"/>
    <x v="1"/>
    <x v="0"/>
    <n v="1092"/>
    <x v="1"/>
    <n v="10"/>
    <x v="3"/>
    <x v="2"/>
    <x v="0"/>
    <n v="1816"/>
    <x v="3"/>
    <x v="0"/>
    <n v="64"/>
    <x v="0"/>
    <x v="2"/>
    <x v="3"/>
    <x v="2"/>
    <x v="0"/>
    <x v="1201"/>
    <n v="2739"/>
    <n v="9"/>
    <s v="Y"/>
    <x v="1"/>
    <n v="14"/>
    <x v="0"/>
    <x v="2"/>
    <n v="80"/>
    <n v="0"/>
    <n v="9"/>
    <n v="3"/>
    <x v="1"/>
    <x v="5"/>
    <n v="7"/>
    <x v="0"/>
    <x v="3"/>
    <x v="1"/>
    <x v="0"/>
    <x v="0"/>
    <n v="0"/>
  </r>
  <r>
    <x v="25"/>
    <x v="0"/>
    <x v="0"/>
    <n v="920"/>
    <x v="2"/>
    <n v="20"/>
    <x v="0"/>
    <x v="2"/>
    <x v="0"/>
    <n v="1818"/>
    <x v="2"/>
    <x v="0"/>
    <n v="69"/>
    <x v="0"/>
    <x v="1"/>
    <x v="8"/>
    <x v="1"/>
    <x v="1"/>
    <x v="1202"/>
    <n v="6889"/>
    <n v="0"/>
    <s v="Y"/>
    <x v="0"/>
    <n v="11"/>
    <x v="0"/>
    <x v="3"/>
    <n v="80"/>
    <n v="0"/>
    <n v="6"/>
    <n v="3"/>
    <x v="1"/>
    <x v="8"/>
    <n v="1"/>
    <x v="1"/>
    <x v="10"/>
    <x v="2"/>
    <x v="2"/>
    <x v="1"/>
    <n v="1"/>
  </r>
  <r>
    <x v="21"/>
    <x v="0"/>
    <x v="0"/>
    <n v="261"/>
    <x v="1"/>
    <n v="21"/>
    <x v="0"/>
    <x v="2"/>
    <x v="0"/>
    <n v="1821"/>
    <x v="2"/>
    <x v="0"/>
    <n v="66"/>
    <x v="0"/>
    <x v="0"/>
    <x v="4"/>
    <x v="1"/>
    <x v="1"/>
    <x v="1203"/>
    <n v="10842"/>
    <n v="4"/>
    <s v="Y"/>
    <x v="1"/>
    <n v="22"/>
    <x v="1"/>
    <x v="1"/>
    <n v="80"/>
    <n v="1"/>
    <n v="13"/>
    <n v="2"/>
    <x v="3"/>
    <x v="7"/>
    <n v="7"/>
    <x v="2"/>
    <x v="1"/>
    <x v="0"/>
    <x v="0"/>
    <x v="0"/>
    <n v="1"/>
  </r>
  <r>
    <x v="32"/>
    <x v="1"/>
    <x v="0"/>
    <n v="1194"/>
    <x v="1"/>
    <n v="1"/>
    <x v="3"/>
    <x v="0"/>
    <x v="0"/>
    <n v="1822"/>
    <x v="1"/>
    <x v="0"/>
    <n v="52"/>
    <x v="0"/>
    <x v="0"/>
    <x v="4"/>
    <x v="0"/>
    <x v="2"/>
    <x v="1204"/>
    <n v="9060"/>
    <n v="4"/>
    <s v="Y"/>
    <x v="1"/>
    <n v="17"/>
    <x v="0"/>
    <x v="1"/>
    <n v="80"/>
    <n v="1"/>
    <n v="12"/>
    <n v="3"/>
    <x v="1"/>
    <x v="8"/>
    <n v="3"/>
    <x v="0"/>
    <x v="6"/>
    <x v="0"/>
    <x v="2"/>
    <x v="0"/>
    <n v="0"/>
  </r>
  <r>
    <x v="13"/>
    <x v="1"/>
    <x v="0"/>
    <n v="810"/>
    <x v="0"/>
    <n v="8"/>
    <x v="0"/>
    <x v="4"/>
    <x v="0"/>
    <n v="1823"/>
    <x v="0"/>
    <x v="1"/>
    <n v="92"/>
    <x v="2"/>
    <x v="0"/>
    <x v="0"/>
    <x v="2"/>
    <x v="1"/>
    <x v="1205"/>
    <n v="22128"/>
    <n v="1"/>
    <s v="Y"/>
    <x v="1"/>
    <n v="21"/>
    <x v="1"/>
    <x v="3"/>
    <n v="80"/>
    <n v="2"/>
    <n v="10"/>
    <n v="5"/>
    <x v="1"/>
    <x v="1"/>
    <n v="8"/>
    <x v="5"/>
    <x v="5"/>
    <x v="1"/>
    <x v="0"/>
    <x v="0"/>
    <n v="0"/>
  </r>
  <r>
    <x v="34"/>
    <x v="1"/>
    <x v="2"/>
    <n v="350"/>
    <x v="0"/>
    <n v="2"/>
    <x v="3"/>
    <x v="2"/>
    <x v="0"/>
    <n v="1824"/>
    <x v="0"/>
    <x v="1"/>
    <n v="52"/>
    <x v="0"/>
    <x v="3"/>
    <x v="5"/>
    <x v="1"/>
    <x v="2"/>
    <x v="1206"/>
    <n v="22577"/>
    <n v="4"/>
    <s v="Y"/>
    <x v="1"/>
    <n v="22"/>
    <x v="1"/>
    <x v="1"/>
    <n v="80"/>
    <n v="1"/>
    <n v="37"/>
    <n v="0"/>
    <x v="2"/>
    <x v="22"/>
    <n v="9"/>
    <x v="15"/>
    <x v="17"/>
    <x v="3"/>
    <x v="3"/>
    <x v="2"/>
    <n v="0"/>
  </r>
  <r>
    <x v="10"/>
    <x v="1"/>
    <x v="0"/>
    <n v="185"/>
    <x v="1"/>
    <n v="23"/>
    <x v="2"/>
    <x v="2"/>
    <x v="0"/>
    <n v="1826"/>
    <x v="0"/>
    <x v="1"/>
    <n v="91"/>
    <x v="3"/>
    <x v="1"/>
    <x v="2"/>
    <x v="2"/>
    <x v="1"/>
    <x v="1207"/>
    <n v="9696"/>
    <n v="0"/>
    <s v="Y"/>
    <x v="1"/>
    <n v="16"/>
    <x v="0"/>
    <x v="2"/>
    <n v="80"/>
    <n v="1"/>
    <n v="6"/>
    <n v="2"/>
    <x v="3"/>
    <x v="8"/>
    <n v="4"/>
    <x v="0"/>
    <x v="6"/>
    <x v="1"/>
    <x v="2"/>
    <x v="1"/>
    <n v="0"/>
  </r>
  <r>
    <x v="40"/>
    <x v="1"/>
    <x v="0"/>
    <n v="1001"/>
    <x v="1"/>
    <n v="4"/>
    <x v="3"/>
    <x v="0"/>
    <x v="0"/>
    <n v="1827"/>
    <x v="1"/>
    <x v="0"/>
    <n v="92"/>
    <x v="1"/>
    <x v="2"/>
    <x v="3"/>
    <x v="1"/>
    <x v="2"/>
    <x v="1208"/>
    <n v="19271"/>
    <n v="8"/>
    <s v="Y"/>
    <x v="0"/>
    <n v="12"/>
    <x v="0"/>
    <x v="3"/>
    <n v="80"/>
    <n v="1"/>
    <n v="28"/>
    <n v="4"/>
    <x v="1"/>
    <x v="14"/>
    <n v="11"/>
    <x v="15"/>
    <x v="13"/>
    <x v="0"/>
    <x v="3"/>
    <x v="3"/>
    <n v="0"/>
  </r>
  <r>
    <x v="32"/>
    <x v="1"/>
    <x v="0"/>
    <n v="750"/>
    <x v="1"/>
    <n v="12"/>
    <x v="3"/>
    <x v="0"/>
    <x v="0"/>
    <n v="1829"/>
    <x v="0"/>
    <x v="0"/>
    <n v="47"/>
    <x v="0"/>
    <x v="0"/>
    <x v="4"/>
    <x v="3"/>
    <x v="2"/>
    <x v="1209"/>
    <n v="10748"/>
    <n v="2"/>
    <s v="Y"/>
    <x v="1"/>
    <n v="12"/>
    <x v="0"/>
    <x v="2"/>
    <n v="80"/>
    <n v="1"/>
    <n v="15"/>
    <n v="3"/>
    <x v="1"/>
    <x v="5"/>
    <n v="4"/>
    <x v="4"/>
    <x v="1"/>
    <x v="0"/>
    <x v="0"/>
    <x v="1"/>
    <n v="0"/>
  </r>
  <r>
    <x v="33"/>
    <x v="1"/>
    <x v="0"/>
    <n v="431"/>
    <x v="1"/>
    <n v="7"/>
    <x v="2"/>
    <x v="2"/>
    <x v="0"/>
    <n v="1830"/>
    <x v="2"/>
    <x v="0"/>
    <n v="68"/>
    <x v="0"/>
    <x v="0"/>
    <x v="1"/>
    <x v="0"/>
    <x v="1"/>
    <x v="1210"/>
    <n v="15696"/>
    <n v="4"/>
    <s v="Y"/>
    <x v="1"/>
    <n v="15"/>
    <x v="0"/>
    <x v="2"/>
    <n v="80"/>
    <n v="1"/>
    <n v="14"/>
    <n v="2"/>
    <x v="2"/>
    <x v="5"/>
    <n v="1"/>
    <x v="1"/>
    <x v="1"/>
    <x v="3"/>
    <x v="0"/>
    <x v="0"/>
    <n v="0"/>
  </r>
  <r>
    <x v="12"/>
    <x v="1"/>
    <x v="1"/>
    <n v="1125"/>
    <x v="0"/>
    <n v="7"/>
    <x v="2"/>
    <x v="3"/>
    <x v="0"/>
    <n v="1833"/>
    <x v="3"/>
    <x v="0"/>
    <n v="68"/>
    <x v="0"/>
    <x v="2"/>
    <x v="0"/>
    <x v="3"/>
    <x v="1"/>
    <x v="1211"/>
    <n v="8277"/>
    <n v="2"/>
    <s v="Y"/>
    <x v="1"/>
    <n v="14"/>
    <x v="0"/>
    <x v="1"/>
    <n v="80"/>
    <n v="2"/>
    <n v="9"/>
    <n v="3"/>
    <x v="1"/>
    <x v="11"/>
    <n v="2"/>
    <x v="3"/>
    <x v="3"/>
    <x v="1"/>
    <x v="2"/>
    <x v="0"/>
    <n v="0"/>
  </r>
  <r>
    <x v="14"/>
    <x v="1"/>
    <x v="0"/>
    <n v="1217"/>
    <x v="1"/>
    <n v="1"/>
    <x v="3"/>
    <x v="2"/>
    <x v="0"/>
    <n v="1834"/>
    <x v="1"/>
    <x v="0"/>
    <n v="67"/>
    <x v="0"/>
    <x v="1"/>
    <x v="1"/>
    <x v="3"/>
    <x v="1"/>
    <x v="1212"/>
    <n v="12719"/>
    <n v="1"/>
    <s v="Y"/>
    <x v="1"/>
    <n v="25"/>
    <x v="1"/>
    <x v="3"/>
    <n v="80"/>
    <n v="1"/>
    <n v="3"/>
    <n v="3"/>
    <x v="1"/>
    <x v="11"/>
    <n v="2"/>
    <x v="1"/>
    <x v="3"/>
    <x v="2"/>
    <x v="2"/>
    <x v="1"/>
    <n v="0"/>
  </r>
  <r>
    <x v="8"/>
    <x v="1"/>
    <x v="0"/>
    <n v="723"/>
    <x v="0"/>
    <n v="2"/>
    <x v="2"/>
    <x v="3"/>
    <x v="0"/>
    <n v="1835"/>
    <x v="0"/>
    <x v="0"/>
    <n v="77"/>
    <x v="3"/>
    <x v="0"/>
    <x v="6"/>
    <x v="0"/>
    <x v="1"/>
    <x v="517"/>
    <n v="4244"/>
    <n v="2"/>
    <s v="Y"/>
    <x v="0"/>
    <n v="20"/>
    <x v="1"/>
    <x v="0"/>
    <n v="80"/>
    <n v="2"/>
    <n v="20"/>
    <n v="4"/>
    <x v="2"/>
    <x v="9"/>
    <n v="2"/>
    <x v="0"/>
    <x v="6"/>
    <x v="1"/>
    <x v="2"/>
    <x v="0"/>
    <n v="0"/>
  </r>
  <r>
    <x v="25"/>
    <x v="1"/>
    <x v="0"/>
    <n v="572"/>
    <x v="0"/>
    <n v="10"/>
    <x v="3"/>
    <x v="2"/>
    <x v="0"/>
    <n v="1836"/>
    <x v="1"/>
    <x v="1"/>
    <n v="46"/>
    <x v="0"/>
    <x v="0"/>
    <x v="0"/>
    <x v="0"/>
    <x v="0"/>
    <x v="1213"/>
    <n v="9125"/>
    <n v="1"/>
    <s v="Y"/>
    <x v="1"/>
    <n v="13"/>
    <x v="0"/>
    <x v="0"/>
    <n v="80"/>
    <n v="0"/>
    <n v="5"/>
    <n v="4"/>
    <x v="1"/>
    <x v="8"/>
    <n v="3"/>
    <x v="1"/>
    <x v="3"/>
    <x v="2"/>
    <x v="2"/>
    <x v="1"/>
    <n v="0"/>
  </r>
  <r>
    <x v="34"/>
    <x v="1"/>
    <x v="1"/>
    <n v="1216"/>
    <x v="1"/>
    <n v="15"/>
    <x v="2"/>
    <x v="0"/>
    <x v="0"/>
    <n v="1837"/>
    <x v="3"/>
    <x v="1"/>
    <n v="87"/>
    <x v="0"/>
    <x v="3"/>
    <x v="7"/>
    <x v="2"/>
    <x v="1"/>
    <x v="1214"/>
    <n v="21624"/>
    <n v="2"/>
    <s v="Y"/>
    <x v="0"/>
    <n v="14"/>
    <x v="0"/>
    <x v="2"/>
    <n v="80"/>
    <n v="0"/>
    <n v="23"/>
    <n v="3"/>
    <x v="1"/>
    <x v="4"/>
    <n v="2"/>
    <x v="3"/>
    <x v="3"/>
    <x v="3"/>
    <x v="1"/>
    <x v="2"/>
    <n v="0"/>
  </r>
  <r>
    <x v="41"/>
    <x v="1"/>
    <x v="2"/>
    <n v="1431"/>
    <x v="1"/>
    <n v="14"/>
    <x v="3"/>
    <x v="2"/>
    <x v="0"/>
    <n v="1839"/>
    <x v="0"/>
    <x v="0"/>
    <n v="33"/>
    <x v="0"/>
    <x v="1"/>
    <x v="1"/>
    <x v="2"/>
    <x v="0"/>
    <x v="1215"/>
    <n v="8018"/>
    <n v="1"/>
    <s v="Y"/>
    <x v="1"/>
    <n v="16"/>
    <x v="0"/>
    <x v="3"/>
    <n v="80"/>
    <n v="0"/>
    <n v="0"/>
    <n v="4"/>
    <x v="0"/>
    <x v="2"/>
    <n v="0"/>
    <x v="0"/>
    <x v="2"/>
    <x v="4"/>
    <x v="1"/>
    <x v="1"/>
    <n v="0"/>
  </r>
  <r>
    <x v="12"/>
    <x v="0"/>
    <x v="0"/>
    <n v="359"/>
    <x v="2"/>
    <n v="18"/>
    <x v="4"/>
    <x v="5"/>
    <x v="0"/>
    <n v="1842"/>
    <x v="2"/>
    <x v="1"/>
    <n v="89"/>
    <x v="2"/>
    <x v="1"/>
    <x v="8"/>
    <x v="3"/>
    <x v="1"/>
    <x v="98"/>
    <n v="21495"/>
    <n v="0"/>
    <s v="Y"/>
    <x v="1"/>
    <n v="17"/>
    <x v="0"/>
    <x v="3"/>
    <n v="80"/>
    <n v="0"/>
    <n v="2"/>
    <n v="4"/>
    <x v="1"/>
    <x v="6"/>
    <n v="0"/>
    <x v="0"/>
    <x v="2"/>
    <x v="1"/>
    <x v="1"/>
    <x v="1"/>
    <n v="1"/>
  </r>
  <r>
    <x v="11"/>
    <x v="0"/>
    <x v="0"/>
    <n v="350"/>
    <x v="2"/>
    <n v="13"/>
    <x v="3"/>
    <x v="5"/>
    <x v="0"/>
    <n v="1844"/>
    <x v="3"/>
    <x v="1"/>
    <n v="56"/>
    <x v="1"/>
    <x v="1"/>
    <x v="8"/>
    <x v="3"/>
    <x v="2"/>
    <x v="1216"/>
    <n v="3157"/>
    <n v="4"/>
    <s v="Y"/>
    <x v="0"/>
    <n v="15"/>
    <x v="0"/>
    <x v="1"/>
    <n v="80"/>
    <n v="3"/>
    <n v="4"/>
    <n v="3"/>
    <x v="1"/>
    <x v="4"/>
    <n v="2"/>
    <x v="3"/>
    <x v="2"/>
    <x v="2"/>
    <x v="1"/>
    <x v="1"/>
    <n v="1"/>
  </r>
  <r>
    <x v="28"/>
    <x v="1"/>
    <x v="2"/>
    <n v="589"/>
    <x v="0"/>
    <n v="2"/>
    <x v="2"/>
    <x v="0"/>
    <x v="0"/>
    <n v="1845"/>
    <x v="1"/>
    <x v="0"/>
    <n v="67"/>
    <x v="0"/>
    <x v="0"/>
    <x v="0"/>
    <x v="2"/>
    <x v="1"/>
    <x v="1217"/>
    <n v="19665"/>
    <n v="4"/>
    <s v="Y"/>
    <x v="1"/>
    <n v="22"/>
    <x v="1"/>
    <x v="2"/>
    <n v="80"/>
    <n v="2"/>
    <n v="10"/>
    <n v="3"/>
    <x v="3"/>
    <x v="3"/>
    <n v="7"/>
    <x v="8"/>
    <x v="1"/>
    <x v="0"/>
    <x v="0"/>
    <x v="0"/>
    <n v="0"/>
  </r>
  <r>
    <x v="9"/>
    <x v="1"/>
    <x v="0"/>
    <n v="430"/>
    <x v="1"/>
    <n v="2"/>
    <x v="2"/>
    <x v="1"/>
    <x v="0"/>
    <n v="1847"/>
    <x v="2"/>
    <x v="0"/>
    <n v="73"/>
    <x v="0"/>
    <x v="0"/>
    <x v="1"/>
    <x v="1"/>
    <x v="1"/>
    <x v="1218"/>
    <n v="19573"/>
    <n v="4"/>
    <s v="Y"/>
    <x v="0"/>
    <n v="22"/>
    <x v="1"/>
    <x v="1"/>
    <n v="80"/>
    <n v="1"/>
    <n v="15"/>
    <n v="2"/>
    <x v="1"/>
    <x v="6"/>
    <n v="0"/>
    <x v="0"/>
    <x v="2"/>
    <x v="1"/>
    <x v="1"/>
    <x v="0"/>
    <n v="0"/>
  </r>
  <r>
    <x v="23"/>
    <x v="1"/>
    <x v="1"/>
    <n v="1422"/>
    <x v="0"/>
    <n v="2"/>
    <x v="2"/>
    <x v="0"/>
    <x v="0"/>
    <n v="1849"/>
    <x v="3"/>
    <x v="1"/>
    <n v="92"/>
    <x v="0"/>
    <x v="0"/>
    <x v="0"/>
    <x v="0"/>
    <x v="1"/>
    <x v="1219"/>
    <n v="19246"/>
    <n v="1"/>
    <s v="Y"/>
    <x v="1"/>
    <n v="20"/>
    <x v="1"/>
    <x v="3"/>
    <n v="80"/>
    <n v="1"/>
    <n v="7"/>
    <n v="5"/>
    <x v="1"/>
    <x v="5"/>
    <n v="7"/>
    <x v="4"/>
    <x v="1"/>
    <x v="0"/>
    <x v="0"/>
    <x v="0"/>
    <n v="0"/>
  </r>
  <r>
    <x v="4"/>
    <x v="1"/>
    <x v="1"/>
    <n v="1297"/>
    <x v="1"/>
    <n v="5"/>
    <x v="0"/>
    <x v="0"/>
    <x v="0"/>
    <n v="1850"/>
    <x v="2"/>
    <x v="0"/>
    <n v="53"/>
    <x v="0"/>
    <x v="1"/>
    <x v="2"/>
    <x v="0"/>
    <x v="0"/>
    <x v="1220"/>
    <n v="19826"/>
    <n v="0"/>
    <s v="Y"/>
    <x v="0"/>
    <n v="14"/>
    <x v="0"/>
    <x v="3"/>
    <n v="80"/>
    <n v="0"/>
    <n v="6"/>
    <n v="3"/>
    <x v="2"/>
    <x v="8"/>
    <n v="4"/>
    <x v="0"/>
    <x v="3"/>
    <x v="2"/>
    <x v="2"/>
    <x v="1"/>
    <n v="0"/>
  </r>
  <r>
    <x v="11"/>
    <x v="1"/>
    <x v="1"/>
    <n v="574"/>
    <x v="1"/>
    <n v="20"/>
    <x v="1"/>
    <x v="2"/>
    <x v="0"/>
    <n v="1852"/>
    <x v="2"/>
    <x v="1"/>
    <n v="40"/>
    <x v="0"/>
    <x v="1"/>
    <x v="2"/>
    <x v="0"/>
    <x v="1"/>
    <x v="1221"/>
    <n v="7003"/>
    <n v="1"/>
    <s v="Y"/>
    <x v="1"/>
    <n v="13"/>
    <x v="0"/>
    <x v="2"/>
    <n v="80"/>
    <n v="0"/>
    <n v="11"/>
    <n v="3"/>
    <x v="3"/>
    <x v="19"/>
    <n v="8"/>
    <x v="2"/>
    <x v="13"/>
    <x v="2"/>
    <x v="3"/>
    <x v="1"/>
    <n v="0"/>
  </r>
  <r>
    <x v="5"/>
    <x v="1"/>
    <x v="1"/>
    <n v="1318"/>
    <x v="0"/>
    <n v="10"/>
    <x v="2"/>
    <x v="3"/>
    <x v="0"/>
    <n v="1853"/>
    <x v="2"/>
    <x v="1"/>
    <n v="79"/>
    <x v="0"/>
    <x v="0"/>
    <x v="0"/>
    <x v="0"/>
    <x v="0"/>
    <x v="1222"/>
    <n v="26075"/>
    <n v="8"/>
    <s v="Y"/>
    <x v="1"/>
    <n v="13"/>
    <x v="0"/>
    <x v="3"/>
    <n v="80"/>
    <n v="0"/>
    <n v="4"/>
    <n v="2"/>
    <x v="3"/>
    <x v="2"/>
    <n v="0"/>
    <x v="0"/>
    <x v="2"/>
    <x v="1"/>
    <x v="1"/>
    <x v="1"/>
    <n v="0"/>
  </r>
  <r>
    <x v="19"/>
    <x v="1"/>
    <x v="2"/>
    <n v="355"/>
    <x v="1"/>
    <n v="10"/>
    <x v="2"/>
    <x v="4"/>
    <x v="0"/>
    <n v="1854"/>
    <x v="1"/>
    <x v="1"/>
    <n v="38"/>
    <x v="0"/>
    <x v="1"/>
    <x v="1"/>
    <x v="2"/>
    <x v="1"/>
    <x v="808"/>
    <n v="6161"/>
    <n v="3"/>
    <s v="Y"/>
    <x v="1"/>
    <n v="22"/>
    <x v="1"/>
    <x v="2"/>
    <n v="80"/>
    <n v="2"/>
    <n v="10"/>
    <n v="1"/>
    <x v="2"/>
    <x v="0"/>
    <n v="3"/>
    <x v="2"/>
    <x v="6"/>
    <x v="0"/>
    <x v="0"/>
    <x v="1"/>
    <n v="0"/>
  </r>
  <r>
    <x v="40"/>
    <x v="1"/>
    <x v="0"/>
    <n v="207"/>
    <x v="1"/>
    <n v="9"/>
    <x v="2"/>
    <x v="0"/>
    <x v="0"/>
    <n v="1856"/>
    <x v="0"/>
    <x v="0"/>
    <n v="64"/>
    <x v="0"/>
    <x v="1"/>
    <x v="2"/>
    <x v="2"/>
    <x v="0"/>
    <x v="1223"/>
    <n v="5411"/>
    <n v="4"/>
    <s v="Y"/>
    <x v="1"/>
    <n v="12"/>
    <x v="0"/>
    <x v="3"/>
    <n v="80"/>
    <n v="0"/>
    <n v="7"/>
    <n v="2"/>
    <x v="1"/>
    <x v="4"/>
    <n v="2"/>
    <x v="3"/>
    <x v="2"/>
    <x v="0"/>
    <x v="1"/>
    <x v="1"/>
    <n v="0"/>
  </r>
  <r>
    <x v="21"/>
    <x v="1"/>
    <x v="0"/>
    <n v="706"/>
    <x v="1"/>
    <n v="2"/>
    <x v="0"/>
    <x v="0"/>
    <x v="0"/>
    <n v="1857"/>
    <x v="2"/>
    <x v="1"/>
    <n v="82"/>
    <x v="0"/>
    <x v="2"/>
    <x v="3"/>
    <x v="0"/>
    <x v="2"/>
    <x v="1224"/>
    <n v="19989"/>
    <n v="3"/>
    <s v="Y"/>
    <x v="1"/>
    <n v="14"/>
    <x v="0"/>
    <x v="3"/>
    <n v="80"/>
    <n v="1"/>
    <n v="12"/>
    <n v="4"/>
    <x v="2"/>
    <x v="7"/>
    <n v="8"/>
    <x v="5"/>
    <x v="1"/>
    <x v="0"/>
    <x v="0"/>
    <x v="0"/>
    <n v="0"/>
  </r>
  <r>
    <x v="14"/>
    <x v="1"/>
    <x v="2"/>
    <n v="280"/>
    <x v="2"/>
    <n v="1"/>
    <x v="0"/>
    <x v="0"/>
    <x v="0"/>
    <n v="1858"/>
    <x v="1"/>
    <x v="1"/>
    <n v="43"/>
    <x v="0"/>
    <x v="1"/>
    <x v="8"/>
    <x v="0"/>
    <x v="2"/>
    <x v="1225"/>
    <n v="10494"/>
    <n v="1"/>
    <s v="Y"/>
    <x v="1"/>
    <n v="15"/>
    <x v="0"/>
    <x v="2"/>
    <n v="80"/>
    <n v="1"/>
    <n v="3"/>
    <n v="2"/>
    <x v="1"/>
    <x v="11"/>
    <n v="2"/>
    <x v="3"/>
    <x v="3"/>
    <x v="2"/>
    <x v="2"/>
    <x v="1"/>
    <n v="0"/>
  </r>
  <r>
    <x v="11"/>
    <x v="1"/>
    <x v="0"/>
    <n v="726"/>
    <x v="1"/>
    <n v="29"/>
    <x v="1"/>
    <x v="0"/>
    <x v="0"/>
    <n v="1859"/>
    <x v="2"/>
    <x v="1"/>
    <n v="93"/>
    <x v="3"/>
    <x v="0"/>
    <x v="4"/>
    <x v="2"/>
    <x v="2"/>
    <x v="1226"/>
    <n v="21143"/>
    <n v="8"/>
    <s v="Y"/>
    <x v="1"/>
    <n v="17"/>
    <x v="0"/>
    <x v="1"/>
    <n v="80"/>
    <n v="2"/>
    <n v="11"/>
    <n v="3"/>
    <x v="1"/>
    <x v="5"/>
    <n v="0"/>
    <x v="1"/>
    <x v="4"/>
    <x v="2"/>
    <x v="0"/>
    <x v="0"/>
    <n v="0"/>
  </r>
  <r>
    <x v="19"/>
    <x v="1"/>
    <x v="0"/>
    <n v="1142"/>
    <x v="1"/>
    <n v="8"/>
    <x v="3"/>
    <x v="0"/>
    <x v="0"/>
    <n v="1860"/>
    <x v="2"/>
    <x v="1"/>
    <n v="81"/>
    <x v="0"/>
    <x v="1"/>
    <x v="2"/>
    <x v="2"/>
    <x v="0"/>
    <x v="1227"/>
    <n v="13624"/>
    <n v="4"/>
    <s v="Y"/>
    <x v="1"/>
    <n v="13"/>
    <x v="0"/>
    <x v="1"/>
    <n v="80"/>
    <n v="0"/>
    <n v="8"/>
    <n v="3"/>
    <x v="1"/>
    <x v="2"/>
    <n v="0"/>
    <x v="0"/>
    <x v="2"/>
    <x v="0"/>
    <x v="1"/>
    <x v="1"/>
    <n v="0"/>
  </r>
  <r>
    <x v="5"/>
    <x v="0"/>
    <x v="0"/>
    <n v="414"/>
    <x v="0"/>
    <n v="2"/>
    <x v="2"/>
    <x v="3"/>
    <x v="0"/>
    <n v="1862"/>
    <x v="1"/>
    <x v="1"/>
    <n v="82"/>
    <x v="1"/>
    <x v="0"/>
    <x v="0"/>
    <x v="1"/>
    <x v="0"/>
    <x v="1228"/>
    <n v="26186"/>
    <n v="7"/>
    <s v="Y"/>
    <x v="0"/>
    <n v="12"/>
    <x v="0"/>
    <x v="3"/>
    <n v="80"/>
    <n v="0"/>
    <n v="7"/>
    <n v="3"/>
    <x v="2"/>
    <x v="4"/>
    <n v="2"/>
    <x v="3"/>
    <x v="3"/>
    <x v="1"/>
    <x v="1"/>
    <x v="0"/>
    <n v="1"/>
  </r>
  <r>
    <x v="21"/>
    <x v="1"/>
    <x v="0"/>
    <n v="1319"/>
    <x v="0"/>
    <n v="3"/>
    <x v="3"/>
    <x v="4"/>
    <x v="0"/>
    <n v="1863"/>
    <x v="3"/>
    <x v="0"/>
    <n v="45"/>
    <x v="2"/>
    <x v="3"/>
    <x v="0"/>
    <x v="3"/>
    <x v="2"/>
    <x v="1229"/>
    <n v="7739"/>
    <n v="2"/>
    <s v="Y"/>
    <x v="1"/>
    <n v="12"/>
    <x v="0"/>
    <x v="1"/>
    <n v="80"/>
    <n v="1"/>
    <n v="25"/>
    <n v="5"/>
    <x v="1"/>
    <x v="27"/>
    <n v="17"/>
    <x v="3"/>
    <x v="5"/>
    <x v="0"/>
    <x v="3"/>
    <x v="3"/>
    <n v="0"/>
  </r>
  <r>
    <x v="4"/>
    <x v="1"/>
    <x v="0"/>
    <n v="728"/>
    <x v="0"/>
    <n v="23"/>
    <x v="1"/>
    <x v="2"/>
    <x v="0"/>
    <n v="1864"/>
    <x v="0"/>
    <x v="0"/>
    <n v="36"/>
    <x v="1"/>
    <x v="0"/>
    <x v="6"/>
    <x v="2"/>
    <x v="1"/>
    <x v="1230"/>
    <n v="7018"/>
    <n v="1"/>
    <s v="Y"/>
    <x v="1"/>
    <n v="21"/>
    <x v="1"/>
    <x v="1"/>
    <n v="80"/>
    <n v="1"/>
    <n v="9"/>
    <n v="5"/>
    <x v="1"/>
    <x v="7"/>
    <n v="8"/>
    <x v="8"/>
    <x v="5"/>
    <x v="2"/>
    <x v="0"/>
    <x v="1"/>
    <n v="0"/>
  </r>
  <r>
    <x v="11"/>
    <x v="1"/>
    <x v="0"/>
    <n v="352"/>
    <x v="2"/>
    <n v="6"/>
    <x v="1"/>
    <x v="2"/>
    <x v="0"/>
    <n v="1865"/>
    <x v="2"/>
    <x v="1"/>
    <n v="87"/>
    <x v="1"/>
    <x v="1"/>
    <x v="8"/>
    <x v="1"/>
    <x v="1"/>
    <x v="1231"/>
    <n v="15434"/>
    <n v="1"/>
    <s v="Y"/>
    <x v="1"/>
    <n v="11"/>
    <x v="0"/>
    <x v="1"/>
    <n v="80"/>
    <n v="0"/>
    <n v="1"/>
    <n v="3"/>
    <x v="1"/>
    <x v="6"/>
    <n v="0"/>
    <x v="0"/>
    <x v="2"/>
    <x v="2"/>
    <x v="1"/>
    <x v="1"/>
    <n v="0"/>
  </r>
  <r>
    <x v="23"/>
    <x v="1"/>
    <x v="0"/>
    <n v="823"/>
    <x v="1"/>
    <n v="6"/>
    <x v="3"/>
    <x v="2"/>
    <x v="0"/>
    <n v="1866"/>
    <x v="3"/>
    <x v="0"/>
    <n v="81"/>
    <x v="1"/>
    <x v="4"/>
    <x v="5"/>
    <x v="2"/>
    <x v="1"/>
    <x v="1232"/>
    <n v="22539"/>
    <n v="7"/>
    <s v="Y"/>
    <x v="1"/>
    <n v="13"/>
    <x v="0"/>
    <x v="1"/>
    <n v="80"/>
    <n v="0"/>
    <n v="21"/>
    <n v="2"/>
    <x v="1"/>
    <x v="22"/>
    <n v="12"/>
    <x v="7"/>
    <x v="17"/>
    <x v="0"/>
    <x v="3"/>
    <x v="2"/>
    <n v="0"/>
  </r>
  <r>
    <x v="26"/>
    <x v="1"/>
    <x v="0"/>
    <n v="1224"/>
    <x v="1"/>
    <n v="10"/>
    <x v="3"/>
    <x v="0"/>
    <x v="0"/>
    <n v="1867"/>
    <x v="2"/>
    <x v="1"/>
    <n v="91"/>
    <x v="1"/>
    <x v="4"/>
    <x v="7"/>
    <x v="1"/>
    <x v="1"/>
    <x v="1233"/>
    <n v="13583"/>
    <n v="4"/>
    <s v="Y"/>
    <x v="1"/>
    <n v="12"/>
    <x v="0"/>
    <x v="1"/>
    <n v="80"/>
    <n v="0"/>
    <n v="29"/>
    <n v="3"/>
    <x v="1"/>
    <x v="14"/>
    <n v="10"/>
    <x v="12"/>
    <x v="12"/>
    <x v="0"/>
    <x v="3"/>
    <x v="2"/>
    <n v="0"/>
  </r>
  <r>
    <x v="11"/>
    <x v="0"/>
    <x v="1"/>
    <n v="459"/>
    <x v="1"/>
    <n v="24"/>
    <x v="0"/>
    <x v="0"/>
    <x v="0"/>
    <n v="1868"/>
    <x v="2"/>
    <x v="1"/>
    <n v="73"/>
    <x v="1"/>
    <x v="1"/>
    <x v="1"/>
    <x v="0"/>
    <x v="0"/>
    <x v="1234"/>
    <n v="14753"/>
    <n v="1"/>
    <s v="Y"/>
    <x v="0"/>
    <n v="24"/>
    <x v="1"/>
    <x v="2"/>
    <n v="80"/>
    <n v="0"/>
    <n v="1"/>
    <n v="3"/>
    <x v="2"/>
    <x v="6"/>
    <n v="0"/>
    <x v="1"/>
    <x v="2"/>
    <x v="2"/>
    <x v="1"/>
    <x v="1"/>
    <n v="1"/>
  </r>
  <r>
    <x v="21"/>
    <x v="0"/>
    <x v="0"/>
    <n v="1254"/>
    <x v="0"/>
    <n v="10"/>
    <x v="3"/>
    <x v="0"/>
    <x v="0"/>
    <n v="1869"/>
    <x v="1"/>
    <x v="0"/>
    <n v="64"/>
    <x v="0"/>
    <x v="2"/>
    <x v="0"/>
    <x v="1"/>
    <x v="1"/>
    <x v="1235"/>
    <n v="14011"/>
    <n v="5"/>
    <s v="Y"/>
    <x v="1"/>
    <n v="21"/>
    <x v="1"/>
    <x v="3"/>
    <n v="80"/>
    <n v="3"/>
    <n v="14"/>
    <n v="2"/>
    <x v="1"/>
    <x v="3"/>
    <n v="7"/>
    <x v="0"/>
    <x v="1"/>
    <x v="0"/>
    <x v="0"/>
    <x v="0"/>
    <n v="1"/>
  </r>
  <r>
    <x v="4"/>
    <x v="1"/>
    <x v="1"/>
    <n v="1131"/>
    <x v="1"/>
    <n v="15"/>
    <x v="3"/>
    <x v="0"/>
    <x v="0"/>
    <n v="1870"/>
    <x v="2"/>
    <x v="0"/>
    <n v="77"/>
    <x v="1"/>
    <x v="1"/>
    <x v="1"/>
    <x v="3"/>
    <x v="1"/>
    <x v="1236"/>
    <n v="23844"/>
    <n v="0"/>
    <s v="Y"/>
    <x v="1"/>
    <n v="19"/>
    <x v="0"/>
    <x v="1"/>
    <n v="80"/>
    <n v="1"/>
    <n v="8"/>
    <n v="2"/>
    <x v="2"/>
    <x v="5"/>
    <n v="6"/>
    <x v="4"/>
    <x v="6"/>
    <x v="2"/>
    <x v="0"/>
    <x v="1"/>
    <n v="0"/>
  </r>
  <r>
    <x v="22"/>
    <x v="1"/>
    <x v="0"/>
    <n v="835"/>
    <x v="1"/>
    <n v="19"/>
    <x v="2"/>
    <x v="1"/>
    <x v="0"/>
    <n v="1871"/>
    <x v="2"/>
    <x v="1"/>
    <n v="41"/>
    <x v="0"/>
    <x v="0"/>
    <x v="1"/>
    <x v="0"/>
    <x v="2"/>
    <x v="1237"/>
    <n v="5141"/>
    <n v="8"/>
    <s v="Y"/>
    <x v="1"/>
    <n v="14"/>
    <x v="0"/>
    <x v="2"/>
    <n v="80"/>
    <n v="3"/>
    <n v="7"/>
    <n v="2"/>
    <x v="1"/>
    <x v="4"/>
    <n v="2"/>
    <x v="3"/>
    <x v="3"/>
    <x v="1"/>
    <x v="1"/>
    <x v="1"/>
    <n v="0"/>
  </r>
  <r>
    <x v="27"/>
    <x v="1"/>
    <x v="0"/>
    <n v="836"/>
    <x v="1"/>
    <n v="2"/>
    <x v="2"/>
    <x v="4"/>
    <x v="0"/>
    <n v="1873"/>
    <x v="0"/>
    <x v="1"/>
    <n v="98"/>
    <x v="1"/>
    <x v="1"/>
    <x v="1"/>
    <x v="0"/>
    <x v="1"/>
    <x v="1238"/>
    <n v="7975"/>
    <n v="8"/>
    <s v="Y"/>
    <x v="1"/>
    <n v="20"/>
    <x v="1"/>
    <x v="2"/>
    <n v="80"/>
    <n v="1"/>
    <n v="19"/>
    <n v="2"/>
    <x v="3"/>
    <x v="8"/>
    <n v="2"/>
    <x v="0"/>
    <x v="10"/>
    <x v="3"/>
    <x v="2"/>
    <x v="1"/>
    <n v="0"/>
  </r>
  <r>
    <x v="14"/>
    <x v="1"/>
    <x v="0"/>
    <n v="1172"/>
    <x v="0"/>
    <n v="3"/>
    <x v="3"/>
    <x v="2"/>
    <x v="0"/>
    <n v="1875"/>
    <x v="0"/>
    <x v="0"/>
    <n v="78"/>
    <x v="0"/>
    <x v="1"/>
    <x v="6"/>
    <x v="1"/>
    <x v="1"/>
    <x v="1239"/>
    <n v="3692"/>
    <n v="1"/>
    <s v="Y"/>
    <x v="1"/>
    <n v="19"/>
    <x v="0"/>
    <x v="1"/>
    <n v="80"/>
    <n v="1"/>
    <n v="1"/>
    <n v="3"/>
    <x v="1"/>
    <x v="6"/>
    <n v="0"/>
    <x v="0"/>
    <x v="2"/>
    <x v="2"/>
    <x v="1"/>
    <x v="1"/>
    <n v="0"/>
  </r>
  <r>
    <x v="7"/>
    <x v="0"/>
    <x v="0"/>
    <n v="945"/>
    <x v="0"/>
    <n v="9"/>
    <x v="3"/>
    <x v="2"/>
    <x v="0"/>
    <n v="1876"/>
    <x v="0"/>
    <x v="1"/>
    <n v="89"/>
    <x v="0"/>
    <x v="1"/>
    <x v="6"/>
    <x v="0"/>
    <x v="0"/>
    <x v="1240"/>
    <n v="16019"/>
    <n v="1"/>
    <s v="Y"/>
    <x v="1"/>
    <n v="13"/>
    <x v="0"/>
    <x v="3"/>
    <n v="80"/>
    <n v="0"/>
    <n v="1"/>
    <n v="3"/>
    <x v="2"/>
    <x v="6"/>
    <n v="0"/>
    <x v="0"/>
    <x v="2"/>
    <x v="1"/>
    <x v="1"/>
    <x v="1"/>
    <n v="1"/>
  </r>
  <r>
    <x v="15"/>
    <x v="0"/>
    <x v="0"/>
    <n v="391"/>
    <x v="1"/>
    <n v="7"/>
    <x v="1"/>
    <x v="0"/>
    <x v="0"/>
    <n v="1878"/>
    <x v="2"/>
    <x v="1"/>
    <n v="75"/>
    <x v="0"/>
    <x v="1"/>
    <x v="1"/>
    <x v="1"/>
    <x v="0"/>
    <x v="1241"/>
    <n v="26092"/>
    <n v="1"/>
    <s v="Y"/>
    <x v="0"/>
    <n v="23"/>
    <x v="1"/>
    <x v="0"/>
    <n v="80"/>
    <n v="0"/>
    <n v="1"/>
    <n v="2"/>
    <x v="1"/>
    <x v="6"/>
    <n v="0"/>
    <x v="0"/>
    <x v="2"/>
    <x v="2"/>
    <x v="1"/>
    <x v="1"/>
    <n v="1"/>
  </r>
  <r>
    <x v="9"/>
    <x v="1"/>
    <x v="0"/>
    <n v="1266"/>
    <x v="0"/>
    <n v="10"/>
    <x v="2"/>
    <x v="4"/>
    <x v="0"/>
    <n v="1880"/>
    <x v="0"/>
    <x v="0"/>
    <n v="63"/>
    <x v="1"/>
    <x v="0"/>
    <x v="0"/>
    <x v="2"/>
    <x v="1"/>
    <x v="1242"/>
    <n v="6060"/>
    <n v="1"/>
    <s v="Y"/>
    <x v="0"/>
    <n v="13"/>
    <x v="0"/>
    <x v="0"/>
    <n v="80"/>
    <n v="1"/>
    <n v="10"/>
    <n v="4"/>
    <x v="1"/>
    <x v="1"/>
    <n v="9"/>
    <x v="1"/>
    <x v="1"/>
    <x v="1"/>
    <x v="0"/>
    <x v="0"/>
    <n v="0"/>
  </r>
  <r>
    <x v="12"/>
    <x v="1"/>
    <x v="0"/>
    <n v="311"/>
    <x v="1"/>
    <n v="20"/>
    <x v="3"/>
    <x v="0"/>
    <x v="0"/>
    <n v="1881"/>
    <x v="0"/>
    <x v="1"/>
    <n v="89"/>
    <x v="0"/>
    <x v="0"/>
    <x v="2"/>
    <x v="2"/>
    <x v="2"/>
    <x v="378"/>
    <n v="18624"/>
    <n v="1"/>
    <s v="Y"/>
    <x v="1"/>
    <n v="11"/>
    <x v="0"/>
    <x v="0"/>
    <n v="80"/>
    <n v="1"/>
    <n v="10"/>
    <n v="2"/>
    <x v="1"/>
    <x v="1"/>
    <n v="8"/>
    <x v="0"/>
    <x v="3"/>
    <x v="1"/>
    <x v="0"/>
    <x v="1"/>
    <n v="0"/>
  </r>
  <r>
    <x v="13"/>
    <x v="1"/>
    <x v="0"/>
    <n v="1480"/>
    <x v="0"/>
    <n v="4"/>
    <x v="3"/>
    <x v="0"/>
    <x v="0"/>
    <n v="1882"/>
    <x v="1"/>
    <x v="1"/>
    <n v="64"/>
    <x v="0"/>
    <x v="2"/>
    <x v="0"/>
    <x v="0"/>
    <x v="1"/>
    <x v="1243"/>
    <n v="24444"/>
    <n v="2"/>
    <s v="Y"/>
    <x v="0"/>
    <n v="13"/>
    <x v="0"/>
    <x v="1"/>
    <n v="80"/>
    <n v="3"/>
    <n v="9"/>
    <n v="3"/>
    <x v="1"/>
    <x v="8"/>
    <n v="3"/>
    <x v="1"/>
    <x v="2"/>
    <x v="1"/>
    <x v="2"/>
    <x v="0"/>
    <n v="0"/>
  </r>
  <r>
    <x v="11"/>
    <x v="1"/>
    <x v="0"/>
    <n v="592"/>
    <x v="1"/>
    <n v="7"/>
    <x v="3"/>
    <x v="0"/>
    <x v="0"/>
    <n v="1883"/>
    <x v="2"/>
    <x v="1"/>
    <n v="59"/>
    <x v="0"/>
    <x v="1"/>
    <x v="2"/>
    <x v="3"/>
    <x v="0"/>
    <x v="1244"/>
    <n v="19384"/>
    <n v="3"/>
    <s v="Y"/>
    <x v="1"/>
    <n v="14"/>
    <x v="0"/>
    <x v="2"/>
    <n v="80"/>
    <n v="0"/>
    <n v="11"/>
    <n v="2"/>
    <x v="1"/>
    <x v="11"/>
    <n v="2"/>
    <x v="1"/>
    <x v="3"/>
    <x v="2"/>
    <x v="2"/>
    <x v="1"/>
    <n v="0"/>
  </r>
  <r>
    <x v="2"/>
    <x v="1"/>
    <x v="0"/>
    <n v="783"/>
    <x v="1"/>
    <n v="7"/>
    <x v="2"/>
    <x v="2"/>
    <x v="0"/>
    <n v="1885"/>
    <x v="2"/>
    <x v="1"/>
    <n v="78"/>
    <x v="0"/>
    <x v="0"/>
    <x v="1"/>
    <x v="3"/>
    <x v="1"/>
    <x v="948"/>
    <n v="13588"/>
    <n v="5"/>
    <s v="Y"/>
    <x v="0"/>
    <n v="22"/>
    <x v="1"/>
    <x v="3"/>
    <n v="80"/>
    <n v="1"/>
    <n v="16"/>
    <n v="2"/>
    <x v="1"/>
    <x v="8"/>
    <n v="3"/>
    <x v="0"/>
    <x v="10"/>
    <x v="1"/>
    <x v="2"/>
    <x v="1"/>
    <n v="0"/>
  </r>
  <r>
    <x v="10"/>
    <x v="1"/>
    <x v="0"/>
    <n v="219"/>
    <x v="1"/>
    <n v="16"/>
    <x v="0"/>
    <x v="1"/>
    <x v="0"/>
    <n v="1886"/>
    <x v="2"/>
    <x v="0"/>
    <n v="44"/>
    <x v="1"/>
    <x v="0"/>
    <x v="3"/>
    <x v="1"/>
    <x v="1"/>
    <x v="1245"/>
    <n v="25388"/>
    <n v="0"/>
    <s v="Y"/>
    <x v="0"/>
    <n v="11"/>
    <x v="0"/>
    <x v="1"/>
    <n v="80"/>
    <n v="0"/>
    <n v="4"/>
    <n v="2"/>
    <x v="1"/>
    <x v="11"/>
    <n v="2"/>
    <x v="0"/>
    <x v="3"/>
    <x v="1"/>
    <x v="2"/>
    <x v="1"/>
    <n v="0"/>
  </r>
  <r>
    <x v="28"/>
    <x v="1"/>
    <x v="0"/>
    <n v="556"/>
    <x v="1"/>
    <n v="25"/>
    <x v="0"/>
    <x v="0"/>
    <x v="0"/>
    <n v="1888"/>
    <x v="0"/>
    <x v="0"/>
    <n v="93"/>
    <x v="1"/>
    <x v="0"/>
    <x v="3"/>
    <x v="0"/>
    <x v="1"/>
    <x v="1246"/>
    <n v="23888"/>
    <n v="0"/>
    <s v="Y"/>
    <x v="1"/>
    <n v="13"/>
    <x v="0"/>
    <x v="1"/>
    <n v="80"/>
    <n v="2"/>
    <n v="10"/>
    <n v="2"/>
    <x v="2"/>
    <x v="7"/>
    <n v="8"/>
    <x v="2"/>
    <x v="5"/>
    <x v="0"/>
    <x v="0"/>
    <x v="0"/>
    <n v="0"/>
  </r>
  <r>
    <x v="9"/>
    <x v="1"/>
    <x v="1"/>
    <n v="1213"/>
    <x v="2"/>
    <n v="2"/>
    <x v="1"/>
    <x v="5"/>
    <x v="0"/>
    <n v="1890"/>
    <x v="0"/>
    <x v="1"/>
    <n v="94"/>
    <x v="1"/>
    <x v="0"/>
    <x v="8"/>
    <x v="0"/>
    <x v="0"/>
    <x v="1247"/>
    <n v="4223"/>
    <n v="1"/>
    <s v="Y"/>
    <x v="1"/>
    <n v="21"/>
    <x v="1"/>
    <x v="1"/>
    <n v="80"/>
    <n v="0"/>
    <n v="10"/>
    <n v="2"/>
    <x v="2"/>
    <x v="1"/>
    <n v="1"/>
    <x v="0"/>
    <x v="5"/>
    <x v="1"/>
    <x v="0"/>
    <x v="1"/>
    <n v="0"/>
  </r>
  <r>
    <x v="32"/>
    <x v="1"/>
    <x v="0"/>
    <n v="1137"/>
    <x v="1"/>
    <n v="1"/>
    <x v="2"/>
    <x v="0"/>
    <x v="0"/>
    <n v="1892"/>
    <x v="3"/>
    <x v="1"/>
    <n v="98"/>
    <x v="0"/>
    <x v="3"/>
    <x v="5"/>
    <x v="3"/>
    <x v="2"/>
    <x v="1248"/>
    <n v="18991"/>
    <n v="2"/>
    <s v="Y"/>
    <x v="1"/>
    <n v="11"/>
    <x v="0"/>
    <x v="0"/>
    <n v="80"/>
    <n v="1"/>
    <n v="22"/>
    <n v="3"/>
    <x v="1"/>
    <x v="27"/>
    <n v="7"/>
    <x v="14"/>
    <x v="16"/>
    <x v="0"/>
    <x v="3"/>
    <x v="2"/>
    <n v="0"/>
  </r>
  <r>
    <x v="25"/>
    <x v="1"/>
    <x v="0"/>
    <n v="482"/>
    <x v="1"/>
    <n v="1"/>
    <x v="0"/>
    <x v="0"/>
    <x v="0"/>
    <n v="1893"/>
    <x v="0"/>
    <x v="0"/>
    <n v="90"/>
    <x v="1"/>
    <x v="1"/>
    <x v="1"/>
    <x v="2"/>
    <x v="1"/>
    <x v="1249"/>
    <n v="14908"/>
    <n v="1"/>
    <s v="Y"/>
    <x v="0"/>
    <n v="13"/>
    <x v="0"/>
    <x v="3"/>
    <n v="80"/>
    <n v="1"/>
    <n v="1"/>
    <n v="3"/>
    <x v="2"/>
    <x v="6"/>
    <n v="0"/>
    <x v="1"/>
    <x v="2"/>
    <x v="2"/>
    <x v="1"/>
    <x v="1"/>
    <n v="0"/>
  </r>
  <r>
    <x v="4"/>
    <x v="1"/>
    <x v="0"/>
    <n v="511"/>
    <x v="0"/>
    <n v="2"/>
    <x v="0"/>
    <x v="2"/>
    <x v="0"/>
    <n v="1898"/>
    <x v="3"/>
    <x v="0"/>
    <n v="89"/>
    <x v="2"/>
    <x v="0"/>
    <x v="0"/>
    <x v="2"/>
    <x v="0"/>
    <x v="559"/>
    <n v="26997"/>
    <n v="0"/>
    <s v="Y"/>
    <x v="1"/>
    <n v="14"/>
    <x v="0"/>
    <x v="2"/>
    <n v="80"/>
    <n v="0"/>
    <n v="9"/>
    <n v="5"/>
    <x v="2"/>
    <x v="3"/>
    <n v="7"/>
    <x v="0"/>
    <x v="1"/>
    <x v="2"/>
    <x v="0"/>
    <x v="0"/>
    <n v="0"/>
  </r>
  <r>
    <x v="26"/>
    <x v="1"/>
    <x v="1"/>
    <n v="117"/>
    <x v="1"/>
    <n v="22"/>
    <x v="3"/>
    <x v="2"/>
    <x v="0"/>
    <n v="1900"/>
    <x v="2"/>
    <x v="0"/>
    <n v="58"/>
    <x v="0"/>
    <x v="3"/>
    <x v="5"/>
    <x v="0"/>
    <x v="2"/>
    <x v="1250"/>
    <n v="2437"/>
    <n v="3"/>
    <s v="Y"/>
    <x v="1"/>
    <n v="11"/>
    <x v="0"/>
    <x v="2"/>
    <n v="80"/>
    <n v="1"/>
    <n v="24"/>
    <n v="3"/>
    <x v="1"/>
    <x v="14"/>
    <n v="17"/>
    <x v="5"/>
    <x v="1"/>
    <x v="0"/>
    <x v="3"/>
    <x v="2"/>
    <n v="0"/>
  </r>
  <r>
    <x v="20"/>
    <x v="1"/>
    <x v="0"/>
    <n v="170"/>
    <x v="1"/>
    <n v="1"/>
    <x v="2"/>
    <x v="0"/>
    <x v="0"/>
    <n v="1903"/>
    <x v="0"/>
    <x v="1"/>
    <n v="78"/>
    <x v="2"/>
    <x v="0"/>
    <x v="4"/>
    <x v="3"/>
    <x v="1"/>
    <x v="1251"/>
    <n v="9364"/>
    <n v="2"/>
    <s v="Y"/>
    <x v="1"/>
    <n v="15"/>
    <x v="0"/>
    <x v="1"/>
    <n v="80"/>
    <n v="1"/>
    <n v="10"/>
    <n v="5"/>
    <x v="1"/>
    <x v="4"/>
    <n v="0"/>
    <x v="3"/>
    <x v="3"/>
    <x v="0"/>
    <x v="1"/>
    <x v="0"/>
    <n v="0"/>
  </r>
  <r>
    <x v="13"/>
    <x v="0"/>
    <x v="2"/>
    <n v="967"/>
    <x v="1"/>
    <n v="16"/>
    <x v="2"/>
    <x v="4"/>
    <x v="0"/>
    <n v="1905"/>
    <x v="2"/>
    <x v="1"/>
    <n v="85"/>
    <x v="3"/>
    <x v="1"/>
    <x v="1"/>
    <x v="3"/>
    <x v="1"/>
    <x v="1252"/>
    <n v="14460"/>
    <n v="1"/>
    <s v="Y"/>
    <x v="0"/>
    <n v="23"/>
    <x v="1"/>
    <x v="2"/>
    <n v="80"/>
    <n v="1"/>
    <n v="5"/>
    <n v="2"/>
    <x v="1"/>
    <x v="8"/>
    <n v="2"/>
    <x v="2"/>
    <x v="2"/>
    <x v="1"/>
    <x v="2"/>
    <x v="1"/>
    <n v="1"/>
  </r>
  <r>
    <x v="29"/>
    <x v="0"/>
    <x v="0"/>
    <n v="1162"/>
    <x v="1"/>
    <n v="24"/>
    <x v="0"/>
    <x v="0"/>
    <x v="0"/>
    <n v="1907"/>
    <x v="3"/>
    <x v="1"/>
    <n v="97"/>
    <x v="0"/>
    <x v="1"/>
    <x v="2"/>
    <x v="0"/>
    <x v="0"/>
    <x v="1105"/>
    <n v="10261"/>
    <n v="1"/>
    <s v="Y"/>
    <x v="1"/>
    <n v="16"/>
    <x v="0"/>
    <x v="1"/>
    <n v="80"/>
    <n v="0"/>
    <n v="5"/>
    <n v="3"/>
    <x v="1"/>
    <x v="9"/>
    <n v="2"/>
    <x v="1"/>
    <x v="2"/>
    <x v="3"/>
    <x v="2"/>
    <x v="1"/>
    <n v="1"/>
  </r>
  <r>
    <x v="9"/>
    <x v="1"/>
    <x v="0"/>
    <n v="335"/>
    <x v="0"/>
    <n v="17"/>
    <x v="0"/>
    <x v="3"/>
    <x v="0"/>
    <n v="1908"/>
    <x v="1"/>
    <x v="1"/>
    <n v="33"/>
    <x v="1"/>
    <x v="0"/>
    <x v="0"/>
    <x v="1"/>
    <x v="1"/>
    <x v="1253"/>
    <n v="16822"/>
    <n v="2"/>
    <s v="Y"/>
    <x v="1"/>
    <n v="16"/>
    <x v="0"/>
    <x v="3"/>
    <n v="80"/>
    <n v="2"/>
    <n v="12"/>
    <n v="1"/>
    <x v="0"/>
    <x v="9"/>
    <n v="2"/>
    <x v="1"/>
    <x v="6"/>
    <x v="1"/>
    <x v="2"/>
    <x v="0"/>
    <n v="0"/>
  </r>
  <r>
    <x v="0"/>
    <x v="1"/>
    <x v="0"/>
    <n v="337"/>
    <x v="0"/>
    <n v="8"/>
    <x v="3"/>
    <x v="3"/>
    <x v="0"/>
    <n v="1909"/>
    <x v="1"/>
    <x v="0"/>
    <n v="54"/>
    <x v="0"/>
    <x v="0"/>
    <x v="0"/>
    <x v="1"/>
    <x v="1"/>
    <x v="1254"/>
    <n v="26841"/>
    <n v="5"/>
    <s v="Y"/>
    <x v="1"/>
    <n v="21"/>
    <x v="1"/>
    <x v="3"/>
    <n v="80"/>
    <n v="1"/>
    <n v="14"/>
    <n v="3"/>
    <x v="1"/>
    <x v="8"/>
    <n v="4"/>
    <x v="1"/>
    <x v="10"/>
    <x v="0"/>
    <x v="2"/>
    <x v="1"/>
    <n v="0"/>
  </r>
  <r>
    <x v="19"/>
    <x v="1"/>
    <x v="0"/>
    <n v="1396"/>
    <x v="1"/>
    <n v="6"/>
    <x v="3"/>
    <x v="2"/>
    <x v="0"/>
    <n v="1911"/>
    <x v="1"/>
    <x v="1"/>
    <n v="83"/>
    <x v="0"/>
    <x v="2"/>
    <x v="7"/>
    <x v="3"/>
    <x v="1"/>
    <x v="1255"/>
    <n v="14842"/>
    <n v="9"/>
    <s v="Y"/>
    <x v="1"/>
    <n v="13"/>
    <x v="0"/>
    <x v="2"/>
    <n v="80"/>
    <n v="1"/>
    <n v="18"/>
    <n v="3"/>
    <x v="3"/>
    <x v="20"/>
    <n v="7"/>
    <x v="8"/>
    <x v="1"/>
    <x v="0"/>
    <x v="3"/>
    <x v="3"/>
    <n v="0"/>
  </r>
  <r>
    <x v="12"/>
    <x v="1"/>
    <x v="0"/>
    <n v="1079"/>
    <x v="0"/>
    <n v="10"/>
    <x v="0"/>
    <x v="2"/>
    <x v="0"/>
    <n v="1912"/>
    <x v="1"/>
    <x v="0"/>
    <n v="86"/>
    <x v="0"/>
    <x v="0"/>
    <x v="0"/>
    <x v="0"/>
    <x v="2"/>
    <x v="1256"/>
    <n v="20115"/>
    <n v="2"/>
    <s v="Y"/>
    <x v="0"/>
    <n v="11"/>
    <x v="0"/>
    <x v="1"/>
    <n v="80"/>
    <n v="1"/>
    <n v="8"/>
    <n v="2"/>
    <x v="1"/>
    <x v="8"/>
    <n v="2"/>
    <x v="1"/>
    <x v="10"/>
    <x v="1"/>
    <x v="2"/>
    <x v="0"/>
    <n v="0"/>
  </r>
  <r>
    <x v="13"/>
    <x v="1"/>
    <x v="0"/>
    <n v="735"/>
    <x v="0"/>
    <n v="3"/>
    <x v="1"/>
    <x v="2"/>
    <x v="0"/>
    <n v="1915"/>
    <x v="2"/>
    <x v="0"/>
    <n v="75"/>
    <x v="1"/>
    <x v="0"/>
    <x v="0"/>
    <x v="0"/>
    <x v="1"/>
    <x v="1257"/>
    <n v="16495"/>
    <n v="3"/>
    <s v="Y"/>
    <x v="0"/>
    <n v="12"/>
    <x v="0"/>
    <x v="3"/>
    <n v="80"/>
    <n v="0"/>
    <n v="9"/>
    <n v="3"/>
    <x v="2"/>
    <x v="9"/>
    <n v="2"/>
    <x v="0"/>
    <x v="9"/>
    <x v="1"/>
    <x v="2"/>
    <x v="0"/>
    <n v="0"/>
  </r>
  <r>
    <x v="12"/>
    <x v="1"/>
    <x v="0"/>
    <n v="471"/>
    <x v="1"/>
    <n v="4"/>
    <x v="3"/>
    <x v="2"/>
    <x v="0"/>
    <n v="1916"/>
    <x v="3"/>
    <x v="0"/>
    <n v="62"/>
    <x v="2"/>
    <x v="1"/>
    <x v="2"/>
    <x v="2"/>
    <x v="2"/>
    <x v="1258"/>
    <n v="16031"/>
    <n v="8"/>
    <s v="Y"/>
    <x v="1"/>
    <n v="12"/>
    <x v="0"/>
    <x v="2"/>
    <n v="80"/>
    <n v="1"/>
    <n v="4"/>
    <n v="0"/>
    <x v="2"/>
    <x v="4"/>
    <n v="2"/>
    <x v="3"/>
    <x v="3"/>
    <x v="1"/>
    <x v="1"/>
    <x v="1"/>
    <n v="0"/>
  </r>
  <r>
    <x v="25"/>
    <x v="1"/>
    <x v="1"/>
    <n v="1096"/>
    <x v="1"/>
    <n v="6"/>
    <x v="3"/>
    <x v="1"/>
    <x v="0"/>
    <n v="1918"/>
    <x v="1"/>
    <x v="1"/>
    <n v="61"/>
    <x v="2"/>
    <x v="1"/>
    <x v="2"/>
    <x v="0"/>
    <x v="1"/>
    <x v="1259"/>
    <n v="7102"/>
    <n v="0"/>
    <s v="Y"/>
    <x v="1"/>
    <n v="18"/>
    <x v="0"/>
    <x v="0"/>
    <n v="80"/>
    <n v="1"/>
    <n v="8"/>
    <n v="3"/>
    <x v="1"/>
    <x v="5"/>
    <n v="7"/>
    <x v="4"/>
    <x v="1"/>
    <x v="2"/>
    <x v="0"/>
    <x v="1"/>
    <n v="0"/>
  </r>
  <r>
    <x v="28"/>
    <x v="1"/>
    <x v="1"/>
    <n v="1297"/>
    <x v="1"/>
    <n v="1"/>
    <x v="2"/>
    <x v="2"/>
    <x v="0"/>
    <n v="1922"/>
    <x v="0"/>
    <x v="1"/>
    <n v="44"/>
    <x v="0"/>
    <x v="0"/>
    <x v="4"/>
    <x v="2"/>
    <x v="0"/>
    <x v="1260"/>
    <n v="14511"/>
    <n v="4"/>
    <s v="Y"/>
    <x v="1"/>
    <n v="12"/>
    <x v="0"/>
    <x v="3"/>
    <n v="80"/>
    <n v="0"/>
    <n v="12"/>
    <n v="3"/>
    <x v="1"/>
    <x v="9"/>
    <n v="2"/>
    <x v="0"/>
    <x v="6"/>
    <x v="0"/>
    <x v="2"/>
    <x v="0"/>
    <n v="0"/>
  </r>
  <r>
    <x v="3"/>
    <x v="1"/>
    <x v="0"/>
    <n v="217"/>
    <x v="0"/>
    <n v="10"/>
    <x v="2"/>
    <x v="3"/>
    <x v="0"/>
    <n v="1924"/>
    <x v="0"/>
    <x v="1"/>
    <n v="43"/>
    <x v="0"/>
    <x v="0"/>
    <x v="0"/>
    <x v="2"/>
    <x v="0"/>
    <x v="1261"/>
    <n v="10410"/>
    <n v="1"/>
    <s v="Y"/>
    <x v="1"/>
    <n v="14"/>
    <x v="0"/>
    <x v="2"/>
    <n v="80"/>
    <n v="0"/>
    <n v="10"/>
    <n v="2"/>
    <x v="2"/>
    <x v="1"/>
    <n v="4"/>
    <x v="0"/>
    <x v="12"/>
    <x v="1"/>
    <x v="0"/>
    <x v="0"/>
    <n v="0"/>
  </r>
  <r>
    <x v="14"/>
    <x v="1"/>
    <x v="1"/>
    <n v="783"/>
    <x v="0"/>
    <n v="1"/>
    <x v="0"/>
    <x v="0"/>
    <x v="0"/>
    <n v="1927"/>
    <x v="1"/>
    <x v="1"/>
    <n v="42"/>
    <x v="1"/>
    <x v="0"/>
    <x v="0"/>
    <x v="0"/>
    <x v="1"/>
    <x v="1262"/>
    <n v="19255"/>
    <n v="1"/>
    <s v="Y"/>
    <x v="0"/>
    <n v="12"/>
    <x v="0"/>
    <x v="3"/>
    <n v="80"/>
    <n v="1"/>
    <n v="7"/>
    <n v="2"/>
    <x v="1"/>
    <x v="5"/>
    <n v="7"/>
    <x v="0"/>
    <x v="1"/>
    <x v="2"/>
    <x v="0"/>
    <x v="0"/>
    <n v="0"/>
  </r>
  <r>
    <x v="11"/>
    <x v="0"/>
    <x v="1"/>
    <n v="746"/>
    <x v="0"/>
    <n v="24"/>
    <x v="3"/>
    <x v="4"/>
    <x v="0"/>
    <n v="1928"/>
    <x v="1"/>
    <x v="1"/>
    <n v="45"/>
    <x v="2"/>
    <x v="1"/>
    <x v="6"/>
    <x v="3"/>
    <x v="0"/>
    <x v="1263"/>
    <n v="10642"/>
    <n v="1"/>
    <s v="Y"/>
    <x v="1"/>
    <n v="17"/>
    <x v="0"/>
    <x v="1"/>
    <n v="80"/>
    <n v="0"/>
    <n v="1"/>
    <n v="3"/>
    <x v="1"/>
    <x v="6"/>
    <n v="0"/>
    <x v="0"/>
    <x v="2"/>
    <x v="2"/>
    <x v="1"/>
    <x v="1"/>
    <n v="1"/>
  </r>
  <r>
    <x v="22"/>
    <x v="1"/>
    <x v="2"/>
    <n v="1251"/>
    <x v="0"/>
    <n v="21"/>
    <x v="2"/>
    <x v="0"/>
    <x v="0"/>
    <n v="1929"/>
    <x v="3"/>
    <x v="0"/>
    <n v="32"/>
    <x v="3"/>
    <x v="0"/>
    <x v="0"/>
    <x v="2"/>
    <x v="1"/>
    <x v="1264"/>
    <n v="3987"/>
    <n v="6"/>
    <s v="Y"/>
    <x v="1"/>
    <n v="19"/>
    <x v="0"/>
    <x v="3"/>
    <n v="80"/>
    <n v="1"/>
    <n v="10"/>
    <n v="1"/>
    <x v="1"/>
    <x v="11"/>
    <n v="2"/>
    <x v="1"/>
    <x v="3"/>
    <x v="1"/>
    <x v="2"/>
    <x v="0"/>
    <n v="0"/>
  </r>
  <r>
    <x v="4"/>
    <x v="1"/>
    <x v="0"/>
    <n v="1354"/>
    <x v="1"/>
    <n v="2"/>
    <x v="2"/>
    <x v="4"/>
    <x v="0"/>
    <n v="1931"/>
    <x v="0"/>
    <x v="1"/>
    <n v="41"/>
    <x v="0"/>
    <x v="1"/>
    <x v="1"/>
    <x v="1"/>
    <x v="1"/>
    <x v="1265"/>
    <n v="6073"/>
    <n v="1"/>
    <s v="Y"/>
    <x v="1"/>
    <n v="11"/>
    <x v="0"/>
    <x v="3"/>
    <n v="80"/>
    <n v="1"/>
    <n v="6"/>
    <n v="3"/>
    <x v="2"/>
    <x v="8"/>
    <n v="3"/>
    <x v="1"/>
    <x v="3"/>
    <x v="2"/>
    <x v="2"/>
    <x v="1"/>
    <n v="0"/>
  </r>
  <r>
    <x v="13"/>
    <x v="1"/>
    <x v="1"/>
    <n v="735"/>
    <x v="1"/>
    <n v="22"/>
    <x v="2"/>
    <x v="1"/>
    <x v="0"/>
    <n v="1932"/>
    <x v="1"/>
    <x v="1"/>
    <n v="86"/>
    <x v="1"/>
    <x v="0"/>
    <x v="1"/>
    <x v="0"/>
    <x v="1"/>
    <x v="1266"/>
    <n v="26496"/>
    <n v="1"/>
    <s v="Y"/>
    <x v="0"/>
    <n v="15"/>
    <x v="0"/>
    <x v="2"/>
    <n v="80"/>
    <n v="0"/>
    <n v="16"/>
    <n v="3"/>
    <x v="1"/>
    <x v="15"/>
    <n v="10"/>
    <x v="7"/>
    <x v="7"/>
    <x v="1"/>
    <x v="3"/>
    <x v="0"/>
    <n v="0"/>
  </r>
  <r>
    <x v="14"/>
    <x v="0"/>
    <x v="0"/>
    <n v="1475"/>
    <x v="0"/>
    <n v="13"/>
    <x v="0"/>
    <x v="3"/>
    <x v="0"/>
    <n v="1933"/>
    <x v="2"/>
    <x v="0"/>
    <n v="84"/>
    <x v="0"/>
    <x v="0"/>
    <x v="0"/>
    <x v="2"/>
    <x v="0"/>
    <x v="1267"/>
    <n v="23352"/>
    <n v="3"/>
    <s v="Y"/>
    <x v="0"/>
    <n v="11"/>
    <x v="0"/>
    <x v="1"/>
    <n v="80"/>
    <n v="0"/>
    <n v="6"/>
    <n v="0"/>
    <x v="1"/>
    <x v="4"/>
    <n v="0"/>
    <x v="3"/>
    <x v="3"/>
    <x v="2"/>
    <x v="1"/>
    <x v="0"/>
    <n v="1"/>
  </r>
  <r>
    <x v="40"/>
    <x v="1"/>
    <x v="2"/>
    <n v="1169"/>
    <x v="1"/>
    <n v="14"/>
    <x v="2"/>
    <x v="4"/>
    <x v="0"/>
    <n v="1934"/>
    <x v="1"/>
    <x v="1"/>
    <n v="64"/>
    <x v="0"/>
    <x v="0"/>
    <x v="1"/>
    <x v="1"/>
    <x v="1"/>
    <x v="931"/>
    <n v="2125"/>
    <n v="8"/>
    <s v="Y"/>
    <x v="1"/>
    <n v="18"/>
    <x v="0"/>
    <x v="3"/>
    <n v="80"/>
    <n v="1"/>
    <n v="16"/>
    <n v="4"/>
    <x v="3"/>
    <x v="3"/>
    <n v="7"/>
    <x v="1"/>
    <x v="1"/>
    <x v="0"/>
    <x v="0"/>
    <x v="0"/>
    <n v="0"/>
  </r>
  <r>
    <x v="29"/>
    <x v="1"/>
    <x v="0"/>
    <n v="1443"/>
    <x v="0"/>
    <n v="11"/>
    <x v="4"/>
    <x v="3"/>
    <x v="0"/>
    <n v="1935"/>
    <x v="2"/>
    <x v="0"/>
    <n v="89"/>
    <x v="1"/>
    <x v="0"/>
    <x v="0"/>
    <x v="3"/>
    <x v="1"/>
    <x v="1268"/>
    <n v="20328"/>
    <n v="4"/>
    <s v="Y"/>
    <x v="1"/>
    <n v="16"/>
    <x v="0"/>
    <x v="3"/>
    <n v="80"/>
    <n v="1"/>
    <n v="6"/>
    <n v="3"/>
    <x v="1"/>
    <x v="2"/>
    <n v="0"/>
    <x v="0"/>
    <x v="2"/>
    <x v="3"/>
    <x v="1"/>
    <x v="0"/>
    <n v="0"/>
  </r>
  <r>
    <x v="22"/>
    <x v="1"/>
    <x v="0"/>
    <n v="867"/>
    <x v="1"/>
    <n v="9"/>
    <x v="0"/>
    <x v="2"/>
    <x v="0"/>
    <n v="1936"/>
    <x v="3"/>
    <x v="1"/>
    <n v="87"/>
    <x v="0"/>
    <x v="0"/>
    <x v="3"/>
    <x v="3"/>
    <x v="1"/>
    <x v="1269"/>
    <n v="12315"/>
    <n v="1"/>
    <s v="Y"/>
    <x v="1"/>
    <n v="25"/>
    <x v="1"/>
    <x v="1"/>
    <n v="80"/>
    <n v="1"/>
    <n v="10"/>
    <n v="3"/>
    <x v="1"/>
    <x v="1"/>
    <n v="0"/>
    <x v="4"/>
    <x v="12"/>
    <x v="1"/>
    <x v="0"/>
    <x v="0"/>
    <n v="0"/>
  </r>
  <r>
    <x v="8"/>
    <x v="1"/>
    <x v="1"/>
    <n v="1394"/>
    <x v="1"/>
    <n v="8"/>
    <x v="3"/>
    <x v="2"/>
    <x v="0"/>
    <n v="1937"/>
    <x v="2"/>
    <x v="0"/>
    <n v="58"/>
    <x v="1"/>
    <x v="0"/>
    <x v="1"/>
    <x v="1"/>
    <x v="2"/>
    <x v="1270"/>
    <n v="18115"/>
    <n v="1"/>
    <s v="Y"/>
    <x v="0"/>
    <n v="16"/>
    <x v="0"/>
    <x v="3"/>
    <n v="80"/>
    <n v="1"/>
    <n v="20"/>
    <n v="3"/>
    <x v="1"/>
    <x v="23"/>
    <n v="11"/>
    <x v="0"/>
    <x v="1"/>
    <x v="1"/>
    <x v="3"/>
    <x v="1"/>
    <n v="0"/>
  </r>
  <r>
    <x v="34"/>
    <x v="1"/>
    <x v="0"/>
    <n v="605"/>
    <x v="0"/>
    <n v="21"/>
    <x v="3"/>
    <x v="0"/>
    <x v="0"/>
    <n v="1938"/>
    <x v="2"/>
    <x v="0"/>
    <n v="72"/>
    <x v="0"/>
    <x v="3"/>
    <x v="5"/>
    <x v="0"/>
    <x v="1"/>
    <x v="1271"/>
    <n v="11761"/>
    <n v="4"/>
    <s v="Y"/>
    <x v="0"/>
    <n v="13"/>
    <x v="0"/>
    <x v="3"/>
    <n v="80"/>
    <n v="1"/>
    <n v="29"/>
    <n v="2"/>
    <x v="2"/>
    <x v="6"/>
    <n v="0"/>
    <x v="0"/>
    <x v="2"/>
    <x v="3"/>
    <x v="1"/>
    <x v="2"/>
    <n v="0"/>
  </r>
  <r>
    <x v="5"/>
    <x v="0"/>
    <x v="1"/>
    <n v="238"/>
    <x v="1"/>
    <n v="5"/>
    <x v="0"/>
    <x v="0"/>
    <x v="0"/>
    <n v="1939"/>
    <x v="3"/>
    <x v="0"/>
    <n v="47"/>
    <x v="2"/>
    <x v="1"/>
    <x v="1"/>
    <x v="2"/>
    <x v="0"/>
    <x v="1272"/>
    <n v="15318"/>
    <n v="3"/>
    <s v="Y"/>
    <x v="0"/>
    <n v="14"/>
    <x v="0"/>
    <x v="0"/>
    <n v="80"/>
    <n v="0"/>
    <n v="8"/>
    <n v="2"/>
    <x v="1"/>
    <x v="9"/>
    <n v="1"/>
    <x v="0"/>
    <x v="6"/>
    <x v="1"/>
    <x v="2"/>
    <x v="1"/>
    <n v="1"/>
  </r>
  <r>
    <x v="8"/>
    <x v="1"/>
    <x v="0"/>
    <n v="1206"/>
    <x v="1"/>
    <n v="9"/>
    <x v="0"/>
    <x v="0"/>
    <x v="0"/>
    <n v="1940"/>
    <x v="0"/>
    <x v="1"/>
    <n v="71"/>
    <x v="0"/>
    <x v="1"/>
    <x v="1"/>
    <x v="0"/>
    <x v="2"/>
    <x v="1273"/>
    <n v="14293"/>
    <n v="2"/>
    <s v="Y"/>
    <x v="1"/>
    <n v="19"/>
    <x v="0"/>
    <x v="1"/>
    <n v="80"/>
    <n v="2"/>
    <n v="10"/>
    <n v="0"/>
    <x v="3"/>
    <x v="8"/>
    <n v="2"/>
    <x v="0"/>
    <x v="6"/>
    <x v="1"/>
    <x v="2"/>
    <x v="1"/>
    <n v="0"/>
  </r>
  <r>
    <x v="1"/>
    <x v="1"/>
    <x v="1"/>
    <n v="1064"/>
    <x v="1"/>
    <n v="2"/>
    <x v="1"/>
    <x v="0"/>
    <x v="0"/>
    <n v="1941"/>
    <x v="0"/>
    <x v="1"/>
    <n v="42"/>
    <x v="0"/>
    <x v="4"/>
    <x v="7"/>
    <x v="0"/>
    <x v="1"/>
    <x v="1274"/>
    <n v="13738"/>
    <n v="3"/>
    <s v="Y"/>
    <x v="1"/>
    <n v="15"/>
    <x v="0"/>
    <x v="1"/>
    <n v="80"/>
    <n v="0"/>
    <n v="28"/>
    <n v="3"/>
    <x v="1"/>
    <x v="8"/>
    <n v="4"/>
    <x v="5"/>
    <x v="6"/>
    <x v="0"/>
    <x v="2"/>
    <x v="2"/>
    <n v="0"/>
  </r>
  <r>
    <x v="19"/>
    <x v="1"/>
    <x v="0"/>
    <n v="419"/>
    <x v="0"/>
    <n v="12"/>
    <x v="2"/>
    <x v="3"/>
    <x v="0"/>
    <n v="1943"/>
    <x v="0"/>
    <x v="1"/>
    <n v="77"/>
    <x v="0"/>
    <x v="0"/>
    <x v="0"/>
    <x v="0"/>
    <x v="2"/>
    <x v="1275"/>
    <n v="2900"/>
    <n v="3"/>
    <s v="Y"/>
    <x v="0"/>
    <n v="12"/>
    <x v="0"/>
    <x v="3"/>
    <n v="80"/>
    <n v="2"/>
    <n v="14"/>
    <n v="4"/>
    <x v="1"/>
    <x v="2"/>
    <n v="0"/>
    <x v="0"/>
    <x v="2"/>
    <x v="0"/>
    <x v="1"/>
    <x v="0"/>
    <n v="0"/>
  </r>
  <r>
    <x v="4"/>
    <x v="0"/>
    <x v="1"/>
    <n v="1337"/>
    <x v="2"/>
    <n v="22"/>
    <x v="3"/>
    <x v="5"/>
    <x v="0"/>
    <n v="1944"/>
    <x v="3"/>
    <x v="0"/>
    <n v="58"/>
    <x v="1"/>
    <x v="1"/>
    <x v="8"/>
    <x v="1"/>
    <x v="1"/>
    <x v="1276"/>
    <n v="19555"/>
    <n v="1"/>
    <s v="Y"/>
    <x v="1"/>
    <n v="12"/>
    <x v="0"/>
    <x v="0"/>
    <n v="80"/>
    <n v="0"/>
    <n v="1"/>
    <n v="2"/>
    <x v="1"/>
    <x v="6"/>
    <n v="0"/>
    <x v="0"/>
    <x v="2"/>
    <x v="2"/>
    <x v="1"/>
    <x v="1"/>
    <n v="1"/>
  </r>
  <r>
    <x v="10"/>
    <x v="1"/>
    <x v="0"/>
    <n v="682"/>
    <x v="0"/>
    <n v="18"/>
    <x v="2"/>
    <x v="2"/>
    <x v="0"/>
    <n v="1945"/>
    <x v="0"/>
    <x v="1"/>
    <n v="71"/>
    <x v="0"/>
    <x v="0"/>
    <x v="0"/>
    <x v="3"/>
    <x v="1"/>
    <x v="489"/>
    <n v="15975"/>
    <n v="0"/>
    <s v="Y"/>
    <x v="1"/>
    <n v="16"/>
    <x v="0"/>
    <x v="1"/>
    <n v="80"/>
    <n v="1"/>
    <n v="6"/>
    <n v="2"/>
    <x v="0"/>
    <x v="8"/>
    <n v="3"/>
    <x v="0"/>
    <x v="10"/>
    <x v="1"/>
    <x v="2"/>
    <x v="0"/>
    <n v="0"/>
  </r>
  <r>
    <x v="14"/>
    <x v="1"/>
    <x v="2"/>
    <n v="1103"/>
    <x v="1"/>
    <n v="16"/>
    <x v="3"/>
    <x v="2"/>
    <x v="0"/>
    <n v="1947"/>
    <x v="1"/>
    <x v="1"/>
    <n v="49"/>
    <x v="0"/>
    <x v="1"/>
    <x v="1"/>
    <x v="2"/>
    <x v="0"/>
    <x v="1277"/>
    <n v="2122"/>
    <n v="1"/>
    <s v="Y"/>
    <x v="1"/>
    <n v="14"/>
    <x v="0"/>
    <x v="3"/>
    <n v="80"/>
    <n v="0"/>
    <n v="5"/>
    <n v="3"/>
    <x v="2"/>
    <x v="8"/>
    <n v="3"/>
    <x v="1"/>
    <x v="10"/>
    <x v="2"/>
    <x v="2"/>
    <x v="1"/>
    <n v="0"/>
  </r>
  <r>
    <x v="12"/>
    <x v="1"/>
    <x v="2"/>
    <n v="976"/>
    <x v="1"/>
    <n v="3"/>
    <x v="0"/>
    <x v="2"/>
    <x v="0"/>
    <n v="1948"/>
    <x v="1"/>
    <x v="1"/>
    <n v="48"/>
    <x v="0"/>
    <x v="1"/>
    <x v="1"/>
    <x v="3"/>
    <x v="2"/>
    <x v="1278"/>
    <n v="3995"/>
    <n v="1"/>
    <s v="Y"/>
    <x v="0"/>
    <n v="13"/>
    <x v="0"/>
    <x v="1"/>
    <n v="80"/>
    <n v="1"/>
    <n v="4"/>
    <n v="3"/>
    <x v="3"/>
    <x v="9"/>
    <n v="2"/>
    <x v="3"/>
    <x v="6"/>
    <x v="1"/>
    <x v="2"/>
    <x v="1"/>
    <n v="0"/>
  </r>
  <r>
    <x v="9"/>
    <x v="1"/>
    <x v="2"/>
    <n v="1351"/>
    <x v="1"/>
    <n v="9"/>
    <x v="2"/>
    <x v="0"/>
    <x v="0"/>
    <n v="1949"/>
    <x v="3"/>
    <x v="1"/>
    <n v="66"/>
    <x v="2"/>
    <x v="1"/>
    <x v="2"/>
    <x v="1"/>
    <x v="1"/>
    <x v="1279"/>
    <n v="9238"/>
    <n v="1"/>
    <s v="Y"/>
    <x v="1"/>
    <n v="22"/>
    <x v="1"/>
    <x v="2"/>
    <n v="80"/>
    <n v="0"/>
    <n v="5"/>
    <n v="3"/>
    <x v="1"/>
    <x v="8"/>
    <n v="4"/>
    <x v="0"/>
    <x v="3"/>
    <x v="1"/>
    <x v="2"/>
    <x v="1"/>
    <n v="0"/>
  </r>
  <r>
    <x v="13"/>
    <x v="1"/>
    <x v="0"/>
    <n v="937"/>
    <x v="0"/>
    <n v="1"/>
    <x v="3"/>
    <x v="3"/>
    <x v="0"/>
    <n v="1950"/>
    <x v="3"/>
    <x v="1"/>
    <n v="32"/>
    <x v="0"/>
    <x v="2"/>
    <x v="0"/>
    <x v="0"/>
    <x v="0"/>
    <x v="1280"/>
    <n v="6770"/>
    <n v="1"/>
    <s v="Y"/>
    <x v="1"/>
    <n v="21"/>
    <x v="1"/>
    <x v="0"/>
    <n v="80"/>
    <n v="0"/>
    <n v="14"/>
    <n v="3"/>
    <x v="2"/>
    <x v="13"/>
    <n v="8"/>
    <x v="3"/>
    <x v="9"/>
    <x v="1"/>
    <x v="3"/>
    <x v="0"/>
    <n v="0"/>
  </r>
  <r>
    <x v="13"/>
    <x v="1"/>
    <x v="0"/>
    <n v="1239"/>
    <x v="0"/>
    <n v="13"/>
    <x v="2"/>
    <x v="2"/>
    <x v="0"/>
    <n v="1951"/>
    <x v="2"/>
    <x v="1"/>
    <n v="39"/>
    <x v="0"/>
    <x v="2"/>
    <x v="0"/>
    <x v="2"/>
    <x v="2"/>
    <x v="1281"/>
    <n v="22914"/>
    <n v="1"/>
    <s v="Y"/>
    <x v="1"/>
    <n v="18"/>
    <x v="0"/>
    <x v="3"/>
    <n v="80"/>
    <n v="1"/>
    <n v="9"/>
    <n v="2"/>
    <x v="2"/>
    <x v="3"/>
    <n v="7"/>
    <x v="1"/>
    <x v="9"/>
    <x v="1"/>
    <x v="0"/>
    <x v="0"/>
    <n v="0"/>
  </r>
  <r>
    <x v="25"/>
    <x v="1"/>
    <x v="0"/>
    <n v="157"/>
    <x v="1"/>
    <n v="1"/>
    <x v="3"/>
    <x v="2"/>
    <x v="0"/>
    <n v="1952"/>
    <x v="1"/>
    <x v="1"/>
    <n v="95"/>
    <x v="0"/>
    <x v="1"/>
    <x v="2"/>
    <x v="3"/>
    <x v="0"/>
    <x v="1282"/>
    <n v="20006"/>
    <n v="0"/>
    <s v="Y"/>
    <x v="1"/>
    <n v="13"/>
    <x v="0"/>
    <x v="1"/>
    <n v="80"/>
    <n v="0"/>
    <n v="8"/>
    <n v="6"/>
    <x v="2"/>
    <x v="5"/>
    <n v="7"/>
    <x v="4"/>
    <x v="4"/>
    <x v="2"/>
    <x v="0"/>
    <x v="1"/>
    <n v="0"/>
  </r>
  <r>
    <x v="11"/>
    <x v="1"/>
    <x v="0"/>
    <n v="136"/>
    <x v="1"/>
    <n v="1"/>
    <x v="3"/>
    <x v="0"/>
    <x v="0"/>
    <n v="1954"/>
    <x v="3"/>
    <x v="1"/>
    <n v="89"/>
    <x v="0"/>
    <x v="0"/>
    <x v="4"/>
    <x v="3"/>
    <x v="1"/>
    <x v="1283"/>
    <n v="6225"/>
    <n v="0"/>
    <s v="Y"/>
    <x v="1"/>
    <n v="12"/>
    <x v="0"/>
    <x v="0"/>
    <n v="80"/>
    <n v="1"/>
    <n v="6"/>
    <n v="5"/>
    <x v="2"/>
    <x v="8"/>
    <n v="3"/>
    <x v="0"/>
    <x v="3"/>
    <x v="2"/>
    <x v="2"/>
    <x v="0"/>
    <n v="0"/>
  </r>
  <r>
    <x v="5"/>
    <x v="1"/>
    <x v="2"/>
    <n v="1146"/>
    <x v="1"/>
    <n v="15"/>
    <x v="2"/>
    <x v="2"/>
    <x v="0"/>
    <n v="1955"/>
    <x v="1"/>
    <x v="0"/>
    <n v="34"/>
    <x v="0"/>
    <x v="0"/>
    <x v="4"/>
    <x v="0"/>
    <x v="2"/>
    <x v="1284"/>
    <n v="16542"/>
    <n v="5"/>
    <s v="Y"/>
    <x v="1"/>
    <n v="18"/>
    <x v="0"/>
    <x v="2"/>
    <n v="80"/>
    <n v="1"/>
    <n v="9"/>
    <n v="6"/>
    <x v="1"/>
    <x v="8"/>
    <n v="1"/>
    <x v="1"/>
    <x v="3"/>
    <x v="1"/>
    <x v="2"/>
    <x v="0"/>
    <n v="0"/>
  </r>
  <r>
    <x v="12"/>
    <x v="1"/>
    <x v="1"/>
    <n v="1125"/>
    <x v="1"/>
    <n v="1"/>
    <x v="3"/>
    <x v="0"/>
    <x v="0"/>
    <n v="1956"/>
    <x v="2"/>
    <x v="1"/>
    <n v="48"/>
    <x v="3"/>
    <x v="0"/>
    <x v="1"/>
    <x v="3"/>
    <x v="1"/>
    <x v="701"/>
    <n v="5771"/>
    <n v="1"/>
    <s v="Y"/>
    <x v="1"/>
    <n v="21"/>
    <x v="1"/>
    <x v="2"/>
    <n v="80"/>
    <n v="0"/>
    <n v="10"/>
    <n v="6"/>
    <x v="1"/>
    <x v="1"/>
    <n v="8"/>
    <x v="6"/>
    <x v="1"/>
    <x v="1"/>
    <x v="0"/>
    <x v="0"/>
    <n v="0"/>
  </r>
  <r>
    <x v="14"/>
    <x v="0"/>
    <x v="0"/>
    <n v="1404"/>
    <x v="1"/>
    <n v="17"/>
    <x v="3"/>
    <x v="4"/>
    <x v="0"/>
    <n v="1960"/>
    <x v="1"/>
    <x v="1"/>
    <n v="32"/>
    <x v="1"/>
    <x v="1"/>
    <x v="2"/>
    <x v="0"/>
    <x v="2"/>
    <x v="1039"/>
    <n v="18779"/>
    <n v="5"/>
    <s v="Y"/>
    <x v="1"/>
    <n v="12"/>
    <x v="0"/>
    <x v="0"/>
    <n v="80"/>
    <n v="1"/>
    <n v="6"/>
    <n v="2"/>
    <x v="2"/>
    <x v="9"/>
    <n v="1"/>
    <x v="0"/>
    <x v="6"/>
    <x v="2"/>
    <x v="2"/>
    <x v="1"/>
    <n v="1"/>
  </r>
  <r>
    <x v="8"/>
    <x v="1"/>
    <x v="0"/>
    <n v="1404"/>
    <x v="0"/>
    <n v="1"/>
    <x v="3"/>
    <x v="0"/>
    <x v="0"/>
    <n v="1961"/>
    <x v="3"/>
    <x v="1"/>
    <n v="59"/>
    <x v="1"/>
    <x v="1"/>
    <x v="6"/>
    <x v="3"/>
    <x v="0"/>
    <x v="1285"/>
    <n v="11473"/>
    <n v="4"/>
    <s v="Y"/>
    <x v="1"/>
    <n v="14"/>
    <x v="0"/>
    <x v="0"/>
    <n v="80"/>
    <n v="0"/>
    <n v="20"/>
    <n v="3"/>
    <x v="2"/>
    <x v="6"/>
    <n v="0"/>
    <x v="0"/>
    <x v="2"/>
    <x v="1"/>
    <x v="1"/>
    <x v="1"/>
    <n v="0"/>
  </r>
  <r>
    <x v="10"/>
    <x v="1"/>
    <x v="0"/>
    <n v="1224"/>
    <x v="0"/>
    <n v="7"/>
    <x v="2"/>
    <x v="0"/>
    <x v="0"/>
    <n v="1962"/>
    <x v="1"/>
    <x v="0"/>
    <n v="55"/>
    <x v="0"/>
    <x v="0"/>
    <x v="0"/>
    <x v="0"/>
    <x v="1"/>
    <x v="626"/>
    <n v="13586"/>
    <n v="1"/>
    <s v="Y"/>
    <x v="0"/>
    <n v="11"/>
    <x v="0"/>
    <x v="1"/>
    <n v="80"/>
    <n v="0"/>
    <n v="10"/>
    <n v="2"/>
    <x v="1"/>
    <x v="1"/>
    <n v="8"/>
    <x v="0"/>
    <x v="12"/>
    <x v="1"/>
    <x v="0"/>
    <x v="0"/>
    <n v="0"/>
  </r>
  <r>
    <x v="4"/>
    <x v="1"/>
    <x v="0"/>
    <n v="954"/>
    <x v="0"/>
    <n v="9"/>
    <x v="3"/>
    <x v="3"/>
    <x v="0"/>
    <n v="1965"/>
    <x v="2"/>
    <x v="1"/>
    <n v="44"/>
    <x v="0"/>
    <x v="0"/>
    <x v="0"/>
    <x v="0"/>
    <x v="0"/>
    <x v="1286"/>
    <n v="5099"/>
    <n v="1"/>
    <s v="Y"/>
    <x v="1"/>
    <n v="14"/>
    <x v="0"/>
    <x v="0"/>
    <n v="80"/>
    <n v="0"/>
    <n v="7"/>
    <n v="5"/>
    <x v="1"/>
    <x v="5"/>
    <n v="7"/>
    <x v="0"/>
    <x v="1"/>
    <x v="2"/>
    <x v="0"/>
    <x v="1"/>
    <n v="0"/>
  </r>
  <r>
    <x v="5"/>
    <x v="1"/>
    <x v="0"/>
    <n v="1373"/>
    <x v="1"/>
    <n v="5"/>
    <x v="2"/>
    <x v="0"/>
    <x v="0"/>
    <n v="1966"/>
    <x v="2"/>
    <x v="1"/>
    <n v="56"/>
    <x v="1"/>
    <x v="0"/>
    <x v="3"/>
    <x v="0"/>
    <x v="0"/>
    <x v="1287"/>
    <n v="10138"/>
    <n v="8"/>
    <s v="Y"/>
    <x v="1"/>
    <n v="24"/>
    <x v="1"/>
    <x v="2"/>
    <n v="80"/>
    <n v="0"/>
    <n v="8"/>
    <n v="1"/>
    <x v="1"/>
    <x v="6"/>
    <n v="0"/>
    <x v="0"/>
    <x v="2"/>
    <x v="1"/>
    <x v="1"/>
    <x v="0"/>
    <n v="0"/>
  </r>
  <r>
    <x v="12"/>
    <x v="0"/>
    <x v="1"/>
    <n v="754"/>
    <x v="0"/>
    <n v="26"/>
    <x v="2"/>
    <x v="3"/>
    <x v="0"/>
    <n v="1967"/>
    <x v="3"/>
    <x v="1"/>
    <n v="63"/>
    <x v="0"/>
    <x v="0"/>
    <x v="0"/>
    <x v="0"/>
    <x v="1"/>
    <x v="1288"/>
    <n v="21075"/>
    <n v="1"/>
    <s v="Y"/>
    <x v="0"/>
    <n v="11"/>
    <x v="0"/>
    <x v="3"/>
    <n v="80"/>
    <n v="0"/>
    <n v="10"/>
    <n v="4"/>
    <x v="1"/>
    <x v="1"/>
    <n v="7"/>
    <x v="0"/>
    <x v="5"/>
    <x v="1"/>
    <x v="0"/>
    <x v="0"/>
    <n v="1"/>
  </r>
  <r>
    <x v="16"/>
    <x v="0"/>
    <x v="0"/>
    <n v="1168"/>
    <x v="0"/>
    <n v="24"/>
    <x v="2"/>
    <x v="0"/>
    <x v="0"/>
    <n v="1968"/>
    <x v="3"/>
    <x v="1"/>
    <n v="66"/>
    <x v="0"/>
    <x v="2"/>
    <x v="0"/>
    <x v="3"/>
    <x v="0"/>
    <x v="1289"/>
    <n v="5843"/>
    <n v="6"/>
    <s v="Y"/>
    <x v="0"/>
    <n v="13"/>
    <x v="0"/>
    <x v="2"/>
    <n v="80"/>
    <n v="0"/>
    <n v="15"/>
    <n v="2"/>
    <x v="2"/>
    <x v="4"/>
    <n v="2"/>
    <x v="3"/>
    <x v="3"/>
    <x v="3"/>
    <x v="1"/>
    <x v="3"/>
    <n v="1"/>
  </r>
  <r>
    <x v="33"/>
    <x v="1"/>
    <x v="0"/>
    <n v="155"/>
    <x v="1"/>
    <n v="9"/>
    <x v="0"/>
    <x v="0"/>
    <x v="0"/>
    <n v="1969"/>
    <x v="3"/>
    <x v="0"/>
    <n v="67"/>
    <x v="0"/>
    <x v="0"/>
    <x v="1"/>
    <x v="2"/>
    <x v="1"/>
    <x v="1290"/>
    <n v="22474"/>
    <n v="3"/>
    <s v="Y"/>
    <x v="1"/>
    <n v="11"/>
    <x v="0"/>
    <x v="3"/>
    <n v="80"/>
    <n v="2"/>
    <n v="9"/>
    <n v="6"/>
    <x v="2"/>
    <x v="9"/>
    <n v="3"/>
    <x v="3"/>
    <x v="6"/>
    <x v="3"/>
    <x v="2"/>
    <x v="1"/>
    <n v="0"/>
  </r>
  <r>
    <x v="3"/>
    <x v="1"/>
    <x v="1"/>
    <n v="1303"/>
    <x v="1"/>
    <n v="7"/>
    <x v="0"/>
    <x v="0"/>
    <x v="0"/>
    <n v="1970"/>
    <x v="2"/>
    <x v="1"/>
    <n v="36"/>
    <x v="0"/>
    <x v="0"/>
    <x v="4"/>
    <x v="2"/>
    <x v="2"/>
    <x v="1291"/>
    <n v="18079"/>
    <n v="1"/>
    <s v="Y"/>
    <x v="1"/>
    <n v="20"/>
    <x v="1"/>
    <x v="3"/>
    <n v="80"/>
    <n v="3"/>
    <n v="9"/>
    <n v="2"/>
    <x v="1"/>
    <x v="7"/>
    <n v="7"/>
    <x v="3"/>
    <x v="5"/>
    <x v="1"/>
    <x v="0"/>
    <x v="0"/>
    <n v="0"/>
  </r>
  <r>
    <x v="23"/>
    <x v="1"/>
    <x v="0"/>
    <n v="574"/>
    <x v="1"/>
    <n v="11"/>
    <x v="3"/>
    <x v="0"/>
    <x v="0"/>
    <n v="1971"/>
    <x v="3"/>
    <x v="1"/>
    <n v="30"/>
    <x v="0"/>
    <x v="2"/>
    <x v="4"/>
    <x v="2"/>
    <x v="1"/>
    <x v="1292"/>
    <n v="16873"/>
    <n v="1"/>
    <s v="Y"/>
    <x v="1"/>
    <n v="17"/>
    <x v="0"/>
    <x v="2"/>
    <n v="80"/>
    <n v="1"/>
    <n v="10"/>
    <n v="1"/>
    <x v="1"/>
    <x v="1"/>
    <n v="9"/>
    <x v="0"/>
    <x v="12"/>
    <x v="0"/>
    <x v="0"/>
    <x v="0"/>
    <n v="0"/>
  </r>
  <r>
    <x v="8"/>
    <x v="1"/>
    <x v="1"/>
    <n v="1444"/>
    <x v="2"/>
    <n v="1"/>
    <x v="2"/>
    <x v="1"/>
    <x v="0"/>
    <n v="1972"/>
    <x v="2"/>
    <x v="1"/>
    <n v="88"/>
    <x v="0"/>
    <x v="1"/>
    <x v="8"/>
    <x v="1"/>
    <x v="1"/>
    <x v="1293"/>
    <n v="5224"/>
    <n v="0"/>
    <s v="Y"/>
    <x v="0"/>
    <n v="11"/>
    <x v="0"/>
    <x v="2"/>
    <n v="80"/>
    <n v="1"/>
    <n v="7"/>
    <n v="2"/>
    <x v="1"/>
    <x v="0"/>
    <n v="2"/>
    <x v="1"/>
    <x v="3"/>
    <x v="1"/>
    <x v="0"/>
    <x v="1"/>
    <n v="0"/>
  </r>
  <r>
    <x v="27"/>
    <x v="1"/>
    <x v="0"/>
    <n v="189"/>
    <x v="2"/>
    <n v="26"/>
    <x v="2"/>
    <x v="5"/>
    <x v="0"/>
    <n v="1973"/>
    <x v="1"/>
    <x v="1"/>
    <n v="71"/>
    <x v="2"/>
    <x v="4"/>
    <x v="5"/>
    <x v="1"/>
    <x v="1"/>
    <x v="1294"/>
    <n v="25811"/>
    <n v="4"/>
    <s v="Y"/>
    <x v="0"/>
    <n v="18"/>
    <x v="0"/>
    <x v="0"/>
    <n v="80"/>
    <n v="1"/>
    <n v="35"/>
    <n v="0"/>
    <x v="1"/>
    <x v="1"/>
    <n v="9"/>
    <x v="1"/>
    <x v="10"/>
    <x v="3"/>
    <x v="0"/>
    <x v="2"/>
    <n v="0"/>
  </r>
  <r>
    <x v="12"/>
    <x v="1"/>
    <x v="0"/>
    <n v="1276"/>
    <x v="1"/>
    <n v="2"/>
    <x v="1"/>
    <x v="2"/>
    <x v="0"/>
    <n v="1974"/>
    <x v="2"/>
    <x v="0"/>
    <n v="59"/>
    <x v="3"/>
    <x v="1"/>
    <x v="2"/>
    <x v="0"/>
    <x v="2"/>
    <x v="1295"/>
    <n v="17536"/>
    <n v="1"/>
    <s v="Y"/>
    <x v="0"/>
    <n v="11"/>
    <x v="0"/>
    <x v="3"/>
    <n v="80"/>
    <n v="3"/>
    <n v="1"/>
    <n v="4"/>
    <x v="1"/>
    <x v="6"/>
    <n v="0"/>
    <x v="0"/>
    <x v="2"/>
    <x v="1"/>
    <x v="1"/>
    <x v="1"/>
    <n v="0"/>
  </r>
  <r>
    <x v="22"/>
    <x v="1"/>
    <x v="0"/>
    <n v="119"/>
    <x v="0"/>
    <n v="15"/>
    <x v="2"/>
    <x v="3"/>
    <x v="0"/>
    <n v="1975"/>
    <x v="0"/>
    <x v="1"/>
    <n v="77"/>
    <x v="0"/>
    <x v="3"/>
    <x v="0"/>
    <x v="3"/>
    <x v="0"/>
    <x v="1296"/>
    <n v="25098"/>
    <n v="0"/>
    <s v="Y"/>
    <x v="1"/>
    <n v="12"/>
    <x v="0"/>
    <x v="0"/>
    <n v="80"/>
    <n v="0"/>
    <n v="21"/>
    <n v="3"/>
    <x v="1"/>
    <x v="23"/>
    <n v="8"/>
    <x v="14"/>
    <x v="13"/>
    <x v="1"/>
    <x v="3"/>
    <x v="3"/>
    <n v="0"/>
  </r>
  <r>
    <x v="19"/>
    <x v="1"/>
    <x v="2"/>
    <n v="335"/>
    <x v="1"/>
    <n v="23"/>
    <x v="0"/>
    <x v="0"/>
    <x v="0"/>
    <n v="1976"/>
    <x v="2"/>
    <x v="1"/>
    <n v="37"/>
    <x v="1"/>
    <x v="0"/>
    <x v="1"/>
    <x v="2"/>
    <x v="0"/>
    <x v="1297"/>
    <n v="14811"/>
    <n v="1"/>
    <s v="Y"/>
    <x v="1"/>
    <n v="12"/>
    <x v="0"/>
    <x v="1"/>
    <n v="80"/>
    <n v="0"/>
    <n v="20"/>
    <n v="2"/>
    <x v="1"/>
    <x v="23"/>
    <n v="9"/>
    <x v="2"/>
    <x v="1"/>
    <x v="0"/>
    <x v="3"/>
    <x v="1"/>
    <n v="0"/>
  </r>
  <r>
    <x v="12"/>
    <x v="1"/>
    <x v="2"/>
    <n v="697"/>
    <x v="1"/>
    <n v="10"/>
    <x v="3"/>
    <x v="2"/>
    <x v="0"/>
    <n v="1979"/>
    <x v="1"/>
    <x v="0"/>
    <n v="40"/>
    <x v="0"/>
    <x v="2"/>
    <x v="7"/>
    <x v="2"/>
    <x v="1"/>
    <x v="1298"/>
    <n v="26862"/>
    <n v="4"/>
    <s v="Y"/>
    <x v="1"/>
    <n v="20"/>
    <x v="1"/>
    <x v="3"/>
    <n v="80"/>
    <n v="1"/>
    <n v="13"/>
    <n v="2"/>
    <x v="3"/>
    <x v="19"/>
    <n v="7"/>
    <x v="5"/>
    <x v="5"/>
    <x v="1"/>
    <x v="3"/>
    <x v="3"/>
    <n v="0"/>
  </r>
  <r>
    <x v="33"/>
    <x v="1"/>
    <x v="0"/>
    <n v="157"/>
    <x v="1"/>
    <n v="10"/>
    <x v="3"/>
    <x v="2"/>
    <x v="0"/>
    <n v="1980"/>
    <x v="1"/>
    <x v="0"/>
    <n v="77"/>
    <x v="0"/>
    <x v="0"/>
    <x v="3"/>
    <x v="3"/>
    <x v="0"/>
    <x v="1299"/>
    <n v="25198"/>
    <n v="6"/>
    <s v="Y"/>
    <x v="0"/>
    <n v="19"/>
    <x v="0"/>
    <x v="1"/>
    <n v="80"/>
    <n v="0"/>
    <n v="9"/>
    <n v="3"/>
    <x v="1"/>
    <x v="8"/>
    <n v="2"/>
    <x v="1"/>
    <x v="10"/>
    <x v="3"/>
    <x v="2"/>
    <x v="1"/>
    <n v="0"/>
  </r>
  <r>
    <x v="17"/>
    <x v="1"/>
    <x v="0"/>
    <n v="771"/>
    <x v="1"/>
    <n v="1"/>
    <x v="0"/>
    <x v="0"/>
    <x v="0"/>
    <n v="1981"/>
    <x v="0"/>
    <x v="1"/>
    <n v="45"/>
    <x v="1"/>
    <x v="0"/>
    <x v="4"/>
    <x v="2"/>
    <x v="0"/>
    <x v="1300"/>
    <n v="14120"/>
    <n v="1"/>
    <s v="Y"/>
    <x v="1"/>
    <n v="12"/>
    <x v="0"/>
    <x v="2"/>
    <n v="80"/>
    <n v="0"/>
    <n v="4"/>
    <n v="2"/>
    <x v="2"/>
    <x v="9"/>
    <n v="3"/>
    <x v="1"/>
    <x v="3"/>
    <x v="2"/>
    <x v="2"/>
    <x v="1"/>
    <n v="0"/>
  </r>
  <r>
    <x v="30"/>
    <x v="1"/>
    <x v="0"/>
    <n v="571"/>
    <x v="1"/>
    <n v="12"/>
    <x v="0"/>
    <x v="1"/>
    <x v="0"/>
    <n v="1982"/>
    <x v="2"/>
    <x v="1"/>
    <n v="78"/>
    <x v="0"/>
    <x v="1"/>
    <x v="2"/>
    <x v="0"/>
    <x v="0"/>
    <x v="1301"/>
    <n v="13672"/>
    <n v="1"/>
    <s v="Y"/>
    <x v="1"/>
    <n v="13"/>
    <x v="0"/>
    <x v="3"/>
    <n v="80"/>
    <n v="0"/>
    <n v="5"/>
    <n v="6"/>
    <x v="3"/>
    <x v="8"/>
    <n v="2"/>
    <x v="1"/>
    <x v="10"/>
    <x v="2"/>
    <x v="2"/>
    <x v="1"/>
    <n v="0"/>
  </r>
  <r>
    <x v="32"/>
    <x v="1"/>
    <x v="1"/>
    <n v="692"/>
    <x v="1"/>
    <n v="11"/>
    <x v="3"/>
    <x v="4"/>
    <x v="0"/>
    <n v="1985"/>
    <x v="2"/>
    <x v="0"/>
    <n v="73"/>
    <x v="0"/>
    <x v="0"/>
    <x v="2"/>
    <x v="2"/>
    <x v="1"/>
    <x v="1302"/>
    <n v="26849"/>
    <n v="1"/>
    <s v="Y"/>
    <x v="1"/>
    <n v="11"/>
    <x v="0"/>
    <x v="0"/>
    <n v="80"/>
    <n v="1"/>
    <n v="10"/>
    <n v="2"/>
    <x v="3"/>
    <x v="1"/>
    <n v="9"/>
    <x v="10"/>
    <x v="10"/>
    <x v="0"/>
    <x v="0"/>
    <x v="0"/>
    <n v="0"/>
  </r>
  <r>
    <x v="32"/>
    <x v="1"/>
    <x v="0"/>
    <n v="444"/>
    <x v="0"/>
    <n v="2"/>
    <x v="0"/>
    <x v="3"/>
    <x v="0"/>
    <n v="1986"/>
    <x v="0"/>
    <x v="0"/>
    <n v="92"/>
    <x v="0"/>
    <x v="0"/>
    <x v="0"/>
    <x v="1"/>
    <x v="1"/>
    <x v="1303"/>
    <n v="4258"/>
    <n v="3"/>
    <s v="Y"/>
    <x v="1"/>
    <n v="14"/>
    <x v="0"/>
    <x v="3"/>
    <n v="80"/>
    <n v="1"/>
    <n v="15"/>
    <n v="4"/>
    <x v="1"/>
    <x v="19"/>
    <n v="8"/>
    <x v="8"/>
    <x v="13"/>
    <x v="0"/>
    <x v="3"/>
    <x v="0"/>
    <n v="0"/>
  </r>
  <r>
    <x v="36"/>
    <x v="1"/>
    <x v="0"/>
    <n v="309"/>
    <x v="2"/>
    <n v="2"/>
    <x v="3"/>
    <x v="5"/>
    <x v="0"/>
    <n v="1987"/>
    <x v="1"/>
    <x v="0"/>
    <n v="82"/>
    <x v="0"/>
    <x v="1"/>
    <x v="8"/>
    <x v="1"/>
    <x v="1"/>
    <x v="467"/>
    <n v="19655"/>
    <n v="4"/>
    <s v="Y"/>
    <x v="1"/>
    <n v="14"/>
    <x v="0"/>
    <x v="3"/>
    <n v="80"/>
    <n v="0"/>
    <n v="6"/>
    <n v="3"/>
    <x v="1"/>
    <x v="4"/>
    <n v="0"/>
    <x v="1"/>
    <x v="3"/>
    <x v="2"/>
    <x v="1"/>
    <x v="1"/>
    <n v="0"/>
  </r>
  <r>
    <x v="7"/>
    <x v="1"/>
    <x v="0"/>
    <n v="911"/>
    <x v="1"/>
    <n v="1"/>
    <x v="0"/>
    <x v="2"/>
    <x v="0"/>
    <n v="1989"/>
    <x v="2"/>
    <x v="1"/>
    <n v="76"/>
    <x v="0"/>
    <x v="1"/>
    <x v="2"/>
    <x v="1"/>
    <x v="1"/>
    <x v="1304"/>
    <n v="4077"/>
    <n v="1"/>
    <s v="Y"/>
    <x v="1"/>
    <n v="13"/>
    <x v="0"/>
    <x v="3"/>
    <n v="80"/>
    <n v="0"/>
    <n v="12"/>
    <n v="6"/>
    <x v="2"/>
    <x v="12"/>
    <n v="8"/>
    <x v="1"/>
    <x v="1"/>
    <x v="1"/>
    <x v="3"/>
    <x v="1"/>
    <n v="0"/>
  </r>
  <r>
    <x v="36"/>
    <x v="1"/>
    <x v="0"/>
    <n v="977"/>
    <x v="1"/>
    <n v="2"/>
    <x v="1"/>
    <x v="1"/>
    <x v="0"/>
    <n v="1992"/>
    <x v="2"/>
    <x v="1"/>
    <n v="57"/>
    <x v="0"/>
    <x v="1"/>
    <x v="2"/>
    <x v="2"/>
    <x v="2"/>
    <x v="1305"/>
    <n v="7298"/>
    <n v="6"/>
    <s v="Y"/>
    <x v="0"/>
    <n v="19"/>
    <x v="0"/>
    <x v="3"/>
    <n v="80"/>
    <n v="1"/>
    <n v="7"/>
    <n v="2"/>
    <x v="2"/>
    <x v="4"/>
    <n v="2"/>
    <x v="0"/>
    <x v="3"/>
    <x v="2"/>
    <x v="1"/>
    <x v="1"/>
    <n v="0"/>
  </r>
  <r>
    <x v="40"/>
    <x v="1"/>
    <x v="0"/>
    <n v="1180"/>
    <x v="1"/>
    <n v="25"/>
    <x v="3"/>
    <x v="2"/>
    <x v="0"/>
    <n v="1993"/>
    <x v="3"/>
    <x v="1"/>
    <n v="84"/>
    <x v="0"/>
    <x v="2"/>
    <x v="4"/>
    <x v="2"/>
    <x v="0"/>
    <x v="1306"/>
    <n v="13084"/>
    <n v="2"/>
    <s v="Y"/>
    <x v="1"/>
    <n v="23"/>
    <x v="1"/>
    <x v="2"/>
    <n v="80"/>
    <n v="0"/>
    <n v="25"/>
    <n v="3"/>
    <x v="1"/>
    <x v="18"/>
    <n v="14"/>
    <x v="12"/>
    <x v="7"/>
    <x v="0"/>
    <x v="3"/>
    <x v="0"/>
    <n v="0"/>
  </r>
  <r>
    <x v="3"/>
    <x v="1"/>
    <x v="2"/>
    <n v="1313"/>
    <x v="1"/>
    <n v="1"/>
    <x v="0"/>
    <x v="2"/>
    <x v="0"/>
    <n v="1994"/>
    <x v="0"/>
    <x v="1"/>
    <n v="59"/>
    <x v="1"/>
    <x v="1"/>
    <x v="2"/>
    <x v="2"/>
    <x v="2"/>
    <x v="641"/>
    <n v="20439"/>
    <n v="1"/>
    <s v="Y"/>
    <x v="1"/>
    <n v="12"/>
    <x v="0"/>
    <x v="3"/>
    <n v="80"/>
    <n v="3"/>
    <n v="1"/>
    <n v="2"/>
    <x v="2"/>
    <x v="6"/>
    <n v="1"/>
    <x v="0"/>
    <x v="2"/>
    <x v="1"/>
    <x v="1"/>
    <x v="1"/>
    <n v="0"/>
  </r>
  <r>
    <x v="8"/>
    <x v="1"/>
    <x v="0"/>
    <n v="1321"/>
    <x v="0"/>
    <n v="1"/>
    <x v="2"/>
    <x v="0"/>
    <x v="0"/>
    <n v="1995"/>
    <x v="2"/>
    <x v="1"/>
    <n v="86"/>
    <x v="0"/>
    <x v="0"/>
    <x v="0"/>
    <x v="1"/>
    <x v="1"/>
    <x v="1299"/>
    <n v="7636"/>
    <n v="0"/>
    <s v="Y"/>
    <x v="1"/>
    <n v="15"/>
    <x v="0"/>
    <x v="0"/>
    <n v="80"/>
    <n v="2"/>
    <n v="16"/>
    <n v="3"/>
    <x v="1"/>
    <x v="15"/>
    <n v="13"/>
    <x v="8"/>
    <x v="5"/>
    <x v="1"/>
    <x v="3"/>
    <x v="1"/>
    <n v="0"/>
  </r>
  <r>
    <x v="12"/>
    <x v="1"/>
    <x v="0"/>
    <n v="1154"/>
    <x v="0"/>
    <n v="2"/>
    <x v="0"/>
    <x v="0"/>
    <x v="0"/>
    <n v="1996"/>
    <x v="3"/>
    <x v="1"/>
    <n v="54"/>
    <x v="0"/>
    <x v="1"/>
    <x v="6"/>
    <x v="2"/>
    <x v="1"/>
    <x v="1307"/>
    <n v="6393"/>
    <n v="0"/>
    <s v="Y"/>
    <x v="1"/>
    <n v="19"/>
    <x v="0"/>
    <x v="3"/>
    <n v="80"/>
    <n v="1"/>
    <n v="3"/>
    <n v="1"/>
    <x v="1"/>
    <x v="4"/>
    <n v="2"/>
    <x v="1"/>
    <x v="3"/>
    <x v="1"/>
    <x v="1"/>
    <x v="1"/>
    <n v="0"/>
  </r>
  <r>
    <x v="8"/>
    <x v="1"/>
    <x v="1"/>
    <n v="508"/>
    <x v="1"/>
    <n v="6"/>
    <x v="2"/>
    <x v="0"/>
    <x v="0"/>
    <n v="1997"/>
    <x v="3"/>
    <x v="1"/>
    <n v="72"/>
    <x v="1"/>
    <x v="0"/>
    <x v="3"/>
    <x v="2"/>
    <x v="1"/>
    <x v="1308"/>
    <n v="14284"/>
    <n v="2"/>
    <s v="Y"/>
    <x v="1"/>
    <n v="11"/>
    <x v="0"/>
    <x v="1"/>
    <n v="80"/>
    <n v="1"/>
    <n v="10"/>
    <n v="1"/>
    <x v="1"/>
    <x v="3"/>
    <n v="3"/>
    <x v="4"/>
    <x v="1"/>
    <x v="1"/>
    <x v="0"/>
    <x v="0"/>
    <n v="0"/>
  </r>
  <r>
    <x v="19"/>
    <x v="1"/>
    <x v="0"/>
    <n v="557"/>
    <x v="1"/>
    <n v="18"/>
    <x v="2"/>
    <x v="0"/>
    <x v="0"/>
    <n v="1998"/>
    <x v="2"/>
    <x v="1"/>
    <n v="35"/>
    <x v="0"/>
    <x v="0"/>
    <x v="1"/>
    <x v="3"/>
    <x v="2"/>
    <x v="874"/>
    <n v="11189"/>
    <n v="6"/>
    <s v="Y"/>
    <x v="0"/>
    <n v="17"/>
    <x v="0"/>
    <x v="3"/>
    <n v="80"/>
    <n v="1"/>
    <n v="9"/>
    <n v="3"/>
    <x v="2"/>
    <x v="9"/>
    <n v="3"/>
    <x v="1"/>
    <x v="3"/>
    <x v="0"/>
    <x v="2"/>
    <x v="0"/>
    <n v="0"/>
  </r>
  <r>
    <x v="0"/>
    <x v="1"/>
    <x v="0"/>
    <n v="642"/>
    <x v="1"/>
    <n v="1"/>
    <x v="3"/>
    <x v="0"/>
    <x v="0"/>
    <n v="1999"/>
    <x v="2"/>
    <x v="1"/>
    <n v="76"/>
    <x v="0"/>
    <x v="1"/>
    <x v="1"/>
    <x v="0"/>
    <x v="1"/>
    <x v="553"/>
    <n v="21412"/>
    <n v="3"/>
    <s v="Y"/>
    <x v="1"/>
    <n v="22"/>
    <x v="1"/>
    <x v="0"/>
    <n v="80"/>
    <n v="1"/>
    <n v="12"/>
    <n v="3"/>
    <x v="1"/>
    <x v="8"/>
    <n v="3"/>
    <x v="1"/>
    <x v="2"/>
    <x v="0"/>
    <x v="2"/>
    <x v="1"/>
    <n v="0"/>
  </r>
  <r>
    <x v="40"/>
    <x v="1"/>
    <x v="2"/>
    <n v="1162"/>
    <x v="1"/>
    <n v="1"/>
    <x v="1"/>
    <x v="2"/>
    <x v="0"/>
    <n v="2000"/>
    <x v="1"/>
    <x v="0"/>
    <n v="98"/>
    <x v="0"/>
    <x v="2"/>
    <x v="7"/>
    <x v="1"/>
    <x v="1"/>
    <x v="1309"/>
    <n v="17231"/>
    <n v="0"/>
    <s v="Y"/>
    <x v="1"/>
    <n v="18"/>
    <x v="0"/>
    <x v="0"/>
    <n v="80"/>
    <n v="2"/>
    <n v="14"/>
    <n v="3"/>
    <x v="0"/>
    <x v="20"/>
    <n v="8"/>
    <x v="8"/>
    <x v="11"/>
    <x v="0"/>
    <x v="3"/>
    <x v="3"/>
    <n v="0"/>
  </r>
  <r>
    <x v="10"/>
    <x v="1"/>
    <x v="0"/>
    <n v="1490"/>
    <x v="1"/>
    <n v="11"/>
    <x v="2"/>
    <x v="2"/>
    <x v="0"/>
    <n v="2003"/>
    <x v="2"/>
    <x v="1"/>
    <n v="43"/>
    <x v="0"/>
    <x v="1"/>
    <x v="2"/>
    <x v="2"/>
    <x v="1"/>
    <x v="1310"/>
    <n v="20232"/>
    <n v="7"/>
    <s v="Y"/>
    <x v="0"/>
    <n v="11"/>
    <x v="0"/>
    <x v="3"/>
    <n v="80"/>
    <n v="1"/>
    <n v="5"/>
    <n v="3"/>
    <x v="1"/>
    <x v="4"/>
    <n v="2"/>
    <x v="3"/>
    <x v="3"/>
    <x v="1"/>
    <x v="1"/>
    <x v="1"/>
    <n v="0"/>
  </r>
  <r>
    <x v="15"/>
    <x v="1"/>
    <x v="0"/>
    <n v="581"/>
    <x v="1"/>
    <n v="1"/>
    <x v="0"/>
    <x v="0"/>
    <x v="0"/>
    <n v="2007"/>
    <x v="2"/>
    <x v="1"/>
    <n v="63"/>
    <x v="0"/>
    <x v="1"/>
    <x v="1"/>
    <x v="2"/>
    <x v="0"/>
    <x v="1311"/>
    <n v="17624"/>
    <n v="0"/>
    <s v="Y"/>
    <x v="1"/>
    <n v="12"/>
    <x v="0"/>
    <x v="1"/>
    <n v="80"/>
    <n v="0"/>
    <n v="4"/>
    <n v="2"/>
    <x v="3"/>
    <x v="11"/>
    <n v="2"/>
    <x v="1"/>
    <x v="3"/>
    <x v="2"/>
    <x v="2"/>
    <x v="1"/>
    <n v="0"/>
  </r>
  <r>
    <x v="10"/>
    <x v="1"/>
    <x v="0"/>
    <n v="1395"/>
    <x v="1"/>
    <n v="9"/>
    <x v="2"/>
    <x v="2"/>
    <x v="0"/>
    <n v="2008"/>
    <x v="0"/>
    <x v="1"/>
    <n v="48"/>
    <x v="0"/>
    <x v="0"/>
    <x v="1"/>
    <x v="2"/>
    <x v="0"/>
    <x v="1312"/>
    <n v="18698"/>
    <n v="1"/>
    <s v="Y"/>
    <x v="1"/>
    <n v="19"/>
    <x v="0"/>
    <x v="2"/>
    <n v="80"/>
    <n v="0"/>
    <n v="10"/>
    <n v="5"/>
    <x v="1"/>
    <x v="1"/>
    <n v="7"/>
    <x v="0"/>
    <x v="5"/>
    <x v="1"/>
    <x v="0"/>
    <x v="0"/>
    <n v="0"/>
  </r>
  <r>
    <x v="3"/>
    <x v="1"/>
    <x v="0"/>
    <n v="501"/>
    <x v="1"/>
    <n v="15"/>
    <x v="0"/>
    <x v="2"/>
    <x v="0"/>
    <n v="2009"/>
    <x v="0"/>
    <x v="0"/>
    <n v="95"/>
    <x v="0"/>
    <x v="0"/>
    <x v="4"/>
    <x v="0"/>
    <x v="1"/>
    <x v="1313"/>
    <n v="21653"/>
    <n v="0"/>
    <s v="Y"/>
    <x v="0"/>
    <n v="13"/>
    <x v="0"/>
    <x v="0"/>
    <n v="80"/>
    <n v="1"/>
    <n v="10"/>
    <n v="6"/>
    <x v="1"/>
    <x v="7"/>
    <n v="7"/>
    <x v="6"/>
    <x v="9"/>
    <x v="1"/>
    <x v="0"/>
    <x v="1"/>
    <n v="0"/>
  </r>
  <r>
    <x v="5"/>
    <x v="1"/>
    <x v="0"/>
    <n v="267"/>
    <x v="1"/>
    <n v="29"/>
    <x v="2"/>
    <x v="0"/>
    <x v="0"/>
    <n v="2010"/>
    <x v="1"/>
    <x v="0"/>
    <n v="49"/>
    <x v="1"/>
    <x v="1"/>
    <x v="2"/>
    <x v="1"/>
    <x v="0"/>
    <x v="1314"/>
    <n v="15919"/>
    <n v="1"/>
    <s v="Y"/>
    <x v="1"/>
    <n v="13"/>
    <x v="0"/>
    <x v="3"/>
    <n v="80"/>
    <n v="0"/>
    <n v="6"/>
    <n v="3"/>
    <x v="1"/>
    <x v="0"/>
    <n v="2"/>
    <x v="5"/>
    <x v="9"/>
    <x v="1"/>
    <x v="0"/>
    <x v="1"/>
    <n v="0"/>
  </r>
  <r>
    <x v="32"/>
    <x v="1"/>
    <x v="0"/>
    <n v="543"/>
    <x v="1"/>
    <n v="1"/>
    <x v="2"/>
    <x v="0"/>
    <x v="0"/>
    <n v="2012"/>
    <x v="3"/>
    <x v="1"/>
    <n v="83"/>
    <x v="0"/>
    <x v="1"/>
    <x v="2"/>
    <x v="0"/>
    <x v="1"/>
    <x v="58"/>
    <n v="4060"/>
    <n v="8"/>
    <s v="Y"/>
    <x v="1"/>
    <n v="19"/>
    <x v="0"/>
    <x v="3"/>
    <n v="80"/>
    <n v="2"/>
    <n v="8"/>
    <n v="3"/>
    <x v="2"/>
    <x v="6"/>
    <n v="0"/>
    <x v="0"/>
    <x v="2"/>
    <x v="0"/>
    <x v="1"/>
    <x v="1"/>
    <n v="0"/>
  </r>
  <r>
    <x v="5"/>
    <x v="1"/>
    <x v="0"/>
    <n v="234"/>
    <x v="0"/>
    <n v="1"/>
    <x v="2"/>
    <x v="2"/>
    <x v="0"/>
    <n v="2013"/>
    <x v="0"/>
    <x v="1"/>
    <n v="68"/>
    <x v="1"/>
    <x v="1"/>
    <x v="6"/>
    <x v="1"/>
    <x v="1"/>
    <x v="47"/>
    <n v="18024"/>
    <n v="0"/>
    <s v="Y"/>
    <x v="1"/>
    <n v="14"/>
    <x v="0"/>
    <x v="2"/>
    <n v="80"/>
    <n v="1"/>
    <n v="3"/>
    <n v="2"/>
    <x v="1"/>
    <x v="4"/>
    <n v="2"/>
    <x v="3"/>
    <x v="3"/>
    <x v="1"/>
    <x v="1"/>
    <x v="1"/>
    <n v="0"/>
  </r>
  <r>
    <x v="22"/>
    <x v="1"/>
    <x v="0"/>
    <n v="116"/>
    <x v="1"/>
    <n v="24"/>
    <x v="1"/>
    <x v="0"/>
    <x v="0"/>
    <n v="2014"/>
    <x v="3"/>
    <x v="1"/>
    <n v="52"/>
    <x v="0"/>
    <x v="0"/>
    <x v="1"/>
    <x v="0"/>
    <x v="0"/>
    <x v="1315"/>
    <n v="5340"/>
    <n v="7"/>
    <s v="Y"/>
    <x v="1"/>
    <n v="13"/>
    <x v="0"/>
    <x v="0"/>
    <n v="80"/>
    <n v="0"/>
    <n v="18"/>
    <n v="2"/>
    <x v="1"/>
    <x v="5"/>
    <n v="7"/>
    <x v="1"/>
    <x v="1"/>
    <x v="1"/>
    <x v="0"/>
    <x v="1"/>
    <n v="0"/>
  </r>
  <r>
    <x v="8"/>
    <x v="1"/>
    <x v="0"/>
    <n v="201"/>
    <x v="1"/>
    <n v="10"/>
    <x v="3"/>
    <x v="2"/>
    <x v="0"/>
    <n v="2015"/>
    <x v="0"/>
    <x v="0"/>
    <n v="99"/>
    <x v="3"/>
    <x v="2"/>
    <x v="7"/>
    <x v="2"/>
    <x v="1"/>
    <x v="1316"/>
    <n v="3376"/>
    <n v="3"/>
    <s v="Y"/>
    <x v="1"/>
    <n v="12"/>
    <x v="0"/>
    <x v="0"/>
    <n v="80"/>
    <n v="1"/>
    <n v="20"/>
    <n v="3"/>
    <x v="1"/>
    <x v="29"/>
    <n v="16"/>
    <x v="1"/>
    <x v="7"/>
    <x v="1"/>
    <x v="3"/>
    <x v="3"/>
    <n v="0"/>
  </r>
  <r>
    <x v="5"/>
    <x v="1"/>
    <x v="0"/>
    <n v="801"/>
    <x v="0"/>
    <n v="1"/>
    <x v="2"/>
    <x v="3"/>
    <x v="0"/>
    <n v="2016"/>
    <x v="1"/>
    <x v="0"/>
    <n v="48"/>
    <x v="0"/>
    <x v="2"/>
    <x v="0"/>
    <x v="0"/>
    <x v="1"/>
    <x v="1317"/>
    <n v="24032"/>
    <n v="1"/>
    <s v="Y"/>
    <x v="1"/>
    <n v="19"/>
    <x v="0"/>
    <x v="3"/>
    <n v="80"/>
    <n v="2"/>
    <n v="14"/>
    <n v="3"/>
    <x v="1"/>
    <x v="13"/>
    <n v="10"/>
    <x v="8"/>
    <x v="1"/>
    <x v="1"/>
    <x v="3"/>
    <x v="3"/>
    <n v="0"/>
  </r>
  <r>
    <x v="2"/>
    <x v="1"/>
    <x v="0"/>
    <n v="161"/>
    <x v="1"/>
    <n v="10"/>
    <x v="3"/>
    <x v="0"/>
    <x v="0"/>
    <n v="2017"/>
    <x v="1"/>
    <x v="0"/>
    <n v="42"/>
    <x v="2"/>
    <x v="2"/>
    <x v="7"/>
    <x v="0"/>
    <x v="1"/>
    <x v="1318"/>
    <n v="15471"/>
    <n v="1"/>
    <s v="Y"/>
    <x v="0"/>
    <n v="25"/>
    <x v="1"/>
    <x v="0"/>
    <n v="80"/>
    <n v="1"/>
    <n v="16"/>
    <n v="2"/>
    <x v="1"/>
    <x v="22"/>
    <n v="11"/>
    <x v="7"/>
    <x v="5"/>
    <x v="1"/>
    <x v="3"/>
    <x v="3"/>
    <n v="0"/>
  </r>
  <r>
    <x v="36"/>
    <x v="1"/>
    <x v="0"/>
    <n v="1382"/>
    <x v="0"/>
    <n v="8"/>
    <x v="0"/>
    <x v="1"/>
    <x v="0"/>
    <n v="2018"/>
    <x v="3"/>
    <x v="0"/>
    <n v="85"/>
    <x v="0"/>
    <x v="0"/>
    <x v="0"/>
    <x v="2"/>
    <x v="2"/>
    <x v="274"/>
    <n v="13684"/>
    <n v="0"/>
    <s v="Y"/>
    <x v="0"/>
    <n v="22"/>
    <x v="1"/>
    <x v="2"/>
    <n v="80"/>
    <n v="1"/>
    <n v="6"/>
    <n v="3"/>
    <x v="2"/>
    <x v="8"/>
    <n v="3"/>
    <x v="0"/>
    <x v="10"/>
    <x v="2"/>
    <x v="2"/>
    <x v="1"/>
    <n v="0"/>
  </r>
  <r>
    <x v="39"/>
    <x v="1"/>
    <x v="2"/>
    <n v="585"/>
    <x v="0"/>
    <n v="29"/>
    <x v="2"/>
    <x v="0"/>
    <x v="0"/>
    <n v="2019"/>
    <x v="3"/>
    <x v="1"/>
    <n v="40"/>
    <x v="0"/>
    <x v="1"/>
    <x v="6"/>
    <x v="0"/>
    <x v="2"/>
    <x v="1319"/>
    <n v="19788"/>
    <n v="2"/>
    <s v="Y"/>
    <x v="1"/>
    <n v="15"/>
    <x v="0"/>
    <x v="2"/>
    <n v="80"/>
    <n v="2"/>
    <n v="16"/>
    <n v="3"/>
    <x v="2"/>
    <x v="7"/>
    <n v="8"/>
    <x v="0"/>
    <x v="2"/>
    <x v="3"/>
    <x v="0"/>
    <x v="1"/>
    <n v="0"/>
  </r>
  <r>
    <x v="20"/>
    <x v="1"/>
    <x v="0"/>
    <n v="1037"/>
    <x v="1"/>
    <n v="1"/>
    <x v="3"/>
    <x v="2"/>
    <x v="0"/>
    <n v="2020"/>
    <x v="0"/>
    <x v="1"/>
    <n v="42"/>
    <x v="0"/>
    <x v="1"/>
    <x v="1"/>
    <x v="0"/>
    <x v="0"/>
    <x v="230"/>
    <n v="13422"/>
    <n v="6"/>
    <s v="Y"/>
    <x v="0"/>
    <n v="12"/>
    <x v="0"/>
    <x v="3"/>
    <n v="80"/>
    <n v="0"/>
    <n v="6"/>
    <n v="2"/>
    <x v="1"/>
    <x v="9"/>
    <n v="3"/>
    <x v="1"/>
    <x v="3"/>
    <x v="0"/>
    <x v="2"/>
    <x v="1"/>
    <n v="0"/>
  </r>
  <r>
    <x v="18"/>
    <x v="1"/>
    <x v="0"/>
    <n v="501"/>
    <x v="0"/>
    <n v="5"/>
    <x v="1"/>
    <x v="2"/>
    <x v="0"/>
    <n v="2021"/>
    <x v="1"/>
    <x v="1"/>
    <n v="58"/>
    <x v="0"/>
    <x v="1"/>
    <x v="6"/>
    <x v="3"/>
    <x v="0"/>
    <x v="631"/>
    <n v="25479"/>
    <n v="1"/>
    <s v="Y"/>
    <x v="0"/>
    <n v="11"/>
    <x v="0"/>
    <x v="1"/>
    <n v="80"/>
    <n v="0"/>
    <n v="2"/>
    <n v="6"/>
    <x v="1"/>
    <x v="4"/>
    <n v="2"/>
    <x v="1"/>
    <x v="3"/>
    <x v="2"/>
    <x v="1"/>
    <x v="1"/>
    <n v="0"/>
  </r>
  <r>
    <x v="22"/>
    <x v="1"/>
    <x v="2"/>
    <n v="105"/>
    <x v="1"/>
    <n v="9"/>
    <x v="3"/>
    <x v="0"/>
    <x v="0"/>
    <n v="2022"/>
    <x v="2"/>
    <x v="1"/>
    <n v="87"/>
    <x v="0"/>
    <x v="4"/>
    <x v="5"/>
    <x v="0"/>
    <x v="0"/>
    <x v="1320"/>
    <n v="15302"/>
    <n v="2"/>
    <s v="Y"/>
    <x v="1"/>
    <n v="13"/>
    <x v="0"/>
    <x v="3"/>
    <n v="80"/>
    <n v="0"/>
    <n v="21"/>
    <n v="3"/>
    <x v="2"/>
    <x v="0"/>
    <n v="0"/>
    <x v="1"/>
    <x v="6"/>
    <x v="1"/>
    <x v="0"/>
    <x v="2"/>
    <n v="0"/>
  </r>
  <r>
    <x v="30"/>
    <x v="0"/>
    <x v="1"/>
    <n v="638"/>
    <x v="0"/>
    <n v="9"/>
    <x v="3"/>
    <x v="3"/>
    <x v="0"/>
    <n v="2023"/>
    <x v="2"/>
    <x v="1"/>
    <n v="33"/>
    <x v="0"/>
    <x v="1"/>
    <x v="6"/>
    <x v="3"/>
    <x v="1"/>
    <x v="1321"/>
    <n v="26956"/>
    <n v="1"/>
    <s v="Y"/>
    <x v="1"/>
    <n v="19"/>
    <x v="0"/>
    <x v="0"/>
    <n v="80"/>
    <n v="1"/>
    <n v="1"/>
    <n v="3"/>
    <x v="2"/>
    <x v="6"/>
    <n v="0"/>
    <x v="1"/>
    <x v="2"/>
    <x v="2"/>
    <x v="1"/>
    <x v="1"/>
    <n v="1"/>
  </r>
  <r>
    <x v="9"/>
    <x v="1"/>
    <x v="0"/>
    <n v="557"/>
    <x v="0"/>
    <n v="3"/>
    <x v="3"/>
    <x v="2"/>
    <x v="0"/>
    <n v="2024"/>
    <x v="3"/>
    <x v="0"/>
    <n v="94"/>
    <x v="1"/>
    <x v="2"/>
    <x v="0"/>
    <x v="0"/>
    <x v="1"/>
    <x v="1322"/>
    <n v="12695"/>
    <n v="0"/>
    <s v="Y"/>
    <x v="1"/>
    <n v="19"/>
    <x v="0"/>
    <x v="3"/>
    <n v="80"/>
    <n v="2"/>
    <n v="10"/>
    <n v="2"/>
    <x v="1"/>
    <x v="7"/>
    <n v="7"/>
    <x v="2"/>
    <x v="10"/>
    <x v="1"/>
    <x v="0"/>
    <x v="0"/>
    <n v="0"/>
  </r>
  <r>
    <x v="9"/>
    <x v="1"/>
    <x v="1"/>
    <n v="688"/>
    <x v="1"/>
    <n v="4"/>
    <x v="0"/>
    <x v="0"/>
    <x v="0"/>
    <n v="2025"/>
    <x v="2"/>
    <x v="0"/>
    <n v="97"/>
    <x v="0"/>
    <x v="0"/>
    <x v="3"/>
    <x v="1"/>
    <x v="2"/>
    <x v="1323"/>
    <n v="9192"/>
    <n v="7"/>
    <s v="Y"/>
    <x v="1"/>
    <n v="13"/>
    <x v="0"/>
    <x v="2"/>
    <n v="80"/>
    <n v="3"/>
    <n v="18"/>
    <n v="3"/>
    <x v="1"/>
    <x v="9"/>
    <n v="2"/>
    <x v="0"/>
    <x v="3"/>
    <x v="1"/>
    <x v="2"/>
    <x v="0"/>
    <n v="0"/>
  </r>
  <r>
    <x v="29"/>
    <x v="1"/>
    <x v="2"/>
    <n v="667"/>
    <x v="1"/>
    <n v="1"/>
    <x v="2"/>
    <x v="0"/>
    <x v="0"/>
    <n v="2026"/>
    <x v="1"/>
    <x v="1"/>
    <n v="57"/>
    <x v="0"/>
    <x v="0"/>
    <x v="4"/>
    <x v="2"/>
    <x v="2"/>
    <x v="1324"/>
    <n v="26236"/>
    <n v="1"/>
    <s v="Y"/>
    <x v="1"/>
    <n v="21"/>
    <x v="1"/>
    <x v="0"/>
    <n v="80"/>
    <n v="1"/>
    <n v="13"/>
    <n v="2"/>
    <x v="2"/>
    <x v="20"/>
    <n v="12"/>
    <x v="1"/>
    <x v="12"/>
    <x v="3"/>
    <x v="3"/>
    <x v="0"/>
    <n v="0"/>
  </r>
  <r>
    <x v="11"/>
    <x v="0"/>
    <x v="0"/>
    <n v="1092"/>
    <x v="1"/>
    <n v="1"/>
    <x v="2"/>
    <x v="2"/>
    <x v="0"/>
    <n v="2027"/>
    <x v="3"/>
    <x v="1"/>
    <n v="36"/>
    <x v="0"/>
    <x v="1"/>
    <x v="1"/>
    <x v="0"/>
    <x v="1"/>
    <x v="1325"/>
    <n v="26124"/>
    <n v="9"/>
    <s v="Y"/>
    <x v="0"/>
    <n v="14"/>
    <x v="0"/>
    <x v="2"/>
    <n v="80"/>
    <n v="3"/>
    <n v="4"/>
    <n v="3"/>
    <x v="3"/>
    <x v="4"/>
    <n v="2"/>
    <x v="3"/>
    <x v="3"/>
    <x v="2"/>
    <x v="1"/>
    <x v="1"/>
    <n v="1"/>
  </r>
  <r>
    <x v="19"/>
    <x v="1"/>
    <x v="0"/>
    <n v="300"/>
    <x v="1"/>
    <n v="2"/>
    <x v="3"/>
    <x v="0"/>
    <x v="0"/>
    <n v="2031"/>
    <x v="3"/>
    <x v="1"/>
    <n v="56"/>
    <x v="0"/>
    <x v="4"/>
    <x v="5"/>
    <x v="2"/>
    <x v="1"/>
    <x v="1326"/>
    <n v="17312"/>
    <n v="5"/>
    <s v="Y"/>
    <x v="1"/>
    <n v="11"/>
    <x v="0"/>
    <x v="0"/>
    <n v="80"/>
    <n v="0"/>
    <n v="24"/>
    <n v="2"/>
    <x v="2"/>
    <x v="14"/>
    <n v="6"/>
    <x v="5"/>
    <x v="17"/>
    <x v="0"/>
    <x v="3"/>
    <x v="2"/>
    <n v="0"/>
  </r>
  <r>
    <x v="29"/>
    <x v="0"/>
    <x v="0"/>
    <n v="310"/>
    <x v="1"/>
    <n v="7"/>
    <x v="0"/>
    <x v="4"/>
    <x v="0"/>
    <n v="2032"/>
    <x v="2"/>
    <x v="1"/>
    <n v="72"/>
    <x v="0"/>
    <x v="1"/>
    <x v="2"/>
    <x v="2"/>
    <x v="1"/>
    <x v="1327"/>
    <n v="3666"/>
    <n v="8"/>
    <s v="Y"/>
    <x v="1"/>
    <n v="11"/>
    <x v="0"/>
    <x v="1"/>
    <n v="80"/>
    <n v="1"/>
    <n v="14"/>
    <n v="4"/>
    <x v="0"/>
    <x v="1"/>
    <n v="9"/>
    <x v="10"/>
    <x v="5"/>
    <x v="3"/>
    <x v="0"/>
    <x v="1"/>
    <n v="1"/>
  </r>
  <r>
    <x v="0"/>
    <x v="1"/>
    <x v="0"/>
    <n v="582"/>
    <x v="1"/>
    <n v="28"/>
    <x v="2"/>
    <x v="0"/>
    <x v="0"/>
    <n v="2034"/>
    <x v="3"/>
    <x v="0"/>
    <n v="60"/>
    <x v="1"/>
    <x v="3"/>
    <x v="3"/>
    <x v="1"/>
    <x v="1"/>
    <x v="1328"/>
    <n v="5640"/>
    <n v="0"/>
    <s v="Y"/>
    <x v="1"/>
    <n v="23"/>
    <x v="1"/>
    <x v="3"/>
    <n v="80"/>
    <n v="1"/>
    <n v="21"/>
    <n v="3"/>
    <x v="1"/>
    <x v="23"/>
    <n v="7"/>
    <x v="0"/>
    <x v="13"/>
    <x v="0"/>
    <x v="3"/>
    <x v="3"/>
    <n v="0"/>
  </r>
  <r>
    <x v="13"/>
    <x v="1"/>
    <x v="0"/>
    <n v="704"/>
    <x v="0"/>
    <n v="28"/>
    <x v="3"/>
    <x v="3"/>
    <x v="0"/>
    <n v="2035"/>
    <x v="2"/>
    <x v="0"/>
    <n v="95"/>
    <x v="1"/>
    <x v="0"/>
    <x v="0"/>
    <x v="2"/>
    <x v="1"/>
    <x v="1329"/>
    <n v="8978"/>
    <n v="1"/>
    <s v="Y"/>
    <x v="1"/>
    <n v="21"/>
    <x v="1"/>
    <x v="1"/>
    <n v="80"/>
    <n v="2"/>
    <n v="8"/>
    <n v="2"/>
    <x v="1"/>
    <x v="3"/>
    <n v="7"/>
    <x v="1"/>
    <x v="1"/>
    <x v="1"/>
    <x v="0"/>
    <x v="0"/>
    <n v="0"/>
  </r>
  <r>
    <x v="9"/>
    <x v="1"/>
    <x v="2"/>
    <n v="301"/>
    <x v="0"/>
    <n v="15"/>
    <x v="2"/>
    <x v="3"/>
    <x v="0"/>
    <n v="2036"/>
    <x v="2"/>
    <x v="1"/>
    <n v="88"/>
    <x v="3"/>
    <x v="0"/>
    <x v="0"/>
    <x v="0"/>
    <x v="2"/>
    <x v="1330"/>
    <n v="10436"/>
    <n v="1"/>
    <s v="Y"/>
    <x v="1"/>
    <n v="24"/>
    <x v="1"/>
    <x v="0"/>
    <n v="80"/>
    <n v="1"/>
    <n v="15"/>
    <n v="4"/>
    <x v="2"/>
    <x v="15"/>
    <n v="12"/>
    <x v="14"/>
    <x v="7"/>
    <x v="1"/>
    <x v="3"/>
    <x v="0"/>
    <n v="0"/>
  </r>
  <r>
    <x v="0"/>
    <x v="1"/>
    <x v="0"/>
    <n v="930"/>
    <x v="0"/>
    <n v="3"/>
    <x v="3"/>
    <x v="0"/>
    <x v="0"/>
    <n v="2037"/>
    <x v="1"/>
    <x v="1"/>
    <n v="57"/>
    <x v="1"/>
    <x v="0"/>
    <x v="0"/>
    <x v="1"/>
    <x v="2"/>
    <x v="1331"/>
    <n v="12227"/>
    <n v="2"/>
    <s v="Y"/>
    <x v="1"/>
    <n v="11"/>
    <x v="0"/>
    <x v="3"/>
    <n v="80"/>
    <n v="1"/>
    <n v="14"/>
    <n v="5"/>
    <x v="1"/>
    <x v="8"/>
    <n v="4"/>
    <x v="0"/>
    <x v="10"/>
    <x v="0"/>
    <x v="2"/>
    <x v="0"/>
    <n v="0"/>
  </r>
  <r>
    <x v="5"/>
    <x v="1"/>
    <x v="0"/>
    <n v="529"/>
    <x v="1"/>
    <n v="2"/>
    <x v="3"/>
    <x v="4"/>
    <x v="0"/>
    <n v="2038"/>
    <x v="2"/>
    <x v="1"/>
    <n v="78"/>
    <x v="0"/>
    <x v="1"/>
    <x v="1"/>
    <x v="3"/>
    <x v="0"/>
    <x v="1234"/>
    <n v="11288"/>
    <n v="1"/>
    <s v="Y"/>
    <x v="1"/>
    <n v="14"/>
    <x v="0"/>
    <x v="1"/>
    <n v="80"/>
    <n v="0"/>
    <n v="4"/>
    <n v="4"/>
    <x v="1"/>
    <x v="9"/>
    <n v="2"/>
    <x v="1"/>
    <x v="3"/>
    <x v="1"/>
    <x v="2"/>
    <x v="1"/>
    <n v="0"/>
  </r>
  <r>
    <x v="10"/>
    <x v="1"/>
    <x v="0"/>
    <n v="1146"/>
    <x v="2"/>
    <n v="26"/>
    <x v="2"/>
    <x v="0"/>
    <x v="0"/>
    <n v="2040"/>
    <x v="1"/>
    <x v="0"/>
    <n v="31"/>
    <x v="0"/>
    <x v="2"/>
    <x v="8"/>
    <x v="0"/>
    <x v="0"/>
    <x v="1332"/>
    <n v="16642"/>
    <n v="1"/>
    <s v="Y"/>
    <x v="0"/>
    <n v="16"/>
    <x v="0"/>
    <x v="3"/>
    <n v="80"/>
    <n v="0"/>
    <n v="9"/>
    <n v="2"/>
    <x v="1"/>
    <x v="7"/>
    <n v="0"/>
    <x v="1"/>
    <x v="1"/>
    <x v="1"/>
    <x v="0"/>
    <x v="0"/>
    <n v="0"/>
  </r>
  <r>
    <x v="8"/>
    <x v="1"/>
    <x v="0"/>
    <n v="345"/>
    <x v="0"/>
    <n v="10"/>
    <x v="0"/>
    <x v="0"/>
    <x v="0"/>
    <n v="2041"/>
    <x v="3"/>
    <x v="0"/>
    <n v="100"/>
    <x v="0"/>
    <x v="0"/>
    <x v="0"/>
    <x v="0"/>
    <x v="1"/>
    <x v="798"/>
    <n v="5982"/>
    <n v="1"/>
    <s v="Y"/>
    <x v="1"/>
    <n v="11"/>
    <x v="0"/>
    <x v="3"/>
    <n v="80"/>
    <n v="1"/>
    <n v="10"/>
    <n v="1"/>
    <x v="1"/>
    <x v="1"/>
    <n v="7"/>
    <x v="1"/>
    <x v="12"/>
    <x v="1"/>
    <x v="0"/>
    <x v="0"/>
    <n v="0"/>
  </r>
  <r>
    <x v="24"/>
    <x v="0"/>
    <x v="1"/>
    <n v="878"/>
    <x v="0"/>
    <n v="1"/>
    <x v="2"/>
    <x v="0"/>
    <x v="0"/>
    <n v="2044"/>
    <x v="0"/>
    <x v="1"/>
    <n v="94"/>
    <x v="0"/>
    <x v="0"/>
    <x v="0"/>
    <x v="2"/>
    <x v="2"/>
    <x v="1333"/>
    <n v="14255"/>
    <n v="7"/>
    <s v="Y"/>
    <x v="1"/>
    <n v="12"/>
    <x v="0"/>
    <x v="1"/>
    <n v="80"/>
    <n v="2"/>
    <n v="12"/>
    <n v="3"/>
    <x v="1"/>
    <x v="0"/>
    <n v="3"/>
    <x v="0"/>
    <x v="9"/>
    <x v="3"/>
    <x v="0"/>
    <x v="0"/>
    <n v="1"/>
  </r>
  <r>
    <x v="9"/>
    <x v="1"/>
    <x v="0"/>
    <n v="1120"/>
    <x v="0"/>
    <n v="11"/>
    <x v="2"/>
    <x v="3"/>
    <x v="0"/>
    <n v="2045"/>
    <x v="0"/>
    <x v="0"/>
    <n v="100"/>
    <x v="1"/>
    <x v="0"/>
    <x v="0"/>
    <x v="0"/>
    <x v="1"/>
    <x v="1334"/>
    <n v="14369"/>
    <n v="4"/>
    <s v="Y"/>
    <x v="1"/>
    <n v="13"/>
    <x v="0"/>
    <x v="0"/>
    <n v="80"/>
    <n v="1"/>
    <n v="8"/>
    <n v="2"/>
    <x v="2"/>
    <x v="0"/>
    <n v="3"/>
    <x v="0"/>
    <x v="2"/>
    <x v="1"/>
    <x v="0"/>
    <x v="0"/>
    <n v="0"/>
  </r>
  <r>
    <x v="28"/>
    <x v="1"/>
    <x v="0"/>
    <n v="374"/>
    <x v="0"/>
    <n v="20"/>
    <x v="3"/>
    <x v="0"/>
    <x v="0"/>
    <n v="2046"/>
    <x v="2"/>
    <x v="0"/>
    <n v="50"/>
    <x v="0"/>
    <x v="0"/>
    <x v="0"/>
    <x v="2"/>
    <x v="0"/>
    <x v="1335"/>
    <n v="23333"/>
    <n v="8"/>
    <s v="Y"/>
    <x v="1"/>
    <n v="15"/>
    <x v="0"/>
    <x v="3"/>
    <n v="80"/>
    <n v="0"/>
    <n v="8"/>
    <n v="3"/>
    <x v="1"/>
    <x v="8"/>
    <n v="3"/>
    <x v="0"/>
    <x v="9"/>
    <x v="0"/>
    <x v="2"/>
    <x v="1"/>
    <n v="0"/>
  </r>
  <r>
    <x v="32"/>
    <x v="1"/>
    <x v="0"/>
    <n v="1322"/>
    <x v="1"/>
    <n v="2"/>
    <x v="2"/>
    <x v="0"/>
    <x v="0"/>
    <n v="2048"/>
    <x v="1"/>
    <x v="1"/>
    <n v="52"/>
    <x v="1"/>
    <x v="1"/>
    <x v="1"/>
    <x v="2"/>
    <x v="0"/>
    <x v="1336"/>
    <n v="2725"/>
    <n v="2"/>
    <s v="Y"/>
    <x v="1"/>
    <n v="14"/>
    <x v="0"/>
    <x v="1"/>
    <n v="80"/>
    <n v="0"/>
    <n v="8"/>
    <n v="2"/>
    <x v="1"/>
    <x v="4"/>
    <n v="2"/>
    <x v="3"/>
    <x v="3"/>
    <x v="0"/>
    <x v="1"/>
    <x v="1"/>
    <n v="0"/>
  </r>
  <r>
    <x v="10"/>
    <x v="1"/>
    <x v="1"/>
    <n v="1199"/>
    <x v="1"/>
    <n v="18"/>
    <x v="2"/>
    <x v="0"/>
    <x v="0"/>
    <n v="2049"/>
    <x v="1"/>
    <x v="1"/>
    <n v="80"/>
    <x v="0"/>
    <x v="0"/>
    <x v="4"/>
    <x v="2"/>
    <x v="1"/>
    <x v="1337"/>
    <n v="24594"/>
    <n v="1"/>
    <s v="Y"/>
    <x v="0"/>
    <n v="14"/>
    <x v="0"/>
    <x v="1"/>
    <n v="80"/>
    <n v="2"/>
    <n v="10"/>
    <n v="2"/>
    <x v="3"/>
    <x v="1"/>
    <n v="2"/>
    <x v="0"/>
    <x v="3"/>
    <x v="1"/>
    <x v="0"/>
    <x v="0"/>
    <n v="0"/>
  </r>
  <r>
    <x v="32"/>
    <x v="1"/>
    <x v="0"/>
    <n v="1194"/>
    <x v="1"/>
    <n v="2"/>
    <x v="2"/>
    <x v="2"/>
    <x v="0"/>
    <n v="2051"/>
    <x v="1"/>
    <x v="0"/>
    <n v="98"/>
    <x v="0"/>
    <x v="1"/>
    <x v="1"/>
    <x v="2"/>
    <x v="1"/>
    <x v="1338"/>
    <n v="12549"/>
    <n v="2"/>
    <s v="Y"/>
    <x v="1"/>
    <n v="14"/>
    <x v="0"/>
    <x v="2"/>
    <n v="80"/>
    <n v="3"/>
    <n v="20"/>
    <n v="2"/>
    <x v="1"/>
    <x v="8"/>
    <n v="3"/>
    <x v="0"/>
    <x v="3"/>
    <x v="0"/>
    <x v="2"/>
    <x v="1"/>
    <n v="0"/>
  </r>
  <r>
    <x v="10"/>
    <x v="1"/>
    <x v="0"/>
    <n v="287"/>
    <x v="1"/>
    <n v="1"/>
    <x v="2"/>
    <x v="0"/>
    <x v="0"/>
    <n v="2052"/>
    <x v="1"/>
    <x v="0"/>
    <n v="62"/>
    <x v="3"/>
    <x v="1"/>
    <x v="1"/>
    <x v="0"/>
    <x v="1"/>
    <x v="1339"/>
    <n v="8952"/>
    <n v="1"/>
    <s v="Y"/>
    <x v="1"/>
    <n v="12"/>
    <x v="0"/>
    <x v="1"/>
    <n v="80"/>
    <n v="1"/>
    <n v="4"/>
    <n v="5"/>
    <x v="1"/>
    <x v="9"/>
    <n v="3"/>
    <x v="1"/>
    <x v="9"/>
    <x v="1"/>
    <x v="2"/>
    <x v="1"/>
    <n v="0"/>
  </r>
  <r>
    <x v="11"/>
    <x v="1"/>
    <x v="0"/>
    <n v="1378"/>
    <x v="1"/>
    <n v="13"/>
    <x v="0"/>
    <x v="1"/>
    <x v="0"/>
    <n v="2053"/>
    <x v="2"/>
    <x v="1"/>
    <n v="46"/>
    <x v="1"/>
    <x v="0"/>
    <x v="2"/>
    <x v="1"/>
    <x v="1"/>
    <x v="717"/>
    <n v="23679"/>
    <n v="4"/>
    <s v="Y"/>
    <x v="0"/>
    <n v="13"/>
    <x v="0"/>
    <x v="0"/>
    <n v="80"/>
    <n v="1"/>
    <n v="10"/>
    <n v="2"/>
    <x v="1"/>
    <x v="9"/>
    <n v="3"/>
    <x v="0"/>
    <x v="6"/>
    <x v="2"/>
    <x v="2"/>
    <x v="1"/>
    <n v="0"/>
  </r>
  <r>
    <x v="11"/>
    <x v="1"/>
    <x v="0"/>
    <n v="468"/>
    <x v="1"/>
    <n v="28"/>
    <x v="2"/>
    <x v="2"/>
    <x v="0"/>
    <n v="2054"/>
    <x v="2"/>
    <x v="0"/>
    <n v="73"/>
    <x v="1"/>
    <x v="1"/>
    <x v="1"/>
    <x v="3"/>
    <x v="0"/>
    <x v="1340"/>
    <n v="8489"/>
    <n v="1"/>
    <s v="Y"/>
    <x v="1"/>
    <n v="14"/>
    <x v="0"/>
    <x v="2"/>
    <n v="80"/>
    <n v="0"/>
    <n v="5"/>
    <n v="3"/>
    <x v="0"/>
    <x v="8"/>
    <n v="4"/>
    <x v="0"/>
    <x v="10"/>
    <x v="2"/>
    <x v="2"/>
    <x v="1"/>
    <n v="0"/>
  </r>
  <r>
    <x v="24"/>
    <x v="0"/>
    <x v="0"/>
    <n v="410"/>
    <x v="0"/>
    <n v="28"/>
    <x v="3"/>
    <x v="3"/>
    <x v="0"/>
    <n v="2055"/>
    <x v="2"/>
    <x v="1"/>
    <n v="39"/>
    <x v="1"/>
    <x v="2"/>
    <x v="0"/>
    <x v="3"/>
    <x v="2"/>
    <x v="1341"/>
    <n v="16586"/>
    <n v="4"/>
    <s v="Y"/>
    <x v="0"/>
    <n v="13"/>
    <x v="0"/>
    <x v="2"/>
    <n v="80"/>
    <n v="1"/>
    <n v="20"/>
    <n v="3"/>
    <x v="1"/>
    <x v="11"/>
    <n v="2"/>
    <x v="3"/>
    <x v="2"/>
    <x v="3"/>
    <x v="2"/>
    <x v="3"/>
    <n v="1"/>
  </r>
  <r>
    <x v="22"/>
    <x v="1"/>
    <x v="0"/>
    <n v="722"/>
    <x v="0"/>
    <n v="24"/>
    <x v="1"/>
    <x v="3"/>
    <x v="0"/>
    <n v="2056"/>
    <x v="0"/>
    <x v="0"/>
    <n v="60"/>
    <x v="1"/>
    <x v="3"/>
    <x v="0"/>
    <x v="0"/>
    <x v="1"/>
    <x v="1342"/>
    <n v="8828"/>
    <n v="0"/>
    <s v="Y"/>
    <x v="1"/>
    <n v="11"/>
    <x v="0"/>
    <x v="0"/>
    <n v="80"/>
    <n v="1"/>
    <n v="21"/>
    <n v="2"/>
    <x v="2"/>
    <x v="23"/>
    <n v="9"/>
    <x v="10"/>
    <x v="4"/>
    <x v="1"/>
    <x v="3"/>
    <x v="3"/>
    <n v="0"/>
  </r>
  <r>
    <x v="12"/>
    <x v="1"/>
    <x v="2"/>
    <n v="325"/>
    <x v="1"/>
    <n v="5"/>
    <x v="3"/>
    <x v="2"/>
    <x v="0"/>
    <n v="2057"/>
    <x v="0"/>
    <x v="1"/>
    <n v="74"/>
    <x v="0"/>
    <x v="0"/>
    <x v="3"/>
    <x v="3"/>
    <x v="0"/>
    <x v="1343"/>
    <n v="3787"/>
    <n v="0"/>
    <s v="Y"/>
    <x v="1"/>
    <n v="19"/>
    <x v="0"/>
    <x v="2"/>
    <n v="80"/>
    <n v="0"/>
    <n v="10"/>
    <n v="2"/>
    <x v="1"/>
    <x v="7"/>
    <n v="4"/>
    <x v="1"/>
    <x v="1"/>
    <x v="1"/>
    <x v="0"/>
    <x v="0"/>
    <n v="0"/>
  </r>
  <r>
    <x v="25"/>
    <x v="1"/>
    <x v="0"/>
    <n v="1167"/>
    <x v="0"/>
    <n v="5"/>
    <x v="3"/>
    <x v="1"/>
    <x v="0"/>
    <n v="2060"/>
    <x v="2"/>
    <x v="0"/>
    <n v="30"/>
    <x v="1"/>
    <x v="1"/>
    <x v="6"/>
    <x v="2"/>
    <x v="0"/>
    <x v="1344"/>
    <n v="21378"/>
    <n v="0"/>
    <s v="Y"/>
    <x v="1"/>
    <n v="18"/>
    <x v="0"/>
    <x v="1"/>
    <n v="80"/>
    <n v="0"/>
    <n v="5"/>
    <n v="2"/>
    <x v="1"/>
    <x v="9"/>
    <n v="2"/>
    <x v="0"/>
    <x v="2"/>
    <x v="2"/>
    <x v="2"/>
    <x v="1"/>
    <n v="0"/>
  </r>
  <r>
    <x v="9"/>
    <x v="1"/>
    <x v="1"/>
    <n v="884"/>
    <x v="1"/>
    <n v="23"/>
    <x v="0"/>
    <x v="2"/>
    <x v="0"/>
    <n v="2061"/>
    <x v="1"/>
    <x v="1"/>
    <n v="41"/>
    <x v="2"/>
    <x v="0"/>
    <x v="2"/>
    <x v="0"/>
    <x v="1"/>
    <x v="1345"/>
    <n v="12290"/>
    <n v="4"/>
    <s v="Y"/>
    <x v="1"/>
    <n v="17"/>
    <x v="0"/>
    <x v="3"/>
    <n v="80"/>
    <n v="1"/>
    <n v="17"/>
    <n v="3"/>
    <x v="1"/>
    <x v="8"/>
    <n v="2"/>
    <x v="0"/>
    <x v="6"/>
    <x v="1"/>
    <x v="2"/>
    <x v="1"/>
    <n v="0"/>
  </r>
  <r>
    <x v="22"/>
    <x v="1"/>
    <x v="0"/>
    <n v="613"/>
    <x v="1"/>
    <n v="6"/>
    <x v="1"/>
    <x v="2"/>
    <x v="0"/>
    <n v="2062"/>
    <x v="2"/>
    <x v="1"/>
    <n v="42"/>
    <x v="1"/>
    <x v="2"/>
    <x v="4"/>
    <x v="3"/>
    <x v="1"/>
    <x v="1346"/>
    <n v="21457"/>
    <n v="4"/>
    <s v="Y"/>
    <x v="1"/>
    <n v="15"/>
    <x v="0"/>
    <x v="0"/>
    <n v="80"/>
    <n v="1"/>
    <n v="9"/>
    <n v="5"/>
    <x v="1"/>
    <x v="5"/>
    <n v="7"/>
    <x v="1"/>
    <x v="1"/>
    <x v="1"/>
    <x v="0"/>
    <x v="0"/>
    <n v="0"/>
  </r>
  <r>
    <x v="4"/>
    <x v="1"/>
    <x v="0"/>
    <n v="155"/>
    <x v="1"/>
    <n v="4"/>
    <x v="3"/>
    <x v="0"/>
    <x v="0"/>
    <n v="2064"/>
    <x v="0"/>
    <x v="1"/>
    <n v="87"/>
    <x v="2"/>
    <x v="0"/>
    <x v="3"/>
    <x v="1"/>
    <x v="1"/>
    <x v="528"/>
    <n v="5174"/>
    <n v="1"/>
    <s v="Y"/>
    <x v="0"/>
    <n v="20"/>
    <x v="1"/>
    <x v="2"/>
    <n v="80"/>
    <n v="1"/>
    <n v="6"/>
    <n v="0"/>
    <x v="1"/>
    <x v="0"/>
    <n v="2"/>
    <x v="0"/>
    <x v="6"/>
    <x v="2"/>
    <x v="0"/>
    <x v="0"/>
    <n v="0"/>
  </r>
  <r>
    <x v="1"/>
    <x v="1"/>
    <x v="1"/>
    <n v="1023"/>
    <x v="0"/>
    <n v="2"/>
    <x v="3"/>
    <x v="2"/>
    <x v="0"/>
    <n v="2065"/>
    <x v="2"/>
    <x v="1"/>
    <n v="63"/>
    <x v="1"/>
    <x v="0"/>
    <x v="0"/>
    <x v="1"/>
    <x v="1"/>
    <x v="1347"/>
    <n v="13243"/>
    <n v="2"/>
    <s v="Y"/>
    <x v="1"/>
    <n v="14"/>
    <x v="0"/>
    <x v="1"/>
    <n v="80"/>
    <n v="0"/>
    <n v="17"/>
    <n v="3"/>
    <x v="2"/>
    <x v="7"/>
    <n v="6"/>
    <x v="0"/>
    <x v="5"/>
    <x v="0"/>
    <x v="0"/>
    <x v="0"/>
    <n v="0"/>
  </r>
  <r>
    <x v="13"/>
    <x v="1"/>
    <x v="0"/>
    <n v="628"/>
    <x v="1"/>
    <n v="8"/>
    <x v="3"/>
    <x v="2"/>
    <x v="0"/>
    <n v="2068"/>
    <x v="0"/>
    <x v="1"/>
    <n v="82"/>
    <x v="2"/>
    <x v="0"/>
    <x v="2"/>
    <x v="2"/>
    <x v="1"/>
    <x v="1348"/>
    <n v="10228"/>
    <n v="2"/>
    <s v="Y"/>
    <x v="1"/>
    <n v="12"/>
    <x v="0"/>
    <x v="0"/>
    <n v="80"/>
    <n v="0"/>
    <n v="6"/>
    <n v="3"/>
    <x v="3"/>
    <x v="9"/>
    <n v="3"/>
    <x v="1"/>
    <x v="3"/>
    <x v="1"/>
    <x v="2"/>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98690B-AA7C-4F94-8552-597191F4DDCA}"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4" firstHeaderRow="0" firstDataRow="0" firstDataCol="0"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ageFields count="1">
    <pageField fld="1" item="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497481-D950-4494-B700-E9F7C67CFA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D31:AE35" firstHeaderRow="1" firstDataRow="1" firstDataCol="1" rowPageCount="1" colPageCount="1"/>
  <pivotFields count="39">
    <pivotField showAll="0"/>
    <pivotField axis="axisPage" showAll="0">
      <items count="3">
        <item x="1"/>
        <item x="0"/>
        <item t="default"/>
      </items>
    </pivotField>
    <pivotField showAll="0"/>
    <pivotField showAll="0"/>
    <pivotField axis="axisRow" showAll="0">
      <items count="7">
        <item x="2"/>
        <item x="1"/>
        <item x="0"/>
        <item h="1" m="1" x="5"/>
        <item h="1" m="1" x="4"/>
        <item h="1" m="1"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1" item="0" hier="-1"/>
  </pageFields>
  <dataFields count="1">
    <dataField name="Average of EnvironmentSatisfaction" fld="10" subtotal="average" baseField="4" baseItem="0"/>
  </dataFields>
  <chartFormats count="5">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0"/>
          </reference>
        </references>
      </pivotArea>
    </chartFormat>
    <chartFormat chart="8" format="4">
      <pivotArea type="data" outline="0" fieldPosition="0">
        <references count="2">
          <reference field="4294967294" count="1" selected="0">
            <x v="0"/>
          </reference>
          <reference field="4" count="1" selected="0">
            <x v="1"/>
          </reference>
        </references>
      </pivotArea>
    </chartFormat>
    <chartFormat chart="8" format="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33FA28-E30F-444F-9E20-A7F07055CFD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47:W52" firstHeaderRow="1" firstDataRow="3" firstDataCol="1" rowPageCount="1" colPageCount="1"/>
  <pivotFields count="39">
    <pivotField showAll="0"/>
    <pivotField axis="axisCol" showAll="0">
      <items count="3">
        <item x="1"/>
        <item h="1" x="0"/>
        <item t="default"/>
      </items>
    </pivotField>
    <pivotField showAll="0"/>
    <pivotField showAll="0"/>
    <pivotField axis="axisPage" multipleItemSelectionAllowed="1" showAll="0">
      <items count="7">
        <item x="2"/>
        <item x="1"/>
        <item x="0"/>
        <item h="1" m="1" x="5"/>
        <item h="1" m="1" x="4"/>
        <item h="1" m="1" x="3"/>
        <item t="default"/>
      </items>
    </pivotField>
    <pivotField showAll="0"/>
    <pivotField showAll="0"/>
    <pivotField showAll="0"/>
    <pivotField axis="axisCol"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Fields count="2">
    <field x="1"/>
    <field x="8"/>
  </colFields>
  <colItems count="3">
    <i>
      <x/>
      <x/>
    </i>
    <i t="default">
      <x/>
    </i>
    <i t="grand">
      <x/>
    </i>
  </colItems>
  <pageFields count="1">
    <pageField fld="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32AAEC-29E5-4004-AA4E-41EAE8E2A20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H108:BI127" firstHeaderRow="1" firstDataRow="1" firstDataCol="1"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x="2"/>
        <item x="9"/>
        <item x="3"/>
        <item x="6"/>
        <item x="10"/>
        <item x="0"/>
        <item x="4"/>
        <item x="1"/>
        <item x="5"/>
        <item x="12"/>
        <item x="13"/>
        <item x="7"/>
        <item x="11"/>
        <item x="15"/>
        <item x="17"/>
        <item x="14"/>
        <item x="16"/>
        <item x="8"/>
        <item t="default"/>
      </items>
    </pivotField>
    <pivotField showAll="0"/>
    <pivotField showAll="0"/>
    <pivotField showAll="0"/>
    <pivotField showAll="0"/>
  </pivotFields>
  <rowFields count="1">
    <field x="34"/>
  </rowFields>
  <rowItems count="19">
    <i>
      <x/>
    </i>
    <i>
      <x v="1"/>
    </i>
    <i>
      <x v="2"/>
    </i>
    <i>
      <x v="3"/>
    </i>
    <i>
      <x v="4"/>
    </i>
    <i>
      <x v="5"/>
    </i>
    <i>
      <x v="6"/>
    </i>
    <i>
      <x v="7"/>
    </i>
    <i>
      <x v="8"/>
    </i>
    <i>
      <x v="9"/>
    </i>
    <i>
      <x v="10"/>
    </i>
    <i>
      <x v="11"/>
    </i>
    <i>
      <x v="12"/>
    </i>
    <i>
      <x v="13"/>
    </i>
    <i>
      <x v="14"/>
    </i>
    <i>
      <x v="15"/>
    </i>
    <i>
      <x v="16"/>
    </i>
    <i>
      <x v="17"/>
    </i>
    <i t="grand">
      <x/>
    </i>
  </rowItems>
  <colItems count="1">
    <i/>
  </colItems>
  <pageFields count="1">
    <pageField fld="1" item="0" hier="-1"/>
  </pageField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48CA4B-376A-4AD5-A76B-1C6A13A90142}"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47:I53"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1"/>
        <item x="0"/>
        <item x="3"/>
        <item t="default"/>
      </items>
    </pivotField>
    <pivotField showAll="0"/>
    <pivotField showAll="0"/>
    <pivotField dataField="1" showAll="0"/>
  </pivotFields>
  <rowFields count="1">
    <field x="35"/>
  </rowFields>
  <rowItems count="6">
    <i>
      <x/>
    </i>
    <i>
      <x v="1"/>
    </i>
    <i>
      <x v="2"/>
    </i>
    <i>
      <x v="3"/>
    </i>
    <i>
      <x v="4"/>
    </i>
    <i t="grand">
      <x/>
    </i>
  </rowItems>
  <colItems count="1">
    <i/>
  </colItems>
  <dataFields count="1">
    <dataField name="Average of Attrition_flag" fld="38" subtotal="average" baseField="35" baseItem="1" numFmtId="10"/>
  </dataFields>
  <chartFormats count="4">
    <chartFormat chart="1"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6C3835-C788-4A2B-B302-012ABFC31D85}"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4:M8" firstHeaderRow="1" firstDataRow="1" firstDataCol="1" rowPageCount="1" colPageCount="1"/>
  <pivotFields count="39">
    <pivotField showAll="0"/>
    <pivotField axis="axisPage" showAll="0">
      <items count="3">
        <item x="1"/>
        <item x="0"/>
        <item t="default"/>
      </items>
    </pivotField>
    <pivotField axis="axisRow" showAll="0">
      <items count="4">
        <item x="2"/>
        <item x="1"/>
        <item x="0"/>
        <item t="default"/>
      </items>
    </pivotField>
    <pivotField showAll="0"/>
    <pivotField showAll="0">
      <items count="7">
        <item h="1" m="1" x="4"/>
        <item x="2"/>
        <item h="1" m="1" x="5"/>
        <item h="1" m="1" x="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pageFields count="1">
    <pageField fld="1" item="0" hier="-1"/>
  </pageFields>
  <dataFields count="1">
    <dataField name="Sum of EmployeeCount"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7E5C1E-F294-43C3-9999-20B1AD955A07}"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N175:BO181" firstHeaderRow="1" firstDataRow="1" firstDataCol="1"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dataField="1" showAll="0"/>
    <pivotField showAll="0"/>
    <pivotField showAll="0"/>
    <pivotField showAll="0"/>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pageFields count="1">
    <pageField fld="1" item="0" hier="-1"/>
  </pageFields>
  <dataFields count="1">
    <dataField name="Sum of EmployeeCount" fld="8" baseField="0" baseItem="0"/>
  </dataFields>
  <chartFormats count="2">
    <chartFormat chart="2"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98A644-C880-47DF-865D-657037A3F36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D80:BF91" firstHeaderRow="1" firstDataRow="2" firstDataCol="1"/>
  <pivotFields count="39">
    <pivotField dataField="1" showAll="0"/>
    <pivotField axis="axisCol" showAll="0">
      <items count="3">
        <item x="1"/>
        <item h="1" x="0"/>
        <item t="default"/>
      </items>
    </pivotField>
    <pivotField showAll="0"/>
    <pivotField showAll="0"/>
    <pivotField showAll="0">
      <items count="7">
        <item h="1" m="1" x="4"/>
        <item x="2"/>
        <item h="1" m="1" x="5"/>
        <item h="1" m="1" x="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1">
        <item x="4"/>
        <item x="8"/>
        <item x="2"/>
        <item x="5"/>
        <item x="3"/>
        <item x="7"/>
        <item x="1"/>
        <item x="0"/>
        <item x="6"/>
        <item m="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2">
    <i>
      <x/>
    </i>
    <i t="grand">
      <x/>
    </i>
  </colItems>
  <dataFields count="1">
    <dataField name="Average of Age" fld="0" subtotal="average"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0399B3-BC20-45AD-B386-0C9F2ED3971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S111:AU116" firstHeaderRow="1" firstDataRow="2" firstDataCol="1"/>
  <pivotFields count="39">
    <pivotField showAll="0"/>
    <pivotField axis="axisCol" showAll="0">
      <items count="3">
        <item x="1"/>
        <item h="1" x="0"/>
        <item t="default"/>
      </items>
    </pivotField>
    <pivotField showAll="0"/>
    <pivotField showAll="0"/>
    <pivotField axis="axisRow" showAll="0">
      <items count="7">
        <item x="2"/>
        <item x="1"/>
        <item x="0"/>
        <item h="1" m="1" x="5"/>
        <item h="1" m="1" x="4"/>
        <item h="1" m="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2">
    <i>
      <x/>
    </i>
    <i t="grand">
      <x/>
    </i>
  </colItems>
  <dataFields count="1">
    <dataField name="Sum of EmployeeCount" fld="8"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11C9FB-4923-44B0-B413-9DA5E1D0A5E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N105:AO107" firstHeaderRow="1" firstDataRow="1" firstDataCol="1"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2">
    <i>
      <x/>
    </i>
    <i t="grand">
      <x/>
    </i>
  </rowItems>
  <colItems count="1">
    <i/>
  </colItems>
  <pageFields count="1">
    <pageField fld="1" item="0" hier="-1"/>
  </pageFields>
  <dataFields count="1">
    <dataField name="Sum of EmployeeCount" fld="8"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1"/>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22" count="1" selected="0">
            <x v="0"/>
          </reference>
        </references>
      </pivotArea>
    </chartFormat>
    <chartFormat chart="3" format="5">
      <pivotArea type="data" outline="0" fieldPosition="0">
        <references count="2">
          <reference field="4294967294" count="1" selected="0">
            <x v="0"/>
          </reference>
          <reference field="22"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2" count="1" selected="0">
            <x v="0"/>
          </reference>
        </references>
      </pivotArea>
    </chartFormat>
    <chartFormat chart="4" format="8">
      <pivotArea type="data" outline="0" fieldPosition="0">
        <references count="2">
          <reference field="4294967294" count="1" selected="0">
            <x v="0"/>
          </reference>
          <reference field="22" count="1" selected="0">
            <x v="1"/>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22" count="1" selected="0">
            <x v="0"/>
          </reference>
        </references>
      </pivotArea>
    </chartFormat>
    <chartFormat chart="6" format="5">
      <pivotArea type="data" outline="0" fieldPosition="0">
        <references count="2">
          <reference field="4294967294" count="1" selected="0">
            <x v="0"/>
          </reference>
          <reference field="22"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2" count="1" selected="0">
            <x v="0"/>
          </reference>
        </references>
      </pivotArea>
    </chartFormat>
    <chartFormat chart="7" format="8">
      <pivotArea type="data" outline="0" fieldPosition="0">
        <references count="2">
          <reference field="4294967294" count="1" selected="0">
            <x v="0"/>
          </reference>
          <reference field="22"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2" count="1" selected="0">
            <x v="0"/>
          </reference>
        </references>
      </pivotArea>
    </chartFormat>
    <chartFormat chart="8" format="8">
      <pivotArea type="data" outline="0" fieldPosition="0">
        <references count="2">
          <reference field="4294967294" count="1" selected="0">
            <x v="0"/>
          </reference>
          <reference field="22" count="1" selected="0">
            <x v="1"/>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942F69-0D1B-476C-A44B-CF5E0FB9D850}"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Y98:Z104" firstHeaderRow="1" firstDataRow="1" firstDataCol="1"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1"/>
        <item x="0"/>
        <item x="3"/>
        <item t="default"/>
      </items>
    </pivotField>
    <pivotField showAll="0"/>
    <pivotField showAll="0"/>
    <pivotField showAll="0"/>
  </pivotFields>
  <rowFields count="1">
    <field x="35"/>
  </rowFields>
  <rowItems count="6">
    <i>
      <x/>
    </i>
    <i>
      <x v="1"/>
    </i>
    <i>
      <x v="2"/>
    </i>
    <i>
      <x v="3"/>
    </i>
    <i>
      <x v="4"/>
    </i>
    <i t="grand">
      <x/>
    </i>
  </rowItems>
  <colItems count="1">
    <i/>
  </colItems>
  <pageFields count="1">
    <pageField fld="1" item="0" hier="-1"/>
  </pageFields>
  <dataFields count="1">
    <dataField name="Sum of EmployeeCount" fld="8" baseField="0" baseItem="0"/>
  </dataField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83166A-CE61-4297-9782-0EA8CB12F33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37:BF58" firstHeaderRow="1" firstDataRow="3" firstDataCol="1"/>
  <pivotFields count="39">
    <pivotField showAll="0"/>
    <pivotField axis="axisRow" showAll="0">
      <items count="3">
        <item x="1"/>
        <item h="1" x="0"/>
        <item t="default"/>
      </items>
    </pivotField>
    <pivotField showAll="0"/>
    <pivotField showAll="0"/>
    <pivotField showAll="0">
      <items count="7">
        <item h="1" m="1" x="4"/>
        <item x="2"/>
        <item h="1" m="1" x="5"/>
        <item h="1" m="1" x="3"/>
        <item x="1"/>
        <item x="0"/>
        <item t="default"/>
      </items>
    </pivotField>
    <pivotField showAll="0"/>
    <pivotField showAll="0"/>
    <pivotField showAll="0"/>
    <pivotField dataField="1" showAll="0"/>
    <pivotField showAll="0"/>
    <pivotField showAll="0"/>
    <pivotField showAll="0"/>
    <pivotField showAll="0"/>
    <pivotField showAll="0"/>
    <pivotField axis="axisCol" showAll="0">
      <items count="6">
        <item x="1"/>
        <item x="0"/>
        <item x="2"/>
        <item x="3"/>
        <item x="4"/>
        <item t="default"/>
      </items>
    </pivotField>
    <pivotField axis="axisRow" showAll="0">
      <items count="11">
        <item x="4"/>
        <item x="8"/>
        <item x="2"/>
        <item x="5"/>
        <item x="3"/>
        <item x="7"/>
        <item x="1"/>
        <item x="0"/>
        <item x="6"/>
        <item m="1" x="9"/>
        <item t="default"/>
      </items>
    </pivotField>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5"/>
    <field x="1"/>
  </rowFields>
  <rowItems count="19">
    <i>
      <x/>
    </i>
    <i r="1">
      <x/>
    </i>
    <i>
      <x v="1"/>
    </i>
    <i r="1">
      <x/>
    </i>
    <i>
      <x v="2"/>
    </i>
    <i r="1">
      <x/>
    </i>
    <i>
      <x v="3"/>
    </i>
    <i r="1">
      <x/>
    </i>
    <i>
      <x v="4"/>
    </i>
    <i r="1">
      <x/>
    </i>
    <i>
      <x v="5"/>
    </i>
    <i r="1">
      <x/>
    </i>
    <i>
      <x v="6"/>
    </i>
    <i r="1">
      <x/>
    </i>
    <i>
      <x v="7"/>
    </i>
    <i r="1">
      <x/>
    </i>
    <i>
      <x v="8"/>
    </i>
    <i r="1">
      <x/>
    </i>
    <i t="grand">
      <x/>
    </i>
  </rowItems>
  <colFields count="2">
    <field x="-2"/>
    <field x="14"/>
  </colFields>
  <colItems count="18">
    <i>
      <x/>
      <x/>
    </i>
    <i r="1">
      <x v="1"/>
    </i>
    <i r="1">
      <x v="2"/>
    </i>
    <i r="1">
      <x v="3"/>
    </i>
    <i r="1">
      <x v="4"/>
    </i>
    <i i="1">
      <x v="1"/>
      <x/>
    </i>
    <i r="1" i="1">
      <x v="1"/>
    </i>
    <i r="1" i="1">
      <x v="2"/>
    </i>
    <i r="1" i="1">
      <x v="3"/>
    </i>
    <i r="1" i="1">
      <x v="4"/>
    </i>
    <i i="2">
      <x v="2"/>
      <x/>
    </i>
    <i r="1" i="2">
      <x v="1"/>
    </i>
    <i r="1" i="2">
      <x v="2"/>
    </i>
    <i r="1" i="2">
      <x v="3"/>
    </i>
    <i r="1" i="2">
      <x v="4"/>
    </i>
    <i t="grand">
      <x/>
    </i>
    <i t="grand" i="1">
      <x/>
    </i>
    <i t="grand" i="2">
      <x/>
    </i>
  </colItems>
  <dataFields count="3">
    <dataField name="Average of MonthlyIncome" fld="18" subtotal="average" baseField="15" baseItem="0"/>
    <dataField name="Sum of EmployeeCount" fld="8" baseField="0" baseItem="0"/>
    <dataField name="Sum of JobSatisfactio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6C0571-373A-42D2-9333-827FB601B89E}"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N143:BO148" firstHeaderRow="1" firstDataRow="1" firstDataCol="1"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dataField="1"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Items count="1">
    <i/>
  </colItems>
  <pageFields count="1">
    <pageField fld="1" item="0" hier="-1"/>
  </pageFields>
  <dataFields count="1">
    <dataField name="Sum of EmployeeCount" fld="8" baseField="0" baseItem="0"/>
  </dataFields>
  <chartFormats count="4">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404BCF4-A685-45A7-9F27-5D229164E81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A114:BE120" firstHeaderRow="1" firstDataRow="2" firstDataCol="1" rowPageCount="1" colPageCount="1"/>
  <pivotFields count="39">
    <pivotField showAll="0"/>
    <pivotField axis="axisPage" showAll="0">
      <items count="3">
        <item x="1"/>
        <item x="0"/>
        <item t="default"/>
      </items>
    </pivotField>
    <pivotField showAll="0"/>
    <pivotField showAll="0"/>
    <pivotField axis="axisCol" showAll="0">
      <items count="7">
        <item x="2"/>
        <item x="1"/>
        <item x="0"/>
        <item h="1" m="1" x="5"/>
        <item h="1" m="1" x="4"/>
        <item h="1" m="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pivotFields>
  <rowFields count="1">
    <field x="36"/>
  </rowFields>
  <rowItems count="5">
    <i>
      <x/>
    </i>
    <i>
      <x v="1"/>
    </i>
    <i>
      <x v="2"/>
    </i>
    <i>
      <x v="3"/>
    </i>
    <i t="grand">
      <x/>
    </i>
  </rowItems>
  <colFields count="1">
    <field x="4"/>
  </colFields>
  <colItems count="4">
    <i>
      <x/>
    </i>
    <i>
      <x v="1"/>
    </i>
    <i>
      <x v="2"/>
    </i>
    <i t="grand">
      <x/>
    </i>
  </colItems>
  <pageFields count="1">
    <pageField fld="1" item="0" hier="-1"/>
  </pageFields>
  <dataFields count="1">
    <dataField name="Sum of EmployeeCount" fld="8"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6" count="1" selected="0">
            <x v="3"/>
          </reference>
        </references>
      </pivotArea>
    </chartFormat>
    <chartFormat chart="7" format="0" series="1">
      <pivotArea type="data" outline="0" fieldPosition="0">
        <references count="1">
          <reference field="4294967294" count="1" selected="0">
            <x v="0"/>
          </reference>
        </references>
      </pivotArea>
    </chartFormat>
    <chartFormat chart="7" format="4" series="1">
      <pivotArea type="data" outline="0" fieldPosition="0">
        <references count="2">
          <reference field="4294967294" count="1" selected="0">
            <x v="0"/>
          </reference>
          <reference field="4" count="1" selected="0">
            <x v="2"/>
          </reference>
        </references>
      </pivotArea>
    </chartFormat>
    <chartFormat chart="7" format="5" series="1">
      <pivotArea type="data" outline="0" fieldPosition="0">
        <references count="2">
          <reference field="4294967294" count="1" selected="0">
            <x v="0"/>
          </reference>
          <reference field="4" count="1" selected="0">
            <x v="0"/>
          </reference>
        </references>
      </pivotArea>
    </chartFormat>
    <chartFormat chart="7" format="6" series="1">
      <pivotArea type="data" outline="0" fieldPosition="0">
        <references count="2">
          <reference field="4294967294" count="1" selected="0">
            <x v="0"/>
          </reference>
          <reference field="4" count="1" selected="0">
            <x v="1"/>
          </reference>
        </references>
      </pivotArea>
    </chartFormat>
    <chartFormat chart="7" format="7" series="1">
      <pivotArea type="data" outline="0" fieldPosition="0">
        <references count="2">
          <reference field="4294967294" count="1" selected="0">
            <x v="0"/>
          </reference>
          <reference field="4" count="1" selected="0">
            <x v="4"/>
          </reference>
        </references>
      </pivotArea>
    </chartFormat>
    <chartFormat chart="7" format="8"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966981A-E52F-48E2-ACD2-88C4AB7C6D6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W33:X37" firstHeaderRow="1" firstDataRow="1" firstDataCol="1"/>
  <pivotFields count="39">
    <pivotField showAll="0"/>
    <pivotField showAll="0">
      <items count="3">
        <item x="1"/>
        <item h="1" x="0"/>
        <item t="default"/>
      </items>
    </pivotField>
    <pivotField showAll="0"/>
    <pivotField showAll="0"/>
    <pivotField axis="axisRow" showAll="0">
      <items count="7">
        <item x="2"/>
        <item x="1"/>
        <item x="0"/>
        <item h="1" m="1" x="5"/>
        <item h="1" m="1" x="4"/>
        <item h="1" m="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EmployeeCount" fld="8" baseField="0" baseItem="0"/>
  </dataFields>
  <chartFormats count="10">
    <chartFormat chart="5"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4" count="1" selected="0">
            <x v="0"/>
          </reference>
        </references>
      </pivotArea>
    </chartFormat>
    <chartFormat chart="12" format="7">
      <pivotArea type="data" outline="0" fieldPosition="0">
        <references count="2">
          <reference field="4294967294" count="1" selected="0">
            <x v="0"/>
          </reference>
          <reference field="4" count="1" selected="0">
            <x v="1"/>
          </reference>
        </references>
      </pivotArea>
    </chartFormat>
    <chartFormat chart="12" format="8">
      <pivotArea type="data" outline="0" fieldPosition="0">
        <references count="2">
          <reference field="4294967294" count="1" selected="0">
            <x v="0"/>
          </reference>
          <reference field="4" count="1" selected="0">
            <x v="2"/>
          </reference>
        </references>
      </pivotArea>
    </chartFormat>
    <chartFormat chart="5" format="1">
      <pivotArea type="data" outline="0" fieldPosition="0">
        <references count="2">
          <reference field="4294967294" count="1" selected="0">
            <x v="0"/>
          </reference>
          <reference field="4" count="1" selected="0">
            <x v="0"/>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5" format="3">
      <pivotArea type="data" outline="0" fieldPosition="0">
        <references count="2">
          <reference field="4294967294" count="1" selected="0">
            <x v="0"/>
          </reference>
          <reference field="4" count="1" selected="0">
            <x v="2"/>
          </reference>
        </references>
      </pivotArea>
    </chartFormat>
    <chartFormat chart="5" format="4">
      <pivotArea type="data" outline="0" fieldPosition="0">
        <references count="2">
          <reference field="4294967294" count="1" selected="0">
            <x v="0"/>
          </reference>
          <reference field="4" count="1" selected="0">
            <x v="4"/>
          </reference>
        </references>
      </pivotArea>
    </chartFormat>
    <chartFormat chart="5" format="5">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E80D424-D313-429A-BFFC-32F5F24239A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3:X25" firstHeaderRow="1" firstDataRow="1" firstDataCol="1" rowPageCount="1" colPageCount="1"/>
  <pivotFields count="39">
    <pivotField axis="axisPage"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showAll="0">
      <items count="3">
        <item x="1"/>
        <item h="1" x="0"/>
        <item t="default"/>
      </items>
    </pivotField>
    <pivotField showAll="0"/>
    <pivotField showAll="0"/>
    <pivotField showAll="0">
      <items count="7">
        <item h="1" m="1" x="4"/>
        <item x="2"/>
        <item h="1" m="1" x="5"/>
        <item h="1" m="1" x="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i>
    <i t="grand">
      <x/>
    </i>
  </rowItems>
  <colItems count="1">
    <i/>
  </colItems>
  <pageFields count="1">
    <pageField fld="0" hier="-1"/>
  </pageField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36A2CA6-E08A-44E3-AD5A-8748D67B7030}" name="PivotTable4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75:D185"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4"/>
        <item m="1" x="9"/>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5"/>
  </rowFields>
  <rowItems count="10">
    <i>
      <x/>
    </i>
    <i>
      <x v="2"/>
    </i>
    <i>
      <x v="3"/>
    </i>
    <i>
      <x v="4"/>
    </i>
    <i>
      <x v="5"/>
    </i>
    <i>
      <x v="6"/>
    </i>
    <i>
      <x v="7"/>
    </i>
    <i>
      <x v="8"/>
    </i>
    <i>
      <x v="9"/>
    </i>
    <i t="grand">
      <x/>
    </i>
  </rowItems>
  <colItems count="1">
    <i/>
  </colItems>
  <dataFields count="1">
    <dataField name="Average of Attrition_flag" fld="38" subtotal="average" baseField="15" baseItem="2"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7B6E9AD-BDD7-4D9B-9EE9-6D60B94F517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N73:AO78" firstHeaderRow="1" firstDataRow="1" firstDataCol="1"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Items count="1">
    <i/>
  </colItems>
  <pageFields count="1">
    <pageField fld="1" item="0" hier="-1"/>
  </pageFields>
  <dataFields count="1">
    <dataField name="Sum of EmployeeCount" fld="8" baseField="0" baseItem="0"/>
  </dataFields>
  <chartFormats count="3">
    <chartFormat chart="6" format="1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0"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C0DDD13-EBC6-477F-8B89-B08A06A3A19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W10:AD16" firstHeaderRow="1" firstDataRow="3" firstDataCol="1"/>
  <pivotFields count="39">
    <pivotField showAll="0"/>
    <pivotField axis="axisCol" showAll="0">
      <items count="3">
        <item x="1"/>
        <item h="1" x="0"/>
        <item t="default"/>
      </items>
    </pivotField>
    <pivotField axis="axisRow" showAll="0">
      <items count="4">
        <item x="2"/>
        <item x="1"/>
        <item x="0"/>
        <item t="default"/>
      </items>
    </pivotField>
    <pivotField showAll="0"/>
    <pivotField axis="axisCol" showAll="0">
      <items count="7">
        <item x="2"/>
        <item x="1"/>
        <item x="0"/>
        <item h="1" m="1" x="5"/>
        <item h="1" m="1" x="4"/>
        <item h="1" m="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2">
    <field x="4"/>
    <field x="1"/>
  </colFields>
  <colItems count="7">
    <i>
      <x/>
      <x/>
    </i>
    <i t="default">
      <x/>
    </i>
    <i>
      <x v="1"/>
      <x/>
    </i>
    <i t="default">
      <x v="1"/>
    </i>
    <i>
      <x v="2"/>
      <x/>
    </i>
    <i t="default">
      <x v="2"/>
    </i>
    <i t="grand">
      <x/>
    </i>
  </colItems>
  <dataFields count="1">
    <dataField name="Sum of EmployeeCount" fld="8" baseField="0" baseItem="0"/>
  </dataFields>
  <chartFormats count="6">
    <chartFormat chart="2" format="0" series="1">
      <pivotArea type="data" outline="0" fieldPosition="0">
        <references count="3">
          <reference field="4294967294" count="1" selected="0">
            <x v="0"/>
          </reference>
          <reference field="1" count="1" selected="0">
            <x v="0"/>
          </reference>
          <reference field="4" count="1" selected="0">
            <x v="0"/>
          </reference>
        </references>
      </pivotArea>
    </chartFormat>
    <chartFormat chart="2" format="1" series="1">
      <pivotArea type="data" outline="0" fieldPosition="0">
        <references count="3">
          <reference field="4294967294" count="1" selected="0">
            <x v="0"/>
          </reference>
          <reference field="1" count="1" selected="0">
            <x v="1"/>
          </reference>
          <reference field="4" count="1" selected="0">
            <x v="0"/>
          </reference>
        </references>
      </pivotArea>
    </chartFormat>
    <chartFormat chart="2" format="2" series="1">
      <pivotArea type="data" outline="0" fieldPosition="0">
        <references count="3">
          <reference field="4294967294" count="1" selected="0">
            <x v="0"/>
          </reference>
          <reference field="1" count="1" selected="0">
            <x v="0"/>
          </reference>
          <reference field="4" count="1" selected="0">
            <x v="1"/>
          </reference>
        </references>
      </pivotArea>
    </chartFormat>
    <chartFormat chart="2" format="3" series="1">
      <pivotArea type="data" outline="0" fieldPosition="0">
        <references count="3">
          <reference field="4294967294" count="1" selected="0">
            <x v="0"/>
          </reference>
          <reference field="1" count="1" selected="0">
            <x v="1"/>
          </reference>
          <reference field="4" count="1" selected="0">
            <x v="1"/>
          </reference>
        </references>
      </pivotArea>
    </chartFormat>
    <chartFormat chart="2" format="4" series="1">
      <pivotArea type="data" outline="0" fieldPosition="0">
        <references count="3">
          <reference field="4294967294" count="1" selected="0">
            <x v="0"/>
          </reference>
          <reference field="1" count="1" selected="0">
            <x v="0"/>
          </reference>
          <reference field="4" count="1" selected="0">
            <x v="2"/>
          </reference>
        </references>
      </pivotArea>
    </chartFormat>
    <chartFormat chart="2" format="5" series="1">
      <pivotArea type="data" outline="0" fieldPosition="0">
        <references count="3">
          <reference field="4294967294" count="1" selected="0">
            <x v="0"/>
          </reference>
          <reference field="1"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4851ECC-31F5-4D58-B4E9-4D9B763563DB}"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E177:BF181" firstHeaderRow="1" firstDataRow="1" firstDataCol="1"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Items count="1">
    <i/>
  </colItems>
  <pageFields count="1">
    <pageField fld="1" item="0" hier="-1"/>
  </pageFields>
  <dataFields count="1">
    <dataField name="Sum of EmployeeCount"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FC85E85-8A8E-4C8A-8F3E-D4D02E24AFEA}"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E189:BF196" firstHeaderRow="1" firstDataRow="1" firstDataCol="1"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axis="axisRow" showAll="0">
      <items count="8">
        <item x="5"/>
        <item x="0"/>
        <item x="3"/>
        <item x="2"/>
        <item x="1"/>
        <item x="4"/>
        <item m="1"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pageFields count="1">
    <pageField fld="1" item="0" hier="-1"/>
  </pageFields>
  <dataFields count="1">
    <dataField name="Sum of EmployeeCount" fld="8"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55FD231-2B23-4124-807A-846A76BFE60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S97:AW104" firstHeaderRow="1" firstDataRow="2" firstDataCol="1"/>
  <pivotFields count="39">
    <pivotField showAll="0"/>
    <pivotField showAll="0">
      <items count="3">
        <item x="1"/>
        <item h="1" x="0"/>
        <item t="default"/>
      </items>
    </pivotField>
    <pivotField showAll="0"/>
    <pivotField showAll="0"/>
    <pivotField axis="axisCol" showAll="0">
      <items count="7">
        <item x="2"/>
        <item x="1"/>
        <item x="0"/>
        <item h="1" m="1" x="5"/>
        <item h="1" m="1" x="4"/>
        <item h="1" m="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1"/>
        <item x="0"/>
        <item x="3"/>
        <item t="default"/>
      </items>
    </pivotField>
    <pivotField showAll="0"/>
    <pivotField showAll="0"/>
    <pivotField showAll="0"/>
  </pivotFields>
  <rowFields count="1">
    <field x="35"/>
  </rowFields>
  <rowItems count="6">
    <i>
      <x/>
    </i>
    <i>
      <x v="1"/>
    </i>
    <i>
      <x v="2"/>
    </i>
    <i>
      <x v="3"/>
    </i>
    <i>
      <x v="4"/>
    </i>
    <i t="grand">
      <x/>
    </i>
  </rowItems>
  <colFields count="1">
    <field x="4"/>
  </colFields>
  <colItems count="4">
    <i>
      <x/>
    </i>
    <i>
      <x v="1"/>
    </i>
    <i>
      <x v="2"/>
    </i>
    <i t="grand">
      <x/>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EB42C9F-9BD1-4236-BD40-1EA01CFA51EC}"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85:H90" firstHeaderRow="1" firstDataRow="1" firstDataCol="1"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s>
  <rowFields count="1">
    <field x="30"/>
  </rowFields>
  <rowItems count="5">
    <i>
      <x/>
    </i>
    <i>
      <x v="1"/>
    </i>
    <i>
      <x v="2"/>
    </i>
    <i>
      <x v="3"/>
    </i>
    <i t="grand">
      <x/>
    </i>
  </rowItems>
  <colItems count="1">
    <i/>
  </colItems>
  <pageFields count="1">
    <pageField fld="1" item="0" hier="-1"/>
  </pageFields>
  <dataFields count="1">
    <dataField name="Sum of EmployeeCou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8EB6FC5-E1CE-4F61-B84D-BDF3258C0B3A}"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97:E103"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1"/>
        <item x="0"/>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4"/>
  </rowFields>
  <rowItems count="6">
    <i>
      <x/>
    </i>
    <i>
      <x v="2"/>
    </i>
    <i>
      <x v="1"/>
    </i>
    <i>
      <x v="4"/>
    </i>
    <i>
      <x v="3"/>
    </i>
    <i t="grand">
      <x/>
    </i>
  </rowItems>
  <colItems count="1">
    <i/>
  </colItems>
  <dataFields count="1">
    <dataField name="Average of Attrition_flag" fld="38" subtotal="average" baseField="14" baseItem="0" numFmtId="1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5E22F75-CC08-40B9-AC5C-3743F094D4A1}"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X249:BY254" firstHeaderRow="1" firstDataRow="1" firstDataCol="1"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Items count="1">
    <i/>
  </colItems>
  <pageFields count="1">
    <pageField fld="1" hier="-1"/>
  </pageField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35AFFE7-45B2-4DE2-B48E-85BC36AADDF3}"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08:E111"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2"/>
  </rowFields>
  <rowItems count="3">
    <i>
      <x/>
    </i>
    <i>
      <x v="1"/>
    </i>
    <i t="grand">
      <x/>
    </i>
  </rowItems>
  <colItems count="1">
    <i/>
  </colItems>
  <dataFields count="1">
    <dataField name="Sum of Attrition_flag" fld="38" baseField="0" baseItem="0"/>
  </dataFields>
  <chartFormats count="6">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2" count="1" selected="0">
            <x v="0"/>
          </reference>
        </references>
      </pivotArea>
    </chartFormat>
    <chartFormat chart="7" format="6">
      <pivotArea type="data" outline="0" fieldPosition="0">
        <references count="2">
          <reference field="4294967294" count="1" selected="0">
            <x v="0"/>
          </reference>
          <reference field="22" count="1" selected="0">
            <x v="1"/>
          </reference>
        </references>
      </pivotArea>
    </chartFormat>
    <chartFormat chart="4" format="3">
      <pivotArea type="data" outline="0" fieldPosition="0">
        <references count="2">
          <reference field="4294967294" count="1" selected="0">
            <x v="0"/>
          </reference>
          <reference field="22" count="1" selected="0">
            <x v="0"/>
          </reference>
        </references>
      </pivotArea>
    </chartFormat>
    <chartFormat chart="4" format="4">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CD035FC-AA55-4840-B587-09DD861EDE64}"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20:D125"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axis="axisRow" showAll="0">
      <items count="5">
        <item x="1"/>
        <item x="2"/>
        <item x="0"/>
        <item x="3"/>
        <item t="default"/>
      </items>
    </pivotField>
    <pivotField showAll="0"/>
    <pivotField dataField="1" showAll="0"/>
  </pivotFields>
  <rowFields count="1">
    <field x="36"/>
  </rowFields>
  <rowItems count="5">
    <i>
      <x/>
    </i>
    <i>
      <x v="1"/>
    </i>
    <i>
      <x v="2"/>
    </i>
    <i>
      <x v="3"/>
    </i>
    <i t="grand">
      <x/>
    </i>
  </rowItems>
  <colItems count="1">
    <i/>
  </colItems>
  <dataFields count="1">
    <dataField name="Average of Attrition_flag" fld="38" subtotal="average" baseField="36" baseItem="0" numFmtId="9"/>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9EE6625-4670-49E3-BCA1-5C1B039AF51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Y109" firstHeaderRow="0" firstDataRow="0" firstDataCol="0" rowPageCount="1" colPageCount="1"/>
  <pivotFields count="39">
    <pivotField showAll="0"/>
    <pivotField name=" "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ageFields count="1">
    <pageField fld="1" item="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B3F7D0D-7529-4104-B748-0F1F8A3DAAB4}" name="PivotTable4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52:D157"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dataField="1" showAll="0"/>
  </pivotFields>
  <rowFields count="1">
    <field x="30"/>
  </rowFields>
  <rowItems count="5">
    <i>
      <x/>
    </i>
    <i>
      <x v="1"/>
    </i>
    <i>
      <x v="2"/>
    </i>
    <i>
      <x v="3"/>
    </i>
    <i t="grand">
      <x/>
    </i>
  </rowItems>
  <colItems count="1">
    <i/>
  </colItems>
  <dataFields count="1">
    <dataField name="Average of Attrition_flag" fld="38" subtotal="average" baseField="30" baseItem="1" numFmtId="1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FCBB6FEA-5ED0-4F84-9F7A-872E8CB1096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57:D60" firstHeaderRow="1" firstDataRow="1" firstDataCol="1"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pageFields count="1">
    <pageField fld="1" item="0" hier="-1"/>
  </pageFields>
  <dataFields count="1">
    <dataField name="Sum of EmployeeNumber" fld="9"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1" count="1" selected="0">
            <x v="0"/>
          </reference>
        </references>
      </pivotArea>
    </chartFormat>
    <chartFormat chart="6" format="8">
      <pivotArea type="data" outline="0" fieldPosition="0">
        <references count="2">
          <reference field="4294967294" count="1" selected="0">
            <x v="0"/>
          </reference>
          <reference field="11" count="1" selected="0">
            <x v="1"/>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11" count="1" selected="0">
            <x v="0"/>
          </reference>
        </references>
      </pivotArea>
    </chartFormat>
    <chartFormat chart="10" format="1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90500E9-9E09-41BA-A4BF-9FBDB2DA065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M30:BN40" firstHeaderRow="1" firstDataRow="1" firstDataCol="1"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dataField="1" showAll="0"/>
    <pivotField showAll="0"/>
    <pivotField showAll="0"/>
    <pivotField showAll="0"/>
    <pivotField showAll="0"/>
    <pivotField showAll="0"/>
    <pivotField showAll="0"/>
    <pivotField axis="axisRow" showAll="0" sortType="ascending">
      <items count="11">
        <item x="4"/>
        <item x="8"/>
        <item x="2"/>
        <item x="5"/>
        <item x="3"/>
        <item x="7"/>
        <item x="1"/>
        <item x="0"/>
        <item x="6"/>
        <item m="1"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v="1"/>
    </i>
    <i>
      <x v="8"/>
    </i>
    <i>
      <x v="5"/>
    </i>
    <i>
      <x v="3"/>
    </i>
    <i>
      <x/>
    </i>
    <i>
      <x v="4"/>
    </i>
    <i>
      <x v="2"/>
    </i>
    <i>
      <x v="6"/>
    </i>
    <i>
      <x v="7"/>
    </i>
    <i t="grand">
      <x/>
    </i>
  </rowItems>
  <colItems count="1">
    <i/>
  </colItems>
  <pageFields count="1">
    <pageField fld="1" item="0" hier="-1"/>
  </pageFields>
  <dataFields count="1">
    <dataField name="Sum of EmployeeCount" fld="8" baseField="0" baseItem="0"/>
  </dataFields>
  <chartFormats count="1">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1E74FCDC-3946-4204-BDB8-63D49E4667BB}" name="PivotTable4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41:D146"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3"/>
        <item x="2"/>
        <item t="default"/>
      </items>
    </pivotField>
    <pivotField dataField="1" showAll="0"/>
  </pivotFields>
  <rowFields count="1">
    <field x="37"/>
  </rowFields>
  <rowItems count="5">
    <i>
      <x/>
    </i>
    <i>
      <x v="1"/>
    </i>
    <i>
      <x v="2"/>
    </i>
    <i>
      <x v="3"/>
    </i>
    <i t="grand">
      <x/>
    </i>
  </rowItems>
  <colItems count="1">
    <i/>
  </colItems>
  <dataFields count="1">
    <dataField name="Average of Attrition_flag" fld="38" subtotal="average" baseField="37" baseItem="1" numFmtId="9"/>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474DA43-FBAD-40ED-8B9A-9FBF11D09F3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36:Q56" firstHeaderRow="1" firstDataRow="2" firstDataCol="1"/>
  <pivotFields count="39">
    <pivotField showAll="0"/>
    <pivotField axis="axisCol" showAll="0">
      <items count="3">
        <item x="1"/>
        <item h="1" x="0"/>
        <item t="default"/>
      </items>
    </pivotField>
    <pivotField showAll="0"/>
    <pivotField showAll="0"/>
    <pivotField axis="axisRow" showAll="0">
      <items count="7">
        <item x="2"/>
        <item x="1"/>
        <item x="0"/>
        <item h="1" m="1" x="5"/>
        <item h="1" m="1" x="4"/>
        <item h="1" m="1" x="3"/>
        <item t="default"/>
      </items>
    </pivotField>
    <pivotField showAll="0"/>
    <pivotField axis="axisRow" showAll="0">
      <items count="6">
        <item x="1"/>
        <item x="0"/>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6"/>
  </rowFields>
  <rowItems count="19">
    <i>
      <x/>
    </i>
    <i r="1">
      <x/>
    </i>
    <i r="1">
      <x v="1"/>
    </i>
    <i r="1">
      <x v="2"/>
    </i>
    <i r="1">
      <x v="3"/>
    </i>
    <i r="1">
      <x v="4"/>
    </i>
    <i>
      <x v="1"/>
    </i>
    <i r="1">
      <x/>
    </i>
    <i r="1">
      <x v="1"/>
    </i>
    <i r="1">
      <x v="2"/>
    </i>
    <i r="1">
      <x v="3"/>
    </i>
    <i r="1">
      <x v="4"/>
    </i>
    <i>
      <x v="2"/>
    </i>
    <i r="1">
      <x/>
    </i>
    <i r="1">
      <x v="1"/>
    </i>
    <i r="1">
      <x v="2"/>
    </i>
    <i r="1">
      <x v="3"/>
    </i>
    <i r="1">
      <x v="4"/>
    </i>
    <i t="grand">
      <x/>
    </i>
  </rowItems>
  <colFields count="1">
    <field x="1"/>
  </colFields>
  <colItems count="2">
    <i>
      <x/>
    </i>
    <i t="grand">
      <x/>
    </i>
  </colItems>
  <dataFields count="1">
    <dataField name="Count of OverTime" fld="22" subtotal="count" baseField="4" baseItem="0"/>
  </dataFields>
  <chartFormats count="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24D4725E-534E-4A90-BEE3-AA60252BBB9C}"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E159:BF164" firstHeaderRow="1" firstDataRow="1" firstDataCol="1"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 showAll="0"/>
  </pivotFields>
  <rowFields count="1">
    <field x="37"/>
  </rowFields>
  <rowItems count="5">
    <i>
      <x/>
    </i>
    <i>
      <x v="1"/>
    </i>
    <i>
      <x v="2"/>
    </i>
    <i>
      <x v="3"/>
    </i>
    <i t="grand">
      <x/>
    </i>
  </rowItems>
  <colItems count="1">
    <i/>
  </colItems>
  <pageFields count="1">
    <pageField fld="1" item="0" hier="-1"/>
  </pageFields>
  <dataFields count="1">
    <dataField name="Sum of EmployeeCou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6027EC83-A4E6-4CE9-ADD7-B2178EDCBF23}" name="PivotTable3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H72:I76" firstHeaderRow="1" firstDataRow="1" firstDataCol="1"/>
  <pivotFields count="39">
    <pivotField showAll="0"/>
    <pivotField showAll="0"/>
    <pivotField showAll="0"/>
    <pivotField showAll="0"/>
    <pivotField axis="axisRow" showAll="0">
      <items count="7">
        <item m="1" x="4"/>
        <item x="2"/>
        <item m="1" x="5"/>
        <item m="1"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v="1"/>
    </i>
    <i>
      <x v="4"/>
    </i>
    <i>
      <x v="5"/>
    </i>
    <i t="grand">
      <x/>
    </i>
  </rowItems>
  <colItems count="1">
    <i/>
  </colItems>
  <dataFields count="1">
    <dataField name="Average of Attrition_flag" fld="38" subtotal="average" baseField="4" baseItem="4" numFmtId="10"/>
  </dataFields>
  <chartFormats count="4">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19D465CF-1D3A-45E2-858C-59D4723AF8FE}" name="PivotTable4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97:D202"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5">
        <item x="3"/>
        <item x="1"/>
        <item x="2"/>
        <item x="0"/>
        <item t="default"/>
      </items>
    </pivotField>
    <pivotField showAll="0"/>
  </pivotFields>
  <rowFields count="1">
    <field x="37"/>
  </rowFields>
  <rowItems count="5">
    <i>
      <x/>
    </i>
    <i>
      <x v="1"/>
    </i>
    <i>
      <x v="2"/>
    </i>
    <i>
      <x v="3"/>
    </i>
    <i t="grand">
      <x/>
    </i>
  </rowItems>
  <colItems count="1">
    <i/>
  </colItems>
  <dataFields count="1">
    <dataField name="Sum of YearsAtCompany"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36945875-85D6-4857-B8A9-A67EB20DC5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Q13:AU18" firstHeaderRow="1" firstDataRow="2" firstDataCol="1" rowPageCount="1" colPageCount="1"/>
  <pivotFields count="39">
    <pivotField showAll="0"/>
    <pivotField axis="axisPage" showAll="0">
      <items count="3">
        <item x="1"/>
        <item x="0"/>
        <item t="default"/>
      </items>
    </pivotField>
    <pivotField axis="axisRow" showAll="0">
      <items count="4">
        <item x="2"/>
        <item x="1"/>
        <item x="0"/>
        <item t="default"/>
      </items>
    </pivotField>
    <pivotField showAll="0"/>
    <pivotField axis="axisCol" showAll="0">
      <items count="7">
        <item x="2"/>
        <item x="1"/>
        <item x="0"/>
        <item h="1" m="1" x="5"/>
        <item h="1" m="1" x="4"/>
        <item h="1" m="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4"/>
  </colFields>
  <colItems count="4">
    <i>
      <x/>
    </i>
    <i>
      <x v="1"/>
    </i>
    <i>
      <x v="2"/>
    </i>
    <i t="grand">
      <x/>
    </i>
  </colItems>
  <pageFields count="1">
    <pageField fld="1" hier="-1"/>
  </pageFields>
  <dataFields count="1">
    <dataField name="Sum of EmployeeCount" fld="8" baseField="0" baseItem="0"/>
  </dataFields>
  <chartFormats count="7">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1" format="5" series="1">
      <pivotArea type="data" outline="0" fieldPosition="0">
        <references count="2">
          <reference field="4294967294" count="1" selected="0">
            <x v="0"/>
          </reference>
          <reference field="4" count="1" selected="0">
            <x v="5"/>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B673AFB8-2691-4BEB-9D4E-30C0241C7423}"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31:D135" firstHeaderRow="1" firstDataRow="1" firstDataCol="1"/>
  <pivotFields count="39">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4">
    <i>
      <x/>
    </i>
    <i>
      <x v="1"/>
    </i>
    <i>
      <x v="2"/>
    </i>
    <i t="grand">
      <x/>
    </i>
  </rowItems>
  <colItems count="1">
    <i/>
  </colItems>
  <dataFields count="1">
    <dataField name="Average of Attrition_flag" fld="38" subtotal="average" baseField="2" baseItem="1" numFmtId="1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69D52FB2-26C0-473D-83DD-0363E2DAEF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8:I13" firstHeaderRow="1" firstDataRow="2" firstDataCol="1"/>
  <pivotFields count="39">
    <pivotField showAll="0"/>
    <pivotField axis="axisCol" showAll="0">
      <items count="3">
        <item x="1"/>
        <item h="1" x="0"/>
        <item t="default"/>
      </items>
    </pivotField>
    <pivotField showAll="0"/>
    <pivotField showAll="0"/>
    <pivotField axis="axisRow" showAll="0">
      <items count="7">
        <item x="2"/>
        <item x="1"/>
        <item x="0"/>
        <item h="1" m="1" x="5"/>
        <item h="1" m="1" x="4"/>
        <item h="1" m="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2">
    <i>
      <x/>
    </i>
    <i t="grand">
      <x/>
    </i>
  </colItems>
  <dataFields count="1">
    <dataField name="Sum of EmployeeCount" fld="8" baseField="0" baseItem="0"/>
  </dataFields>
  <chartFormats count="7">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1">
          <reference field="4294967294" count="1" selected="0">
            <x v="0"/>
          </reference>
        </references>
      </pivotArea>
    </chartFormat>
    <chartFormat chart="6" format="3" series="1">
      <pivotArea type="data" outline="0" fieldPosition="0">
        <references count="2">
          <reference field="4294967294" count="1" selected="0">
            <x v="0"/>
          </reference>
          <reference field="1" count="1" selected="0">
            <x v="1"/>
          </reference>
        </references>
      </pivotArea>
    </chartFormat>
    <chartFormat chart="22" format="5" series="1">
      <pivotArea type="data" outline="0" fieldPosition="0">
        <references count="2">
          <reference field="4294967294" count="1" selected="0">
            <x v="0"/>
          </reference>
          <reference field="1" count="1" selected="0">
            <x v="1"/>
          </reference>
        </references>
      </pivotArea>
    </chartFormat>
    <chartFormat chart="22" format="6" series="1">
      <pivotArea type="data" outline="0" fieldPosition="0">
        <references count="2">
          <reference field="4294967294" count="1" selected="0">
            <x v="0"/>
          </reference>
          <reference field="1" count="1" selected="0">
            <x v="0"/>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8B9F2804-09DC-4DBF-A804-645B7F0EAE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11:R16" firstHeaderRow="1" firstDataRow="2" firstDataCol="1"/>
  <pivotFields count="39">
    <pivotField showAll="0"/>
    <pivotField showAll="0">
      <items count="3">
        <item x="1"/>
        <item h="1" x="0"/>
        <item t="default"/>
      </items>
    </pivotField>
    <pivotField showAll="0"/>
    <pivotField showAll="0"/>
    <pivotField axis="axisRow" showAll="0">
      <items count="7">
        <item x="2"/>
        <item x="1"/>
        <item x="0"/>
        <item h="1" m="1" x="5"/>
        <item h="1" m="1" x="4"/>
        <item h="1" m="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22"/>
  </colFields>
  <colItems count="3">
    <i>
      <x/>
    </i>
    <i>
      <x v="1"/>
    </i>
    <i t="grand">
      <x/>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E477D44B-FA8A-4021-AEB9-D05BC20207F2}"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I143:BJ148" firstHeaderRow="1" firstDataRow="1" firstDataCol="1" rowPageCount="1" colPageCount="1"/>
  <pivotFields count="39">
    <pivotField showAll="0"/>
    <pivotField axis="axisPage" showAll="0">
      <items count="3">
        <item x="1"/>
        <item x="0"/>
        <item t="default"/>
      </items>
    </pivotField>
    <pivotField showAll="0"/>
    <pivotField showAll="0"/>
    <pivotField showAll="0">
      <items count="7">
        <item h="1" m="1" x="4"/>
        <item x="2"/>
        <item h="1" m="1" x="5"/>
        <item h="1" m="1" x="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5">
    <i>
      <x/>
    </i>
    <i>
      <x v="1"/>
    </i>
    <i>
      <x v="2"/>
    </i>
    <i>
      <x v="3"/>
    </i>
    <i t="grand">
      <x/>
    </i>
  </rowItems>
  <colItems count="1">
    <i/>
  </colItems>
  <pageFields count="1">
    <pageField fld="1" item="0" hier="-1"/>
  </pageFields>
  <dataFields count="1">
    <dataField name="Sum of EmployeeCount" fld="8"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653685-889A-4DF4-9A51-77FEB5BEB427}" autoFormatId="16" applyNumberFormats="0" applyBorderFormats="0" applyFontFormats="0" applyPatternFormats="0" applyAlignmentFormats="0" applyWidthHeightFormats="0">
  <queryTableRefresh nextId="41" unboundColumnsRight="4">
    <queryTableFields count="39">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dataBound="0" tableColumnId="36"/>
      <queryTableField id="38" dataBound="0" tableColumnId="38"/>
      <queryTableField id="39" dataBound="0" tableColumnId="37"/>
      <queryTableField id="40" dataBound="0"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C49F62BC-C616-4140-AE66-93E943D57CB9}" sourceName="Attrition">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0"/>
    <pivotTable tabId="1" name="PivotTable3"/>
    <pivotTable tabId="1" name="PivotTable4"/>
    <pivotTable tabId="1" name="PivotTable5"/>
    <pivotTable tabId="1" name="PivotTable6"/>
    <pivotTable tabId="1" name="PivotTable7"/>
    <pivotTable tabId="1" name="PivotTable8"/>
    <pivotTable tabId="1" name="PivotTable9"/>
    <pivotTable tabId="1" name="PivotTable21"/>
    <pivotTable tabId="1" name="PivotTable22"/>
    <pivotTable tabId="1" name="PivotTable23"/>
    <pivotTable tabId="1" name="PivotTable24"/>
    <pivotTable tabId="1" name="PivotTable25"/>
    <pivotTable tabId="1" name="PivotTable27"/>
    <pivotTable tabId="1" name="PivotTable30"/>
    <pivotTable tabId="1" name="PivotTable31"/>
    <pivotTable tabId="1" name="PivotTable32"/>
    <pivotTable tabId="1" name="PivotTable33"/>
  </pivotTables>
  <data>
    <tabular pivotCacheId="1280773970">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D434869-6D81-45F0-A3B7-71324F21CDF6}" sourceName="Department">
  <pivotTables>
    <pivotTable tabId="1" name="PivotTable2"/>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0"/>
    <pivotTable tabId="1" name="PivotTable21"/>
    <pivotTable tabId="1" name="PivotTable22"/>
    <pivotTable tabId="1" name="PivotTable23"/>
    <pivotTable tabId="1" name="PivotTable24"/>
    <pivotTable tabId="1" name="PivotTable25"/>
    <pivotTable tabId="1" name="PivotTable27"/>
    <pivotTable tabId="1" name="PivotTable3"/>
    <pivotTable tabId="1" name="PivotTable30"/>
    <pivotTable tabId="1" name="PivotTable31"/>
    <pivotTable tabId="1" name="PivotTable32"/>
    <pivotTable tabId="1" name="PivotTable33"/>
    <pivotTable tabId="1" name="PivotTable35"/>
    <pivotTable tabId="1" name="PivotTable4"/>
    <pivotTable tabId="1" name="PivotTable5"/>
    <pivotTable tabId="1" name="PivotTable6"/>
    <pivotTable tabId="1" name="PivotTable7"/>
    <pivotTable tabId="1" name="PivotTable8"/>
    <pivotTable tabId="1" name="PivotTable9"/>
  </pivotTables>
  <data>
    <tabular pivotCacheId="1280773970">
      <items count="6">
        <i x="2" s="1"/>
        <i x="1" s="1"/>
        <i x="0" s="1"/>
        <i x="4" nd="1"/>
        <i x="5"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003E97E-A34D-4FD0-BE11-E75DDFF20CF4}" sourceName="Gender">
  <pivotTables>
    <pivotTable tabId="1" name="PivotTable15"/>
  </pivotTables>
  <data>
    <tabular pivotCacheId="128077397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4562B093-DE94-42B1-923B-29506859817A}" sourceName="OverTime">
  <pivotTables>
    <pivotTable tabId="1" name="PivotTable15"/>
  </pivotTables>
  <data>
    <tabular pivotCacheId="1280773970">
      <items count="2">
        <i x="1"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46108AA4-AB0D-4C6E-A437-17936B72CE34}" sourceName="BusinessTravel">
  <pivotTables>
    <pivotTable tabId="1" name="PivotTable2"/>
  </pivotTables>
  <data>
    <tabular pivotCacheId="128077397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3F3A718D-B317-43DF-B1A6-5CA8397AE601}" cache="Slicer_Attrition" caption="Attrition" style="SlicerStyleLight6" rowHeight="234950"/>
  <slicer name="Department" xr10:uid="{623C5C44-3FA1-48D7-B489-31CEA859E9AA}" cache="Slicer_Department" caption="Department" style="SlicerStyleLight6" rowHeight="234950"/>
  <slicer name="Gender" xr10:uid="{A6745820-AA96-4568-8217-DE8CA9D07161}" cache="Slicer_Gender" caption="Gender" style="SlicerStyleLight6" rowHeight="234950"/>
  <slicer name="OverTime" xr10:uid="{C63DF92E-AF9F-4183-AF8C-3C3E3B6768C1}" cache="Slicer_OverTime" caption="OverTime" style="SlicerStyleLight6" rowHeight="234950"/>
  <slicer name="BusinessTravel" xr10:uid="{CEC03190-BD29-4E69-AE87-BFC33DAB4C1B}" cache="Slicer_BusinessTravel" caption="BusinessTravel" style="SlicerStyleLight6"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7B159A-C6DE-4520-A21D-09DD3B65DC9C}" name="Table2" displayName="Table2" ref="A3:AI66" totalsRowShown="0">
  <autoFilter ref="A3:AI66" xr:uid="{0A7B159A-C6DE-4520-A21D-09DD3B65DC9C}"/>
  <tableColumns count="35">
    <tableColumn id="1" xr3:uid="{92952B5F-832B-4039-9B0F-3BFEB263C88C}" name="Age"/>
    <tableColumn id="2" xr3:uid="{2588EB84-4023-45D0-98A3-32EC21059D52}" name="Attrition"/>
    <tableColumn id="3" xr3:uid="{C15E47C8-8F4A-4D17-8A38-B20CF914DDA8}" name="BusinessTravel"/>
    <tableColumn id="4" xr3:uid="{03BC7255-B7F8-4E81-8817-AD46FDC58AC3}" name="DailyRate"/>
    <tableColumn id="5" xr3:uid="{CCDF23B9-3C25-4D14-8924-2CC5AD72FD9A}" name="Department"/>
    <tableColumn id="6" xr3:uid="{45429293-CFBD-4530-A984-5931D23D0E7D}" name="DistanceFromHome"/>
    <tableColumn id="7" xr3:uid="{20A97633-993B-427E-8BFD-0ECB8316DCDB}" name="Education"/>
    <tableColumn id="8" xr3:uid="{0DE09383-2F25-41D5-B8EB-00C7DC2E66C7}" name="EducationField"/>
    <tableColumn id="9" xr3:uid="{7BE997BD-9B3A-43C2-B19C-EE2A6A9C563C}" name="EmployeeCount"/>
    <tableColumn id="10" xr3:uid="{D4CF0C6E-7522-43A6-9FE7-F7FD85EE7BF4}" name="EmployeeNumber"/>
    <tableColumn id="11" xr3:uid="{0311492B-2EB8-42E7-B069-E5C9CB956A94}" name="EnvironmentSatisfaction"/>
    <tableColumn id="12" xr3:uid="{3078F717-1330-43A9-93C8-FCB86064F97E}" name="Gender"/>
    <tableColumn id="13" xr3:uid="{C3E3A58B-AE47-489E-BA9F-98704CFF80CF}" name="HourlyRate"/>
    <tableColumn id="14" xr3:uid="{4220CBF3-DE87-4599-BDCB-A0FFAFB692C2}" name="JobInvolvement"/>
    <tableColumn id="15" xr3:uid="{964D56C3-650E-4B14-8283-1B50312155D5}" name="JobLevel"/>
    <tableColumn id="16" xr3:uid="{F986D666-0ABC-4B62-8B1E-EB2BC5D34BFD}" name="JobRole"/>
    <tableColumn id="17" xr3:uid="{EC1A4F0C-C2BA-49A5-A8CC-69EDE66234DE}" name="JobSatisfaction"/>
    <tableColumn id="18" xr3:uid="{1833C179-BAE3-4CA1-AB64-AD0E49C84A9A}" name="MaritalStatus"/>
    <tableColumn id="19" xr3:uid="{163FF7C4-3D89-40B1-A37A-C3777C938B1F}" name="MonthlyIncome"/>
    <tableColumn id="20" xr3:uid="{C7B399CF-7FAF-4E0C-824B-B296261A2E98}" name="MonthlyRate"/>
    <tableColumn id="21" xr3:uid="{123671F0-9DAB-49D7-B250-5692319B4C6D}" name="NumCompaniesWorked"/>
    <tableColumn id="22" xr3:uid="{8CF73F12-F006-4643-8102-6CE1D3216CBB}" name="Over18"/>
    <tableColumn id="23" xr3:uid="{4578FA5E-1678-40BD-A09F-B378610E58C6}" name="OverTime"/>
    <tableColumn id="24" xr3:uid="{09423B7C-03A8-41F9-A173-A804AA6AE274}" name="PercentSalaryHike"/>
    <tableColumn id="25" xr3:uid="{5FFBA9DB-F862-406D-B9BC-ED4591DC4259}" name="PerformanceRating"/>
    <tableColumn id="26" xr3:uid="{35DC8CB7-51AF-413C-9BCD-2660F04CE1D0}" name="RelationshipSatisfaction"/>
    <tableColumn id="27" xr3:uid="{81D7C6C9-BC37-48B2-BC05-F28AEF114874}" name="StandardHours"/>
    <tableColumn id="28" xr3:uid="{7884DD0D-73D5-4643-8BA1-C631F17BDA85}" name="StockOptionLevel"/>
    <tableColumn id="29" xr3:uid="{E2F7BADD-57CF-49B3-BA33-4320F0040E0A}" name="TotalWorkingYears"/>
    <tableColumn id="30" xr3:uid="{6A8388B3-4F95-4A98-BECD-0D1AA513DE0B}" name="TrainingTimesLastYear"/>
    <tableColumn id="31" xr3:uid="{AE10B61F-DDEA-4753-8F7E-B68D26820428}" name="WorkLifeBalance"/>
    <tableColumn id="32" xr3:uid="{4647E10F-52E6-46FA-AF92-1FC808414C8E}" name="YearsAtCompany"/>
    <tableColumn id="33" xr3:uid="{D07CCDCE-0B4E-4C2D-B801-0EB51A23E7C0}" name="YearsInCurrentRole"/>
    <tableColumn id="34" xr3:uid="{23281ADF-F52C-4065-A5E3-97BB5A33FB18}" name="YearsSinceLastPromotion"/>
    <tableColumn id="35" xr3:uid="{E9B742FA-4E3A-4D02-B050-BAAE58DB5576}" name="YearsWithCurr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FEB74A-3FA7-4F26-A0E8-42D2F3496FD6}" name="HR_Employee_Attrition" displayName="HR_Employee_Attrition" ref="A1:AM1471" tableType="queryTable" totalsRowShown="0">
  <autoFilter ref="A1:AM1471" xr:uid="{22FEB74A-3FA7-4F26-A0E8-42D2F3496FD6}"/>
  <tableColumns count="39">
    <tableColumn id="1" xr3:uid="{B9EFCEBC-718D-482E-977C-440CCA7FDD8A}" uniqueName="1" name="Age" queryTableFieldId="1"/>
    <tableColumn id="2" xr3:uid="{0137903D-62FB-4D69-9C4A-749AF7C6EF4C}" uniqueName="2" name="Attrition" queryTableFieldId="2" dataDxfId="12"/>
    <tableColumn id="3" xr3:uid="{A1266794-4207-4C9E-B7EB-D168A2D8C708}" uniqueName="3" name="BusinessTravel" queryTableFieldId="3" dataDxfId="11"/>
    <tableColumn id="4" xr3:uid="{686A811C-A526-4504-93B8-CBE5A6541525}" uniqueName="4" name="DailyRate" queryTableFieldId="4"/>
    <tableColumn id="5" xr3:uid="{5CE4B2B3-92CB-4E69-B97C-48EB3480019F}" uniqueName="5" name="Department" queryTableFieldId="5" dataDxfId="10"/>
    <tableColumn id="6" xr3:uid="{023A9933-2315-4EFC-85DF-C1F0B77058E4}" uniqueName="6" name="DistanceFromHome" queryTableFieldId="6"/>
    <tableColumn id="7" xr3:uid="{E5445738-19B8-4F92-978E-115D03F282BD}" uniqueName="7" name="Education" queryTableFieldId="7"/>
    <tableColumn id="8" xr3:uid="{8FAB1832-599B-458E-8771-8E218ACAC695}" uniqueName="8" name="EducationField" queryTableFieldId="8" dataDxfId="9"/>
    <tableColumn id="9" xr3:uid="{398AFF13-EF6A-4ECA-A945-1AD2047ACBB9}" uniqueName="9" name="EmployeeCount" queryTableFieldId="9"/>
    <tableColumn id="10" xr3:uid="{90A84C82-420D-409F-97F7-7C4E5630CE53}" uniqueName="10" name="EmployeeNumber" queryTableFieldId="10"/>
    <tableColumn id="11" xr3:uid="{E4F5C693-A93D-4835-8FF0-7CBDE3B93FCF}" uniqueName="11" name="EnvironmentSatisfaction" queryTableFieldId="11"/>
    <tableColumn id="12" xr3:uid="{18957B9F-91E3-480C-9198-133CD19AC054}" uniqueName="12" name="Gender" queryTableFieldId="12" dataDxfId="8"/>
    <tableColumn id="13" xr3:uid="{EC756061-ABB8-4EBF-BCDA-6B53C7081A78}" uniqueName="13" name="HourlyRate" queryTableFieldId="13"/>
    <tableColumn id="14" xr3:uid="{4E56DD33-EEF7-4263-B8DA-6EF279C25EB2}" uniqueName="14" name="JobInvolvement" queryTableFieldId="14"/>
    <tableColumn id="15" xr3:uid="{D92CF619-FE56-4AA6-BA6E-1B15F64FB61B}" uniqueName="15" name="JobLevel" queryTableFieldId="15"/>
    <tableColumn id="16" xr3:uid="{1DFFDD02-6005-4A7A-831A-ADC2FB340278}" uniqueName="16" name="JobRole" queryTableFieldId="16" dataDxfId="7"/>
    <tableColumn id="17" xr3:uid="{A86C6F67-9A6D-4EA2-B1EC-9B8C7E34D328}" uniqueName="17" name="JobSatisfaction" queryTableFieldId="17"/>
    <tableColumn id="18" xr3:uid="{10B83CCF-822C-4108-A7D7-1BF50A15584B}" uniqueName="18" name="MaritalStatus" queryTableFieldId="18" dataDxfId="6"/>
    <tableColumn id="19" xr3:uid="{79BE7070-E0BB-4DDA-B946-D86F82BEF9F0}" uniqueName="19" name="MonthlyIncome" queryTableFieldId="19"/>
    <tableColumn id="20" xr3:uid="{6101D259-89F4-44AA-B5D1-701A4703D0E2}" uniqueName="20" name="MonthlyRate" queryTableFieldId="20"/>
    <tableColumn id="21" xr3:uid="{4C538CCF-CB51-4AD7-B6DD-6F121AC1DB70}" uniqueName="21" name="NumCompaniesWorked" queryTableFieldId="21"/>
    <tableColumn id="22" xr3:uid="{57E0B990-2710-451E-B052-190F3499CF43}" uniqueName="22" name="Over18" queryTableFieldId="22" dataDxfId="5"/>
    <tableColumn id="23" xr3:uid="{42B27446-3D73-4651-BEE8-F14116AA7A2B}" uniqueName="23" name="OverTime" queryTableFieldId="23" dataDxfId="4"/>
    <tableColumn id="24" xr3:uid="{37FC8870-2380-40D6-B3FD-64A5020049BA}" uniqueName="24" name="PercentSalaryHike" queryTableFieldId="24"/>
    <tableColumn id="25" xr3:uid="{2CD7F85B-BFD6-41DC-AA74-09BC731B869A}" uniqueName="25" name="PerformanceRating" queryTableFieldId="25"/>
    <tableColumn id="26" xr3:uid="{F1F308EC-AE09-443B-93FD-A0E6D36B0657}" uniqueName="26" name="RelationshipSatisfaction" queryTableFieldId="26"/>
    <tableColumn id="27" xr3:uid="{71B2B95F-6942-484D-8027-B51622D1FB3A}" uniqueName="27" name="StandardHours" queryTableFieldId="27"/>
    <tableColumn id="28" xr3:uid="{DC968403-89AB-4CC8-85E2-18DD39803360}" uniqueName="28" name="StockOptionLevel" queryTableFieldId="28"/>
    <tableColumn id="29" xr3:uid="{132AFE2A-1FA0-4155-AB72-FA275E09318C}" uniqueName="29" name="TotalWorkingYears" queryTableFieldId="29"/>
    <tableColumn id="30" xr3:uid="{6BD1CA69-21D8-47FC-A1D4-67288A447967}" uniqueName="30" name="TrainingTimesLastYear" queryTableFieldId="30"/>
    <tableColumn id="31" xr3:uid="{92FC46DC-360B-4E5B-BC51-483DBEE9FEF7}" uniqueName="31" name="WorkLifeBalance" queryTableFieldId="31"/>
    <tableColumn id="32" xr3:uid="{3E8DC884-F7A2-4D73-9A5E-8AACDE0EDE27}" uniqueName="32" name="YearsAtCompany" queryTableFieldId="32"/>
    <tableColumn id="33" xr3:uid="{DA3BB5DC-4AAC-4217-8B29-B6FC2791BB28}" uniqueName="33" name="YearsInCurrentRole" queryTableFieldId="33"/>
    <tableColumn id="34" xr3:uid="{813BDD47-76FE-466C-BBEA-302E2E15C5AF}" uniqueName="34" name="YearsSinceLastPromotion" queryTableFieldId="34"/>
    <tableColumn id="35" xr3:uid="{4AF486D6-D958-4FD7-B349-00311FE3914A}" uniqueName="35" name="YearsWithCurrManager" queryTableFieldId="35"/>
    <tableColumn id="36" xr3:uid="{2BC274BF-994E-486B-8102-3B3E1F85D027}" uniqueName="36" name="Age group" queryTableFieldId="36" dataDxfId="3">
      <calculatedColumnFormula>IF(HR_Employee_Attrition[[#This Row],[Age]]&gt;60,"60+",IF(HR_Employee_Attrition[[#This Row],[Age]]&gt;=50,"50-59",IF(HR_Employee_Attrition[[#This Row],[Age]]&gt;=40,"40-49",IF(HR_Employee_Attrition[[#This Row],[Age]]&gt;=30,"30-39",IF(HR_Employee_Attrition[[#This Row],[Age]]&gt;=20,"20-29",IF(HR_Employee_Attrition[[#This Row],[Age]]&gt;=18,"18-20"))))))</calculatedColumnFormula>
    </tableColumn>
    <tableColumn id="38" xr3:uid="{F097E736-40E7-46B9-86AD-321439CA36A6}" uniqueName="38" name="worked years" queryTableFieldId="38" dataDxfId="2">
      <calculatedColumnFormula array="1">_xlfn.IFS(HR_Employee_Attrition[[#This Row],[YearsAtCompany]]&lt;=2,"0-2",HR_Employee_Attrition[[#This Row],[YearsAtCompany]]&lt;=5,"3-5",HR_Employee_Attrition[[#This Row],[YearsAtCompany]]&lt;=10,"6-10",HR_Employee_Attrition[[#This Row],[YearsAtCompany]]&gt;10,"10+")</calculatedColumnFormula>
    </tableColumn>
    <tableColumn id="37" xr3:uid="{BB5B4F71-067F-4BEB-AF4E-02B11D4A9663}" uniqueName="37" name="monthly incomerange\" queryTableFieldId="39" dataDxfId="1">
      <calculatedColumnFormula array="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calculatedColumnFormula>
    </tableColumn>
    <tableColumn id="39" xr3:uid="{71B96674-4512-46CC-88E0-E8E7DD3A11DA}" uniqueName="39" name="Attrition_flag" queryTableFieldId="40" dataDxfId="0">
      <calculatedColumnFormula>IF(HR_Employee_Attrition[[#This Row],[Attrition]]="Yes",1,0)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rinterSettings" Target="../printerSettings/printerSettings1.bin"/><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41" Type="http://schemas.openxmlformats.org/officeDocument/2006/relationships/pivotTable" Target="../pivotTables/pivotTable4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drawing" Target="../drawings/drawing1.xml"/><Relationship Id="rId8" Type="http://schemas.openxmlformats.org/officeDocument/2006/relationships/pivotTable" Target="../pivotTables/pivotTable8.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0A3F5-1388-4CC2-BFFF-656E21DB0056}">
  <sheetPr codeName="Sheet1"/>
  <dimension ref="A1:AI66"/>
  <sheetViews>
    <sheetView workbookViewId="0">
      <selection activeCell="A3" sqref="A3:AI66"/>
    </sheetView>
  </sheetViews>
  <sheetFormatPr defaultRowHeight="14.4" x14ac:dyDescent="0.3"/>
  <cols>
    <col min="1" max="1" width="9" bestFit="1" customWidth="1"/>
    <col min="2" max="2" width="10.21875" bestFit="1" customWidth="1"/>
    <col min="3" max="3" width="15.6640625" bestFit="1" customWidth="1"/>
    <col min="4" max="4" width="11.109375" bestFit="1" customWidth="1"/>
    <col min="5" max="5" width="15.6640625" bestFit="1" customWidth="1"/>
    <col min="6" max="6" width="19.88671875" bestFit="1" customWidth="1"/>
    <col min="7" max="7" width="11.6640625" bestFit="1" customWidth="1"/>
    <col min="8" max="8" width="15.6640625" bestFit="1" customWidth="1"/>
    <col min="9" max="9" width="16.77734375" bestFit="1" customWidth="1"/>
    <col min="10" max="10" width="18.5546875" bestFit="1" customWidth="1"/>
    <col min="11" max="11" width="24.21875" bestFit="1" customWidth="1"/>
    <col min="12" max="12" width="9.33203125" bestFit="1" customWidth="1"/>
    <col min="13" max="13" width="12.5546875" bestFit="1" customWidth="1"/>
    <col min="14" max="14" width="16.88671875" bestFit="1" customWidth="1"/>
    <col min="15" max="15" width="10.44140625" bestFit="1" customWidth="1"/>
    <col min="16" max="16" width="15.6640625" bestFit="1" customWidth="1"/>
    <col min="17" max="17" width="16" bestFit="1" customWidth="1"/>
    <col min="18" max="18" width="14.44140625" bestFit="1" customWidth="1"/>
    <col min="19" max="19" width="16.88671875" bestFit="1" customWidth="1"/>
    <col min="20" max="20" width="14.21875" bestFit="1" customWidth="1"/>
    <col min="21" max="21" width="23.6640625" bestFit="1" customWidth="1"/>
    <col min="22" max="22" width="9.21875" bestFit="1" customWidth="1"/>
    <col min="23" max="23" width="11.33203125" bestFit="1" customWidth="1"/>
    <col min="24" max="24" width="18.5546875" bestFit="1" customWidth="1"/>
    <col min="25" max="25" width="19.6640625" bestFit="1" customWidth="1"/>
    <col min="26" max="26" width="23.6640625" bestFit="1" customWidth="1"/>
    <col min="27" max="27" width="15.88671875" bestFit="1" customWidth="1"/>
    <col min="28" max="28" width="18.109375" bestFit="1" customWidth="1"/>
    <col min="29" max="29" width="19.109375" bestFit="1" customWidth="1"/>
    <col min="30" max="30" width="22.109375" bestFit="1" customWidth="1"/>
    <col min="31" max="31" width="17.44140625" bestFit="1" customWidth="1"/>
    <col min="32" max="32" width="17.77734375" bestFit="1" customWidth="1"/>
    <col min="33" max="33" width="19.5546875" bestFit="1" customWidth="1"/>
    <col min="34" max="34" width="24.77734375" bestFit="1" customWidth="1"/>
    <col min="35" max="35" width="23" bestFit="1" customWidth="1"/>
  </cols>
  <sheetData>
    <row r="1" spans="1:35" x14ac:dyDescent="0.3">
      <c r="A1" s="3" t="s">
        <v>73</v>
      </c>
    </row>
    <row r="3" spans="1:35"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row>
    <row r="4" spans="1:35" x14ac:dyDescent="0.3">
      <c r="A4">
        <v>25</v>
      </c>
      <c r="B4" t="s">
        <v>43</v>
      </c>
      <c r="C4" t="s">
        <v>36</v>
      </c>
      <c r="D4">
        <v>309</v>
      </c>
      <c r="E4" t="s">
        <v>61</v>
      </c>
      <c r="F4">
        <v>2</v>
      </c>
      <c r="G4">
        <v>3</v>
      </c>
      <c r="H4" t="s">
        <v>61</v>
      </c>
      <c r="I4">
        <v>1</v>
      </c>
      <c r="J4">
        <v>1987</v>
      </c>
      <c r="K4">
        <v>3</v>
      </c>
      <c r="L4" t="s">
        <v>39</v>
      </c>
      <c r="M4">
        <v>82</v>
      </c>
      <c r="N4">
        <v>3</v>
      </c>
      <c r="O4">
        <v>1</v>
      </c>
      <c r="P4" t="s">
        <v>61</v>
      </c>
      <c r="Q4">
        <v>2</v>
      </c>
      <c r="R4" t="s">
        <v>48</v>
      </c>
      <c r="S4">
        <v>2187</v>
      </c>
      <c r="T4">
        <v>19655</v>
      </c>
      <c r="U4">
        <v>4</v>
      </c>
      <c r="V4" t="s">
        <v>42</v>
      </c>
      <c r="W4" t="s">
        <v>43</v>
      </c>
      <c r="X4">
        <v>14</v>
      </c>
      <c r="Y4">
        <v>3</v>
      </c>
      <c r="Z4">
        <v>3</v>
      </c>
      <c r="AA4">
        <v>80</v>
      </c>
      <c r="AB4">
        <v>0</v>
      </c>
      <c r="AC4">
        <v>6</v>
      </c>
      <c r="AD4">
        <v>3</v>
      </c>
      <c r="AE4">
        <v>3</v>
      </c>
      <c r="AF4">
        <v>2</v>
      </c>
      <c r="AG4">
        <v>0</v>
      </c>
      <c r="AH4">
        <v>1</v>
      </c>
      <c r="AI4">
        <v>2</v>
      </c>
    </row>
    <row r="5" spans="1:35" x14ac:dyDescent="0.3">
      <c r="A5">
        <v>27</v>
      </c>
      <c r="B5" t="s">
        <v>35</v>
      </c>
      <c r="C5" t="s">
        <v>44</v>
      </c>
      <c r="D5">
        <v>1337</v>
      </c>
      <c r="E5" t="s">
        <v>61</v>
      </c>
      <c r="F5">
        <v>22</v>
      </c>
      <c r="G5">
        <v>3</v>
      </c>
      <c r="H5" t="s">
        <v>61</v>
      </c>
      <c r="I5">
        <v>1</v>
      </c>
      <c r="J5">
        <v>1944</v>
      </c>
      <c r="K5">
        <v>1</v>
      </c>
      <c r="L5" t="s">
        <v>39</v>
      </c>
      <c r="M5">
        <v>58</v>
      </c>
      <c r="N5">
        <v>2</v>
      </c>
      <c r="O5">
        <v>1</v>
      </c>
      <c r="P5" t="s">
        <v>61</v>
      </c>
      <c r="Q5">
        <v>2</v>
      </c>
      <c r="R5" t="s">
        <v>48</v>
      </c>
      <c r="S5">
        <v>2863</v>
      </c>
      <c r="T5">
        <v>19555</v>
      </c>
      <c r="U5">
        <v>1</v>
      </c>
      <c r="V5" t="s">
        <v>42</v>
      </c>
      <c r="W5" t="s">
        <v>43</v>
      </c>
      <c r="X5">
        <v>12</v>
      </c>
      <c r="Y5">
        <v>3</v>
      </c>
      <c r="Z5">
        <v>1</v>
      </c>
      <c r="AA5">
        <v>80</v>
      </c>
      <c r="AB5">
        <v>0</v>
      </c>
      <c r="AC5">
        <v>1</v>
      </c>
      <c r="AD5">
        <v>2</v>
      </c>
      <c r="AE5">
        <v>3</v>
      </c>
      <c r="AF5">
        <v>1</v>
      </c>
      <c r="AG5">
        <v>0</v>
      </c>
      <c r="AH5">
        <v>0</v>
      </c>
      <c r="AI5">
        <v>0</v>
      </c>
    </row>
    <row r="6" spans="1:35" x14ac:dyDescent="0.3">
      <c r="A6">
        <v>36</v>
      </c>
      <c r="B6" t="s">
        <v>43</v>
      </c>
      <c r="C6" t="s">
        <v>44</v>
      </c>
      <c r="D6">
        <v>1213</v>
      </c>
      <c r="E6" t="s">
        <v>61</v>
      </c>
      <c r="F6">
        <v>2</v>
      </c>
      <c r="G6">
        <v>1</v>
      </c>
      <c r="H6" t="s">
        <v>61</v>
      </c>
      <c r="I6">
        <v>1</v>
      </c>
      <c r="J6">
        <v>1890</v>
      </c>
      <c r="K6">
        <v>2</v>
      </c>
      <c r="L6" t="s">
        <v>46</v>
      </c>
      <c r="M6">
        <v>94</v>
      </c>
      <c r="N6">
        <v>2</v>
      </c>
      <c r="O6">
        <v>2</v>
      </c>
      <c r="P6" t="s">
        <v>61</v>
      </c>
      <c r="Q6">
        <v>4</v>
      </c>
      <c r="R6" t="s">
        <v>41</v>
      </c>
      <c r="S6">
        <v>3886</v>
      </c>
      <c r="T6">
        <v>4223</v>
      </c>
      <c r="U6">
        <v>1</v>
      </c>
      <c r="V6" t="s">
        <v>42</v>
      </c>
      <c r="W6" t="s">
        <v>43</v>
      </c>
      <c r="X6">
        <v>21</v>
      </c>
      <c r="Y6">
        <v>4</v>
      </c>
      <c r="Z6">
        <v>4</v>
      </c>
      <c r="AA6">
        <v>80</v>
      </c>
      <c r="AB6">
        <v>0</v>
      </c>
      <c r="AC6">
        <v>10</v>
      </c>
      <c r="AD6">
        <v>2</v>
      </c>
      <c r="AE6">
        <v>2</v>
      </c>
      <c r="AF6">
        <v>10</v>
      </c>
      <c r="AG6">
        <v>1</v>
      </c>
      <c r="AH6">
        <v>0</v>
      </c>
      <c r="AI6">
        <v>8</v>
      </c>
    </row>
    <row r="7" spans="1:35" x14ac:dyDescent="0.3">
      <c r="A7">
        <v>29</v>
      </c>
      <c r="B7" t="s">
        <v>43</v>
      </c>
      <c r="C7" t="s">
        <v>36</v>
      </c>
      <c r="D7">
        <v>352</v>
      </c>
      <c r="E7" t="s">
        <v>61</v>
      </c>
      <c r="F7">
        <v>6</v>
      </c>
      <c r="G7">
        <v>1</v>
      </c>
      <c r="H7" t="s">
        <v>51</v>
      </c>
      <c r="I7">
        <v>1</v>
      </c>
      <c r="J7">
        <v>1865</v>
      </c>
      <c r="K7">
        <v>4</v>
      </c>
      <c r="L7" t="s">
        <v>46</v>
      </c>
      <c r="M7">
        <v>87</v>
      </c>
      <c r="N7">
        <v>2</v>
      </c>
      <c r="O7">
        <v>1</v>
      </c>
      <c r="P7" t="s">
        <v>61</v>
      </c>
      <c r="Q7">
        <v>2</v>
      </c>
      <c r="R7" t="s">
        <v>48</v>
      </c>
      <c r="S7">
        <v>2804</v>
      </c>
      <c r="T7">
        <v>15434</v>
      </c>
      <c r="U7">
        <v>1</v>
      </c>
      <c r="V7" t="s">
        <v>42</v>
      </c>
      <c r="W7" t="s">
        <v>43</v>
      </c>
      <c r="X7">
        <v>11</v>
      </c>
      <c r="Y7">
        <v>3</v>
      </c>
      <c r="Z7">
        <v>4</v>
      </c>
      <c r="AA7">
        <v>80</v>
      </c>
      <c r="AB7">
        <v>0</v>
      </c>
      <c r="AC7">
        <v>1</v>
      </c>
      <c r="AD7">
        <v>3</v>
      </c>
      <c r="AE7">
        <v>3</v>
      </c>
      <c r="AF7">
        <v>1</v>
      </c>
      <c r="AG7">
        <v>0</v>
      </c>
      <c r="AH7">
        <v>0</v>
      </c>
      <c r="AI7">
        <v>0</v>
      </c>
    </row>
    <row r="8" spans="1:35" x14ac:dyDescent="0.3">
      <c r="A8">
        <v>28</v>
      </c>
      <c r="B8" t="s">
        <v>43</v>
      </c>
      <c r="C8" t="s">
        <v>55</v>
      </c>
      <c r="D8">
        <v>280</v>
      </c>
      <c r="E8" t="s">
        <v>61</v>
      </c>
      <c r="F8">
        <v>1</v>
      </c>
      <c r="G8">
        <v>2</v>
      </c>
      <c r="H8" t="s">
        <v>38</v>
      </c>
      <c r="I8">
        <v>1</v>
      </c>
      <c r="J8">
        <v>1858</v>
      </c>
      <c r="K8">
        <v>3</v>
      </c>
      <c r="L8" t="s">
        <v>46</v>
      </c>
      <c r="M8">
        <v>43</v>
      </c>
      <c r="N8">
        <v>3</v>
      </c>
      <c r="O8">
        <v>1</v>
      </c>
      <c r="P8" t="s">
        <v>61</v>
      </c>
      <c r="Q8">
        <v>4</v>
      </c>
      <c r="R8" t="s">
        <v>52</v>
      </c>
      <c r="S8">
        <v>2706</v>
      </c>
      <c r="T8">
        <v>10494</v>
      </c>
      <c r="U8">
        <v>1</v>
      </c>
      <c r="V8" t="s">
        <v>42</v>
      </c>
      <c r="W8" t="s">
        <v>43</v>
      </c>
      <c r="X8">
        <v>15</v>
      </c>
      <c r="Y8">
        <v>3</v>
      </c>
      <c r="Z8">
        <v>2</v>
      </c>
      <c r="AA8">
        <v>80</v>
      </c>
      <c r="AB8">
        <v>1</v>
      </c>
      <c r="AC8">
        <v>3</v>
      </c>
      <c r="AD8">
        <v>2</v>
      </c>
      <c r="AE8">
        <v>3</v>
      </c>
      <c r="AF8">
        <v>3</v>
      </c>
      <c r="AG8">
        <v>2</v>
      </c>
      <c r="AH8">
        <v>2</v>
      </c>
      <c r="AI8">
        <v>2</v>
      </c>
    </row>
    <row r="9" spans="1:35" x14ac:dyDescent="0.3">
      <c r="A9">
        <v>31</v>
      </c>
      <c r="B9" t="s">
        <v>35</v>
      </c>
      <c r="C9" t="s">
        <v>36</v>
      </c>
      <c r="D9">
        <v>359</v>
      </c>
      <c r="E9" t="s">
        <v>61</v>
      </c>
      <c r="F9">
        <v>18</v>
      </c>
      <c r="G9">
        <v>5</v>
      </c>
      <c r="H9" t="s">
        <v>61</v>
      </c>
      <c r="I9">
        <v>1</v>
      </c>
      <c r="J9">
        <v>1842</v>
      </c>
      <c r="K9">
        <v>4</v>
      </c>
      <c r="L9" t="s">
        <v>46</v>
      </c>
      <c r="M9">
        <v>89</v>
      </c>
      <c r="N9">
        <v>4</v>
      </c>
      <c r="O9">
        <v>1</v>
      </c>
      <c r="P9" t="s">
        <v>61</v>
      </c>
      <c r="Q9">
        <v>1</v>
      </c>
      <c r="R9" t="s">
        <v>48</v>
      </c>
      <c r="S9">
        <v>2956</v>
      </c>
      <c r="T9">
        <v>21495</v>
      </c>
      <c r="U9">
        <v>0</v>
      </c>
      <c r="V9" t="s">
        <v>42</v>
      </c>
      <c r="W9" t="s">
        <v>43</v>
      </c>
      <c r="X9">
        <v>17</v>
      </c>
      <c r="Y9">
        <v>3</v>
      </c>
      <c r="Z9">
        <v>3</v>
      </c>
      <c r="AA9">
        <v>80</v>
      </c>
      <c r="AB9">
        <v>0</v>
      </c>
      <c r="AC9">
        <v>2</v>
      </c>
      <c r="AD9">
        <v>4</v>
      </c>
      <c r="AE9">
        <v>3</v>
      </c>
      <c r="AF9">
        <v>1</v>
      </c>
      <c r="AG9">
        <v>0</v>
      </c>
      <c r="AH9">
        <v>0</v>
      </c>
      <c r="AI9">
        <v>0</v>
      </c>
    </row>
    <row r="10" spans="1:35" x14ac:dyDescent="0.3">
      <c r="A10">
        <v>38</v>
      </c>
      <c r="B10" t="s">
        <v>43</v>
      </c>
      <c r="C10" t="s">
        <v>55</v>
      </c>
      <c r="D10">
        <v>1336</v>
      </c>
      <c r="E10" t="s">
        <v>61</v>
      </c>
      <c r="F10">
        <v>2</v>
      </c>
      <c r="G10">
        <v>3</v>
      </c>
      <c r="H10" t="s">
        <v>61</v>
      </c>
      <c r="I10">
        <v>1</v>
      </c>
      <c r="J10">
        <v>1805</v>
      </c>
      <c r="K10">
        <v>1</v>
      </c>
      <c r="L10" t="s">
        <v>46</v>
      </c>
      <c r="M10">
        <v>100</v>
      </c>
      <c r="N10">
        <v>3</v>
      </c>
      <c r="O10">
        <v>1</v>
      </c>
      <c r="P10" t="s">
        <v>61</v>
      </c>
      <c r="Q10">
        <v>2</v>
      </c>
      <c r="R10" t="s">
        <v>52</v>
      </c>
      <c r="S10">
        <v>2592</v>
      </c>
      <c r="T10">
        <v>7129</v>
      </c>
      <c r="U10">
        <v>5</v>
      </c>
      <c r="V10" t="s">
        <v>42</v>
      </c>
      <c r="W10" t="s">
        <v>43</v>
      </c>
      <c r="X10">
        <v>13</v>
      </c>
      <c r="Y10">
        <v>3</v>
      </c>
      <c r="Z10">
        <v>4</v>
      </c>
      <c r="AA10">
        <v>80</v>
      </c>
      <c r="AB10">
        <v>3</v>
      </c>
      <c r="AC10">
        <v>13</v>
      </c>
      <c r="AD10">
        <v>3</v>
      </c>
      <c r="AE10">
        <v>3</v>
      </c>
      <c r="AF10">
        <v>11</v>
      </c>
      <c r="AG10">
        <v>10</v>
      </c>
      <c r="AH10">
        <v>3</v>
      </c>
      <c r="AI10">
        <v>8</v>
      </c>
    </row>
    <row r="11" spans="1:35" x14ac:dyDescent="0.3">
      <c r="A11">
        <v>37</v>
      </c>
      <c r="B11" t="s">
        <v>43</v>
      </c>
      <c r="C11" t="s">
        <v>36</v>
      </c>
      <c r="D11">
        <v>1239</v>
      </c>
      <c r="E11" t="s">
        <v>61</v>
      </c>
      <c r="F11">
        <v>8</v>
      </c>
      <c r="G11">
        <v>2</v>
      </c>
      <c r="H11" t="s">
        <v>49</v>
      </c>
      <c r="I11">
        <v>1</v>
      </c>
      <c r="J11">
        <v>1794</v>
      </c>
      <c r="K11">
        <v>3</v>
      </c>
      <c r="L11" t="s">
        <v>46</v>
      </c>
      <c r="M11">
        <v>89</v>
      </c>
      <c r="N11">
        <v>3</v>
      </c>
      <c r="O11">
        <v>2</v>
      </c>
      <c r="P11" t="s">
        <v>61</v>
      </c>
      <c r="Q11">
        <v>2</v>
      </c>
      <c r="R11" t="s">
        <v>52</v>
      </c>
      <c r="S11">
        <v>4071</v>
      </c>
      <c r="T11">
        <v>12832</v>
      </c>
      <c r="U11">
        <v>2</v>
      </c>
      <c r="V11" t="s">
        <v>42</v>
      </c>
      <c r="W11" t="s">
        <v>43</v>
      </c>
      <c r="X11">
        <v>13</v>
      </c>
      <c r="Y11">
        <v>3</v>
      </c>
      <c r="Z11">
        <v>3</v>
      </c>
      <c r="AA11">
        <v>80</v>
      </c>
      <c r="AB11">
        <v>0</v>
      </c>
      <c r="AC11">
        <v>19</v>
      </c>
      <c r="AD11">
        <v>4</v>
      </c>
      <c r="AE11">
        <v>2</v>
      </c>
      <c r="AF11">
        <v>10</v>
      </c>
      <c r="AG11">
        <v>0</v>
      </c>
      <c r="AH11">
        <v>4</v>
      </c>
      <c r="AI11">
        <v>7</v>
      </c>
    </row>
    <row r="12" spans="1:35" x14ac:dyDescent="0.3">
      <c r="A12">
        <v>43</v>
      </c>
      <c r="B12" t="s">
        <v>43</v>
      </c>
      <c r="C12" t="s">
        <v>36</v>
      </c>
      <c r="D12">
        <v>244</v>
      </c>
      <c r="E12" t="s">
        <v>61</v>
      </c>
      <c r="F12">
        <v>2</v>
      </c>
      <c r="G12">
        <v>3</v>
      </c>
      <c r="H12" t="s">
        <v>38</v>
      </c>
      <c r="I12">
        <v>1</v>
      </c>
      <c r="J12">
        <v>1778</v>
      </c>
      <c r="K12">
        <v>2</v>
      </c>
      <c r="L12" t="s">
        <v>46</v>
      </c>
      <c r="M12">
        <v>97</v>
      </c>
      <c r="N12">
        <v>3</v>
      </c>
      <c r="O12">
        <v>1</v>
      </c>
      <c r="P12" t="s">
        <v>61</v>
      </c>
      <c r="Q12">
        <v>4</v>
      </c>
      <c r="R12" t="s">
        <v>41</v>
      </c>
      <c r="S12">
        <v>3539</v>
      </c>
      <c r="T12">
        <v>5033</v>
      </c>
      <c r="U12">
        <v>0</v>
      </c>
      <c r="V12" t="s">
        <v>42</v>
      </c>
      <c r="W12" t="s">
        <v>43</v>
      </c>
      <c r="X12">
        <v>13</v>
      </c>
      <c r="Y12">
        <v>3</v>
      </c>
      <c r="Z12">
        <v>2</v>
      </c>
      <c r="AA12">
        <v>80</v>
      </c>
      <c r="AB12">
        <v>0</v>
      </c>
      <c r="AC12">
        <v>10</v>
      </c>
      <c r="AD12">
        <v>5</v>
      </c>
      <c r="AE12">
        <v>3</v>
      </c>
      <c r="AF12">
        <v>9</v>
      </c>
      <c r="AG12">
        <v>7</v>
      </c>
      <c r="AH12">
        <v>1</v>
      </c>
      <c r="AI12">
        <v>8</v>
      </c>
    </row>
    <row r="13" spans="1:35" x14ac:dyDescent="0.3">
      <c r="A13">
        <v>30</v>
      </c>
      <c r="B13" t="s">
        <v>35</v>
      </c>
      <c r="C13" t="s">
        <v>44</v>
      </c>
      <c r="D13">
        <v>600</v>
      </c>
      <c r="E13" t="s">
        <v>61</v>
      </c>
      <c r="F13">
        <v>8</v>
      </c>
      <c r="G13">
        <v>3</v>
      </c>
      <c r="H13" t="s">
        <v>61</v>
      </c>
      <c r="I13">
        <v>1</v>
      </c>
      <c r="J13">
        <v>1747</v>
      </c>
      <c r="K13">
        <v>3</v>
      </c>
      <c r="L13" t="s">
        <v>39</v>
      </c>
      <c r="M13">
        <v>66</v>
      </c>
      <c r="N13">
        <v>2</v>
      </c>
      <c r="O13">
        <v>1</v>
      </c>
      <c r="P13" t="s">
        <v>61</v>
      </c>
      <c r="Q13">
        <v>4</v>
      </c>
      <c r="R13" t="s">
        <v>52</v>
      </c>
      <c r="S13">
        <v>2180</v>
      </c>
      <c r="T13">
        <v>9732</v>
      </c>
      <c r="U13">
        <v>6</v>
      </c>
      <c r="V13" t="s">
        <v>42</v>
      </c>
      <c r="W13" t="s">
        <v>43</v>
      </c>
      <c r="X13">
        <v>11</v>
      </c>
      <c r="Y13">
        <v>3</v>
      </c>
      <c r="Z13">
        <v>3</v>
      </c>
      <c r="AA13">
        <v>80</v>
      </c>
      <c r="AB13">
        <v>1</v>
      </c>
      <c r="AC13">
        <v>6</v>
      </c>
      <c r="AD13">
        <v>0</v>
      </c>
      <c r="AE13">
        <v>2</v>
      </c>
      <c r="AF13">
        <v>4</v>
      </c>
      <c r="AG13">
        <v>2</v>
      </c>
      <c r="AH13">
        <v>1</v>
      </c>
      <c r="AI13">
        <v>2</v>
      </c>
    </row>
    <row r="14" spans="1:35" x14ac:dyDescent="0.3">
      <c r="A14">
        <v>24</v>
      </c>
      <c r="B14" t="s">
        <v>43</v>
      </c>
      <c r="C14" t="s">
        <v>44</v>
      </c>
      <c r="D14">
        <v>897</v>
      </c>
      <c r="E14" t="s">
        <v>61</v>
      </c>
      <c r="F14">
        <v>10</v>
      </c>
      <c r="G14">
        <v>3</v>
      </c>
      <c r="H14" t="s">
        <v>51</v>
      </c>
      <c r="I14">
        <v>1</v>
      </c>
      <c r="J14">
        <v>1746</v>
      </c>
      <c r="K14">
        <v>1</v>
      </c>
      <c r="L14" t="s">
        <v>46</v>
      </c>
      <c r="M14">
        <v>59</v>
      </c>
      <c r="N14">
        <v>3</v>
      </c>
      <c r="O14">
        <v>1</v>
      </c>
      <c r="P14" t="s">
        <v>61</v>
      </c>
      <c r="Q14">
        <v>4</v>
      </c>
      <c r="R14" t="s">
        <v>48</v>
      </c>
      <c r="S14">
        <v>2145</v>
      </c>
      <c r="T14">
        <v>2097</v>
      </c>
      <c r="U14">
        <v>0</v>
      </c>
      <c r="V14" t="s">
        <v>42</v>
      </c>
      <c r="W14" t="s">
        <v>43</v>
      </c>
      <c r="X14">
        <v>14</v>
      </c>
      <c r="Y14">
        <v>3</v>
      </c>
      <c r="Z14">
        <v>4</v>
      </c>
      <c r="AA14">
        <v>80</v>
      </c>
      <c r="AB14">
        <v>1</v>
      </c>
      <c r="AC14">
        <v>3</v>
      </c>
      <c r="AD14">
        <v>2</v>
      </c>
      <c r="AE14">
        <v>3</v>
      </c>
      <c r="AF14">
        <v>2</v>
      </c>
      <c r="AG14">
        <v>2</v>
      </c>
      <c r="AH14">
        <v>2</v>
      </c>
      <c r="AI14">
        <v>1</v>
      </c>
    </row>
    <row r="15" spans="1:35" x14ac:dyDescent="0.3">
      <c r="A15">
        <v>45</v>
      </c>
      <c r="B15" t="s">
        <v>43</v>
      </c>
      <c r="C15" t="s">
        <v>36</v>
      </c>
      <c r="D15">
        <v>176</v>
      </c>
      <c r="E15" t="s">
        <v>61</v>
      </c>
      <c r="F15">
        <v>4</v>
      </c>
      <c r="G15">
        <v>3</v>
      </c>
      <c r="H15" t="s">
        <v>38</v>
      </c>
      <c r="I15">
        <v>1</v>
      </c>
      <c r="J15">
        <v>1744</v>
      </c>
      <c r="K15">
        <v>3</v>
      </c>
      <c r="L15" t="s">
        <v>39</v>
      </c>
      <c r="M15">
        <v>56</v>
      </c>
      <c r="N15">
        <v>1</v>
      </c>
      <c r="O15">
        <v>3</v>
      </c>
      <c r="P15" t="s">
        <v>61</v>
      </c>
      <c r="Q15">
        <v>3</v>
      </c>
      <c r="R15" t="s">
        <v>48</v>
      </c>
      <c r="S15">
        <v>9756</v>
      </c>
      <c r="T15">
        <v>6595</v>
      </c>
      <c r="U15">
        <v>4</v>
      </c>
      <c r="V15" t="s">
        <v>42</v>
      </c>
      <c r="W15" t="s">
        <v>43</v>
      </c>
      <c r="X15">
        <v>21</v>
      </c>
      <c r="Y15">
        <v>4</v>
      </c>
      <c r="Z15">
        <v>3</v>
      </c>
      <c r="AA15">
        <v>80</v>
      </c>
      <c r="AB15">
        <v>2</v>
      </c>
      <c r="AC15">
        <v>9</v>
      </c>
      <c r="AD15">
        <v>2</v>
      </c>
      <c r="AE15">
        <v>4</v>
      </c>
      <c r="AF15">
        <v>5</v>
      </c>
      <c r="AG15">
        <v>0</v>
      </c>
      <c r="AH15">
        <v>0</v>
      </c>
      <c r="AI15">
        <v>3</v>
      </c>
    </row>
    <row r="16" spans="1:35" x14ac:dyDescent="0.3">
      <c r="A16">
        <v>41</v>
      </c>
      <c r="B16" t="s">
        <v>43</v>
      </c>
      <c r="C16" t="s">
        <v>55</v>
      </c>
      <c r="D16">
        <v>552</v>
      </c>
      <c r="E16" t="s">
        <v>61</v>
      </c>
      <c r="F16">
        <v>4</v>
      </c>
      <c r="G16">
        <v>3</v>
      </c>
      <c r="H16" t="s">
        <v>61</v>
      </c>
      <c r="I16">
        <v>1</v>
      </c>
      <c r="J16">
        <v>1722</v>
      </c>
      <c r="K16">
        <v>3</v>
      </c>
      <c r="L16" t="s">
        <v>46</v>
      </c>
      <c r="M16">
        <v>60</v>
      </c>
      <c r="N16">
        <v>1</v>
      </c>
      <c r="O16">
        <v>2</v>
      </c>
      <c r="P16" t="s">
        <v>61</v>
      </c>
      <c r="Q16">
        <v>2</v>
      </c>
      <c r="R16" t="s">
        <v>48</v>
      </c>
      <c r="S16">
        <v>6430</v>
      </c>
      <c r="T16">
        <v>20794</v>
      </c>
      <c r="U16">
        <v>6</v>
      </c>
      <c r="V16" t="s">
        <v>42</v>
      </c>
      <c r="W16" t="s">
        <v>43</v>
      </c>
      <c r="X16">
        <v>19</v>
      </c>
      <c r="Y16">
        <v>3</v>
      </c>
      <c r="Z16">
        <v>2</v>
      </c>
      <c r="AA16">
        <v>80</v>
      </c>
      <c r="AB16">
        <v>1</v>
      </c>
      <c r="AC16">
        <v>10</v>
      </c>
      <c r="AD16">
        <v>4</v>
      </c>
      <c r="AE16">
        <v>3</v>
      </c>
      <c r="AF16">
        <v>3</v>
      </c>
      <c r="AG16">
        <v>2</v>
      </c>
      <c r="AH16">
        <v>1</v>
      </c>
      <c r="AI16">
        <v>2</v>
      </c>
    </row>
    <row r="17" spans="1:35" x14ac:dyDescent="0.3">
      <c r="A17">
        <v>24</v>
      </c>
      <c r="B17" t="s">
        <v>35</v>
      </c>
      <c r="C17" t="s">
        <v>36</v>
      </c>
      <c r="D17">
        <v>240</v>
      </c>
      <c r="E17" t="s">
        <v>61</v>
      </c>
      <c r="F17">
        <v>22</v>
      </c>
      <c r="G17">
        <v>1</v>
      </c>
      <c r="H17" t="s">
        <v>61</v>
      </c>
      <c r="I17">
        <v>1</v>
      </c>
      <c r="J17">
        <v>1714</v>
      </c>
      <c r="K17">
        <v>4</v>
      </c>
      <c r="L17" t="s">
        <v>46</v>
      </c>
      <c r="M17">
        <v>58</v>
      </c>
      <c r="N17">
        <v>1</v>
      </c>
      <c r="O17">
        <v>1</v>
      </c>
      <c r="P17" t="s">
        <v>61</v>
      </c>
      <c r="Q17">
        <v>3</v>
      </c>
      <c r="R17" t="s">
        <v>48</v>
      </c>
      <c r="S17">
        <v>1555</v>
      </c>
      <c r="T17">
        <v>11585</v>
      </c>
      <c r="U17">
        <v>1</v>
      </c>
      <c r="V17" t="s">
        <v>42</v>
      </c>
      <c r="W17" t="s">
        <v>43</v>
      </c>
      <c r="X17">
        <v>11</v>
      </c>
      <c r="Y17">
        <v>3</v>
      </c>
      <c r="Z17">
        <v>3</v>
      </c>
      <c r="AA17">
        <v>80</v>
      </c>
      <c r="AB17">
        <v>1</v>
      </c>
      <c r="AC17">
        <v>1</v>
      </c>
      <c r="AD17">
        <v>2</v>
      </c>
      <c r="AE17">
        <v>3</v>
      </c>
      <c r="AF17">
        <v>1</v>
      </c>
      <c r="AG17">
        <v>0</v>
      </c>
      <c r="AH17">
        <v>0</v>
      </c>
      <c r="AI17">
        <v>0</v>
      </c>
    </row>
    <row r="18" spans="1:35" x14ac:dyDescent="0.3">
      <c r="A18">
        <v>47</v>
      </c>
      <c r="B18" t="s">
        <v>43</v>
      </c>
      <c r="C18" t="s">
        <v>36</v>
      </c>
      <c r="D18">
        <v>1176</v>
      </c>
      <c r="E18" t="s">
        <v>61</v>
      </c>
      <c r="F18">
        <v>26</v>
      </c>
      <c r="G18">
        <v>4</v>
      </c>
      <c r="H18" t="s">
        <v>38</v>
      </c>
      <c r="I18">
        <v>1</v>
      </c>
      <c r="J18">
        <v>1625</v>
      </c>
      <c r="K18">
        <v>4</v>
      </c>
      <c r="L18" t="s">
        <v>39</v>
      </c>
      <c r="M18">
        <v>98</v>
      </c>
      <c r="N18">
        <v>3</v>
      </c>
      <c r="O18">
        <v>5</v>
      </c>
      <c r="P18" t="s">
        <v>56</v>
      </c>
      <c r="Q18">
        <v>3</v>
      </c>
      <c r="R18" t="s">
        <v>48</v>
      </c>
      <c r="S18">
        <v>19658</v>
      </c>
      <c r="T18">
        <v>5220</v>
      </c>
      <c r="U18">
        <v>3</v>
      </c>
      <c r="V18" t="s">
        <v>42</v>
      </c>
      <c r="W18" t="s">
        <v>43</v>
      </c>
      <c r="X18">
        <v>11</v>
      </c>
      <c r="Y18">
        <v>3</v>
      </c>
      <c r="Z18">
        <v>3</v>
      </c>
      <c r="AA18">
        <v>80</v>
      </c>
      <c r="AB18">
        <v>1</v>
      </c>
      <c r="AC18">
        <v>27</v>
      </c>
      <c r="AD18">
        <v>2</v>
      </c>
      <c r="AE18">
        <v>3</v>
      </c>
      <c r="AF18">
        <v>5</v>
      </c>
      <c r="AG18">
        <v>2</v>
      </c>
      <c r="AH18">
        <v>1</v>
      </c>
      <c r="AI18">
        <v>0</v>
      </c>
    </row>
    <row r="19" spans="1:35" x14ac:dyDescent="0.3">
      <c r="A19">
        <v>38</v>
      </c>
      <c r="B19" t="s">
        <v>43</v>
      </c>
      <c r="C19" t="s">
        <v>44</v>
      </c>
      <c r="D19">
        <v>888</v>
      </c>
      <c r="E19" t="s">
        <v>61</v>
      </c>
      <c r="F19">
        <v>10</v>
      </c>
      <c r="G19">
        <v>4</v>
      </c>
      <c r="H19" t="s">
        <v>61</v>
      </c>
      <c r="I19">
        <v>1</v>
      </c>
      <c r="J19">
        <v>1563</v>
      </c>
      <c r="K19">
        <v>3</v>
      </c>
      <c r="L19" t="s">
        <v>46</v>
      </c>
      <c r="M19">
        <v>71</v>
      </c>
      <c r="N19">
        <v>3</v>
      </c>
      <c r="O19">
        <v>2</v>
      </c>
      <c r="P19" t="s">
        <v>61</v>
      </c>
      <c r="Q19">
        <v>3</v>
      </c>
      <c r="R19" t="s">
        <v>48</v>
      </c>
      <c r="S19">
        <v>6077</v>
      </c>
      <c r="T19">
        <v>14814</v>
      </c>
      <c r="U19">
        <v>3</v>
      </c>
      <c r="V19" t="s">
        <v>42</v>
      </c>
      <c r="W19" t="s">
        <v>43</v>
      </c>
      <c r="X19">
        <v>11</v>
      </c>
      <c r="Y19">
        <v>3</v>
      </c>
      <c r="Z19">
        <v>3</v>
      </c>
      <c r="AA19">
        <v>80</v>
      </c>
      <c r="AB19">
        <v>0</v>
      </c>
      <c r="AC19">
        <v>10</v>
      </c>
      <c r="AD19">
        <v>2</v>
      </c>
      <c r="AE19">
        <v>3</v>
      </c>
      <c r="AF19">
        <v>6</v>
      </c>
      <c r="AG19">
        <v>3</v>
      </c>
      <c r="AH19">
        <v>1</v>
      </c>
      <c r="AI19">
        <v>2</v>
      </c>
    </row>
    <row r="20" spans="1:35" x14ac:dyDescent="0.3">
      <c r="A20">
        <v>30</v>
      </c>
      <c r="B20" t="s">
        <v>43</v>
      </c>
      <c r="C20" t="s">
        <v>36</v>
      </c>
      <c r="D20">
        <v>330</v>
      </c>
      <c r="E20" t="s">
        <v>61</v>
      </c>
      <c r="F20">
        <v>1</v>
      </c>
      <c r="G20">
        <v>3</v>
      </c>
      <c r="H20" t="s">
        <v>38</v>
      </c>
      <c r="I20">
        <v>1</v>
      </c>
      <c r="J20">
        <v>1499</v>
      </c>
      <c r="K20">
        <v>3</v>
      </c>
      <c r="L20" t="s">
        <v>46</v>
      </c>
      <c r="M20">
        <v>46</v>
      </c>
      <c r="N20">
        <v>3</v>
      </c>
      <c r="O20">
        <v>1</v>
      </c>
      <c r="P20" t="s">
        <v>61</v>
      </c>
      <c r="Q20">
        <v>3</v>
      </c>
      <c r="R20" t="s">
        <v>52</v>
      </c>
      <c r="S20">
        <v>2064</v>
      </c>
      <c r="T20">
        <v>15428</v>
      </c>
      <c r="U20">
        <v>0</v>
      </c>
      <c r="V20" t="s">
        <v>42</v>
      </c>
      <c r="W20" t="s">
        <v>43</v>
      </c>
      <c r="X20">
        <v>21</v>
      </c>
      <c r="Y20">
        <v>4</v>
      </c>
      <c r="Z20">
        <v>1</v>
      </c>
      <c r="AA20">
        <v>80</v>
      </c>
      <c r="AB20">
        <v>1</v>
      </c>
      <c r="AC20">
        <v>6</v>
      </c>
      <c r="AD20">
        <v>3</v>
      </c>
      <c r="AE20">
        <v>4</v>
      </c>
      <c r="AF20">
        <v>5</v>
      </c>
      <c r="AG20">
        <v>3</v>
      </c>
      <c r="AH20">
        <v>1</v>
      </c>
      <c r="AI20">
        <v>3</v>
      </c>
    </row>
    <row r="21" spans="1:35" x14ac:dyDescent="0.3">
      <c r="A21">
        <v>34</v>
      </c>
      <c r="B21" t="s">
        <v>35</v>
      </c>
      <c r="C21" t="s">
        <v>36</v>
      </c>
      <c r="D21">
        <v>1107</v>
      </c>
      <c r="E21" t="s">
        <v>61</v>
      </c>
      <c r="F21">
        <v>9</v>
      </c>
      <c r="G21">
        <v>4</v>
      </c>
      <c r="H21" t="s">
        <v>60</v>
      </c>
      <c r="I21">
        <v>1</v>
      </c>
      <c r="J21">
        <v>1467</v>
      </c>
      <c r="K21">
        <v>1</v>
      </c>
      <c r="L21" t="s">
        <v>39</v>
      </c>
      <c r="M21">
        <v>52</v>
      </c>
      <c r="N21">
        <v>3</v>
      </c>
      <c r="O21">
        <v>1</v>
      </c>
      <c r="P21" t="s">
        <v>61</v>
      </c>
      <c r="Q21">
        <v>3</v>
      </c>
      <c r="R21" t="s">
        <v>48</v>
      </c>
      <c r="S21">
        <v>2742</v>
      </c>
      <c r="T21">
        <v>3072</v>
      </c>
      <c r="U21">
        <v>1</v>
      </c>
      <c r="V21" t="s">
        <v>42</v>
      </c>
      <c r="W21" t="s">
        <v>43</v>
      </c>
      <c r="X21">
        <v>15</v>
      </c>
      <c r="Y21">
        <v>3</v>
      </c>
      <c r="Z21">
        <v>4</v>
      </c>
      <c r="AA21">
        <v>80</v>
      </c>
      <c r="AB21">
        <v>0</v>
      </c>
      <c r="AC21">
        <v>2</v>
      </c>
      <c r="AD21">
        <v>0</v>
      </c>
      <c r="AE21">
        <v>3</v>
      </c>
      <c r="AF21">
        <v>2</v>
      </c>
      <c r="AG21">
        <v>2</v>
      </c>
      <c r="AH21">
        <v>2</v>
      </c>
      <c r="AI21">
        <v>2</v>
      </c>
    </row>
    <row r="22" spans="1:35" x14ac:dyDescent="0.3">
      <c r="A22">
        <v>31</v>
      </c>
      <c r="B22" t="s">
        <v>43</v>
      </c>
      <c r="C22" t="s">
        <v>36</v>
      </c>
      <c r="D22">
        <v>1398</v>
      </c>
      <c r="E22" t="s">
        <v>61</v>
      </c>
      <c r="F22">
        <v>8</v>
      </c>
      <c r="G22">
        <v>2</v>
      </c>
      <c r="H22" t="s">
        <v>51</v>
      </c>
      <c r="I22">
        <v>1</v>
      </c>
      <c r="J22">
        <v>1461</v>
      </c>
      <c r="K22">
        <v>4</v>
      </c>
      <c r="L22" t="s">
        <v>39</v>
      </c>
      <c r="M22">
        <v>96</v>
      </c>
      <c r="N22">
        <v>4</v>
      </c>
      <c r="O22">
        <v>1</v>
      </c>
      <c r="P22" t="s">
        <v>61</v>
      </c>
      <c r="Q22">
        <v>2</v>
      </c>
      <c r="R22" t="s">
        <v>41</v>
      </c>
      <c r="S22">
        <v>2109</v>
      </c>
      <c r="T22">
        <v>24609</v>
      </c>
      <c r="U22">
        <v>9</v>
      </c>
      <c r="V22" t="s">
        <v>42</v>
      </c>
      <c r="W22" t="s">
        <v>43</v>
      </c>
      <c r="X22">
        <v>18</v>
      </c>
      <c r="Y22">
        <v>3</v>
      </c>
      <c r="Z22">
        <v>4</v>
      </c>
      <c r="AA22">
        <v>80</v>
      </c>
      <c r="AB22">
        <v>0</v>
      </c>
      <c r="AC22">
        <v>8</v>
      </c>
      <c r="AD22">
        <v>3</v>
      </c>
      <c r="AE22">
        <v>3</v>
      </c>
      <c r="AF22">
        <v>3</v>
      </c>
      <c r="AG22">
        <v>2</v>
      </c>
      <c r="AH22">
        <v>0</v>
      </c>
      <c r="AI22">
        <v>2</v>
      </c>
    </row>
    <row r="23" spans="1:35" x14ac:dyDescent="0.3">
      <c r="A23">
        <v>29</v>
      </c>
      <c r="B23" t="s">
        <v>43</v>
      </c>
      <c r="C23" t="s">
        <v>36</v>
      </c>
      <c r="D23">
        <v>332</v>
      </c>
      <c r="E23" t="s">
        <v>61</v>
      </c>
      <c r="F23">
        <v>17</v>
      </c>
      <c r="G23">
        <v>3</v>
      </c>
      <c r="H23" t="s">
        <v>49</v>
      </c>
      <c r="I23">
        <v>1</v>
      </c>
      <c r="J23">
        <v>1419</v>
      </c>
      <c r="K23">
        <v>2</v>
      </c>
      <c r="L23" t="s">
        <v>46</v>
      </c>
      <c r="M23">
        <v>51</v>
      </c>
      <c r="N23">
        <v>2</v>
      </c>
      <c r="O23">
        <v>3</v>
      </c>
      <c r="P23" t="s">
        <v>61</v>
      </c>
      <c r="Q23">
        <v>1</v>
      </c>
      <c r="R23" t="s">
        <v>41</v>
      </c>
      <c r="S23">
        <v>7988</v>
      </c>
      <c r="T23">
        <v>9769</v>
      </c>
      <c r="U23">
        <v>1</v>
      </c>
      <c r="V23" t="s">
        <v>42</v>
      </c>
      <c r="W23" t="s">
        <v>43</v>
      </c>
      <c r="X23">
        <v>13</v>
      </c>
      <c r="Y23">
        <v>3</v>
      </c>
      <c r="Z23">
        <v>1</v>
      </c>
      <c r="AA23">
        <v>80</v>
      </c>
      <c r="AB23">
        <v>0</v>
      </c>
      <c r="AC23">
        <v>10</v>
      </c>
      <c r="AD23">
        <v>3</v>
      </c>
      <c r="AE23">
        <v>2</v>
      </c>
      <c r="AF23">
        <v>10</v>
      </c>
      <c r="AG23">
        <v>9</v>
      </c>
      <c r="AH23">
        <v>0</v>
      </c>
      <c r="AI23">
        <v>9</v>
      </c>
    </row>
    <row r="24" spans="1:35" x14ac:dyDescent="0.3">
      <c r="A24">
        <v>42</v>
      </c>
      <c r="B24" t="s">
        <v>43</v>
      </c>
      <c r="C24" t="s">
        <v>36</v>
      </c>
      <c r="D24">
        <v>1147</v>
      </c>
      <c r="E24" t="s">
        <v>61</v>
      </c>
      <c r="F24">
        <v>10</v>
      </c>
      <c r="G24">
        <v>3</v>
      </c>
      <c r="H24" t="s">
        <v>61</v>
      </c>
      <c r="I24">
        <v>1</v>
      </c>
      <c r="J24">
        <v>1408</v>
      </c>
      <c r="K24">
        <v>3</v>
      </c>
      <c r="L24" t="s">
        <v>39</v>
      </c>
      <c r="M24">
        <v>31</v>
      </c>
      <c r="N24">
        <v>3</v>
      </c>
      <c r="O24">
        <v>4</v>
      </c>
      <c r="P24" t="s">
        <v>56</v>
      </c>
      <c r="Q24">
        <v>1</v>
      </c>
      <c r="R24" t="s">
        <v>48</v>
      </c>
      <c r="S24">
        <v>16799</v>
      </c>
      <c r="T24">
        <v>16616</v>
      </c>
      <c r="U24">
        <v>0</v>
      </c>
      <c r="V24" t="s">
        <v>42</v>
      </c>
      <c r="W24" t="s">
        <v>43</v>
      </c>
      <c r="X24">
        <v>14</v>
      </c>
      <c r="Y24">
        <v>3</v>
      </c>
      <c r="Z24">
        <v>3</v>
      </c>
      <c r="AA24">
        <v>80</v>
      </c>
      <c r="AB24">
        <v>1</v>
      </c>
      <c r="AC24">
        <v>21</v>
      </c>
      <c r="AD24">
        <v>5</v>
      </c>
      <c r="AE24">
        <v>3</v>
      </c>
      <c r="AF24">
        <v>20</v>
      </c>
      <c r="AG24">
        <v>7</v>
      </c>
      <c r="AH24">
        <v>0</v>
      </c>
      <c r="AI24">
        <v>9</v>
      </c>
    </row>
    <row r="25" spans="1:35" x14ac:dyDescent="0.3">
      <c r="A25">
        <v>56</v>
      </c>
      <c r="B25" t="s">
        <v>43</v>
      </c>
      <c r="C25" t="s">
        <v>36</v>
      </c>
      <c r="D25">
        <v>206</v>
      </c>
      <c r="E25" t="s">
        <v>61</v>
      </c>
      <c r="F25">
        <v>8</v>
      </c>
      <c r="G25">
        <v>4</v>
      </c>
      <c r="H25" t="s">
        <v>38</v>
      </c>
      <c r="I25">
        <v>1</v>
      </c>
      <c r="J25">
        <v>1338</v>
      </c>
      <c r="K25">
        <v>4</v>
      </c>
      <c r="L25" t="s">
        <v>46</v>
      </c>
      <c r="M25">
        <v>99</v>
      </c>
      <c r="N25">
        <v>3</v>
      </c>
      <c r="O25">
        <v>5</v>
      </c>
      <c r="P25" t="s">
        <v>56</v>
      </c>
      <c r="Q25">
        <v>2</v>
      </c>
      <c r="R25" t="s">
        <v>41</v>
      </c>
      <c r="S25">
        <v>19717</v>
      </c>
      <c r="T25">
        <v>4022</v>
      </c>
      <c r="U25">
        <v>6</v>
      </c>
      <c r="V25" t="s">
        <v>42</v>
      </c>
      <c r="W25" t="s">
        <v>43</v>
      </c>
      <c r="X25">
        <v>14</v>
      </c>
      <c r="Y25">
        <v>3</v>
      </c>
      <c r="Z25">
        <v>1</v>
      </c>
      <c r="AA25">
        <v>80</v>
      </c>
      <c r="AB25">
        <v>0</v>
      </c>
      <c r="AC25">
        <v>36</v>
      </c>
      <c r="AD25">
        <v>4</v>
      </c>
      <c r="AE25">
        <v>3</v>
      </c>
      <c r="AF25">
        <v>7</v>
      </c>
      <c r="AG25">
        <v>3</v>
      </c>
      <c r="AH25">
        <v>7</v>
      </c>
      <c r="AI25">
        <v>7</v>
      </c>
    </row>
    <row r="26" spans="1:35" x14ac:dyDescent="0.3">
      <c r="A26">
        <v>46</v>
      </c>
      <c r="B26" t="s">
        <v>43</v>
      </c>
      <c r="C26" t="s">
        <v>36</v>
      </c>
      <c r="D26">
        <v>991</v>
      </c>
      <c r="E26" t="s">
        <v>61</v>
      </c>
      <c r="F26">
        <v>1</v>
      </c>
      <c r="G26">
        <v>2</v>
      </c>
      <c r="H26" t="s">
        <v>38</v>
      </c>
      <c r="I26">
        <v>1</v>
      </c>
      <c r="J26">
        <v>1314</v>
      </c>
      <c r="K26">
        <v>4</v>
      </c>
      <c r="L26" t="s">
        <v>39</v>
      </c>
      <c r="M26">
        <v>44</v>
      </c>
      <c r="N26">
        <v>3</v>
      </c>
      <c r="O26">
        <v>1</v>
      </c>
      <c r="P26" t="s">
        <v>61</v>
      </c>
      <c r="Q26">
        <v>1</v>
      </c>
      <c r="R26" t="s">
        <v>41</v>
      </c>
      <c r="S26">
        <v>3423</v>
      </c>
      <c r="T26">
        <v>22957</v>
      </c>
      <c r="U26">
        <v>6</v>
      </c>
      <c r="V26" t="s">
        <v>42</v>
      </c>
      <c r="W26" t="s">
        <v>43</v>
      </c>
      <c r="X26">
        <v>12</v>
      </c>
      <c r="Y26">
        <v>3</v>
      </c>
      <c r="Z26">
        <v>3</v>
      </c>
      <c r="AA26">
        <v>80</v>
      </c>
      <c r="AB26">
        <v>0</v>
      </c>
      <c r="AC26">
        <v>10</v>
      </c>
      <c r="AD26">
        <v>3</v>
      </c>
      <c r="AE26">
        <v>4</v>
      </c>
      <c r="AF26">
        <v>7</v>
      </c>
      <c r="AG26">
        <v>6</v>
      </c>
      <c r="AH26">
        <v>5</v>
      </c>
      <c r="AI26">
        <v>7</v>
      </c>
    </row>
    <row r="27" spans="1:35" x14ac:dyDescent="0.3">
      <c r="A27">
        <v>34</v>
      </c>
      <c r="B27" t="s">
        <v>43</v>
      </c>
      <c r="C27" t="s">
        <v>44</v>
      </c>
      <c r="D27">
        <v>648</v>
      </c>
      <c r="E27" t="s">
        <v>61</v>
      </c>
      <c r="F27">
        <v>11</v>
      </c>
      <c r="G27">
        <v>3</v>
      </c>
      <c r="H27" t="s">
        <v>38</v>
      </c>
      <c r="I27">
        <v>1</v>
      </c>
      <c r="J27">
        <v>1289</v>
      </c>
      <c r="K27">
        <v>3</v>
      </c>
      <c r="L27" t="s">
        <v>46</v>
      </c>
      <c r="M27">
        <v>56</v>
      </c>
      <c r="N27">
        <v>2</v>
      </c>
      <c r="O27">
        <v>2</v>
      </c>
      <c r="P27" t="s">
        <v>61</v>
      </c>
      <c r="Q27">
        <v>2</v>
      </c>
      <c r="R27" t="s">
        <v>48</v>
      </c>
      <c r="S27">
        <v>4490</v>
      </c>
      <c r="T27">
        <v>21833</v>
      </c>
      <c r="U27">
        <v>4</v>
      </c>
      <c r="V27" t="s">
        <v>42</v>
      </c>
      <c r="W27" t="s">
        <v>43</v>
      </c>
      <c r="X27">
        <v>11</v>
      </c>
      <c r="Y27">
        <v>3</v>
      </c>
      <c r="Z27">
        <v>4</v>
      </c>
      <c r="AA27">
        <v>80</v>
      </c>
      <c r="AB27">
        <v>2</v>
      </c>
      <c r="AC27">
        <v>14</v>
      </c>
      <c r="AD27">
        <v>5</v>
      </c>
      <c r="AE27">
        <v>4</v>
      </c>
      <c r="AF27">
        <v>10</v>
      </c>
      <c r="AG27">
        <v>9</v>
      </c>
      <c r="AH27">
        <v>1</v>
      </c>
      <c r="AI27">
        <v>8</v>
      </c>
    </row>
    <row r="28" spans="1:35" x14ac:dyDescent="0.3">
      <c r="A28">
        <v>42</v>
      </c>
      <c r="B28" t="s">
        <v>43</v>
      </c>
      <c r="C28" t="s">
        <v>55</v>
      </c>
      <c r="D28">
        <v>179</v>
      </c>
      <c r="E28" t="s">
        <v>61</v>
      </c>
      <c r="F28">
        <v>2</v>
      </c>
      <c r="G28">
        <v>5</v>
      </c>
      <c r="H28" t="s">
        <v>51</v>
      </c>
      <c r="I28">
        <v>1</v>
      </c>
      <c r="J28">
        <v>1231</v>
      </c>
      <c r="K28">
        <v>4</v>
      </c>
      <c r="L28" t="s">
        <v>46</v>
      </c>
      <c r="M28">
        <v>79</v>
      </c>
      <c r="N28">
        <v>4</v>
      </c>
      <c r="O28">
        <v>2</v>
      </c>
      <c r="P28" t="s">
        <v>61</v>
      </c>
      <c r="Q28">
        <v>1</v>
      </c>
      <c r="R28" t="s">
        <v>48</v>
      </c>
      <c r="S28">
        <v>6272</v>
      </c>
      <c r="T28">
        <v>12858</v>
      </c>
      <c r="U28">
        <v>7</v>
      </c>
      <c r="V28" t="s">
        <v>42</v>
      </c>
      <c r="W28" t="s">
        <v>43</v>
      </c>
      <c r="X28">
        <v>16</v>
      </c>
      <c r="Y28">
        <v>3</v>
      </c>
      <c r="Z28">
        <v>1</v>
      </c>
      <c r="AA28">
        <v>80</v>
      </c>
      <c r="AB28">
        <v>1</v>
      </c>
      <c r="AC28">
        <v>10</v>
      </c>
      <c r="AD28">
        <v>3</v>
      </c>
      <c r="AE28">
        <v>4</v>
      </c>
      <c r="AF28">
        <v>4</v>
      </c>
      <c r="AG28">
        <v>3</v>
      </c>
      <c r="AH28">
        <v>0</v>
      </c>
      <c r="AI28">
        <v>3</v>
      </c>
    </row>
    <row r="29" spans="1:35" x14ac:dyDescent="0.3">
      <c r="A29">
        <v>33</v>
      </c>
      <c r="B29" t="s">
        <v>43</v>
      </c>
      <c r="C29" t="s">
        <v>36</v>
      </c>
      <c r="D29">
        <v>147</v>
      </c>
      <c r="E29" t="s">
        <v>61</v>
      </c>
      <c r="F29">
        <v>2</v>
      </c>
      <c r="G29">
        <v>3</v>
      </c>
      <c r="H29" t="s">
        <v>61</v>
      </c>
      <c r="I29">
        <v>1</v>
      </c>
      <c r="J29">
        <v>1207</v>
      </c>
      <c r="K29">
        <v>2</v>
      </c>
      <c r="L29" t="s">
        <v>46</v>
      </c>
      <c r="M29">
        <v>99</v>
      </c>
      <c r="N29">
        <v>3</v>
      </c>
      <c r="O29">
        <v>1</v>
      </c>
      <c r="P29" t="s">
        <v>61</v>
      </c>
      <c r="Q29">
        <v>3</v>
      </c>
      <c r="R29" t="s">
        <v>48</v>
      </c>
      <c r="S29">
        <v>3600</v>
      </c>
      <c r="T29">
        <v>8429</v>
      </c>
      <c r="U29">
        <v>1</v>
      </c>
      <c r="V29" t="s">
        <v>42</v>
      </c>
      <c r="W29" t="s">
        <v>43</v>
      </c>
      <c r="X29">
        <v>13</v>
      </c>
      <c r="Y29">
        <v>3</v>
      </c>
      <c r="Z29">
        <v>4</v>
      </c>
      <c r="AA29">
        <v>80</v>
      </c>
      <c r="AB29">
        <v>1</v>
      </c>
      <c r="AC29">
        <v>5</v>
      </c>
      <c r="AD29">
        <v>2</v>
      </c>
      <c r="AE29">
        <v>3</v>
      </c>
      <c r="AF29">
        <v>5</v>
      </c>
      <c r="AG29">
        <v>4</v>
      </c>
      <c r="AH29">
        <v>1</v>
      </c>
      <c r="AI29">
        <v>4</v>
      </c>
    </row>
    <row r="30" spans="1:35" x14ac:dyDescent="0.3">
      <c r="A30">
        <v>35</v>
      </c>
      <c r="B30" t="s">
        <v>43</v>
      </c>
      <c r="C30" t="s">
        <v>36</v>
      </c>
      <c r="D30">
        <v>528</v>
      </c>
      <c r="E30" t="s">
        <v>61</v>
      </c>
      <c r="F30">
        <v>8</v>
      </c>
      <c r="G30">
        <v>4</v>
      </c>
      <c r="H30" t="s">
        <v>60</v>
      </c>
      <c r="I30">
        <v>1</v>
      </c>
      <c r="J30">
        <v>1164</v>
      </c>
      <c r="K30">
        <v>3</v>
      </c>
      <c r="L30" t="s">
        <v>46</v>
      </c>
      <c r="M30">
        <v>100</v>
      </c>
      <c r="N30">
        <v>3</v>
      </c>
      <c r="O30">
        <v>1</v>
      </c>
      <c r="P30" t="s">
        <v>61</v>
      </c>
      <c r="Q30">
        <v>3</v>
      </c>
      <c r="R30" t="s">
        <v>41</v>
      </c>
      <c r="S30">
        <v>4323</v>
      </c>
      <c r="T30">
        <v>7108</v>
      </c>
      <c r="U30">
        <v>1</v>
      </c>
      <c r="V30" t="s">
        <v>42</v>
      </c>
      <c r="W30" t="s">
        <v>43</v>
      </c>
      <c r="X30">
        <v>17</v>
      </c>
      <c r="Y30">
        <v>3</v>
      </c>
      <c r="Z30">
        <v>2</v>
      </c>
      <c r="AA30">
        <v>80</v>
      </c>
      <c r="AB30">
        <v>0</v>
      </c>
      <c r="AC30">
        <v>6</v>
      </c>
      <c r="AD30">
        <v>2</v>
      </c>
      <c r="AE30">
        <v>1</v>
      </c>
      <c r="AF30">
        <v>5</v>
      </c>
      <c r="AG30">
        <v>4</v>
      </c>
      <c r="AH30">
        <v>1</v>
      </c>
      <c r="AI30">
        <v>4</v>
      </c>
    </row>
    <row r="31" spans="1:35" x14ac:dyDescent="0.3">
      <c r="A31">
        <v>38</v>
      </c>
      <c r="B31" t="s">
        <v>43</v>
      </c>
      <c r="C31" t="s">
        <v>36</v>
      </c>
      <c r="D31">
        <v>433</v>
      </c>
      <c r="E31" t="s">
        <v>61</v>
      </c>
      <c r="F31">
        <v>1</v>
      </c>
      <c r="G31">
        <v>3</v>
      </c>
      <c r="H31" t="s">
        <v>61</v>
      </c>
      <c r="I31">
        <v>1</v>
      </c>
      <c r="J31">
        <v>1152</v>
      </c>
      <c r="K31">
        <v>3</v>
      </c>
      <c r="L31" t="s">
        <v>46</v>
      </c>
      <c r="M31">
        <v>37</v>
      </c>
      <c r="N31">
        <v>4</v>
      </c>
      <c r="O31">
        <v>1</v>
      </c>
      <c r="P31" t="s">
        <v>61</v>
      </c>
      <c r="Q31">
        <v>3</v>
      </c>
      <c r="R31" t="s">
        <v>48</v>
      </c>
      <c r="S31">
        <v>2844</v>
      </c>
      <c r="T31">
        <v>6004</v>
      </c>
      <c r="U31">
        <v>1</v>
      </c>
      <c r="V31" t="s">
        <v>42</v>
      </c>
      <c r="W31" t="s">
        <v>43</v>
      </c>
      <c r="X31">
        <v>13</v>
      </c>
      <c r="Y31">
        <v>3</v>
      </c>
      <c r="Z31">
        <v>4</v>
      </c>
      <c r="AA31">
        <v>80</v>
      </c>
      <c r="AB31">
        <v>1</v>
      </c>
      <c r="AC31">
        <v>7</v>
      </c>
      <c r="AD31">
        <v>2</v>
      </c>
      <c r="AE31">
        <v>4</v>
      </c>
      <c r="AF31">
        <v>7</v>
      </c>
      <c r="AG31">
        <v>6</v>
      </c>
      <c r="AH31">
        <v>5</v>
      </c>
      <c r="AI31">
        <v>0</v>
      </c>
    </row>
    <row r="32" spans="1:35" x14ac:dyDescent="0.3">
      <c r="A32">
        <v>44</v>
      </c>
      <c r="B32" t="s">
        <v>35</v>
      </c>
      <c r="C32" t="s">
        <v>36</v>
      </c>
      <c r="D32">
        <v>1376</v>
      </c>
      <c r="E32" t="s">
        <v>61</v>
      </c>
      <c r="F32">
        <v>1</v>
      </c>
      <c r="G32">
        <v>2</v>
      </c>
      <c r="H32" t="s">
        <v>51</v>
      </c>
      <c r="I32">
        <v>1</v>
      </c>
      <c r="J32">
        <v>1098</v>
      </c>
      <c r="K32">
        <v>2</v>
      </c>
      <c r="L32" t="s">
        <v>46</v>
      </c>
      <c r="M32">
        <v>91</v>
      </c>
      <c r="N32">
        <v>2</v>
      </c>
      <c r="O32">
        <v>3</v>
      </c>
      <c r="P32" t="s">
        <v>61</v>
      </c>
      <c r="Q32">
        <v>1</v>
      </c>
      <c r="R32" t="s">
        <v>48</v>
      </c>
      <c r="S32">
        <v>10482</v>
      </c>
      <c r="T32">
        <v>2326</v>
      </c>
      <c r="U32">
        <v>9</v>
      </c>
      <c r="V32" t="s">
        <v>42</v>
      </c>
      <c r="W32" t="s">
        <v>43</v>
      </c>
      <c r="X32">
        <v>14</v>
      </c>
      <c r="Y32">
        <v>3</v>
      </c>
      <c r="Z32">
        <v>4</v>
      </c>
      <c r="AA32">
        <v>80</v>
      </c>
      <c r="AB32">
        <v>1</v>
      </c>
      <c r="AC32">
        <v>24</v>
      </c>
      <c r="AD32">
        <v>1</v>
      </c>
      <c r="AE32">
        <v>3</v>
      </c>
      <c r="AF32">
        <v>20</v>
      </c>
      <c r="AG32">
        <v>6</v>
      </c>
      <c r="AH32">
        <v>3</v>
      </c>
      <c r="AI32">
        <v>6</v>
      </c>
    </row>
    <row r="33" spans="1:35" x14ac:dyDescent="0.3">
      <c r="A33">
        <v>45</v>
      </c>
      <c r="B33" t="s">
        <v>43</v>
      </c>
      <c r="C33" t="s">
        <v>36</v>
      </c>
      <c r="D33">
        <v>788</v>
      </c>
      <c r="E33" t="s">
        <v>61</v>
      </c>
      <c r="F33">
        <v>24</v>
      </c>
      <c r="G33">
        <v>4</v>
      </c>
      <c r="H33" t="s">
        <v>51</v>
      </c>
      <c r="I33">
        <v>1</v>
      </c>
      <c r="J33">
        <v>1049</v>
      </c>
      <c r="K33">
        <v>2</v>
      </c>
      <c r="L33" t="s">
        <v>46</v>
      </c>
      <c r="M33">
        <v>36</v>
      </c>
      <c r="N33">
        <v>3</v>
      </c>
      <c r="O33">
        <v>1</v>
      </c>
      <c r="P33" t="s">
        <v>61</v>
      </c>
      <c r="Q33">
        <v>2</v>
      </c>
      <c r="R33" t="s">
        <v>41</v>
      </c>
      <c r="S33">
        <v>2177</v>
      </c>
      <c r="T33">
        <v>8318</v>
      </c>
      <c r="U33">
        <v>1</v>
      </c>
      <c r="V33" t="s">
        <v>42</v>
      </c>
      <c r="W33" t="s">
        <v>43</v>
      </c>
      <c r="X33">
        <v>16</v>
      </c>
      <c r="Y33">
        <v>3</v>
      </c>
      <c r="Z33">
        <v>1</v>
      </c>
      <c r="AA33">
        <v>80</v>
      </c>
      <c r="AB33">
        <v>0</v>
      </c>
      <c r="AC33">
        <v>6</v>
      </c>
      <c r="AD33">
        <v>3</v>
      </c>
      <c r="AE33">
        <v>3</v>
      </c>
      <c r="AF33">
        <v>6</v>
      </c>
      <c r="AG33">
        <v>3</v>
      </c>
      <c r="AH33">
        <v>0</v>
      </c>
      <c r="AI33">
        <v>4</v>
      </c>
    </row>
    <row r="34" spans="1:35" x14ac:dyDescent="0.3">
      <c r="A34">
        <v>39</v>
      </c>
      <c r="B34" t="s">
        <v>43</v>
      </c>
      <c r="C34" t="s">
        <v>36</v>
      </c>
      <c r="D34">
        <v>1383</v>
      </c>
      <c r="E34" t="s">
        <v>61</v>
      </c>
      <c r="F34">
        <v>2</v>
      </c>
      <c r="G34">
        <v>3</v>
      </c>
      <c r="H34" t="s">
        <v>38</v>
      </c>
      <c r="I34">
        <v>1</v>
      </c>
      <c r="J34">
        <v>909</v>
      </c>
      <c r="K34">
        <v>4</v>
      </c>
      <c r="L34" t="s">
        <v>39</v>
      </c>
      <c r="M34">
        <v>42</v>
      </c>
      <c r="N34">
        <v>2</v>
      </c>
      <c r="O34">
        <v>2</v>
      </c>
      <c r="P34" t="s">
        <v>61</v>
      </c>
      <c r="Q34">
        <v>4</v>
      </c>
      <c r="R34" t="s">
        <v>48</v>
      </c>
      <c r="S34">
        <v>5204</v>
      </c>
      <c r="T34">
        <v>7790</v>
      </c>
      <c r="U34">
        <v>8</v>
      </c>
      <c r="V34" t="s">
        <v>42</v>
      </c>
      <c r="W34" t="s">
        <v>43</v>
      </c>
      <c r="X34">
        <v>11</v>
      </c>
      <c r="Y34">
        <v>3</v>
      </c>
      <c r="Z34">
        <v>3</v>
      </c>
      <c r="AA34">
        <v>80</v>
      </c>
      <c r="AB34">
        <v>2</v>
      </c>
      <c r="AC34">
        <v>13</v>
      </c>
      <c r="AD34">
        <v>2</v>
      </c>
      <c r="AE34">
        <v>3</v>
      </c>
      <c r="AF34">
        <v>5</v>
      </c>
      <c r="AG34">
        <v>4</v>
      </c>
      <c r="AH34">
        <v>0</v>
      </c>
      <c r="AI34">
        <v>4</v>
      </c>
    </row>
    <row r="35" spans="1:35" x14ac:dyDescent="0.3">
      <c r="A35">
        <v>36</v>
      </c>
      <c r="B35" t="s">
        <v>43</v>
      </c>
      <c r="C35" t="s">
        <v>36</v>
      </c>
      <c r="D35">
        <v>1278</v>
      </c>
      <c r="E35" t="s">
        <v>61</v>
      </c>
      <c r="F35">
        <v>8</v>
      </c>
      <c r="G35">
        <v>3</v>
      </c>
      <c r="H35" t="s">
        <v>38</v>
      </c>
      <c r="I35">
        <v>1</v>
      </c>
      <c r="J35">
        <v>878</v>
      </c>
      <c r="K35">
        <v>1</v>
      </c>
      <c r="L35" t="s">
        <v>46</v>
      </c>
      <c r="M35">
        <v>77</v>
      </c>
      <c r="N35">
        <v>2</v>
      </c>
      <c r="O35">
        <v>1</v>
      </c>
      <c r="P35" t="s">
        <v>61</v>
      </c>
      <c r="Q35">
        <v>1</v>
      </c>
      <c r="R35" t="s">
        <v>48</v>
      </c>
      <c r="S35">
        <v>2342</v>
      </c>
      <c r="T35">
        <v>8635</v>
      </c>
      <c r="U35">
        <v>0</v>
      </c>
      <c r="V35" t="s">
        <v>42</v>
      </c>
      <c r="W35" t="s">
        <v>43</v>
      </c>
      <c r="X35">
        <v>21</v>
      </c>
      <c r="Y35">
        <v>4</v>
      </c>
      <c r="Z35">
        <v>3</v>
      </c>
      <c r="AA35">
        <v>80</v>
      </c>
      <c r="AB35">
        <v>0</v>
      </c>
      <c r="AC35">
        <v>6</v>
      </c>
      <c r="AD35">
        <v>3</v>
      </c>
      <c r="AE35">
        <v>3</v>
      </c>
      <c r="AF35">
        <v>5</v>
      </c>
      <c r="AG35">
        <v>4</v>
      </c>
      <c r="AH35">
        <v>0</v>
      </c>
      <c r="AI35">
        <v>3</v>
      </c>
    </row>
    <row r="36" spans="1:35" x14ac:dyDescent="0.3">
      <c r="A36">
        <v>28</v>
      </c>
      <c r="B36" t="s">
        <v>43</v>
      </c>
      <c r="C36" t="s">
        <v>36</v>
      </c>
      <c r="D36">
        <v>1169</v>
      </c>
      <c r="E36" t="s">
        <v>61</v>
      </c>
      <c r="F36">
        <v>8</v>
      </c>
      <c r="G36">
        <v>2</v>
      </c>
      <c r="H36" t="s">
        <v>51</v>
      </c>
      <c r="I36">
        <v>1</v>
      </c>
      <c r="J36">
        <v>869</v>
      </c>
      <c r="K36">
        <v>2</v>
      </c>
      <c r="L36" t="s">
        <v>46</v>
      </c>
      <c r="M36">
        <v>63</v>
      </c>
      <c r="N36">
        <v>2</v>
      </c>
      <c r="O36">
        <v>1</v>
      </c>
      <c r="P36" t="s">
        <v>61</v>
      </c>
      <c r="Q36">
        <v>4</v>
      </c>
      <c r="R36" t="s">
        <v>52</v>
      </c>
      <c r="S36">
        <v>4936</v>
      </c>
      <c r="T36">
        <v>23965</v>
      </c>
      <c r="U36">
        <v>1</v>
      </c>
      <c r="V36" t="s">
        <v>42</v>
      </c>
      <c r="W36" t="s">
        <v>43</v>
      </c>
      <c r="X36">
        <v>13</v>
      </c>
      <c r="Y36">
        <v>3</v>
      </c>
      <c r="Z36">
        <v>4</v>
      </c>
      <c r="AA36">
        <v>80</v>
      </c>
      <c r="AB36">
        <v>1</v>
      </c>
      <c r="AC36">
        <v>6</v>
      </c>
      <c r="AD36">
        <v>6</v>
      </c>
      <c r="AE36">
        <v>3</v>
      </c>
      <c r="AF36">
        <v>5</v>
      </c>
      <c r="AG36">
        <v>1</v>
      </c>
      <c r="AH36">
        <v>0</v>
      </c>
      <c r="AI36">
        <v>4</v>
      </c>
    </row>
    <row r="37" spans="1:35" x14ac:dyDescent="0.3">
      <c r="A37">
        <v>34</v>
      </c>
      <c r="B37" t="s">
        <v>43</v>
      </c>
      <c r="C37" t="s">
        <v>36</v>
      </c>
      <c r="D37">
        <v>829</v>
      </c>
      <c r="E37" t="s">
        <v>61</v>
      </c>
      <c r="F37">
        <v>3</v>
      </c>
      <c r="G37">
        <v>2</v>
      </c>
      <c r="H37" t="s">
        <v>61</v>
      </c>
      <c r="I37">
        <v>1</v>
      </c>
      <c r="J37">
        <v>847</v>
      </c>
      <c r="K37">
        <v>3</v>
      </c>
      <c r="L37" t="s">
        <v>46</v>
      </c>
      <c r="M37">
        <v>88</v>
      </c>
      <c r="N37">
        <v>3</v>
      </c>
      <c r="O37">
        <v>1</v>
      </c>
      <c r="P37" t="s">
        <v>61</v>
      </c>
      <c r="Q37">
        <v>4</v>
      </c>
      <c r="R37" t="s">
        <v>48</v>
      </c>
      <c r="S37">
        <v>3737</v>
      </c>
      <c r="T37">
        <v>2243</v>
      </c>
      <c r="U37">
        <v>0</v>
      </c>
      <c r="V37" t="s">
        <v>42</v>
      </c>
      <c r="W37" t="s">
        <v>43</v>
      </c>
      <c r="X37">
        <v>19</v>
      </c>
      <c r="Y37">
        <v>3</v>
      </c>
      <c r="Z37">
        <v>3</v>
      </c>
      <c r="AA37">
        <v>80</v>
      </c>
      <c r="AB37">
        <v>1</v>
      </c>
      <c r="AC37">
        <v>4</v>
      </c>
      <c r="AD37">
        <v>1</v>
      </c>
      <c r="AE37">
        <v>1</v>
      </c>
      <c r="AF37">
        <v>3</v>
      </c>
      <c r="AG37">
        <v>2</v>
      </c>
      <c r="AH37">
        <v>0</v>
      </c>
      <c r="AI37">
        <v>2</v>
      </c>
    </row>
    <row r="38" spans="1:35" x14ac:dyDescent="0.3">
      <c r="A38">
        <v>36</v>
      </c>
      <c r="B38" t="s">
        <v>43</v>
      </c>
      <c r="C38" t="s">
        <v>36</v>
      </c>
      <c r="D38">
        <v>1041</v>
      </c>
      <c r="E38" t="s">
        <v>61</v>
      </c>
      <c r="F38">
        <v>13</v>
      </c>
      <c r="G38">
        <v>3</v>
      </c>
      <c r="H38" t="s">
        <v>61</v>
      </c>
      <c r="I38">
        <v>1</v>
      </c>
      <c r="J38">
        <v>829</v>
      </c>
      <c r="K38">
        <v>3</v>
      </c>
      <c r="L38" t="s">
        <v>46</v>
      </c>
      <c r="M38">
        <v>36</v>
      </c>
      <c r="N38">
        <v>3</v>
      </c>
      <c r="O38">
        <v>1</v>
      </c>
      <c r="P38" t="s">
        <v>61</v>
      </c>
      <c r="Q38">
        <v>2</v>
      </c>
      <c r="R38" t="s">
        <v>48</v>
      </c>
      <c r="S38">
        <v>2143</v>
      </c>
      <c r="T38">
        <v>25527</v>
      </c>
      <c r="U38">
        <v>4</v>
      </c>
      <c r="V38" t="s">
        <v>42</v>
      </c>
      <c r="W38" t="s">
        <v>43</v>
      </c>
      <c r="X38">
        <v>13</v>
      </c>
      <c r="Y38">
        <v>3</v>
      </c>
      <c r="Z38">
        <v>2</v>
      </c>
      <c r="AA38">
        <v>80</v>
      </c>
      <c r="AB38">
        <v>1</v>
      </c>
      <c r="AC38">
        <v>8</v>
      </c>
      <c r="AD38">
        <v>2</v>
      </c>
      <c r="AE38">
        <v>3</v>
      </c>
      <c r="AF38">
        <v>5</v>
      </c>
      <c r="AG38">
        <v>2</v>
      </c>
      <c r="AH38">
        <v>0</v>
      </c>
      <c r="AI38">
        <v>4</v>
      </c>
    </row>
    <row r="39" spans="1:35" x14ac:dyDescent="0.3">
      <c r="A39">
        <v>39</v>
      </c>
      <c r="B39" t="s">
        <v>43</v>
      </c>
      <c r="C39" t="s">
        <v>36</v>
      </c>
      <c r="D39">
        <v>141</v>
      </c>
      <c r="E39" t="s">
        <v>61</v>
      </c>
      <c r="F39">
        <v>3</v>
      </c>
      <c r="G39">
        <v>3</v>
      </c>
      <c r="H39" t="s">
        <v>61</v>
      </c>
      <c r="I39">
        <v>1</v>
      </c>
      <c r="J39">
        <v>760</v>
      </c>
      <c r="K39">
        <v>3</v>
      </c>
      <c r="L39" t="s">
        <v>39</v>
      </c>
      <c r="M39">
        <v>44</v>
      </c>
      <c r="N39">
        <v>4</v>
      </c>
      <c r="O39">
        <v>2</v>
      </c>
      <c r="P39" t="s">
        <v>61</v>
      </c>
      <c r="Q39">
        <v>2</v>
      </c>
      <c r="R39" t="s">
        <v>48</v>
      </c>
      <c r="S39">
        <v>6389</v>
      </c>
      <c r="T39">
        <v>18767</v>
      </c>
      <c r="U39">
        <v>9</v>
      </c>
      <c r="V39" t="s">
        <v>42</v>
      </c>
      <c r="W39" t="s">
        <v>43</v>
      </c>
      <c r="X39">
        <v>15</v>
      </c>
      <c r="Y39">
        <v>3</v>
      </c>
      <c r="Z39">
        <v>3</v>
      </c>
      <c r="AA39">
        <v>80</v>
      </c>
      <c r="AB39">
        <v>1</v>
      </c>
      <c r="AC39">
        <v>12</v>
      </c>
      <c r="AD39">
        <v>3</v>
      </c>
      <c r="AE39">
        <v>1</v>
      </c>
      <c r="AF39">
        <v>8</v>
      </c>
      <c r="AG39">
        <v>3</v>
      </c>
      <c r="AH39">
        <v>3</v>
      </c>
      <c r="AI39">
        <v>6</v>
      </c>
    </row>
    <row r="40" spans="1:35" x14ac:dyDescent="0.3">
      <c r="A40">
        <v>41</v>
      </c>
      <c r="B40" t="s">
        <v>43</v>
      </c>
      <c r="C40" t="s">
        <v>36</v>
      </c>
      <c r="D40">
        <v>314</v>
      </c>
      <c r="E40" t="s">
        <v>61</v>
      </c>
      <c r="F40">
        <v>1</v>
      </c>
      <c r="G40">
        <v>3</v>
      </c>
      <c r="H40" t="s">
        <v>61</v>
      </c>
      <c r="I40">
        <v>1</v>
      </c>
      <c r="J40">
        <v>734</v>
      </c>
      <c r="K40">
        <v>4</v>
      </c>
      <c r="L40" t="s">
        <v>46</v>
      </c>
      <c r="M40">
        <v>59</v>
      </c>
      <c r="N40">
        <v>2</v>
      </c>
      <c r="O40">
        <v>5</v>
      </c>
      <c r="P40" t="s">
        <v>56</v>
      </c>
      <c r="Q40">
        <v>3</v>
      </c>
      <c r="R40" t="s">
        <v>48</v>
      </c>
      <c r="S40">
        <v>19189</v>
      </c>
      <c r="T40">
        <v>19562</v>
      </c>
      <c r="U40">
        <v>1</v>
      </c>
      <c r="V40" t="s">
        <v>42</v>
      </c>
      <c r="W40" t="s">
        <v>43</v>
      </c>
      <c r="X40">
        <v>12</v>
      </c>
      <c r="Y40">
        <v>3</v>
      </c>
      <c r="Z40">
        <v>2</v>
      </c>
      <c r="AA40">
        <v>80</v>
      </c>
      <c r="AB40">
        <v>1</v>
      </c>
      <c r="AC40">
        <v>22</v>
      </c>
      <c r="AD40">
        <v>3</v>
      </c>
      <c r="AE40">
        <v>3</v>
      </c>
      <c r="AF40">
        <v>22</v>
      </c>
      <c r="AG40">
        <v>7</v>
      </c>
      <c r="AH40">
        <v>2</v>
      </c>
      <c r="AI40">
        <v>10</v>
      </c>
    </row>
    <row r="41" spans="1:35" x14ac:dyDescent="0.3">
      <c r="A41">
        <v>41</v>
      </c>
      <c r="B41" t="s">
        <v>43</v>
      </c>
      <c r="C41" t="s">
        <v>36</v>
      </c>
      <c r="D41">
        <v>427</v>
      </c>
      <c r="E41" t="s">
        <v>61</v>
      </c>
      <c r="F41">
        <v>10</v>
      </c>
      <c r="G41">
        <v>4</v>
      </c>
      <c r="H41" t="s">
        <v>61</v>
      </c>
      <c r="I41">
        <v>1</v>
      </c>
      <c r="J41">
        <v>731</v>
      </c>
      <c r="K41">
        <v>2</v>
      </c>
      <c r="L41" t="s">
        <v>46</v>
      </c>
      <c r="M41">
        <v>73</v>
      </c>
      <c r="N41">
        <v>2</v>
      </c>
      <c r="O41">
        <v>5</v>
      </c>
      <c r="P41" t="s">
        <v>56</v>
      </c>
      <c r="Q41">
        <v>4</v>
      </c>
      <c r="R41" t="s">
        <v>52</v>
      </c>
      <c r="S41">
        <v>19141</v>
      </c>
      <c r="T41">
        <v>8861</v>
      </c>
      <c r="U41">
        <v>3</v>
      </c>
      <c r="V41" t="s">
        <v>42</v>
      </c>
      <c r="W41" t="s">
        <v>43</v>
      </c>
      <c r="X41">
        <v>15</v>
      </c>
      <c r="Y41">
        <v>3</v>
      </c>
      <c r="Z41">
        <v>2</v>
      </c>
      <c r="AA41">
        <v>80</v>
      </c>
      <c r="AB41">
        <v>3</v>
      </c>
      <c r="AC41">
        <v>23</v>
      </c>
      <c r="AD41">
        <v>2</v>
      </c>
      <c r="AE41">
        <v>2</v>
      </c>
      <c r="AF41">
        <v>21</v>
      </c>
      <c r="AG41">
        <v>6</v>
      </c>
      <c r="AH41">
        <v>12</v>
      </c>
      <c r="AI41">
        <v>6</v>
      </c>
    </row>
    <row r="42" spans="1:35" x14ac:dyDescent="0.3">
      <c r="A42">
        <v>54</v>
      </c>
      <c r="B42" t="s">
        <v>43</v>
      </c>
      <c r="C42" t="s">
        <v>36</v>
      </c>
      <c r="D42">
        <v>397</v>
      </c>
      <c r="E42" t="s">
        <v>61</v>
      </c>
      <c r="F42">
        <v>19</v>
      </c>
      <c r="G42">
        <v>4</v>
      </c>
      <c r="H42" t="s">
        <v>51</v>
      </c>
      <c r="I42">
        <v>1</v>
      </c>
      <c r="J42">
        <v>698</v>
      </c>
      <c r="K42">
        <v>3</v>
      </c>
      <c r="L42" t="s">
        <v>46</v>
      </c>
      <c r="M42">
        <v>88</v>
      </c>
      <c r="N42">
        <v>3</v>
      </c>
      <c r="O42">
        <v>3</v>
      </c>
      <c r="P42" t="s">
        <v>61</v>
      </c>
      <c r="Q42">
        <v>2</v>
      </c>
      <c r="R42" t="s">
        <v>48</v>
      </c>
      <c r="S42">
        <v>10725</v>
      </c>
      <c r="T42">
        <v>6729</v>
      </c>
      <c r="U42">
        <v>2</v>
      </c>
      <c r="V42" t="s">
        <v>42</v>
      </c>
      <c r="W42" t="s">
        <v>43</v>
      </c>
      <c r="X42">
        <v>15</v>
      </c>
      <c r="Y42">
        <v>3</v>
      </c>
      <c r="Z42">
        <v>3</v>
      </c>
      <c r="AA42">
        <v>80</v>
      </c>
      <c r="AB42">
        <v>1</v>
      </c>
      <c r="AC42">
        <v>16</v>
      </c>
      <c r="AD42">
        <v>1</v>
      </c>
      <c r="AE42">
        <v>4</v>
      </c>
      <c r="AF42">
        <v>9</v>
      </c>
      <c r="AG42">
        <v>7</v>
      </c>
      <c r="AH42">
        <v>7</v>
      </c>
      <c r="AI42">
        <v>1</v>
      </c>
    </row>
    <row r="43" spans="1:35" x14ac:dyDescent="0.3">
      <c r="A43">
        <v>44</v>
      </c>
      <c r="B43" t="s">
        <v>43</v>
      </c>
      <c r="C43" t="s">
        <v>36</v>
      </c>
      <c r="D43">
        <v>1112</v>
      </c>
      <c r="E43" t="s">
        <v>61</v>
      </c>
      <c r="F43">
        <v>1</v>
      </c>
      <c r="G43">
        <v>4</v>
      </c>
      <c r="H43" t="s">
        <v>38</v>
      </c>
      <c r="I43">
        <v>1</v>
      </c>
      <c r="J43">
        <v>665</v>
      </c>
      <c r="K43">
        <v>1</v>
      </c>
      <c r="L43" t="s">
        <v>39</v>
      </c>
      <c r="M43">
        <v>50</v>
      </c>
      <c r="N43">
        <v>2</v>
      </c>
      <c r="O43">
        <v>2</v>
      </c>
      <c r="P43" t="s">
        <v>61</v>
      </c>
      <c r="Q43">
        <v>3</v>
      </c>
      <c r="R43" t="s">
        <v>41</v>
      </c>
      <c r="S43">
        <v>5985</v>
      </c>
      <c r="T43">
        <v>26894</v>
      </c>
      <c r="U43">
        <v>4</v>
      </c>
      <c r="V43" t="s">
        <v>42</v>
      </c>
      <c r="W43" t="s">
        <v>43</v>
      </c>
      <c r="X43">
        <v>11</v>
      </c>
      <c r="Y43">
        <v>3</v>
      </c>
      <c r="Z43">
        <v>2</v>
      </c>
      <c r="AA43">
        <v>80</v>
      </c>
      <c r="AB43">
        <v>0</v>
      </c>
      <c r="AC43">
        <v>10</v>
      </c>
      <c r="AD43">
        <v>1</v>
      </c>
      <c r="AE43">
        <v>4</v>
      </c>
      <c r="AF43">
        <v>2</v>
      </c>
      <c r="AG43">
        <v>2</v>
      </c>
      <c r="AH43">
        <v>0</v>
      </c>
      <c r="AI43">
        <v>2</v>
      </c>
    </row>
    <row r="44" spans="1:35" x14ac:dyDescent="0.3">
      <c r="A44">
        <v>50</v>
      </c>
      <c r="B44" t="s">
        <v>43</v>
      </c>
      <c r="C44" t="s">
        <v>44</v>
      </c>
      <c r="D44">
        <v>1246</v>
      </c>
      <c r="E44" t="s">
        <v>61</v>
      </c>
      <c r="F44">
        <v>3</v>
      </c>
      <c r="G44">
        <v>3</v>
      </c>
      <c r="H44" t="s">
        <v>51</v>
      </c>
      <c r="I44">
        <v>1</v>
      </c>
      <c r="J44">
        <v>644</v>
      </c>
      <c r="K44">
        <v>1</v>
      </c>
      <c r="L44" t="s">
        <v>46</v>
      </c>
      <c r="M44">
        <v>99</v>
      </c>
      <c r="N44">
        <v>3</v>
      </c>
      <c r="O44">
        <v>5</v>
      </c>
      <c r="P44" t="s">
        <v>56</v>
      </c>
      <c r="Q44">
        <v>2</v>
      </c>
      <c r="R44" t="s">
        <v>48</v>
      </c>
      <c r="S44">
        <v>18200</v>
      </c>
      <c r="T44">
        <v>7999</v>
      </c>
      <c r="U44">
        <v>1</v>
      </c>
      <c r="V44" t="s">
        <v>42</v>
      </c>
      <c r="W44" t="s">
        <v>43</v>
      </c>
      <c r="X44">
        <v>11</v>
      </c>
      <c r="Y44">
        <v>3</v>
      </c>
      <c r="Z44">
        <v>3</v>
      </c>
      <c r="AA44">
        <v>80</v>
      </c>
      <c r="AB44">
        <v>1</v>
      </c>
      <c r="AC44">
        <v>32</v>
      </c>
      <c r="AD44">
        <v>2</v>
      </c>
      <c r="AE44">
        <v>3</v>
      </c>
      <c r="AF44">
        <v>32</v>
      </c>
      <c r="AG44">
        <v>5</v>
      </c>
      <c r="AH44">
        <v>10</v>
      </c>
      <c r="AI44">
        <v>7</v>
      </c>
    </row>
    <row r="45" spans="1:35" x14ac:dyDescent="0.3">
      <c r="A45">
        <v>19</v>
      </c>
      <c r="B45" t="s">
        <v>35</v>
      </c>
      <c r="C45" t="s">
        <v>36</v>
      </c>
      <c r="D45">
        <v>489</v>
      </c>
      <c r="E45" t="s">
        <v>61</v>
      </c>
      <c r="F45">
        <v>2</v>
      </c>
      <c r="G45">
        <v>2</v>
      </c>
      <c r="H45" t="s">
        <v>60</v>
      </c>
      <c r="I45">
        <v>1</v>
      </c>
      <c r="J45">
        <v>566</v>
      </c>
      <c r="K45">
        <v>1</v>
      </c>
      <c r="L45" t="s">
        <v>46</v>
      </c>
      <c r="M45">
        <v>52</v>
      </c>
      <c r="N45">
        <v>2</v>
      </c>
      <c r="O45">
        <v>1</v>
      </c>
      <c r="P45" t="s">
        <v>61</v>
      </c>
      <c r="Q45">
        <v>4</v>
      </c>
      <c r="R45" t="s">
        <v>41</v>
      </c>
      <c r="S45">
        <v>2564</v>
      </c>
      <c r="T45">
        <v>18437</v>
      </c>
      <c r="U45">
        <v>1</v>
      </c>
      <c r="V45" t="s">
        <v>42</v>
      </c>
      <c r="W45" t="s">
        <v>43</v>
      </c>
      <c r="X45">
        <v>12</v>
      </c>
      <c r="Y45">
        <v>3</v>
      </c>
      <c r="Z45">
        <v>3</v>
      </c>
      <c r="AA45">
        <v>80</v>
      </c>
      <c r="AB45">
        <v>0</v>
      </c>
      <c r="AC45">
        <v>1</v>
      </c>
      <c r="AD45">
        <v>3</v>
      </c>
      <c r="AE45">
        <v>4</v>
      </c>
      <c r="AF45">
        <v>1</v>
      </c>
      <c r="AG45">
        <v>0</v>
      </c>
      <c r="AH45">
        <v>0</v>
      </c>
      <c r="AI45">
        <v>0</v>
      </c>
    </row>
    <row r="46" spans="1:35" x14ac:dyDescent="0.3">
      <c r="A46">
        <v>31</v>
      </c>
      <c r="B46" t="s">
        <v>43</v>
      </c>
      <c r="C46" t="s">
        <v>36</v>
      </c>
      <c r="D46">
        <v>106</v>
      </c>
      <c r="E46" t="s">
        <v>61</v>
      </c>
      <c r="F46">
        <v>2</v>
      </c>
      <c r="G46">
        <v>3</v>
      </c>
      <c r="H46" t="s">
        <v>61</v>
      </c>
      <c r="I46">
        <v>1</v>
      </c>
      <c r="J46">
        <v>424</v>
      </c>
      <c r="K46">
        <v>1</v>
      </c>
      <c r="L46" t="s">
        <v>46</v>
      </c>
      <c r="M46">
        <v>62</v>
      </c>
      <c r="N46">
        <v>2</v>
      </c>
      <c r="O46">
        <v>2</v>
      </c>
      <c r="P46" t="s">
        <v>61</v>
      </c>
      <c r="Q46">
        <v>1</v>
      </c>
      <c r="R46" t="s">
        <v>48</v>
      </c>
      <c r="S46">
        <v>6410</v>
      </c>
      <c r="T46">
        <v>17822</v>
      </c>
      <c r="U46">
        <v>3</v>
      </c>
      <c r="V46" t="s">
        <v>42</v>
      </c>
      <c r="W46" t="s">
        <v>43</v>
      </c>
      <c r="X46">
        <v>12</v>
      </c>
      <c r="Y46">
        <v>3</v>
      </c>
      <c r="Z46">
        <v>4</v>
      </c>
      <c r="AA46">
        <v>80</v>
      </c>
      <c r="AB46">
        <v>0</v>
      </c>
      <c r="AC46">
        <v>9</v>
      </c>
      <c r="AD46">
        <v>1</v>
      </c>
      <c r="AE46">
        <v>3</v>
      </c>
      <c r="AF46">
        <v>2</v>
      </c>
      <c r="AG46">
        <v>2</v>
      </c>
      <c r="AH46">
        <v>1</v>
      </c>
      <c r="AI46">
        <v>0</v>
      </c>
    </row>
    <row r="47" spans="1:35" x14ac:dyDescent="0.3">
      <c r="A47">
        <v>59</v>
      </c>
      <c r="B47" t="s">
        <v>43</v>
      </c>
      <c r="C47" t="s">
        <v>36</v>
      </c>
      <c r="D47">
        <v>818</v>
      </c>
      <c r="E47" t="s">
        <v>61</v>
      </c>
      <c r="F47">
        <v>6</v>
      </c>
      <c r="G47">
        <v>2</v>
      </c>
      <c r="H47" t="s">
        <v>51</v>
      </c>
      <c r="I47">
        <v>1</v>
      </c>
      <c r="J47">
        <v>321</v>
      </c>
      <c r="K47">
        <v>2</v>
      </c>
      <c r="L47" t="s">
        <v>46</v>
      </c>
      <c r="M47">
        <v>52</v>
      </c>
      <c r="N47">
        <v>3</v>
      </c>
      <c r="O47">
        <v>1</v>
      </c>
      <c r="P47" t="s">
        <v>61</v>
      </c>
      <c r="Q47">
        <v>3</v>
      </c>
      <c r="R47" t="s">
        <v>48</v>
      </c>
      <c r="S47">
        <v>2267</v>
      </c>
      <c r="T47">
        <v>25657</v>
      </c>
      <c r="U47">
        <v>8</v>
      </c>
      <c r="V47" t="s">
        <v>42</v>
      </c>
      <c r="W47" t="s">
        <v>43</v>
      </c>
      <c r="X47">
        <v>17</v>
      </c>
      <c r="Y47">
        <v>3</v>
      </c>
      <c r="Z47">
        <v>4</v>
      </c>
      <c r="AA47">
        <v>80</v>
      </c>
      <c r="AB47">
        <v>0</v>
      </c>
      <c r="AC47">
        <v>7</v>
      </c>
      <c r="AD47">
        <v>2</v>
      </c>
      <c r="AE47">
        <v>2</v>
      </c>
      <c r="AF47">
        <v>2</v>
      </c>
      <c r="AG47">
        <v>2</v>
      </c>
      <c r="AH47">
        <v>2</v>
      </c>
      <c r="AI47">
        <v>2</v>
      </c>
    </row>
    <row r="48" spans="1:35" x14ac:dyDescent="0.3">
      <c r="A48">
        <v>26</v>
      </c>
      <c r="B48" t="s">
        <v>43</v>
      </c>
      <c r="C48" t="s">
        <v>36</v>
      </c>
      <c r="D48">
        <v>1355</v>
      </c>
      <c r="E48" t="s">
        <v>61</v>
      </c>
      <c r="F48">
        <v>25</v>
      </c>
      <c r="G48">
        <v>1</v>
      </c>
      <c r="H48" t="s">
        <v>38</v>
      </c>
      <c r="I48">
        <v>1</v>
      </c>
      <c r="J48">
        <v>177</v>
      </c>
      <c r="K48">
        <v>3</v>
      </c>
      <c r="L48" t="s">
        <v>39</v>
      </c>
      <c r="M48">
        <v>61</v>
      </c>
      <c r="N48">
        <v>3</v>
      </c>
      <c r="O48">
        <v>1</v>
      </c>
      <c r="P48" t="s">
        <v>61</v>
      </c>
      <c r="Q48">
        <v>3</v>
      </c>
      <c r="R48" t="s">
        <v>48</v>
      </c>
      <c r="S48">
        <v>2942</v>
      </c>
      <c r="T48">
        <v>8916</v>
      </c>
      <c r="U48">
        <v>1</v>
      </c>
      <c r="V48" t="s">
        <v>42</v>
      </c>
      <c r="W48" t="s">
        <v>43</v>
      </c>
      <c r="X48">
        <v>23</v>
      </c>
      <c r="Y48">
        <v>4</v>
      </c>
      <c r="Z48">
        <v>4</v>
      </c>
      <c r="AA48">
        <v>80</v>
      </c>
      <c r="AB48">
        <v>1</v>
      </c>
      <c r="AC48">
        <v>8</v>
      </c>
      <c r="AD48">
        <v>3</v>
      </c>
      <c r="AE48">
        <v>3</v>
      </c>
      <c r="AF48">
        <v>8</v>
      </c>
      <c r="AG48">
        <v>7</v>
      </c>
      <c r="AH48">
        <v>5</v>
      </c>
      <c r="AI48">
        <v>7</v>
      </c>
    </row>
    <row r="49" spans="1:35" x14ac:dyDescent="0.3">
      <c r="A49">
        <v>59</v>
      </c>
      <c r="B49" t="s">
        <v>43</v>
      </c>
      <c r="C49" t="s">
        <v>55</v>
      </c>
      <c r="D49">
        <v>1420</v>
      </c>
      <c r="E49" t="s">
        <v>61</v>
      </c>
      <c r="F49">
        <v>2</v>
      </c>
      <c r="G49">
        <v>4</v>
      </c>
      <c r="H49" t="s">
        <v>61</v>
      </c>
      <c r="I49">
        <v>1</v>
      </c>
      <c r="J49">
        <v>140</v>
      </c>
      <c r="K49">
        <v>3</v>
      </c>
      <c r="L49" t="s">
        <v>39</v>
      </c>
      <c r="M49">
        <v>32</v>
      </c>
      <c r="N49">
        <v>2</v>
      </c>
      <c r="O49">
        <v>5</v>
      </c>
      <c r="P49" t="s">
        <v>56</v>
      </c>
      <c r="Q49">
        <v>4</v>
      </c>
      <c r="R49" t="s">
        <v>48</v>
      </c>
      <c r="S49">
        <v>18844</v>
      </c>
      <c r="T49">
        <v>21922</v>
      </c>
      <c r="U49">
        <v>9</v>
      </c>
      <c r="V49" t="s">
        <v>42</v>
      </c>
      <c r="W49" t="s">
        <v>43</v>
      </c>
      <c r="X49">
        <v>21</v>
      </c>
      <c r="Y49">
        <v>4</v>
      </c>
      <c r="Z49">
        <v>4</v>
      </c>
      <c r="AA49">
        <v>80</v>
      </c>
      <c r="AB49">
        <v>1</v>
      </c>
      <c r="AC49">
        <v>30</v>
      </c>
      <c r="AD49">
        <v>3</v>
      </c>
      <c r="AE49">
        <v>3</v>
      </c>
      <c r="AF49">
        <v>3</v>
      </c>
      <c r="AG49">
        <v>2</v>
      </c>
      <c r="AH49">
        <v>2</v>
      </c>
      <c r="AI49">
        <v>2</v>
      </c>
    </row>
    <row r="50" spans="1:35" x14ac:dyDescent="0.3">
      <c r="A50">
        <v>35</v>
      </c>
      <c r="B50" t="s">
        <v>43</v>
      </c>
      <c r="C50" t="s">
        <v>36</v>
      </c>
      <c r="D50">
        <v>1146</v>
      </c>
      <c r="E50" t="s">
        <v>61</v>
      </c>
      <c r="F50">
        <v>26</v>
      </c>
      <c r="G50">
        <v>4</v>
      </c>
      <c r="H50" t="s">
        <v>38</v>
      </c>
      <c r="I50">
        <v>1</v>
      </c>
      <c r="J50">
        <v>2040</v>
      </c>
      <c r="K50">
        <v>3</v>
      </c>
      <c r="L50" t="s">
        <v>39</v>
      </c>
      <c r="M50">
        <v>31</v>
      </c>
      <c r="N50">
        <v>3</v>
      </c>
      <c r="O50">
        <v>3</v>
      </c>
      <c r="P50" t="s">
        <v>61</v>
      </c>
      <c r="Q50">
        <v>4</v>
      </c>
      <c r="R50" t="s">
        <v>41</v>
      </c>
      <c r="S50">
        <v>8837</v>
      </c>
      <c r="T50">
        <v>16642</v>
      </c>
      <c r="U50">
        <v>1</v>
      </c>
      <c r="V50" t="s">
        <v>42</v>
      </c>
      <c r="W50" t="s">
        <v>35</v>
      </c>
      <c r="X50">
        <v>16</v>
      </c>
      <c r="Y50">
        <v>3</v>
      </c>
      <c r="Z50">
        <v>3</v>
      </c>
      <c r="AA50">
        <v>80</v>
      </c>
      <c r="AB50">
        <v>0</v>
      </c>
      <c r="AC50">
        <v>9</v>
      </c>
      <c r="AD50">
        <v>2</v>
      </c>
      <c r="AE50">
        <v>3</v>
      </c>
      <c r="AF50">
        <v>9</v>
      </c>
      <c r="AG50">
        <v>0</v>
      </c>
      <c r="AH50">
        <v>1</v>
      </c>
      <c r="AI50">
        <v>7</v>
      </c>
    </row>
    <row r="51" spans="1:35" x14ac:dyDescent="0.3">
      <c r="A51">
        <v>55</v>
      </c>
      <c r="B51" t="s">
        <v>43</v>
      </c>
      <c r="C51" t="s">
        <v>36</v>
      </c>
      <c r="D51">
        <v>189</v>
      </c>
      <c r="E51" t="s">
        <v>61</v>
      </c>
      <c r="F51">
        <v>26</v>
      </c>
      <c r="G51">
        <v>4</v>
      </c>
      <c r="H51" t="s">
        <v>61</v>
      </c>
      <c r="I51">
        <v>1</v>
      </c>
      <c r="J51">
        <v>1973</v>
      </c>
      <c r="K51">
        <v>3</v>
      </c>
      <c r="L51" t="s">
        <v>46</v>
      </c>
      <c r="M51">
        <v>71</v>
      </c>
      <c r="N51">
        <v>4</v>
      </c>
      <c r="O51">
        <v>5</v>
      </c>
      <c r="P51" t="s">
        <v>56</v>
      </c>
      <c r="Q51">
        <v>2</v>
      </c>
      <c r="R51" t="s">
        <v>48</v>
      </c>
      <c r="S51">
        <v>19636</v>
      </c>
      <c r="T51">
        <v>25811</v>
      </c>
      <c r="U51">
        <v>4</v>
      </c>
      <c r="V51" t="s">
        <v>42</v>
      </c>
      <c r="W51" t="s">
        <v>35</v>
      </c>
      <c r="X51">
        <v>18</v>
      </c>
      <c r="Y51">
        <v>3</v>
      </c>
      <c r="Z51">
        <v>1</v>
      </c>
      <c r="AA51">
        <v>80</v>
      </c>
      <c r="AB51">
        <v>1</v>
      </c>
      <c r="AC51">
        <v>35</v>
      </c>
      <c r="AD51">
        <v>0</v>
      </c>
      <c r="AE51">
        <v>3</v>
      </c>
      <c r="AF51">
        <v>10</v>
      </c>
      <c r="AG51">
        <v>9</v>
      </c>
      <c r="AH51">
        <v>1</v>
      </c>
      <c r="AI51">
        <v>4</v>
      </c>
    </row>
    <row r="52" spans="1:35" x14ac:dyDescent="0.3">
      <c r="A52">
        <v>38</v>
      </c>
      <c r="B52" t="s">
        <v>43</v>
      </c>
      <c r="C52" t="s">
        <v>44</v>
      </c>
      <c r="D52">
        <v>1444</v>
      </c>
      <c r="E52" t="s">
        <v>61</v>
      </c>
      <c r="F52">
        <v>1</v>
      </c>
      <c r="G52">
        <v>4</v>
      </c>
      <c r="H52" t="s">
        <v>49</v>
      </c>
      <c r="I52">
        <v>1</v>
      </c>
      <c r="J52">
        <v>1972</v>
      </c>
      <c r="K52">
        <v>4</v>
      </c>
      <c r="L52" t="s">
        <v>46</v>
      </c>
      <c r="M52">
        <v>88</v>
      </c>
      <c r="N52">
        <v>3</v>
      </c>
      <c r="O52">
        <v>1</v>
      </c>
      <c r="P52" t="s">
        <v>61</v>
      </c>
      <c r="Q52">
        <v>2</v>
      </c>
      <c r="R52" t="s">
        <v>48</v>
      </c>
      <c r="S52">
        <v>2991</v>
      </c>
      <c r="T52">
        <v>5224</v>
      </c>
      <c r="U52">
        <v>0</v>
      </c>
      <c r="V52" t="s">
        <v>42</v>
      </c>
      <c r="W52" t="s">
        <v>35</v>
      </c>
      <c r="X52">
        <v>11</v>
      </c>
      <c r="Y52">
        <v>3</v>
      </c>
      <c r="Z52">
        <v>2</v>
      </c>
      <c r="AA52">
        <v>80</v>
      </c>
      <c r="AB52">
        <v>1</v>
      </c>
      <c r="AC52">
        <v>7</v>
      </c>
      <c r="AD52">
        <v>2</v>
      </c>
      <c r="AE52">
        <v>3</v>
      </c>
      <c r="AF52">
        <v>6</v>
      </c>
      <c r="AG52">
        <v>2</v>
      </c>
      <c r="AH52">
        <v>1</v>
      </c>
      <c r="AI52">
        <v>2</v>
      </c>
    </row>
    <row r="53" spans="1:35" x14ac:dyDescent="0.3">
      <c r="A53">
        <v>29</v>
      </c>
      <c r="B53" t="s">
        <v>35</v>
      </c>
      <c r="C53" t="s">
        <v>36</v>
      </c>
      <c r="D53">
        <v>350</v>
      </c>
      <c r="E53" t="s">
        <v>61</v>
      </c>
      <c r="F53">
        <v>13</v>
      </c>
      <c r="G53">
        <v>3</v>
      </c>
      <c r="H53" t="s">
        <v>61</v>
      </c>
      <c r="I53">
        <v>1</v>
      </c>
      <c r="J53">
        <v>1844</v>
      </c>
      <c r="K53">
        <v>1</v>
      </c>
      <c r="L53" t="s">
        <v>46</v>
      </c>
      <c r="M53">
        <v>56</v>
      </c>
      <c r="N53">
        <v>2</v>
      </c>
      <c r="O53">
        <v>1</v>
      </c>
      <c r="P53" t="s">
        <v>61</v>
      </c>
      <c r="Q53">
        <v>1</v>
      </c>
      <c r="R53" t="s">
        <v>52</v>
      </c>
      <c r="S53">
        <v>2335</v>
      </c>
      <c r="T53">
        <v>3157</v>
      </c>
      <c r="U53">
        <v>4</v>
      </c>
      <c r="V53" t="s">
        <v>42</v>
      </c>
      <c r="W53" t="s">
        <v>35</v>
      </c>
      <c r="X53">
        <v>15</v>
      </c>
      <c r="Y53">
        <v>3</v>
      </c>
      <c r="Z53">
        <v>4</v>
      </c>
      <c r="AA53">
        <v>80</v>
      </c>
      <c r="AB53">
        <v>3</v>
      </c>
      <c r="AC53">
        <v>4</v>
      </c>
      <c r="AD53">
        <v>3</v>
      </c>
      <c r="AE53">
        <v>3</v>
      </c>
      <c r="AF53">
        <v>2</v>
      </c>
      <c r="AG53">
        <v>2</v>
      </c>
      <c r="AH53">
        <v>2</v>
      </c>
      <c r="AI53">
        <v>0</v>
      </c>
    </row>
    <row r="54" spans="1:35" x14ac:dyDescent="0.3">
      <c r="A54">
        <v>26</v>
      </c>
      <c r="B54" t="s">
        <v>35</v>
      </c>
      <c r="C54" t="s">
        <v>36</v>
      </c>
      <c r="D54">
        <v>920</v>
      </c>
      <c r="E54" t="s">
        <v>61</v>
      </c>
      <c r="F54">
        <v>20</v>
      </c>
      <c r="G54">
        <v>2</v>
      </c>
      <c r="H54" t="s">
        <v>51</v>
      </c>
      <c r="I54">
        <v>1</v>
      </c>
      <c r="J54">
        <v>1818</v>
      </c>
      <c r="K54">
        <v>4</v>
      </c>
      <c r="L54" t="s">
        <v>39</v>
      </c>
      <c r="M54">
        <v>69</v>
      </c>
      <c r="N54">
        <v>3</v>
      </c>
      <c r="O54">
        <v>1</v>
      </c>
      <c r="P54" t="s">
        <v>61</v>
      </c>
      <c r="Q54">
        <v>2</v>
      </c>
      <c r="R54" t="s">
        <v>48</v>
      </c>
      <c r="S54">
        <v>2148</v>
      </c>
      <c r="T54">
        <v>6889</v>
      </c>
      <c r="U54">
        <v>0</v>
      </c>
      <c r="V54" t="s">
        <v>42</v>
      </c>
      <c r="W54" t="s">
        <v>35</v>
      </c>
      <c r="X54">
        <v>11</v>
      </c>
      <c r="Y54">
        <v>3</v>
      </c>
      <c r="Z54">
        <v>3</v>
      </c>
      <c r="AA54">
        <v>80</v>
      </c>
      <c r="AB54">
        <v>0</v>
      </c>
      <c r="AC54">
        <v>6</v>
      </c>
      <c r="AD54">
        <v>3</v>
      </c>
      <c r="AE54">
        <v>3</v>
      </c>
      <c r="AF54">
        <v>5</v>
      </c>
      <c r="AG54">
        <v>1</v>
      </c>
      <c r="AH54">
        <v>1</v>
      </c>
      <c r="AI54">
        <v>4</v>
      </c>
    </row>
    <row r="55" spans="1:35" x14ac:dyDescent="0.3">
      <c r="A55">
        <v>44</v>
      </c>
      <c r="B55" t="s">
        <v>43</v>
      </c>
      <c r="C55" t="s">
        <v>36</v>
      </c>
      <c r="D55">
        <v>528</v>
      </c>
      <c r="E55" t="s">
        <v>61</v>
      </c>
      <c r="F55">
        <v>1</v>
      </c>
      <c r="G55">
        <v>3</v>
      </c>
      <c r="H55" t="s">
        <v>38</v>
      </c>
      <c r="I55">
        <v>1</v>
      </c>
      <c r="J55">
        <v>1683</v>
      </c>
      <c r="K55">
        <v>3</v>
      </c>
      <c r="L55" t="s">
        <v>39</v>
      </c>
      <c r="M55">
        <v>44</v>
      </c>
      <c r="N55">
        <v>3</v>
      </c>
      <c r="O55">
        <v>1</v>
      </c>
      <c r="P55" t="s">
        <v>61</v>
      </c>
      <c r="Q55">
        <v>4</v>
      </c>
      <c r="R55" t="s">
        <v>52</v>
      </c>
      <c r="S55">
        <v>3195</v>
      </c>
      <c r="T55">
        <v>4167</v>
      </c>
      <c r="U55">
        <v>4</v>
      </c>
      <c r="V55" t="s">
        <v>42</v>
      </c>
      <c r="W55" t="s">
        <v>35</v>
      </c>
      <c r="X55">
        <v>18</v>
      </c>
      <c r="Y55">
        <v>3</v>
      </c>
      <c r="Z55">
        <v>1</v>
      </c>
      <c r="AA55">
        <v>80</v>
      </c>
      <c r="AB55">
        <v>3</v>
      </c>
      <c r="AC55">
        <v>8</v>
      </c>
      <c r="AD55">
        <v>2</v>
      </c>
      <c r="AE55">
        <v>3</v>
      </c>
      <c r="AF55">
        <v>2</v>
      </c>
      <c r="AG55">
        <v>2</v>
      </c>
      <c r="AH55">
        <v>2</v>
      </c>
      <c r="AI55">
        <v>2</v>
      </c>
    </row>
    <row r="56" spans="1:35" x14ac:dyDescent="0.3">
      <c r="A56">
        <v>44</v>
      </c>
      <c r="B56" t="s">
        <v>43</v>
      </c>
      <c r="C56" t="s">
        <v>44</v>
      </c>
      <c r="D56">
        <v>602</v>
      </c>
      <c r="E56" t="s">
        <v>61</v>
      </c>
      <c r="F56">
        <v>1</v>
      </c>
      <c r="G56">
        <v>5</v>
      </c>
      <c r="H56" t="s">
        <v>61</v>
      </c>
      <c r="I56">
        <v>1</v>
      </c>
      <c r="J56">
        <v>1642</v>
      </c>
      <c r="K56">
        <v>1</v>
      </c>
      <c r="L56" t="s">
        <v>46</v>
      </c>
      <c r="M56">
        <v>37</v>
      </c>
      <c r="N56">
        <v>3</v>
      </c>
      <c r="O56">
        <v>2</v>
      </c>
      <c r="P56" t="s">
        <v>61</v>
      </c>
      <c r="Q56">
        <v>4</v>
      </c>
      <c r="R56" t="s">
        <v>48</v>
      </c>
      <c r="S56">
        <v>5743</v>
      </c>
      <c r="T56">
        <v>10503</v>
      </c>
      <c r="U56">
        <v>4</v>
      </c>
      <c r="V56" t="s">
        <v>42</v>
      </c>
      <c r="W56" t="s">
        <v>35</v>
      </c>
      <c r="X56">
        <v>11</v>
      </c>
      <c r="Y56">
        <v>3</v>
      </c>
      <c r="Z56">
        <v>3</v>
      </c>
      <c r="AA56">
        <v>80</v>
      </c>
      <c r="AB56">
        <v>0</v>
      </c>
      <c r="AC56">
        <v>14</v>
      </c>
      <c r="AD56">
        <v>3</v>
      </c>
      <c r="AE56">
        <v>3</v>
      </c>
      <c r="AF56">
        <v>10</v>
      </c>
      <c r="AG56">
        <v>7</v>
      </c>
      <c r="AH56">
        <v>0</v>
      </c>
      <c r="AI56">
        <v>2</v>
      </c>
    </row>
    <row r="57" spans="1:35" x14ac:dyDescent="0.3">
      <c r="A57">
        <v>40</v>
      </c>
      <c r="B57" t="s">
        <v>43</v>
      </c>
      <c r="C57" t="s">
        <v>36</v>
      </c>
      <c r="D57">
        <v>898</v>
      </c>
      <c r="E57" t="s">
        <v>61</v>
      </c>
      <c r="F57">
        <v>6</v>
      </c>
      <c r="G57">
        <v>2</v>
      </c>
      <c r="H57" t="s">
        <v>51</v>
      </c>
      <c r="I57">
        <v>1</v>
      </c>
      <c r="J57">
        <v>1550</v>
      </c>
      <c r="K57">
        <v>3</v>
      </c>
      <c r="L57" t="s">
        <v>46</v>
      </c>
      <c r="M57">
        <v>38</v>
      </c>
      <c r="N57">
        <v>3</v>
      </c>
      <c r="O57">
        <v>4</v>
      </c>
      <c r="P57" t="s">
        <v>56</v>
      </c>
      <c r="Q57">
        <v>4</v>
      </c>
      <c r="R57" t="s">
        <v>41</v>
      </c>
      <c r="S57">
        <v>16437</v>
      </c>
      <c r="T57">
        <v>17381</v>
      </c>
      <c r="U57">
        <v>1</v>
      </c>
      <c r="V57" t="s">
        <v>42</v>
      </c>
      <c r="W57" t="s">
        <v>35</v>
      </c>
      <c r="X57">
        <v>21</v>
      </c>
      <c r="Y57">
        <v>4</v>
      </c>
      <c r="Z57">
        <v>4</v>
      </c>
      <c r="AA57">
        <v>80</v>
      </c>
      <c r="AB57">
        <v>0</v>
      </c>
      <c r="AC57">
        <v>21</v>
      </c>
      <c r="AD57">
        <v>2</v>
      </c>
      <c r="AE57">
        <v>3</v>
      </c>
      <c r="AF57">
        <v>21</v>
      </c>
      <c r="AG57">
        <v>7</v>
      </c>
      <c r="AH57">
        <v>7</v>
      </c>
      <c r="AI57">
        <v>7</v>
      </c>
    </row>
    <row r="58" spans="1:35" x14ac:dyDescent="0.3">
      <c r="A58">
        <v>51</v>
      </c>
      <c r="B58" t="s">
        <v>43</v>
      </c>
      <c r="C58" t="s">
        <v>36</v>
      </c>
      <c r="D58">
        <v>770</v>
      </c>
      <c r="E58" t="s">
        <v>61</v>
      </c>
      <c r="F58">
        <v>5</v>
      </c>
      <c r="G58">
        <v>3</v>
      </c>
      <c r="H58" t="s">
        <v>38</v>
      </c>
      <c r="I58">
        <v>1</v>
      </c>
      <c r="J58">
        <v>1352</v>
      </c>
      <c r="K58">
        <v>3</v>
      </c>
      <c r="L58" t="s">
        <v>46</v>
      </c>
      <c r="M58">
        <v>84</v>
      </c>
      <c r="N58">
        <v>3</v>
      </c>
      <c r="O58">
        <v>4</v>
      </c>
      <c r="P58" t="s">
        <v>56</v>
      </c>
      <c r="Q58">
        <v>2</v>
      </c>
      <c r="R58" t="s">
        <v>52</v>
      </c>
      <c r="S58">
        <v>14026</v>
      </c>
      <c r="T58">
        <v>17588</v>
      </c>
      <c r="U58">
        <v>1</v>
      </c>
      <c r="V58" t="s">
        <v>42</v>
      </c>
      <c r="W58" t="s">
        <v>35</v>
      </c>
      <c r="X58">
        <v>11</v>
      </c>
      <c r="Y58">
        <v>3</v>
      </c>
      <c r="Z58">
        <v>2</v>
      </c>
      <c r="AA58">
        <v>80</v>
      </c>
      <c r="AB58">
        <v>1</v>
      </c>
      <c r="AC58">
        <v>33</v>
      </c>
      <c r="AD58">
        <v>2</v>
      </c>
      <c r="AE58">
        <v>3</v>
      </c>
      <c r="AF58">
        <v>33</v>
      </c>
      <c r="AG58">
        <v>9</v>
      </c>
      <c r="AH58">
        <v>0</v>
      </c>
      <c r="AI58">
        <v>10</v>
      </c>
    </row>
    <row r="59" spans="1:35" x14ac:dyDescent="0.3">
      <c r="A59">
        <v>33</v>
      </c>
      <c r="B59" t="s">
        <v>43</v>
      </c>
      <c r="C59" t="s">
        <v>36</v>
      </c>
      <c r="D59">
        <v>1075</v>
      </c>
      <c r="E59" t="s">
        <v>61</v>
      </c>
      <c r="F59">
        <v>3</v>
      </c>
      <c r="G59">
        <v>2</v>
      </c>
      <c r="H59" t="s">
        <v>61</v>
      </c>
      <c r="I59">
        <v>1</v>
      </c>
      <c r="J59">
        <v>910</v>
      </c>
      <c r="K59">
        <v>4</v>
      </c>
      <c r="L59" t="s">
        <v>46</v>
      </c>
      <c r="M59">
        <v>57</v>
      </c>
      <c r="N59">
        <v>3</v>
      </c>
      <c r="O59">
        <v>1</v>
      </c>
      <c r="P59" t="s">
        <v>61</v>
      </c>
      <c r="Q59">
        <v>2</v>
      </c>
      <c r="R59" t="s">
        <v>52</v>
      </c>
      <c r="S59">
        <v>2277</v>
      </c>
      <c r="T59">
        <v>22650</v>
      </c>
      <c r="U59">
        <v>3</v>
      </c>
      <c r="V59" t="s">
        <v>42</v>
      </c>
      <c r="W59" t="s">
        <v>35</v>
      </c>
      <c r="X59">
        <v>11</v>
      </c>
      <c r="Y59">
        <v>3</v>
      </c>
      <c r="Z59">
        <v>3</v>
      </c>
      <c r="AA59">
        <v>80</v>
      </c>
      <c r="AB59">
        <v>1</v>
      </c>
      <c r="AC59">
        <v>7</v>
      </c>
      <c r="AD59">
        <v>4</v>
      </c>
      <c r="AE59">
        <v>4</v>
      </c>
      <c r="AF59">
        <v>4</v>
      </c>
      <c r="AG59">
        <v>3</v>
      </c>
      <c r="AH59">
        <v>0</v>
      </c>
      <c r="AI59">
        <v>3</v>
      </c>
    </row>
    <row r="60" spans="1:35" x14ac:dyDescent="0.3">
      <c r="A60">
        <v>26</v>
      </c>
      <c r="B60" t="s">
        <v>35</v>
      </c>
      <c r="C60" t="s">
        <v>44</v>
      </c>
      <c r="D60">
        <v>426</v>
      </c>
      <c r="E60" t="s">
        <v>61</v>
      </c>
      <c r="F60">
        <v>17</v>
      </c>
      <c r="G60">
        <v>4</v>
      </c>
      <c r="H60" t="s">
        <v>38</v>
      </c>
      <c r="I60">
        <v>1</v>
      </c>
      <c r="J60">
        <v>608</v>
      </c>
      <c r="K60">
        <v>2</v>
      </c>
      <c r="L60" t="s">
        <v>39</v>
      </c>
      <c r="M60">
        <v>58</v>
      </c>
      <c r="N60">
        <v>3</v>
      </c>
      <c r="O60">
        <v>1</v>
      </c>
      <c r="P60" t="s">
        <v>61</v>
      </c>
      <c r="Q60">
        <v>3</v>
      </c>
      <c r="R60" t="s">
        <v>52</v>
      </c>
      <c r="S60">
        <v>2741</v>
      </c>
      <c r="T60">
        <v>22808</v>
      </c>
      <c r="U60">
        <v>0</v>
      </c>
      <c r="V60" t="s">
        <v>42</v>
      </c>
      <c r="W60" t="s">
        <v>35</v>
      </c>
      <c r="X60">
        <v>11</v>
      </c>
      <c r="Y60">
        <v>3</v>
      </c>
      <c r="Z60">
        <v>2</v>
      </c>
      <c r="AA60">
        <v>80</v>
      </c>
      <c r="AB60">
        <v>1</v>
      </c>
      <c r="AC60">
        <v>8</v>
      </c>
      <c r="AD60">
        <v>2</v>
      </c>
      <c r="AE60">
        <v>2</v>
      </c>
      <c r="AF60">
        <v>7</v>
      </c>
      <c r="AG60">
        <v>7</v>
      </c>
      <c r="AH60">
        <v>1</v>
      </c>
      <c r="AI60">
        <v>0</v>
      </c>
    </row>
    <row r="61" spans="1:35" x14ac:dyDescent="0.3">
      <c r="A61">
        <v>34</v>
      </c>
      <c r="B61" t="s">
        <v>35</v>
      </c>
      <c r="C61" t="s">
        <v>44</v>
      </c>
      <c r="D61">
        <v>988</v>
      </c>
      <c r="E61" t="s">
        <v>61</v>
      </c>
      <c r="F61">
        <v>23</v>
      </c>
      <c r="G61">
        <v>3</v>
      </c>
      <c r="H61" t="s">
        <v>61</v>
      </c>
      <c r="I61">
        <v>1</v>
      </c>
      <c r="J61">
        <v>590</v>
      </c>
      <c r="K61">
        <v>2</v>
      </c>
      <c r="L61" t="s">
        <v>39</v>
      </c>
      <c r="M61">
        <v>43</v>
      </c>
      <c r="N61">
        <v>3</v>
      </c>
      <c r="O61">
        <v>3</v>
      </c>
      <c r="P61" t="s">
        <v>61</v>
      </c>
      <c r="Q61">
        <v>1</v>
      </c>
      <c r="R61" t="s">
        <v>52</v>
      </c>
      <c r="S61">
        <v>9950</v>
      </c>
      <c r="T61">
        <v>11533</v>
      </c>
      <c r="U61">
        <v>9</v>
      </c>
      <c r="V61" t="s">
        <v>42</v>
      </c>
      <c r="W61" t="s">
        <v>35</v>
      </c>
      <c r="X61">
        <v>15</v>
      </c>
      <c r="Y61">
        <v>3</v>
      </c>
      <c r="Z61">
        <v>3</v>
      </c>
      <c r="AA61">
        <v>80</v>
      </c>
      <c r="AB61">
        <v>3</v>
      </c>
      <c r="AC61">
        <v>11</v>
      </c>
      <c r="AD61">
        <v>2</v>
      </c>
      <c r="AE61">
        <v>3</v>
      </c>
      <c r="AF61">
        <v>3</v>
      </c>
      <c r="AG61">
        <v>2</v>
      </c>
      <c r="AH61">
        <v>0</v>
      </c>
      <c r="AI61">
        <v>2</v>
      </c>
    </row>
    <row r="62" spans="1:35" x14ac:dyDescent="0.3">
      <c r="A62">
        <v>42</v>
      </c>
      <c r="B62" t="s">
        <v>43</v>
      </c>
      <c r="C62" t="s">
        <v>36</v>
      </c>
      <c r="D62">
        <v>544</v>
      </c>
      <c r="E62" t="s">
        <v>61</v>
      </c>
      <c r="F62">
        <v>2</v>
      </c>
      <c r="G62">
        <v>1</v>
      </c>
      <c r="H62" t="s">
        <v>60</v>
      </c>
      <c r="I62">
        <v>1</v>
      </c>
      <c r="J62">
        <v>470</v>
      </c>
      <c r="K62">
        <v>3</v>
      </c>
      <c r="L62" t="s">
        <v>46</v>
      </c>
      <c r="M62">
        <v>52</v>
      </c>
      <c r="N62">
        <v>3</v>
      </c>
      <c r="O62">
        <v>1</v>
      </c>
      <c r="P62" t="s">
        <v>61</v>
      </c>
      <c r="Q62">
        <v>3</v>
      </c>
      <c r="R62" t="s">
        <v>52</v>
      </c>
      <c r="S62">
        <v>2696</v>
      </c>
      <c r="T62">
        <v>24017</v>
      </c>
      <c r="U62">
        <v>0</v>
      </c>
      <c r="V62" t="s">
        <v>42</v>
      </c>
      <c r="W62" t="s">
        <v>35</v>
      </c>
      <c r="X62">
        <v>11</v>
      </c>
      <c r="Y62">
        <v>3</v>
      </c>
      <c r="Z62">
        <v>3</v>
      </c>
      <c r="AA62">
        <v>80</v>
      </c>
      <c r="AB62">
        <v>1</v>
      </c>
      <c r="AC62">
        <v>4</v>
      </c>
      <c r="AD62">
        <v>5</v>
      </c>
      <c r="AE62">
        <v>3</v>
      </c>
      <c r="AF62">
        <v>3</v>
      </c>
      <c r="AG62">
        <v>2</v>
      </c>
      <c r="AH62">
        <v>1</v>
      </c>
      <c r="AI62">
        <v>0</v>
      </c>
    </row>
    <row r="63" spans="1:35" x14ac:dyDescent="0.3">
      <c r="A63">
        <v>30</v>
      </c>
      <c r="B63" t="s">
        <v>43</v>
      </c>
      <c r="C63" t="s">
        <v>36</v>
      </c>
      <c r="D63">
        <v>1240</v>
      </c>
      <c r="E63" t="s">
        <v>61</v>
      </c>
      <c r="F63">
        <v>9</v>
      </c>
      <c r="G63">
        <v>3</v>
      </c>
      <c r="H63" t="s">
        <v>61</v>
      </c>
      <c r="I63">
        <v>1</v>
      </c>
      <c r="J63">
        <v>184</v>
      </c>
      <c r="K63">
        <v>3</v>
      </c>
      <c r="L63" t="s">
        <v>46</v>
      </c>
      <c r="M63">
        <v>48</v>
      </c>
      <c r="N63">
        <v>3</v>
      </c>
      <c r="O63">
        <v>2</v>
      </c>
      <c r="P63" t="s">
        <v>61</v>
      </c>
      <c r="Q63">
        <v>4</v>
      </c>
      <c r="R63" t="s">
        <v>48</v>
      </c>
      <c r="S63">
        <v>6347</v>
      </c>
      <c r="T63">
        <v>13982</v>
      </c>
      <c r="U63">
        <v>0</v>
      </c>
      <c r="V63" t="s">
        <v>42</v>
      </c>
      <c r="W63" t="s">
        <v>35</v>
      </c>
      <c r="X63">
        <v>19</v>
      </c>
      <c r="Y63">
        <v>3</v>
      </c>
      <c r="Z63">
        <v>4</v>
      </c>
      <c r="AA63">
        <v>80</v>
      </c>
      <c r="AB63">
        <v>0</v>
      </c>
      <c r="AC63">
        <v>12</v>
      </c>
      <c r="AD63">
        <v>2</v>
      </c>
      <c r="AE63">
        <v>1</v>
      </c>
      <c r="AF63">
        <v>11</v>
      </c>
      <c r="AG63">
        <v>9</v>
      </c>
      <c r="AH63">
        <v>4</v>
      </c>
      <c r="AI63">
        <v>7</v>
      </c>
    </row>
    <row r="64" spans="1:35" x14ac:dyDescent="0.3">
      <c r="A64">
        <v>54</v>
      </c>
      <c r="B64" t="s">
        <v>43</v>
      </c>
      <c r="C64" t="s">
        <v>55</v>
      </c>
      <c r="D64">
        <v>142</v>
      </c>
      <c r="E64" t="s">
        <v>61</v>
      </c>
      <c r="F64">
        <v>26</v>
      </c>
      <c r="G64">
        <v>3</v>
      </c>
      <c r="H64" t="s">
        <v>61</v>
      </c>
      <c r="I64">
        <v>1</v>
      </c>
      <c r="J64">
        <v>148</v>
      </c>
      <c r="K64">
        <v>4</v>
      </c>
      <c r="L64" t="s">
        <v>39</v>
      </c>
      <c r="M64">
        <v>30</v>
      </c>
      <c r="N64">
        <v>4</v>
      </c>
      <c r="O64">
        <v>4</v>
      </c>
      <c r="P64" t="s">
        <v>56</v>
      </c>
      <c r="Q64">
        <v>4</v>
      </c>
      <c r="R64" t="s">
        <v>41</v>
      </c>
      <c r="S64">
        <v>17328</v>
      </c>
      <c r="T64">
        <v>13871</v>
      </c>
      <c r="U64">
        <v>2</v>
      </c>
      <c r="V64" t="s">
        <v>42</v>
      </c>
      <c r="W64" t="s">
        <v>35</v>
      </c>
      <c r="X64">
        <v>12</v>
      </c>
      <c r="Y64">
        <v>3</v>
      </c>
      <c r="Z64">
        <v>3</v>
      </c>
      <c r="AA64">
        <v>80</v>
      </c>
      <c r="AB64">
        <v>0</v>
      </c>
      <c r="AC64">
        <v>23</v>
      </c>
      <c r="AD64">
        <v>3</v>
      </c>
      <c r="AE64">
        <v>3</v>
      </c>
      <c r="AF64">
        <v>5</v>
      </c>
      <c r="AG64">
        <v>3</v>
      </c>
      <c r="AH64">
        <v>4</v>
      </c>
      <c r="AI64">
        <v>4</v>
      </c>
    </row>
    <row r="65" spans="1:35" x14ac:dyDescent="0.3">
      <c r="A65">
        <v>37</v>
      </c>
      <c r="B65" t="s">
        <v>35</v>
      </c>
      <c r="C65" t="s">
        <v>36</v>
      </c>
      <c r="D65">
        <v>807</v>
      </c>
      <c r="E65" t="s">
        <v>61</v>
      </c>
      <c r="F65">
        <v>6</v>
      </c>
      <c r="G65">
        <v>4</v>
      </c>
      <c r="H65" t="s">
        <v>61</v>
      </c>
      <c r="I65">
        <v>1</v>
      </c>
      <c r="J65">
        <v>133</v>
      </c>
      <c r="K65">
        <v>3</v>
      </c>
      <c r="L65" t="s">
        <v>46</v>
      </c>
      <c r="M65">
        <v>63</v>
      </c>
      <c r="N65">
        <v>3</v>
      </c>
      <c r="O65">
        <v>1</v>
      </c>
      <c r="P65" t="s">
        <v>61</v>
      </c>
      <c r="Q65">
        <v>1</v>
      </c>
      <c r="R65" t="s">
        <v>52</v>
      </c>
      <c r="S65">
        <v>2073</v>
      </c>
      <c r="T65">
        <v>23648</v>
      </c>
      <c r="U65">
        <v>4</v>
      </c>
      <c r="V65" t="s">
        <v>42</v>
      </c>
      <c r="W65" t="s">
        <v>35</v>
      </c>
      <c r="X65">
        <v>22</v>
      </c>
      <c r="Y65">
        <v>4</v>
      </c>
      <c r="Z65">
        <v>4</v>
      </c>
      <c r="AA65">
        <v>80</v>
      </c>
      <c r="AB65">
        <v>0</v>
      </c>
      <c r="AC65">
        <v>7</v>
      </c>
      <c r="AD65">
        <v>3</v>
      </c>
      <c r="AE65">
        <v>3</v>
      </c>
      <c r="AF65">
        <v>3</v>
      </c>
      <c r="AG65">
        <v>2</v>
      </c>
      <c r="AH65">
        <v>0</v>
      </c>
      <c r="AI65">
        <v>2</v>
      </c>
    </row>
    <row r="66" spans="1:35" x14ac:dyDescent="0.3">
      <c r="A66">
        <v>46</v>
      </c>
      <c r="B66" t="s">
        <v>43</v>
      </c>
      <c r="C66" t="s">
        <v>36</v>
      </c>
      <c r="D66">
        <v>945</v>
      </c>
      <c r="E66" t="s">
        <v>61</v>
      </c>
      <c r="F66">
        <v>5</v>
      </c>
      <c r="G66">
        <v>2</v>
      </c>
      <c r="H66" t="s">
        <v>51</v>
      </c>
      <c r="I66">
        <v>1</v>
      </c>
      <c r="J66">
        <v>103</v>
      </c>
      <c r="K66">
        <v>2</v>
      </c>
      <c r="L66" t="s">
        <v>46</v>
      </c>
      <c r="M66">
        <v>80</v>
      </c>
      <c r="N66">
        <v>3</v>
      </c>
      <c r="O66">
        <v>2</v>
      </c>
      <c r="P66" t="s">
        <v>61</v>
      </c>
      <c r="Q66">
        <v>2</v>
      </c>
      <c r="R66" t="s">
        <v>52</v>
      </c>
      <c r="S66">
        <v>5021</v>
      </c>
      <c r="T66">
        <v>10425</v>
      </c>
      <c r="U66">
        <v>8</v>
      </c>
      <c r="V66" t="s">
        <v>42</v>
      </c>
      <c r="W66" t="s">
        <v>35</v>
      </c>
      <c r="X66">
        <v>22</v>
      </c>
      <c r="Y66">
        <v>4</v>
      </c>
      <c r="Z66">
        <v>4</v>
      </c>
      <c r="AA66">
        <v>80</v>
      </c>
      <c r="AB66">
        <v>1</v>
      </c>
      <c r="AC66">
        <v>16</v>
      </c>
      <c r="AD66">
        <v>2</v>
      </c>
      <c r="AE66">
        <v>3</v>
      </c>
      <c r="AF66">
        <v>4</v>
      </c>
      <c r="AG66">
        <v>2</v>
      </c>
      <c r="AH66">
        <v>0</v>
      </c>
      <c r="AI66">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A30D-8C42-4C8D-B1E9-25DC9CBF3C0B}">
  <sheetPr codeName="Sheet2"/>
  <dimension ref="A1:AM1471"/>
  <sheetViews>
    <sheetView topLeftCell="A2" zoomScale="66" workbookViewId="0">
      <selection activeCell="AG11" sqref="A2:AM1471"/>
    </sheetView>
  </sheetViews>
  <sheetFormatPr defaultRowHeight="14.4" x14ac:dyDescent="0.3"/>
  <cols>
    <col min="1" max="1" width="7.6640625" bestFit="1" customWidth="1"/>
    <col min="2" max="2" width="11.44140625" bestFit="1" customWidth="1"/>
    <col min="3" max="3" width="17.77734375" bestFit="1" customWidth="1"/>
    <col min="4" max="4" width="12.77734375" bestFit="1" customWidth="1"/>
    <col min="5" max="5" width="24.6640625" bestFit="1" customWidth="1"/>
    <col min="6" max="6" width="21.44140625" bestFit="1" customWidth="1"/>
    <col min="7" max="7" width="12.5546875" bestFit="1" customWidth="1"/>
    <col min="8" max="8" width="18" bestFit="1" customWidth="1"/>
    <col min="9" max="9" width="17.6640625" bestFit="1" customWidth="1"/>
    <col min="10" max="10" width="19.6640625" bestFit="1" customWidth="1"/>
    <col min="11" max="11" width="25.33203125" bestFit="1" customWidth="1"/>
    <col min="12" max="12" width="10.5546875" bestFit="1" customWidth="1"/>
    <col min="13" max="13" width="13.88671875" bestFit="1" customWidth="1"/>
    <col min="14" max="14" width="17.77734375" bestFit="1" customWidth="1"/>
    <col min="15" max="15" width="11.5546875" bestFit="1" customWidth="1"/>
    <col min="16" max="16" width="26.33203125" bestFit="1" customWidth="1"/>
    <col min="17" max="17" width="17.109375" bestFit="1" customWidth="1"/>
    <col min="18" max="18" width="15.77734375" bestFit="1" customWidth="1"/>
    <col min="19" max="19" width="17.6640625" bestFit="1" customWidth="1"/>
    <col min="20" max="20" width="15.21875" bestFit="1" customWidth="1"/>
    <col min="21" max="21" width="24.5546875" bestFit="1" customWidth="1"/>
    <col min="22" max="22" width="10.5546875" bestFit="1" customWidth="1"/>
    <col min="23" max="23" width="12.77734375" bestFit="1" customWidth="1"/>
    <col min="24" max="24" width="20" bestFit="1" customWidth="1"/>
    <col min="25" max="25" width="20.6640625" bestFit="1" customWidth="1"/>
    <col min="26" max="26" width="24.88671875" bestFit="1" customWidth="1"/>
    <col min="27" max="27" width="17" bestFit="1" customWidth="1"/>
    <col min="28" max="28" width="19.109375" bestFit="1" customWidth="1"/>
    <col min="29" max="29" width="20.44140625" bestFit="1" customWidth="1"/>
    <col min="30" max="30" width="23.6640625" bestFit="1" customWidth="1"/>
    <col min="31" max="32" width="18.77734375" bestFit="1" customWidth="1"/>
    <col min="33" max="33" width="20.44140625" bestFit="1" customWidth="1"/>
    <col min="34" max="34" width="25.88671875" bestFit="1" customWidth="1"/>
    <col min="35" max="35" width="24.21875" bestFit="1" customWidth="1"/>
    <col min="36" max="36" width="12.88671875" bestFit="1" customWidth="1"/>
    <col min="37" max="37" width="15.77734375" bestFit="1" customWidth="1"/>
    <col min="38" max="38" width="23.88671875" bestFit="1"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84</v>
      </c>
      <c r="AK1" t="s">
        <v>94</v>
      </c>
      <c r="AL1" t="s">
        <v>100</v>
      </c>
      <c r="AM1" t="s">
        <v>115</v>
      </c>
    </row>
    <row r="2" spans="1:39"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f>IF(HR_Employee_Attrition[[#This Row],[Age]]&gt;60,"60+",IF(HR_Employee_Attrition[[#This Row],[Age]]&gt;=50,"50-59",IF(HR_Employee_Attrition[[#This Row],[Age]]&gt;=40,"40-49",IF(HR_Employee_Attrition[[#This Row],[Age]]&gt;=30,"30-39",IF(HR_Employee_Attrition[[#This Row],[Age]]&gt;=20,"20-29",IF(HR_Employee_Attrition[[#This Row],[Age]]&gt;=18,"18-20"))))))</f>
        <v>40-49</v>
      </c>
      <c r="AK2" t="str" cm="1">
        <f t="array" ref="AK2">_xlfn.IFS(HR_Employee_Attrition[[#This Row],[YearsAtCompany]]&lt;=2,"0-2",HR_Employee_Attrition[[#This Row],[YearsAtCompany]]&lt;=5,"3-5",HR_Employee_Attrition[[#This Row],[YearsAtCompany]]&lt;=10,"6-10",HR_Employee_Attrition[[#This Row],[YearsAtCompany]]&gt;10,"10+")</f>
        <v>6-10</v>
      </c>
      <c r="AL2" t="str" cm="1">
        <f t="array" ref="AL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
        <f>IF(HR_Employee_Attrition[[#This Row],[Attrition]]="Yes",1,0)</f>
        <v>1</v>
      </c>
    </row>
    <row r="3" spans="1:39"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f>IF(HR_Employee_Attrition[[#This Row],[Age]]&gt;60,"60+",IF(HR_Employee_Attrition[[#This Row],[Age]]&gt;=50,"50-59",IF(HR_Employee_Attrition[[#This Row],[Age]]&gt;=40,"40-49",IF(HR_Employee_Attrition[[#This Row],[Age]]&gt;=30,"30-39",IF(HR_Employee_Attrition[[#This Row],[Age]]&gt;=20,"20-29",IF(HR_Employee_Attrition[[#This Row],[Age]]&gt;=18,"18-20"))))))</f>
        <v>40-49</v>
      </c>
      <c r="AK3" t="str" cm="1">
        <f t="array" ref="AK3">_xlfn.IFS(HR_Employee_Attrition[[#This Row],[YearsAtCompany]]&lt;=2,"0-2",HR_Employee_Attrition[[#This Row],[YearsAtCompany]]&lt;=5,"3-5",HR_Employee_Attrition[[#This Row],[YearsAtCompany]]&lt;=10,"6-10",HR_Employee_Attrition[[#This Row],[YearsAtCompany]]&gt;10,"10+")</f>
        <v>6-10</v>
      </c>
      <c r="AL3" t="str" cm="1">
        <f t="array" ref="AL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
        <f>IF(HR_Employee_Attrition[[#This Row],[Attrition]]="Yes",1,0)</f>
        <v>0</v>
      </c>
    </row>
    <row r="4" spans="1:39"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f>IF(HR_Employee_Attrition[[#This Row],[Age]]&gt;60,"60+",IF(HR_Employee_Attrition[[#This Row],[Age]]&gt;=50,"50-59",IF(HR_Employee_Attrition[[#This Row],[Age]]&gt;=40,"40-49",IF(HR_Employee_Attrition[[#This Row],[Age]]&gt;=30,"30-39",IF(HR_Employee_Attrition[[#This Row],[Age]]&gt;=20,"20-29",IF(HR_Employee_Attrition[[#This Row],[Age]]&gt;=18,"18-20"))))))</f>
        <v>30-39</v>
      </c>
      <c r="AK4" t="str" cm="1">
        <f t="array" ref="AK4">_xlfn.IFS(HR_Employee_Attrition[[#This Row],[YearsAtCompany]]&lt;=2,"0-2",HR_Employee_Attrition[[#This Row],[YearsAtCompany]]&lt;=5,"3-5",HR_Employee_Attrition[[#This Row],[YearsAtCompany]]&lt;=10,"6-10",HR_Employee_Attrition[[#This Row],[YearsAtCompany]]&gt;10,"10+")</f>
        <v>0-2</v>
      </c>
      <c r="AL4" t="str" cm="1">
        <f t="array" ref="AL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
        <f>IF(HR_Employee_Attrition[[#This Row],[Attrition]]="Yes",1,0)</f>
        <v>1</v>
      </c>
    </row>
    <row r="5" spans="1:39"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f>IF(HR_Employee_Attrition[[#This Row],[Age]]&gt;60,"60+",IF(HR_Employee_Attrition[[#This Row],[Age]]&gt;=50,"50-59",IF(HR_Employee_Attrition[[#This Row],[Age]]&gt;=40,"40-49",IF(HR_Employee_Attrition[[#This Row],[Age]]&gt;=30,"30-39",IF(HR_Employee_Attrition[[#This Row],[Age]]&gt;=20,"20-29",IF(HR_Employee_Attrition[[#This Row],[Age]]&gt;=18,"18-20"))))))</f>
        <v>30-39</v>
      </c>
      <c r="AK5" t="str" cm="1">
        <f t="array" ref="AK5">_xlfn.IFS(HR_Employee_Attrition[[#This Row],[YearsAtCompany]]&lt;=2,"0-2",HR_Employee_Attrition[[#This Row],[YearsAtCompany]]&lt;=5,"3-5",HR_Employee_Attrition[[#This Row],[YearsAtCompany]]&lt;=10,"6-10",HR_Employee_Attrition[[#This Row],[YearsAtCompany]]&gt;10,"10+")</f>
        <v>6-10</v>
      </c>
      <c r="AL5" t="str" cm="1">
        <f t="array" ref="AL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
        <f>IF(HR_Employee_Attrition[[#This Row],[Attrition]]="Yes",1,0)</f>
        <v>0</v>
      </c>
    </row>
    <row r="6" spans="1:39"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f>IF(HR_Employee_Attrition[[#This Row],[Age]]&gt;60,"60+",IF(HR_Employee_Attrition[[#This Row],[Age]]&gt;=50,"50-59",IF(HR_Employee_Attrition[[#This Row],[Age]]&gt;=40,"40-49",IF(HR_Employee_Attrition[[#This Row],[Age]]&gt;=30,"30-39",IF(HR_Employee_Attrition[[#This Row],[Age]]&gt;=20,"20-29",IF(HR_Employee_Attrition[[#This Row],[Age]]&gt;=18,"18-20"))))))</f>
        <v>20-29</v>
      </c>
      <c r="AK6" t="str" cm="1">
        <f t="array" ref="AK6">_xlfn.IFS(HR_Employee_Attrition[[#This Row],[YearsAtCompany]]&lt;=2,"0-2",HR_Employee_Attrition[[#This Row],[YearsAtCompany]]&lt;=5,"3-5",HR_Employee_Attrition[[#This Row],[YearsAtCompany]]&lt;=10,"6-10",HR_Employee_Attrition[[#This Row],[YearsAtCompany]]&gt;10,"10+")</f>
        <v>0-2</v>
      </c>
      <c r="AL6" t="str" cm="1">
        <f t="array" ref="AL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
        <f>IF(HR_Employee_Attrition[[#This Row],[Attrition]]="Yes",1,0)</f>
        <v>0</v>
      </c>
    </row>
    <row r="7" spans="1:39"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f>IF(HR_Employee_Attrition[[#This Row],[Age]]&gt;60,"60+",IF(HR_Employee_Attrition[[#This Row],[Age]]&gt;=50,"50-59",IF(HR_Employee_Attrition[[#This Row],[Age]]&gt;=40,"40-49",IF(HR_Employee_Attrition[[#This Row],[Age]]&gt;=30,"30-39",IF(HR_Employee_Attrition[[#This Row],[Age]]&gt;=20,"20-29",IF(HR_Employee_Attrition[[#This Row],[Age]]&gt;=18,"18-20"))))))</f>
        <v>30-39</v>
      </c>
      <c r="AK7" t="str" cm="1">
        <f t="array" ref="AK7">_xlfn.IFS(HR_Employee_Attrition[[#This Row],[YearsAtCompany]]&lt;=2,"0-2",HR_Employee_Attrition[[#This Row],[YearsAtCompany]]&lt;=5,"3-5",HR_Employee_Attrition[[#This Row],[YearsAtCompany]]&lt;=10,"6-10",HR_Employee_Attrition[[#This Row],[YearsAtCompany]]&gt;10,"10+")</f>
        <v>6-10</v>
      </c>
      <c r="AL7" t="str" cm="1">
        <f t="array" ref="AL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
        <f>IF(HR_Employee_Attrition[[#This Row],[Attrition]]="Yes",1,0)</f>
        <v>0</v>
      </c>
    </row>
    <row r="8" spans="1:39"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f>IF(HR_Employee_Attrition[[#This Row],[Age]]&gt;60,"60+",IF(HR_Employee_Attrition[[#This Row],[Age]]&gt;=50,"50-59",IF(HR_Employee_Attrition[[#This Row],[Age]]&gt;=40,"40-49",IF(HR_Employee_Attrition[[#This Row],[Age]]&gt;=30,"30-39",IF(HR_Employee_Attrition[[#This Row],[Age]]&gt;=20,"20-29",IF(HR_Employee_Attrition[[#This Row],[Age]]&gt;=18,"18-20"))))))</f>
        <v>50-59</v>
      </c>
      <c r="AK8" t="str" cm="1">
        <f t="array" ref="AK8">_xlfn.IFS(HR_Employee_Attrition[[#This Row],[YearsAtCompany]]&lt;=2,"0-2",HR_Employee_Attrition[[#This Row],[YearsAtCompany]]&lt;=5,"3-5",HR_Employee_Attrition[[#This Row],[YearsAtCompany]]&lt;=10,"6-10",HR_Employee_Attrition[[#This Row],[YearsAtCompany]]&gt;10,"10+")</f>
        <v>0-2</v>
      </c>
      <c r="AL8" t="str" cm="1">
        <f t="array" ref="AL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
        <f>IF(HR_Employee_Attrition[[#This Row],[Attrition]]="Yes",1,0)</f>
        <v>0</v>
      </c>
    </row>
    <row r="9" spans="1:39"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f>IF(HR_Employee_Attrition[[#This Row],[Age]]&gt;60,"60+",IF(HR_Employee_Attrition[[#This Row],[Age]]&gt;=50,"50-59",IF(HR_Employee_Attrition[[#This Row],[Age]]&gt;=40,"40-49",IF(HR_Employee_Attrition[[#This Row],[Age]]&gt;=30,"30-39",IF(HR_Employee_Attrition[[#This Row],[Age]]&gt;=20,"20-29",IF(HR_Employee_Attrition[[#This Row],[Age]]&gt;=18,"18-20"))))))</f>
        <v>30-39</v>
      </c>
      <c r="AK9" t="str" cm="1">
        <f t="array" ref="AK9">_xlfn.IFS(HR_Employee_Attrition[[#This Row],[YearsAtCompany]]&lt;=2,"0-2",HR_Employee_Attrition[[#This Row],[YearsAtCompany]]&lt;=5,"3-5",HR_Employee_Attrition[[#This Row],[YearsAtCompany]]&lt;=10,"6-10",HR_Employee_Attrition[[#This Row],[YearsAtCompany]]&gt;10,"10+")</f>
        <v>0-2</v>
      </c>
      <c r="AL9" t="str" cm="1">
        <f t="array" ref="AL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
        <f>IF(HR_Employee_Attrition[[#This Row],[Attrition]]="Yes",1,0)</f>
        <v>0</v>
      </c>
    </row>
    <row r="10" spans="1:39"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IF(HR_Employee_Attrition[[#This Row],[Age]]&gt;60,"60+",IF(HR_Employee_Attrition[[#This Row],[Age]]&gt;=50,"50-59",IF(HR_Employee_Attrition[[#This Row],[Age]]&gt;=40,"40-49",IF(HR_Employee_Attrition[[#This Row],[Age]]&gt;=30,"30-39",IF(HR_Employee_Attrition[[#This Row],[Age]]&gt;=20,"20-29",IF(HR_Employee_Attrition[[#This Row],[Age]]&gt;=18,"18-20"))))))</f>
        <v>30-39</v>
      </c>
      <c r="AK10" t="str" cm="1">
        <f t="array" ref="AK10">_xlfn.IFS(HR_Employee_Attrition[[#This Row],[YearsAtCompany]]&lt;=2,"0-2",HR_Employee_Attrition[[#This Row],[YearsAtCompany]]&lt;=5,"3-5",HR_Employee_Attrition[[#This Row],[YearsAtCompany]]&lt;=10,"6-10",HR_Employee_Attrition[[#This Row],[YearsAtCompany]]&gt;10,"10+")</f>
        <v>6-10</v>
      </c>
      <c r="AL10" t="str" cm="1">
        <f t="array" ref="AL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
        <f>IF(HR_Employee_Attrition[[#This Row],[Attrition]]="Yes",1,0)</f>
        <v>0</v>
      </c>
    </row>
    <row r="11" spans="1:39"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IF(HR_Employee_Attrition[[#This Row],[Age]]&gt;60,"60+",IF(HR_Employee_Attrition[[#This Row],[Age]]&gt;=50,"50-59",IF(HR_Employee_Attrition[[#This Row],[Age]]&gt;=40,"40-49",IF(HR_Employee_Attrition[[#This Row],[Age]]&gt;=30,"30-39",IF(HR_Employee_Attrition[[#This Row],[Age]]&gt;=20,"20-29",IF(HR_Employee_Attrition[[#This Row],[Age]]&gt;=18,"18-20"))))))</f>
        <v>30-39</v>
      </c>
      <c r="AK11" t="str" cm="1">
        <f t="array" ref="AK11">_xlfn.IFS(HR_Employee_Attrition[[#This Row],[YearsAtCompany]]&lt;=2,"0-2",HR_Employee_Attrition[[#This Row],[YearsAtCompany]]&lt;=5,"3-5",HR_Employee_Attrition[[#This Row],[YearsAtCompany]]&lt;=10,"6-10",HR_Employee_Attrition[[#This Row],[YearsAtCompany]]&gt;10,"10+")</f>
        <v>6-10</v>
      </c>
      <c r="AL11" t="str" cm="1">
        <f t="array" ref="AL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
        <f>IF(HR_Employee_Attrition[[#This Row],[Attrition]]="Yes",1,0)</f>
        <v>0</v>
      </c>
    </row>
    <row r="12" spans="1:39"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IF(HR_Employee_Attrition[[#This Row],[Age]]&gt;60,"60+",IF(HR_Employee_Attrition[[#This Row],[Age]]&gt;=50,"50-59",IF(HR_Employee_Attrition[[#This Row],[Age]]&gt;=40,"40-49",IF(HR_Employee_Attrition[[#This Row],[Age]]&gt;=30,"30-39",IF(HR_Employee_Attrition[[#This Row],[Age]]&gt;=20,"20-29",IF(HR_Employee_Attrition[[#This Row],[Age]]&gt;=18,"18-20"))))))</f>
        <v>30-39</v>
      </c>
      <c r="AK12" t="str" cm="1">
        <f t="array" ref="AK12">_xlfn.IFS(HR_Employee_Attrition[[#This Row],[YearsAtCompany]]&lt;=2,"0-2",HR_Employee_Attrition[[#This Row],[YearsAtCompany]]&lt;=5,"3-5",HR_Employee_Attrition[[#This Row],[YearsAtCompany]]&lt;=10,"6-10",HR_Employee_Attrition[[#This Row],[YearsAtCompany]]&gt;10,"10+")</f>
        <v>3-5</v>
      </c>
      <c r="AL12" t="str" cm="1">
        <f t="array" ref="AL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
        <f>IF(HR_Employee_Attrition[[#This Row],[Attrition]]="Yes",1,0)</f>
        <v>0</v>
      </c>
    </row>
    <row r="13" spans="1:39"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IF(HR_Employee_Attrition[[#This Row],[Age]]&gt;60,"60+",IF(HR_Employee_Attrition[[#This Row],[Age]]&gt;=50,"50-59",IF(HR_Employee_Attrition[[#This Row],[Age]]&gt;=40,"40-49",IF(HR_Employee_Attrition[[#This Row],[Age]]&gt;=30,"30-39",IF(HR_Employee_Attrition[[#This Row],[Age]]&gt;=20,"20-29",IF(HR_Employee_Attrition[[#This Row],[Age]]&gt;=18,"18-20"))))))</f>
        <v>20-29</v>
      </c>
      <c r="AK13" t="str" cm="1">
        <f t="array" ref="AK13">_xlfn.IFS(HR_Employee_Attrition[[#This Row],[YearsAtCompany]]&lt;=2,"0-2",HR_Employee_Attrition[[#This Row],[YearsAtCompany]]&lt;=5,"3-5",HR_Employee_Attrition[[#This Row],[YearsAtCompany]]&lt;=10,"6-10",HR_Employee_Attrition[[#This Row],[YearsAtCompany]]&gt;10,"10+")</f>
        <v>6-10</v>
      </c>
      <c r="AL13" t="str" cm="1">
        <f t="array" ref="AL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
        <f>IF(HR_Employee_Attrition[[#This Row],[Attrition]]="Yes",1,0)</f>
        <v>0</v>
      </c>
    </row>
    <row r="14" spans="1:39"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IF(HR_Employee_Attrition[[#This Row],[Age]]&gt;60,"60+",IF(HR_Employee_Attrition[[#This Row],[Age]]&gt;=50,"50-59",IF(HR_Employee_Attrition[[#This Row],[Age]]&gt;=40,"40-49",IF(HR_Employee_Attrition[[#This Row],[Age]]&gt;=30,"30-39",IF(HR_Employee_Attrition[[#This Row],[Age]]&gt;=20,"20-29",IF(HR_Employee_Attrition[[#This Row],[Age]]&gt;=18,"18-20"))))))</f>
        <v>30-39</v>
      </c>
      <c r="AK14" t="str" cm="1">
        <f t="array" ref="AK14">_xlfn.IFS(HR_Employee_Attrition[[#This Row],[YearsAtCompany]]&lt;=2,"0-2",HR_Employee_Attrition[[#This Row],[YearsAtCompany]]&lt;=5,"3-5",HR_Employee_Attrition[[#This Row],[YearsAtCompany]]&lt;=10,"6-10",HR_Employee_Attrition[[#This Row],[YearsAtCompany]]&gt;10,"10+")</f>
        <v>3-5</v>
      </c>
      <c r="AL14" t="str" cm="1">
        <f t="array" ref="AL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
        <f>IF(HR_Employee_Attrition[[#This Row],[Attrition]]="Yes",1,0)</f>
        <v>0</v>
      </c>
    </row>
    <row r="15" spans="1:39"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IF(HR_Employee_Attrition[[#This Row],[Age]]&gt;60,"60+",IF(HR_Employee_Attrition[[#This Row],[Age]]&gt;=50,"50-59",IF(HR_Employee_Attrition[[#This Row],[Age]]&gt;=40,"40-49",IF(HR_Employee_Attrition[[#This Row],[Age]]&gt;=30,"30-39",IF(HR_Employee_Attrition[[#This Row],[Age]]&gt;=20,"20-29",IF(HR_Employee_Attrition[[#This Row],[Age]]&gt;=18,"18-20"))))))</f>
        <v>30-39</v>
      </c>
      <c r="AK15" t="str" cm="1">
        <f t="array" ref="AK15">_xlfn.IFS(HR_Employee_Attrition[[#This Row],[YearsAtCompany]]&lt;=2,"0-2",HR_Employee_Attrition[[#This Row],[YearsAtCompany]]&lt;=5,"3-5",HR_Employee_Attrition[[#This Row],[YearsAtCompany]]&lt;=10,"6-10",HR_Employee_Attrition[[#This Row],[YearsAtCompany]]&gt;10,"10+")</f>
        <v>0-2</v>
      </c>
      <c r="AL15" t="str" cm="1">
        <f t="array" ref="AL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5">
        <f>IF(HR_Employee_Attrition[[#This Row],[Attrition]]="Yes",1,0)</f>
        <v>0</v>
      </c>
    </row>
    <row r="16" spans="1:39"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IF(HR_Employee_Attrition[[#This Row],[Age]]&gt;60,"60+",IF(HR_Employee_Attrition[[#This Row],[Age]]&gt;=50,"50-59",IF(HR_Employee_Attrition[[#This Row],[Age]]&gt;=40,"40-49",IF(HR_Employee_Attrition[[#This Row],[Age]]&gt;=30,"30-39",IF(HR_Employee_Attrition[[#This Row],[Age]]&gt;=20,"20-29",IF(HR_Employee_Attrition[[#This Row],[Age]]&gt;=18,"18-20"))))))</f>
        <v>20-29</v>
      </c>
      <c r="AK16" t="str" cm="1">
        <f t="array" ref="AK16">_xlfn.IFS(HR_Employee_Attrition[[#This Row],[YearsAtCompany]]&lt;=2,"0-2",HR_Employee_Attrition[[#This Row],[YearsAtCompany]]&lt;=5,"3-5",HR_Employee_Attrition[[#This Row],[YearsAtCompany]]&lt;=10,"6-10",HR_Employee_Attrition[[#This Row],[YearsAtCompany]]&gt;10,"10+")</f>
        <v>3-5</v>
      </c>
      <c r="AL16" t="str" cm="1">
        <f t="array" ref="AL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6">
        <f>IF(HR_Employee_Attrition[[#This Row],[Attrition]]="Yes",1,0)</f>
        <v>1</v>
      </c>
    </row>
    <row r="17" spans="1:39"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IF(HR_Employee_Attrition[[#This Row],[Age]]&gt;60,"60+",IF(HR_Employee_Attrition[[#This Row],[Age]]&gt;=50,"50-59",IF(HR_Employee_Attrition[[#This Row],[Age]]&gt;=40,"40-49",IF(HR_Employee_Attrition[[#This Row],[Age]]&gt;=30,"30-39",IF(HR_Employee_Attrition[[#This Row],[Age]]&gt;=20,"20-29",IF(HR_Employee_Attrition[[#This Row],[Age]]&gt;=18,"18-20"))))))</f>
        <v>20-29</v>
      </c>
      <c r="AK17" t="str" cm="1">
        <f t="array" ref="AK17">_xlfn.IFS(HR_Employee_Attrition[[#This Row],[YearsAtCompany]]&lt;=2,"0-2",HR_Employee_Attrition[[#This Row],[YearsAtCompany]]&lt;=5,"3-5",HR_Employee_Attrition[[#This Row],[YearsAtCompany]]&lt;=10,"6-10",HR_Employee_Attrition[[#This Row],[YearsAtCompany]]&gt;10,"10+")</f>
        <v>6-10</v>
      </c>
      <c r="AL17" t="str" cm="1">
        <f t="array" ref="AL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7">
        <f>IF(HR_Employee_Attrition[[#This Row],[Attrition]]="Yes",1,0)</f>
        <v>0</v>
      </c>
    </row>
    <row r="18" spans="1:39"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IF(HR_Employee_Attrition[[#This Row],[Age]]&gt;60,"60+",IF(HR_Employee_Attrition[[#This Row],[Age]]&gt;=50,"50-59",IF(HR_Employee_Attrition[[#This Row],[Age]]&gt;=40,"40-49",IF(HR_Employee_Attrition[[#This Row],[Age]]&gt;=30,"30-39",IF(HR_Employee_Attrition[[#This Row],[Age]]&gt;=20,"20-29",IF(HR_Employee_Attrition[[#This Row],[Age]]&gt;=18,"18-20"))))))</f>
        <v>30-39</v>
      </c>
      <c r="AK18" t="str" cm="1">
        <f t="array" ref="AK18">_xlfn.IFS(HR_Employee_Attrition[[#This Row],[YearsAtCompany]]&lt;=2,"0-2",HR_Employee_Attrition[[#This Row],[YearsAtCompany]]&lt;=5,"3-5",HR_Employee_Attrition[[#This Row],[YearsAtCompany]]&lt;=10,"6-10",HR_Employee_Attrition[[#This Row],[YearsAtCompany]]&gt;10,"10+")</f>
        <v>6-10</v>
      </c>
      <c r="AL18" t="str" cm="1">
        <f t="array" ref="AL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8">
        <f>IF(HR_Employee_Attrition[[#This Row],[Attrition]]="Yes",1,0)</f>
        <v>0</v>
      </c>
    </row>
    <row r="19" spans="1:39"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IF(HR_Employee_Attrition[[#This Row],[Age]]&gt;60,"60+",IF(HR_Employee_Attrition[[#This Row],[Age]]&gt;=50,"50-59",IF(HR_Employee_Attrition[[#This Row],[Age]]&gt;=40,"40-49",IF(HR_Employee_Attrition[[#This Row],[Age]]&gt;=30,"30-39",IF(HR_Employee_Attrition[[#This Row],[Age]]&gt;=20,"20-29",IF(HR_Employee_Attrition[[#This Row],[Age]]&gt;=18,"18-20"))))))</f>
        <v>20-29</v>
      </c>
      <c r="AK19" t="str" cm="1">
        <f t="array" ref="AK19">_xlfn.IFS(HR_Employee_Attrition[[#This Row],[YearsAtCompany]]&lt;=2,"0-2",HR_Employee_Attrition[[#This Row],[YearsAtCompany]]&lt;=5,"3-5",HR_Employee_Attrition[[#This Row],[YearsAtCompany]]&lt;=10,"6-10",HR_Employee_Attrition[[#This Row],[YearsAtCompany]]&gt;10,"10+")</f>
        <v>0-2</v>
      </c>
      <c r="AL19" t="str" cm="1">
        <f t="array" ref="AL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9">
        <f>IF(HR_Employee_Attrition[[#This Row],[Attrition]]="Yes",1,0)</f>
        <v>0</v>
      </c>
    </row>
    <row r="20" spans="1:39"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IF(HR_Employee_Attrition[[#This Row],[Age]]&gt;60,"60+",IF(HR_Employee_Attrition[[#This Row],[Age]]&gt;=50,"50-59",IF(HR_Employee_Attrition[[#This Row],[Age]]&gt;=40,"40-49",IF(HR_Employee_Attrition[[#This Row],[Age]]&gt;=30,"30-39",IF(HR_Employee_Attrition[[#This Row],[Age]]&gt;=20,"20-29",IF(HR_Employee_Attrition[[#This Row],[Age]]&gt;=18,"18-20"))))))</f>
        <v>50-59</v>
      </c>
      <c r="AK20" t="str" cm="1">
        <f t="array" ref="AK20">_xlfn.IFS(HR_Employee_Attrition[[#This Row],[YearsAtCompany]]&lt;=2,"0-2",HR_Employee_Attrition[[#This Row],[YearsAtCompany]]&lt;=5,"3-5",HR_Employee_Attrition[[#This Row],[YearsAtCompany]]&lt;=10,"6-10",HR_Employee_Attrition[[#This Row],[YearsAtCompany]]&gt;10,"10+")</f>
        <v>10+</v>
      </c>
      <c r="AL20" t="str" cm="1">
        <f t="array" ref="AL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20">
        <f>IF(HR_Employee_Attrition[[#This Row],[Attrition]]="Yes",1,0)</f>
        <v>0</v>
      </c>
    </row>
    <row r="21" spans="1:39"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IF(HR_Employee_Attrition[[#This Row],[Age]]&gt;60,"60+",IF(HR_Employee_Attrition[[#This Row],[Age]]&gt;=50,"50-59",IF(HR_Employee_Attrition[[#This Row],[Age]]&gt;=40,"40-49",IF(HR_Employee_Attrition[[#This Row],[Age]]&gt;=30,"30-39",IF(HR_Employee_Attrition[[#This Row],[Age]]&gt;=20,"20-29",IF(HR_Employee_Attrition[[#This Row],[Age]]&gt;=18,"18-20"))))))</f>
        <v>30-39</v>
      </c>
      <c r="AK21" t="str" cm="1">
        <f t="array" ref="AK21">_xlfn.IFS(HR_Employee_Attrition[[#This Row],[YearsAtCompany]]&lt;=2,"0-2",HR_Employee_Attrition[[#This Row],[YearsAtCompany]]&lt;=5,"3-5",HR_Employee_Attrition[[#This Row],[YearsAtCompany]]&lt;=10,"6-10",HR_Employee_Attrition[[#This Row],[YearsAtCompany]]&gt;10,"10+")</f>
        <v>3-5</v>
      </c>
      <c r="AL21" t="str" cm="1">
        <f t="array" ref="AL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1">
        <f>IF(HR_Employee_Attrition[[#This Row],[Attrition]]="Yes",1,0)</f>
        <v>0</v>
      </c>
    </row>
    <row r="22" spans="1:39"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IF(HR_Employee_Attrition[[#This Row],[Age]]&gt;60,"60+",IF(HR_Employee_Attrition[[#This Row],[Age]]&gt;=50,"50-59",IF(HR_Employee_Attrition[[#This Row],[Age]]&gt;=40,"40-49",IF(HR_Employee_Attrition[[#This Row],[Age]]&gt;=30,"30-39",IF(HR_Employee_Attrition[[#This Row],[Age]]&gt;=20,"20-29",IF(HR_Employee_Attrition[[#This Row],[Age]]&gt;=18,"18-20"))))))</f>
        <v>20-29</v>
      </c>
      <c r="AK22" t="str" cm="1">
        <f t="array" ref="AK22">_xlfn.IFS(HR_Employee_Attrition[[#This Row],[YearsAtCompany]]&lt;=2,"0-2",HR_Employee_Attrition[[#This Row],[YearsAtCompany]]&lt;=5,"3-5",HR_Employee_Attrition[[#This Row],[YearsAtCompany]]&lt;=10,"6-10",HR_Employee_Attrition[[#This Row],[YearsAtCompany]]&gt;10,"10+")</f>
        <v>3-5</v>
      </c>
      <c r="AL22" t="str" cm="1">
        <f t="array" ref="AL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2">
        <f>IF(HR_Employee_Attrition[[#This Row],[Attrition]]="Yes",1,0)</f>
        <v>0</v>
      </c>
    </row>
    <row r="23" spans="1:39"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IF(HR_Employee_Attrition[[#This Row],[Age]]&gt;60,"60+",IF(HR_Employee_Attrition[[#This Row],[Age]]&gt;=50,"50-59",IF(HR_Employee_Attrition[[#This Row],[Age]]&gt;=40,"40-49",IF(HR_Employee_Attrition[[#This Row],[Age]]&gt;=30,"30-39",IF(HR_Employee_Attrition[[#This Row],[Age]]&gt;=20,"20-29",IF(HR_Employee_Attrition[[#This Row],[Age]]&gt;=18,"18-20"))))))</f>
        <v>30-39</v>
      </c>
      <c r="AK23" t="str" cm="1">
        <f t="array" ref="AK23">_xlfn.IFS(HR_Employee_Attrition[[#This Row],[YearsAtCompany]]&lt;=2,"0-2",HR_Employee_Attrition[[#This Row],[YearsAtCompany]]&lt;=5,"3-5",HR_Employee_Attrition[[#This Row],[YearsAtCompany]]&lt;=10,"6-10",HR_Employee_Attrition[[#This Row],[YearsAtCompany]]&gt;10,"10+")</f>
        <v>3-5</v>
      </c>
      <c r="AL23" t="str" cm="1">
        <f t="array" ref="AL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3">
        <f>IF(HR_Employee_Attrition[[#This Row],[Attrition]]="Yes",1,0)</f>
        <v>1</v>
      </c>
    </row>
    <row r="24" spans="1:39"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IF(HR_Employee_Attrition[[#This Row],[Age]]&gt;60,"60+",IF(HR_Employee_Attrition[[#This Row],[Age]]&gt;=50,"50-59",IF(HR_Employee_Attrition[[#This Row],[Age]]&gt;=40,"40-49",IF(HR_Employee_Attrition[[#This Row],[Age]]&gt;=30,"30-39",IF(HR_Employee_Attrition[[#This Row],[Age]]&gt;=20,"20-29",IF(HR_Employee_Attrition[[#This Row],[Age]]&gt;=18,"18-20"))))))</f>
        <v>30-39</v>
      </c>
      <c r="AK24" t="str" cm="1">
        <f t="array" ref="AK24">_xlfn.IFS(HR_Employee_Attrition[[#This Row],[YearsAtCompany]]&lt;=2,"0-2",HR_Employee_Attrition[[#This Row],[YearsAtCompany]]&lt;=5,"3-5",HR_Employee_Attrition[[#This Row],[YearsAtCompany]]&lt;=10,"6-10",HR_Employee_Attrition[[#This Row],[YearsAtCompany]]&gt;10,"10+")</f>
        <v>10+</v>
      </c>
      <c r="AL24" t="str" cm="1">
        <f t="array" ref="AL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24">
        <f>IF(HR_Employee_Attrition[[#This Row],[Attrition]]="Yes",1,0)</f>
        <v>0</v>
      </c>
    </row>
    <row r="25" spans="1:39"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IF(HR_Employee_Attrition[[#This Row],[Age]]&gt;60,"60+",IF(HR_Employee_Attrition[[#This Row],[Age]]&gt;=50,"50-59",IF(HR_Employee_Attrition[[#This Row],[Age]]&gt;=40,"40-49",IF(HR_Employee_Attrition[[#This Row],[Age]]&gt;=30,"30-39",IF(HR_Employee_Attrition[[#This Row],[Age]]&gt;=20,"20-29",IF(HR_Employee_Attrition[[#This Row],[Age]]&gt;=18,"18-20"))))))</f>
        <v>20-29</v>
      </c>
      <c r="AK25" t="str" cm="1">
        <f t="array" ref="AK25">_xlfn.IFS(HR_Employee_Attrition[[#This Row],[YearsAtCompany]]&lt;=2,"0-2",HR_Employee_Attrition[[#This Row],[YearsAtCompany]]&lt;=5,"3-5",HR_Employee_Attrition[[#This Row],[YearsAtCompany]]&lt;=10,"6-10",HR_Employee_Attrition[[#This Row],[YearsAtCompany]]&gt;10,"10+")</f>
        <v>0-2</v>
      </c>
      <c r="AL25" t="str" cm="1">
        <f t="array" ref="AL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5">
        <f>IF(HR_Employee_Attrition[[#This Row],[Attrition]]="Yes",1,0)</f>
        <v>0</v>
      </c>
    </row>
    <row r="26" spans="1:39"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IF(HR_Employee_Attrition[[#This Row],[Age]]&gt;60,"60+",IF(HR_Employee_Attrition[[#This Row],[Age]]&gt;=50,"50-59",IF(HR_Employee_Attrition[[#This Row],[Age]]&gt;=40,"40-49",IF(HR_Employee_Attrition[[#This Row],[Age]]&gt;=30,"30-39",IF(HR_Employee_Attrition[[#This Row],[Age]]&gt;=20,"20-29",IF(HR_Employee_Attrition[[#This Row],[Age]]&gt;=18,"18-20"))))))</f>
        <v>30-39</v>
      </c>
      <c r="AK26" t="str" cm="1">
        <f t="array" ref="AK26">_xlfn.IFS(HR_Employee_Attrition[[#This Row],[YearsAtCompany]]&lt;=2,"0-2",HR_Employee_Attrition[[#This Row],[YearsAtCompany]]&lt;=5,"3-5",HR_Employee_Attrition[[#This Row],[YearsAtCompany]]&lt;=10,"6-10",HR_Employee_Attrition[[#This Row],[YearsAtCompany]]&gt;10,"10+")</f>
        <v>3-5</v>
      </c>
      <c r="AL26" t="str" cm="1">
        <f t="array" ref="AL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6">
        <f>IF(HR_Employee_Attrition[[#This Row],[Attrition]]="Yes",1,0)</f>
        <v>1</v>
      </c>
    </row>
    <row r="27" spans="1:39"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IF(HR_Employee_Attrition[[#This Row],[Age]]&gt;60,"60+",IF(HR_Employee_Attrition[[#This Row],[Age]]&gt;=50,"50-59",IF(HR_Employee_Attrition[[#This Row],[Age]]&gt;=40,"40-49",IF(HR_Employee_Attrition[[#This Row],[Age]]&gt;=30,"30-39",IF(HR_Employee_Attrition[[#This Row],[Age]]&gt;=20,"20-29",IF(HR_Employee_Attrition[[#This Row],[Age]]&gt;=18,"18-20"))))))</f>
        <v>50-59</v>
      </c>
      <c r="AK27" t="str" cm="1">
        <f t="array" ref="AK27">_xlfn.IFS(HR_Employee_Attrition[[#This Row],[YearsAtCompany]]&lt;=2,"0-2",HR_Employee_Attrition[[#This Row],[YearsAtCompany]]&lt;=5,"3-5",HR_Employee_Attrition[[#This Row],[YearsAtCompany]]&lt;=10,"6-10",HR_Employee_Attrition[[#This Row],[YearsAtCompany]]&gt;10,"10+")</f>
        <v>10+</v>
      </c>
      <c r="AL27" t="str" cm="1">
        <f t="array" ref="AL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27">
        <f>IF(HR_Employee_Attrition[[#This Row],[Attrition]]="Yes",1,0)</f>
        <v>0</v>
      </c>
    </row>
    <row r="28" spans="1:39"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IF(HR_Employee_Attrition[[#This Row],[Age]]&gt;60,"60+",IF(HR_Employee_Attrition[[#This Row],[Age]]&gt;=50,"50-59",IF(HR_Employee_Attrition[[#This Row],[Age]]&gt;=40,"40-49",IF(HR_Employee_Attrition[[#This Row],[Age]]&gt;=30,"30-39",IF(HR_Employee_Attrition[[#This Row],[Age]]&gt;=20,"20-29",IF(HR_Employee_Attrition[[#This Row],[Age]]&gt;=18,"18-20"))))))</f>
        <v>30-39</v>
      </c>
      <c r="AK28" t="str" cm="1">
        <f t="array" ref="AK28">_xlfn.IFS(HR_Employee_Attrition[[#This Row],[YearsAtCompany]]&lt;=2,"0-2",HR_Employee_Attrition[[#This Row],[YearsAtCompany]]&lt;=5,"3-5",HR_Employee_Attrition[[#This Row],[YearsAtCompany]]&lt;=10,"6-10",HR_Employee_Attrition[[#This Row],[YearsAtCompany]]&gt;10,"10+")</f>
        <v>6-10</v>
      </c>
      <c r="AL28" t="str" cm="1">
        <f t="array" ref="AL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8">
        <f>IF(HR_Employee_Attrition[[#This Row],[Attrition]]="Yes",1,0)</f>
        <v>1</v>
      </c>
    </row>
    <row r="29" spans="1:39"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IF(HR_Employee_Attrition[[#This Row],[Age]]&gt;60,"60+",IF(HR_Employee_Attrition[[#This Row],[Age]]&gt;=50,"50-59",IF(HR_Employee_Attrition[[#This Row],[Age]]&gt;=40,"40-49",IF(HR_Employee_Attrition[[#This Row],[Age]]&gt;=30,"30-39",IF(HR_Employee_Attrition[[#This Row],[Age]]&gt;=20,"20-29",IF(HR_Employee_Attrition[[#This Row],[Age]]&gt;=18,"18-20"))))))</f>
        <v>40-49</v>
      </c>
      <c r="AK29" t="str" cm="1">
        <f t="array" ref="AK29">_xlfn.IFS(HR_Employee_Attrition[[#This Row],[YearsAtCompany]]&lt;=2,"0-2",HR_Employee_Attrition[[#This Row],[YearsAtCompany]]&lt;=5,"3-5",HR_Employee_Attrition[[#This Row],[YearsAtCompany]]&lt;=10,"6-10",HR_Employee_Attrition[[#This Row],[YearsAtCompany]]&gt;10,"10+")</f>
        <v>6-10</v>
      </c>
      <c r="AL29" t="str" cm="1">
        <f t="array" ref="AL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9">
        <f>IF(HR_Employee_Attrition[[#This Row],[Attrition]]="Yes",1,0)</f>
        <v>0</v>
      </c>
    </row>
    <row r="30" spans="1:39"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IF(HR_Employee_Attrition[[#This Row],[Age]]&gt;60,"60+",IF(HR_Employee_Attrition[[#This Row],[Age]]&gt;=50,"50-59",IF(HR_Employee_Attrition[[#This Row],[Age]]&gt;=40,"40-49",IF(HR_Employee_Attrition[[#This Row],[Age]]&gt;=30,"30-39",IF(HR_Employee_Attrition[[#This Row],[Age]]&gt;=20,"20-29",IF(HR_Employee_Attrition[[#This Row],[Age]]&gt;=18,"18-20"))))))</f>
        <v>40-49</v>
      </c>
      <c r="AK30" t="str" cm="1">
        <f t="array" ref="AK30">_xlfn.IFS(HR_Employee_Attrition[[#This Row],[YearsAtCompany]]&lt;=2,"0-2",HR_Employee_Attrition[[#This Row],[YearsAtCompany]]&lt;=5,"3-5",HR_Employee_Attrition[[#This Row],[YearsAtCompany]]&lt;=10,"6-10",HR_Employee_Attrition[[#This Row],[YearsAtCompany]]&gt;10,"10+")</f>
        <v>10+</v>
      </c>
      <c r="AL30" t="str" cm="1">
        <f t="array" ref="AL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30">
        <f>IF(HR_Employee_Attrition[[#This Row],[Attrition]]="Yes",1,0)</f>
        <v>0</v>
      </c>
    </row>
    <row r="31" spans="1:39"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IF(HR_Employee_Attrition[[#This Row],[Age]]&gt;60,"60+",IF(HR_Employee_Attrition[[#This Row],[Age]]&gt;=50,"50-59",IF(HR_Employee_Attrition[[#This Row],[Age]]&gt;=40,"40-49",IF(HR_Employee_Attrition[[#This Row],[Age]]&gt;=30,"30-39",IF(HR_Employee_Attrition[[#This Row],[Age]]&gt;=20,"20-29",IF(HR_Employee_Attrition[[#This Row],[Age]]&gt;=18,"18-20"))))))</f>
        <v>40-49</v>
      </c>
      <c r="AK31" t="str" cm="1">
        <f t="array" ref="AK31">_xlfn.IFS(HR_Employee_Attrition[[#This Row],[YearsAtCompany]]&lt;=2,"0-2",HR_Employee_Attrition[[#This Row],[YearsAtCompany]]&lt;=5,"3-5",HR_Employee_Attrition[[#This Row],[YearsAtCompany]]&lt;=10,"6-10",HR_Employee_Attrition[[#This Row],[YearsAtCompany]]&gt;10,"10+")</f>
        <v>0-2</v>
      </c>
      <c r="AL31" t="str" cm="1">
        <f t="array" ref="AL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31">
        <f>IF(HR_Employee_Attrition[[#This Row],[Attrition]]="Yes",1,0)</f>
        <v>0</v>
      </c>
    </row>
    <row r="32" spans="1:39"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IF(HR_Employee_Attrition[[#This Row],[Age]]&gt;60,"60+",IF(HR_Employee_Attrition[[#This Row],[Age]]&gt;=50,"50-59",IF(HR_Employee_Attrition[[#This Row],[Age]]&gt;=40,"40-49",IF(HR_Employee_Attrition[[#This Row],[Age]]&gt;=30,"30-39",IF(HR_Employee_Attrition[[#This Row],[Age]]&gt;=20,"20-29",IF(HR_Employee_Attrition[[#This Row],[Age]]&gt;=18,"18-20"))))))</f>
        <v>30-39</v>
      </c>
      <c r="AK32" t="str" cm="1">
        <f t="array" ref="AK32">_xlfn.IFS(HR_Employee_Attrition[[#This Row],[YearsAtCompany]]&lt;=2,"0-2",HR_Employee_Attrition[[#This Row],[YearsAtCompany]]&lt;=5,"3-5",HR_Employee_Attrition[[#This Row],[YearsAtCompany]]&lt;=10,"6-10",HR_Employee_Attrition[[#This Row],[YearsAtCompany]]&gt;10,"10+")</f>
        <v>0-2</v>
      </c>
      <c r="AL32" t="str" cm="1">
        <f t="array" ref="AL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2">
        <f>IF(HR_Employee_Attrition[[#This Row],[Attrition]]="Yes",1,0)</f>
        <v>0</v>
      </c>
    </row>
    <row r="33" spans="1:39"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IF(HR_Employee_Attrition[[#This Row],[Age]]&gt;60,"60+",IF(HR_Employee_Attrition[[#This Row],[Age]]&gt;=50,"50-59",IF(HR_Employee_Attrition[[#This Row],[Age]]&gt;=40,"40-49",IF(HR_Employee_Attrition[[#This Row],[Age]]&gt;=30,"30-39",IF(HR_Employee_Attrition[[#This Row],[Age]]&gt;=20,"20-29",IF(HR_Employee_Attrition[[#This Row],[Age]]&gt;=18,"18-20"))))))</f>
        <v>40-49</v>
      </c>
      <c r="AK33" t="str" cm="1">
        <f t="array" ref="AK33">_xlfn.IFS(HR_Employee_Attrition[[#This Row],[YearsAtCompany]]&lt;=2,"0-2",HR_Employee_Attrition[[#This Row],[YearsAtCompany]]&lt;=5,"3-5",HR_Employee_Attrition[[#This Row],[YearsAtCompany]]&lt;=10,"6-10",HR_Employee_Attrition[[#This Row],[YearsAtCompany]]&gt;10,"10+")</f>
        <v>3-5</v>
      </c>
      <c r="AL33" t="str" cm="1">
        <f t="array" ref="AL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3">
        <f>IF(HR_Employee_Attrition[[#This Row],[Attrition]]="Yes",1,0)</f>
        <v>0</v>
      </c>
    </row>
    <row r="34" spans="1:39"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IF(HR_Employee_Attrition[[#This Row],[Age]]&gt;60,"60+",IF(HR_Employee_Attrition[[#This Row],[Age]]&gt;=50,"50-59",IF(HR_Employee_Attrition[[#This Row],[Age]]&gt;=40,"40-49",IF(HR_Employee_Attrition[[#This Row],[Age]]&gt;=30,"30-39",IF(HR_Employee_Attrition[[#This Row],[Age]]&gt;=20,"20-29",IF(HR_Employee_Attrition[[#This Row],[Age]]&gt;=18,"18-20"))))))</f>
        <v>30-39</v>
      </c>
      <c r="AK34" t="str" cm="1">
        <f t="array" ref="AK34">_xlfn.IFS(HR_Employee_Attrition[[#This Row],[YearsAtCompany]]&lt;=2,"0-2",HR_Employee_Attrition[[#This Row],[YearsAtCompany]]&lt;=5,"3-5",HR_Employee_Attrition[[#This Row],[YearsAtCompany]]&lt;=10,"6-10",HR_Employee_Attrition[[#This Row],[YearsAtCompany]]&gt;10,"10+")</f>
        <v>6-10</v>
      </c>
      <c r="AL34" t="str" cm="1">
        <f t="array" ref="AL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4">
        <f>IF(HR_Employee_Attrition[[#This Row],[Attrition]]="Yes",1,0)</f>
        <v>0</v>
      </c>
    </row>
    <row r="35" spans="1:39"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IF(HR_Employee_Attrition[[#This Row],[Age]]&gt;60,"60+",IF(HR_Employee_Attrition[[#This Row],[Age]]&gt;=50,"50-59",IF(HR_Employee_Attrition[[#This Row],[Age]]&gt;=40,"40-49",IF(HR_Employee_Attrition[[#This Row],[Age]]&gt;=30,"30-39",IF(HR_Employee_Attrition[[#This Row],[Age]]&gt;=20,"20-29",IF(HR_Employee_Attrition[[#This Row],[Age]]&gt;=18,"18-20"))))))</f>
        <v>30-39</v>
      </c>
      <c r="AK35" t="str" cm="1">
        <f t="array" ref="AK35">_xlfn.IFS(HR_Employee_Attrition[[#This Row],[YearsAtCompany]]&lt;=2,"0-2",HR_Employee_Attrition[[#This Row],[YearsAtCompany]]&lt;=5,"3-5",HR_Employee_Attrition[[#This Row],[YearsAtCompany]]&lt;=10,"6-10",HR_Employee_Attrition[[#This Row],[YearsAtCompany]]&gt;10,"10+")</f>
        <v>0-2</v>
      </c>
      <c r="AL35" t="str" cm="1">
        <f t="array" ref="AL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5">
        <f>IF(HR_Employee_Attrition[[#This Row],[Attrition]]="Yes",1,0)</f>
        <v>1</v>
      </c>
    </row>
    <row r="36" spans="1:39"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IF(HR_Employee_Attrition[[#This Row],[Age]]&gt;60,"60+",IF(HR_Employee_Attrition[[#This Row],[Age]]&gt;=50,"50-59",IF(HR_Employee_Attrition[[#This Row],[Age]]&gt;=40,"40-49",IF(HR_Employee_Attrition[[#This Row],[Age]]&gt;=30,"30-39",IF(HR_Employee_Attrition[[#This Row],[Age]]&gt;=20,"20-29",IF(HR_Employee_Attrition[[#This Row],[Age]]&gt;=18,"18-20"))))))</f>
        <v>20-29</v>
      </c>
      <c r="AK36" t="str" cm="1">
        <f t="array" ref="AK36">_xlfn.IFS(HR_Employee_Attrition[[#This Row],[YearsAtCompany]]&lt;=2,"0-2",HR_Employee_Attrition[[#This Row],[YearsAtCompany]]&lt;=5,"3-5",HR_Employee_Attrition[[#This Row],[YearsAtCompany]]&lt;=10,"6-10",HR_Employee_Attrition[[#This Row],[YearsAtCompany]]&gt;10,"10+")</f>
        <v>0-2</v>
      </c>
      <c r="AL36" t="str" cm="1">
        <f t="array" ref="AL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6">
        <f>IF(HR_Employee_Attrition[[#This Row],[Attrition]]="Yes",1,0)</f>
        <v>1</v>
      </c>
    </row>
    <row r="37" spans="1:39"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IF(HR_Employee_Attrition[[#This Row],[Age]]&gt;60,"60+",IF(HR_Employee_Attrition[[#This Row],[Age]]&gt;=50,"50-59",IF(HR_Employee_Attrition[[#This Row],[Age]]&gt;=40,"40-49",IF(HR_Employee_Attrition[[#This Row],[Age]]&gt;=30,"30-39",IF(HR_Employee_Attrition[[#This Row],[Age]]&gt;=20,"20-29",IF(HR_Employee_Attrition[[#This Row],[Age]]&gt;=18,"18-20"))))))</f>
        <v>40-49</v>
      </c>
      <c r="AK37" t="str" cm="1">
        <f t="array" ref="AK37">_xlfn.IFS(HR_Employee_Attrition[[#This Row],[YearsAtCompany]]&lt;=2,"0-2",HR_Employee_Attrition[[#This Row],[YearsAtCompany]]&lt;=5,"3-5",HR_Employee_Attrition[[#This Row],[YearsAtCompany]]&lt;=10,"6-10",HR_Employee_Attrition[[#This Row],[YearsAtCompany]]&gt;10,"10+")</f>
        <v>3-5</v>
      </c>
      <c r="AL37" t="str" cm="1">
        <f t="array" ref="AL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7">
        <f>IF(HR_Employee_Attrition[[#This Row],[Attrition]]="Yes",1,0)</f>
        <v>0</v>
      </c>
    </row>
    <row r="38" spans="1:39"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IF(HR_Employee_Attrition[[#This Row],[Age]]&gt;60,"60+",IF(HR_Employee_Attrition[[#This Row],[Age]]&gt;=50,"50-59",IF(HR_Employee_Attrition[[#This Row],[Age]]&gt;=40,"40-49",IF(HR_Employee_Attrition[[#This Row],[Age]]&gt;=30,"30-39",IF(HR_Employee_Attrition[[#This Row],[Age]]&gt;=20,"20-29",IF(HR_Employee_Attrition[[#This Row],[Age]]&gt;=18,"18-20"))))))</f>
        <v>50-59</v>
      </c>
      <c r="AK38" t="str" cm="1">
        <f t="array" ref="AK38">_xlfn.IFS(HR_Employee_Attrition[[#This Row],[YearsAtCompany]]&lt;=2,"0-2",HR_Employee_Attrition[[#This Row],[YearsAtCompany]]&lt;=5,"3-5",HR_Employee_Attrition[[#This Row],[YearsAtCompany]]&lt;=10,"6-10",HR_Employee_Attrition[[#This Row],[YearsAtCompany]]&gt;10,"10+")</f>
        <v>3-5</v>
      </c>
      <c r="AL38" t="str" cm="1">
        <f t="array" ref="AL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8">
        <f>IF(HR_Employee_Attrition[[#This Row],[Attrition]]="Yes",1,0)</f>
        <v>1</v>
      </c>
    </row>
    <row r="39" spans="1:39"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IF(HR_Employee_Attrition[[#This Row],[Age]]&gt;60,"60+",IF(HR_Employee_Attrition[[#This Row],[Age]]&gt;=50,"50-59",IF(HR_Employee_Attrition[[#This Row],[Age]]&gt;=40,"40-49",IF(HR_Employee_Attrition[[#This Row],[Age]]&gt;=30,"30-39",IF(HR_Employee_Attrition[[#This Row],[Age]]&gt;=20,"20-29",IF(HR_Employee_Attrition[[#This Row],[Age]]&gt;=18,"18-20"))))))</f>
        <v>30-39</v>
      </c>
      <c r="AK39" t="str" cm="1">
        <f t="array" ref="AK39">_xlfn.IFS(HR_Employee_Attrition[[#This Row],[YearsAtCompany]]&lt;=2,"0-2",HR_Employee_Attrition[[#This Row],[YearsAtCompany]]&lt;=5,"3-5",HR_Employee_Attrition[[#This Row],[YearsAtCompany]]&lt;=10,"6-10",HR_Employee_Attrition[[#This Row],[YearsAtCompany]]&gt;10,"10+")</f>
        <v>0-2</v>
      </c>
      <c r="AL39" t="str" cm="1">
        <f t="array" ref="AL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9">
        <f>IF(HR_Employee_Attrition[[#This Row],[Attrition]]="Yes",1,0)</f>
        <v>0</v>
      </c>
    </row>
    <row r="40" spans="1:39"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IF(HR_Employee_Attrition[[#This Row],[Age]]&gt;60,"60+",IF(HR_Employee_Attrition[[#This Row],[Age]]&gt;=50,"50-59",IF(HR_Employee_Attrition[[#This Row],[Age]]&gt;=40,"40-49",IF(HR_Employee_Attrition[[#This Row],[Age]]&gt;=30,"30-39",IF(HR_Employee_Attrition[[#This Row],[Age]]&gt;=20,"20-29",IF(HR_Employee_Attrition[[#This Row],[Age]]&gt;=18,"18-20"))))))</f>
        <v>30-39</v>
      </c>
      <c r="AK40" t="str" cm="1">
        <f t="array" ref="AK40">_xlfn.IFS(HR_Employee_Attrition[[#This Row],[YearsAtCompany]]&lt;=2,"0-2",HR_Employee_Attrition[[#This Row],[YearsAtCompany]]&lt;=5,"3-5",HR_Employee_Attrition[[#This Row],[YearsAtCompany]]&lt;=10,"6-10",HR_Employee_Attrition[[#This Row],[YearsAtCompany]]&gt;10,"10+")</f>
        <v>0-2</v>
      </c>
      <c r="AL40" t="str" cm="1">
        <f t="array" ref="AL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0">
        <f>IF(HR_Employee_Attrition[[#This Row],[Attrition]]="Yes",1,0)</f>
        <v>0</v>
      </c>
    </row>
    <row r="41" spans="1:39"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IF(HR_Employee_Attrition[[#This Row],[Age]]&gt;60,"60+",IF(HR_Employee_Attrition[[#This Row],[Age]]&gt;=50,"50-59",IF(HR_Employee_Attrition[[#This Row],[Age]]&gt;=40,"40-49",IF(HR_Employee_Attrition[[#This Row],[Age]]&gt;=30,"30-39",IF(HR_Employee_Attrition[[#This Row],[Age]]&gt;=20,"20-29",IF(HR_Employee_Attrition[[#This Row],[Age]]&gt;=18,"18-20"))))))</f>
        <v>30-39</v>
      </c>
      <c r="AK41" t="str" cm="1">
        <f t="array" ref="AK41">_xlfn.IFS(HR_Employee_Attrition[[#This Row],[YearsAtCompany]]&lt;=2,"0-2",HR_Employee_Attrition[[#This Row],[YearsAtCompany]]&lt;=5,"3-5",HR_Employee_Attrition[[#This Row],[YearsAtCompany]]&lt;=10,"6-10",HR_Employee_Attrition[[#This Row],[YearsAtCompany]]&gt;10,"10+")</f>
        <v>3-5</v>
      </c>
      <c r="AL41" t="str" cm="1">
        <f t="array" ref="AL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1">
        <f>IF(HR_Employee_Attrition[[#This Row],[Attrition]]="Yes",1,0)</f>
        <v>0</v>
      </c>
    </row>
    <row r="42" spans="1:39"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IF(HR_Employee_Attrition[[#This Row],[Age]]&gt;60,"60+",IF(HR_Employee_Attrition[[#This Row],[Age]]&gt;=50,"50-59",IF(HR_Employee_Attrition[[#This Row],[Age]]&gt;=40,"40-49",IF(HR_Employee_Attrition[[#This Row],[Age]]&gt;=30,"30-39",IF(HR_Employee_Attrition[[#This Row],[Age]]&gt;=20,"20-29",IF(HR_Employee_Attrition[[#This Row],[Age]]&gt;=18,"18-20"))))))</f>
        <v>30-39</v>
      </c>
      <c r="AK42" t="str" cm="1">
        <f t="array" ref="AK42">_xlfn.IFS(HR_Employee_Attrition[[#This Row],[YearsAtCompany]]&lt;=2,"0-2",HR_Employee_Attrition[[#This Row],[YearsAtCompany]]&lt;=5,"3-5",HR_Employee_Attrition[[#This Row],[YearsAtCompany]]&lt;=10,"6-10",HR_Employee_Attrition[[#This Row],[YearsAtCompany]]&gt;10,"10+")</f>
        <v>0-2</v>
      </c>
      <c r="AL42" t="str" cm="1">
        <f t="array" ref="AL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2">
        <f>IF(HR_Employee_Attrition[[#This Row],[Attrition]]="Yes",1,0)</f>
        <v>0</v>
      </c>
    </row>
    <row r="43" spans="1:39"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IF(HR_Employee_Attrition[[#This Row],[Age]]&gt;60,"60+",IF(HR_Employee_Attrition[[#This Row],[Age]]&gt;=50,"50-59",IF(HR_Employee_Attrition[[#This Row],[Age]]&gt;=40,"40-49",IF(HR_Employee_Attrition[[#This Row],[Age]]&gt;=30,"30-39",IF(HR_Employee_Attrition[[#This Row],[Age]]&gt;=20,"20-29",IF(HR_Employee_Attrition[[#This Row],[Age]]&gt;=18,"18-20"))))))</f>
        <v>20-29</v>
      </c>
      <c r="AK43" t="str" cm="1">
        <f t="array" ref="AK43">_xlfn.IFS(HR_Employee_Attrition[[#This Row],[YearsAtCompany]]&lt;=2,"0-2",HR_Employee_Attrition[[#This Row],[YearsAtCompany]]&lt;=5,"3-5",HR_Employee_Attrition[[#This Row],[YearsAtCompany]]&lt;=10,"6-10",HR_Employee_Attrition[[#This Row],[YearsAtCompany]]&gt;10,"10+")</f>
        <v>0-2</v>
      </c>
      <c r="AL43" t="str" cm="1">
        <f t="array" ref="AL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3">
        <f>IF(HR_Employee_Attrition[[#This Row],[Attrition]]="Yes",1,0)</f>
        <v>0</v>
      </c>
    </row>
    <row r="44" spans="1:39"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IF(HR_Employee_Attrition[[#This Row],[Age]]&gt;60,"60+",IF(HR_Employee_Attrition[[#This Row],[Age]]&gt;=50,"50-59",IF(HR_Employee_Attrition[[#This Row],[Age]]&gt;=40,"40-49",IF(HR_Employee_Attrition[[#This Row],[Age]]&gt;=30,"30-39",IF(HR_Employee_Attrition[[#This Row],[Age]]&gt;=20,"20-29",IF(HR_Employee_Attrition[[#This Row],[Age]]&gt;=18,"18-20"))))))</f>
        <v>20-29</v>
      </c>
      <c r="AK44" t="str" cm="1">
        <f t="array" ref="AK44">_xlfn.IFS(HR_Employee_Attrition[[#This Row],[YearsAtCompany]]&lt;=2,"0-2",HR_Employee_Attrition[[#This Row],[YearsAtCompany]]&lt;=5,"3-5",HR_Employee_Attrition[[#This Row],[YearsAtCompany]]&lt;=10,"6-10",HR_Employee_Attrition[[#This Row],[YearsAtCompany]]&gt;10,"10+")</f>
        <v>0-2</v>
      </c>
      <c r="AL44" t="str" cm="1">
        <f t="array" ref="AL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4">
        <f>IF(HR_Employee_Attrition[[#This Row],[Attrition]]="Yes",1,0)</f>
        <v>1</v>
      </c>
    </row>
    <row r="45" spans="1:39"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IF(HR_Employee_Attrition[[#This Row],[Age]]&gt;60,"60+",IF(HR_Employee_Attrition[[#This Row],[Age]]&gt;=50,"50-59",IF(HR_Employee_Attrition[[#This Row],[Age]]&gt;=40,"40-49",IF(HR_Employee_Attrition[[#This Row],[Age]]&gt;=30,"30-39",IF(HR_Employee_Attrition[[#This Row],[Age]]&gt;=20,"20-29",IF(HR_Employee_Attrition[[#This Row],[Age]]&gt;=18,"18-20"))))))</f>
        <v>20-29</v>
      </c>
      <c r="AK45" t="str" cm="1">
        <f t="array" ref="AK45">_xlfn.IFS(HR_Employee_Attrition[[#This Row],[YearsAtCompany]]&lt;=2,"0-2",HR_Employee_Attrition[[#This Row],[YearsAtCompany]]&lt;=5,"3-5",HR_Employee_Attrition[[#This Row],[YearsAtCompany]]&lt;=10,"6-10",HR_Employee_Attrition[[#This Row],[YearsAtCompany]]&gt;10,"10+")</f>
        <v>6-10</v>
      </c>
      <c r="AL45" t="str" cm="1">
        <f t="array" ref="AL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5">
        <f>IF(HR_Employee_Attrition[[#This Row],[Attrition]]="Yes",1,0)</f>
        <v>0</v>
      </c>
    </row>
    <row r="46" spans="1:39"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IF(HR_Employee_Attrition[[#This Row],[Age]]&gt;60,"60+",IF(HR_Employee_Attrition[[#This Row],[Age]]&gt;=50,"50-59",IF(HR_Employee_Attrition[[#This Row],[Age]]&gt;=40,"40-49",IF(HR_Employee_Attrition[[#This Row],[Age]]&gt;=30,"30-39",IF(HR_Employee_Attrition[[#This Row],[Age]]&gt;=20,"20-29",IF(HR_Employee_Attrition[[#This Row],[Age]]&gt;=18,"18-20"))))))</f>
        <v>30-39</v>
      </c>
      <c r="AK46" t="str" cm="1">
        <f t="array" ref="AK46">_xlfn.IFS(HR_Employee_Attrition[[#This Row],[YearsAtCompany]]&lt;=2,"0-2",HR_Employee_Attrition[[#This Row],[YearsAtCompany]]&lt;=5,"3-5",HR_Employee_Attrition[[#This Row],[YearsAtCompany]]&lt;=10,"6-10",HR_Employee_Attrition[[#This Row],[YearsAtCompany]]&gt;10,"10+")</f>
        <v>10+</v>
      </c>
      <c r="AL46" t="str" cm="1">
        <f t="array" ref="AL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6">
        <f>IF(HR_Employee_Attrition[[#This Row],[Attrition]]="Yes",1,0)</f>
        <v>0</v>
      </c>
    </row>
    <row r="47" spans="1:39"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IF(HR_Employee_Attrition[[#This Row],[Age]]&gt;60,"60+",IF(HR_Employee_Attrition[[#This Row],[Age]]&gt;=50,"50-59",IF(HR_Employee_Attrition[[#This Row],[Age]]&gt;=40,"40-49",IF(HR_Employee_Attrition[[#This Row],[Age]]&gt;=30,"30-39",IF(HR_Employee_Attrition[[#This Row],[Age]]&gt;=20,"20-29",IF(HR_Employee_Attrition[[#This Row],[Age]]&gt;=18,"18-20"))))))</f>
        <v>40-49</v>
      </c>
      <c r="AK47" t="str" cm="1">
        <f t="array" ref="AK47">_xlfn.IFS(HR_Employee_Attrition[[#This Row],[YearsAtCompany]]&lt;=2,"0-2",HR_Employee_Attrition[[#This Row],[YearsAtCompany]]&lt;=5,"3-5",HR_Employee_Attrition[[#This Row],[YearsAtCompany]]&lt;=10,"6-10",HR_Employee_Attrition[[#This Row],[YearsAtCompany]]&gt;10,"10+")</f>
        <v>10+</v>
      </c>
      <c r="AL47" t="str" cm="1">
        <f t="array" ref="AL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7">
        <f>IF(HR_Employee_Attrition[[#This Row],[Attrition]]="Yes",1,0)</f>
        <v>1</v>
      </c>
    </row>
    <row r="48" spans="1:39"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IF(HR_Employee_Attrition[[#This Row],[Age]]&gt;60,"60+",IF(HR_Employee_Attrition[[#This Row],[Age]]&gt;=50,"50-59",IF(HR_Employee_Attrition[[#This Row],[Age]]&gt;=40,"40-49",IF(HR_Employee_Attrition[[#This Row],[Age]]&gt;=30,"30-39",IF(HR_Employee_Attrition[[#This Row],[Age]]&gt;=20,"20-29",IF(HR_Employee_Attrition[[#This Row],[Age]]&gt;=18,"18-20"))))))</f>
        <v>30-39</v>
      </c>
      <c r="AK48" t="str" cm="1">
        <f t="array" ref="AK48">_xlfn.IFS(HR_Employee_Attrition[[#This Row],[YearsAtCompany]]&lt;=2,"0-2",HR_Employee_Attrition[[#This Row],[YearsAtCompany]]&lt;=5,"3-5",HR_Employee_Attrition[[#This Row],[YearsAtCompany]]&lt;=10,"6-10",HR_Employee_Attrition[[#This Row],[YearsAtCompany]]&gt;10,"10+")</f>
        <v>6-10</v>
      </c>
      <c r="AL48" t="str" cm="1">
        <f t="array" ref="AL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8">
        <f>IF(HR_Employee_Attrition[[#This Row],[Attrition]]="Yes",1,0)</f>
        <v>0</v>
      </c>
    </row>
    <row r="49" spans="1:39"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IF(HR_Employee_Attrition[[#This Row],[Age]]&gt;60,"60+",IF(HR_Employee_Attrition[[#This Row],[Age]]&gt;=50,"50-59",IF(HR_Employee_Attrition[[#This Row],[Age]]&gt;=40,"40-49",IF(HR_Employee_Attrition[[#This Row],[Age]]&gt;=30,"30-39",IF(HR_Employee_Attrition[[#This Row],[Age]]&gt;=20,"20-29",IF(HR_Employee_Attrition[[#This Row],[Age]]&gt;=18,"18-20"))))))</f>
        <v>30-39</v>
      </c>
      <c r="AK49" t="str" cm="1">
        <f t="array" ref="AK49">_xlfn.IFS(HR_Employee_Attrition[[#This Row],[YearsAtCompany]]&lt;=2,"0-2",HR_Employee_Attrition[[#This Row],[YearsAtCompany]]&lt;=5,"3-5",HR_Employee_Attrition[[#This Row],[YearsAtCompany]]&lt;=10,"6-10",HR_Employee_Attrition[[#This Row],[YearsAtCompany]]&gt;10,"10+")</f>
        <v>0-2</v>
      </c>
      <c r="AL49" t="str" cm="1">
        <f t="array" ref="AL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9">
        <f>IF(HR_Employee_Attrition[[#This Row],[Attrition]]="Yes",1,0)</f>
        <v>0</v>
      </c>
    </row>
    <row r="50" spans="1:39"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IF(HR_Employee_Attrition[[#This Row],[Age]]&gt;60,"60+",IF(HR_Employee_Attrition[[#This Row],[Age]]&gt;=50,"50-59",IF(HR_Employee_Attrition[[#This Row],[Age]]&gt;=40,"40-49",IF(HR_Employee_Attrition[[#This Row],[Age]]&gt;=30,"30-39",IF(HR_Employee_Attrition[[#This Row],[Age]]&gt;=20,"20-29",IF(HR_Employee_Attrition[[#This Row],[Age]]&gt;=18,"18-20"))))))</f>
        <v>40-49</v>
      </c>
      <c r="AK50" t="str" cm="1">
        <f t="array" ref="AK50">_xlfn.IFS(HR_Employee_Attrition[[#This Row],[YearsAtCompany]]&lt;=2,"0-2",HR_Employee_Attrition[[#This Row],[YearsAtCompany]]&lt;=5,"3-5",HR_Employee_Attrition[[#This Row],[YearsAtCompany]]&lt;=10,"6-10",HR_Employee_Attrition[[#This Row],[YearsAtCompany]]&gt;10,"10+")</f>
        <v>6-10</v>
      </c>
      <c r="AL50" t="str" cm="1">
        <f t="array" ref="AL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0">
        <f>IF(HR_Employee_Attrition[[#This Row],[Attrition]]="Yes",1,0)</f>
        <v>0</v>
      </c>
    </row>
    <row r="51" spans="1:39"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IF(HR_Employee_Attrition[[#This Row],[Age]]&gt;60,"60+",IF(HR_Employee_Attrition[[#This Row],[Age]]&gt;=50,"50-59",IF(HR_Employee_Attrition[[#This Row],[Age]]&gt;=40,"40-49",IF(HR_Employee_Attrition[[#This Row],[Age]]&gt;=30,"30-39",IF(HR_Employee_Attrition[[#This Row],[Age]]&gt;=20,"20-29",IF(HR_Employee_Attrition[[#This Row],[Age]]&gt;=18,"18-20"))))))</f>
        <v>30-39</v>
      </c>
      <c r="AK51" t="str" cm="1">
        <f t="array" ref="AK51">_xlfn.IFS(HR_Employee_Attrition[[#This Row],[YearsAtCompany]]&lt;=2,"0-2",HR_Employee_Attrition[[#This Row],[YearsAtCompany]]&lt;=5,"3-5",HR_Employee_Attrition[[#This Row],[YearsAtCompany]]&lt;=10,"6-10",HR_Employee_Attrition[[#This Row],[YearsAtCompany]]&gt;10,"10+")</f>
        <v>0-2</v>
      </c>
      <c r="AL51" t="str" cm="1">
        <f t="array" ref="AL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1">
        <f>IF(HR_Employee_Attrition[[#This Row],[Attrition]]="Yes",1,0)</f>
        <v>0</v>
      </c>
    </row>
    <row r="52" spans="1:39"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IF(HR_Employee_Attrition[[#This Row],[Age]]&gt;60,"60+",IF(HR_Employee_Attrition[[#This Row],[Age]]&gt;=50,"50-59",IF(HR_Employee_Attrition[[#This Row],[Age]]&gt;=40,"40-49",IF(HR_Employee_Attrition[[#This Row],[Age]]&gt;=30,"30-39",IF(HR_Employee_Attrition[[#This Row],[Age]]&gt;=20,"20-29",IF(HR_Employee_Attrition[[#This Row],[Age]]&gt;=18,"18-20"))))))</f>
        <v>40-49</v>
      </c>
      <c r="AK52" t="str" cm="1">
        <f t="array" ref="AK52">_xlfn.IFS(HR_Employee_Attrition[[#This Row],[YearsAtCompany]]&lt;=2,"0-2",HR_Employee_Attrition[[#This Row],[YearsAtCompany]]&lt;=5,"3-5",HR_Employee_Attrition[[#This Row],[YearsAtCompany]]&lt;=10,"6-10",HR_Employee_Attrition[[#This Row],[YearsAtCompany]]&gt;10,"10+")</f>
        <v>0-2</v>
      </c>
      <c r="AL52" t="str" cm="1">
        <f t="array" ref="AL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2">
        <f>IF(HR_Employee_Attrition[[#This Row],[Attrition]]="Yes",1,0)</f>
        <v>1</v>
      </c>
    </row>
    <row r="53" spans="1:39"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IF(HR_Employee_Attrition[[#This Row],[Age]]&gt;60,"60+",IF(HR_Employee_Attrition[[#This Row],[Age]]&gt;=50,"50-59",IF(HR_Employee_Attrition[[#This Row],[Age]]&gt;=40,"40-49",IF(HR_Employee_Attrition[[#This Row],[Age]]&gt;=30,"30-39",IF(HR_Employee_Attrition[[#This Row],[Age]]&gt;=20,"20-29",IF(HR_Employee_Attrition[[#This Row],[Age]]&gt;=18,"18-20"))))))</f>
        <v>20-29</v>
      </c>
      <c r="AK53" t="str" cm="1">
        <f t="array" ref="AK53">_xlfn.IFS(HR_Employee_Attrition[[#This Row],[YearsAtCompany]]&lt;=2,"0-2",HR_Employee_Attrition[[#This Row],[YearsAtCompany]]&lt;=5,"3-5",HR_Employee_Attrition[[#This Row],[YearsAtCompany]]&lt;=10,"6-10",HR_Employee_Attrition[[#This Row],[YearsAtCompany]]&gt;10,"10+")</f>
        <v>0-2</v>
      </c>
      <c r="AL53" t="str" cm="1">
        <f t="array" ref="AL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3">
        <f>IF(HR_Employee_Attrition[[#This Row],[Attrition]]="Yes",1,0)</f>
        <v>1</v>
      </c>
    </row>
    <row r="54" spans="1:39"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IF(HR_Employee_Attrition[[#This Row],[Age]]&gt;60,"60+",IF(HR_Employee_Attrition[[#This Row],[Age]]&gt;=50,"50-59",IF(HR_Employee_Attrition[[#This Row],[Age]]&gt;=40,"40-49",IF(HR_Employee_Attrition[[#This Row],[Age]]&gt;=30,"30-39",IF(HR_Employee_Attrition[[#This Row],[Age]]&gt;=20,"20-29",IF(HR_Employee_Attrition[[#This Row],[Age]]&gt;=18,"18-20"))))))</f>
        <v>40-49</v>
      </c>
      <c r="AK54" t="str" cm="1">
        <f t="array" ref="AK54">_xlfn.IFS(HR_Employee_Attrition[[#This Row],[YearsAtCompany]]&lt;=2,"0-2",HR_Employee_Attrition[[#This Row],[YearsAtCompany]]&lt;=5,"3-5",HR_Employee_Attrition[[#This Row],[YearsAtCompany]]&lt;=10,"6-10",HR_Employee_Attrition[[#This Row],[YearsAtCompany]]&gt;10,"10+")</f>
        <v>3-5</v>
      </c>
      <c r="AL54" t="str" cm="1">
        <f t="array" ref="AL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4">
        <f>IF(HR_Employee_Attrition[[#This Row],[Attrition]]="Yes",1,0)</f>
        <v>0</v>
      </c>
    </row>
    <row r="55" spans="1:39"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IF(HR_Employee_Attrition[[#This Row],[Age]]&gt;60,"60+",IF(HR_Employee_Attrition[[#This Row],[Age]]&gt;=50,"50-59",IF(HR_Employee_Attrition[[#This Row],[Age]]&gt;=40,"40-49",IF(HR_Employee_Attrition[[#This Row],[Age]]&gt;=30,"30-39",IF(HR_Employee_Attrition[[#This Row],[Age]]&gt;=20,"20-29",IF(HR_Employee_Attrition[[#This Row],[Age]]&gt;=18,"18-20"))))))</f>
        <v>30-39</v>
      </c>
      <c r="AK55" t="str" cm="1">
        <f t="array" ref="AK55">_xlfn.IFS(HR_Employee_Attrition[[#This Row],[YearsAtCompany]]&lt;=2,"0-2",HR_Employee_Attrition[[#This Row],[YearsAtCompany]]&lt;=5,"3-5",HR_Employee_Attrition[[#This Row],[YearsAtCompany]]&lt;=10,"6-10",HR_Employee_Attrition[[#This Row],[YearsAtCompany]]&gt;10,"10+")</f>
        <v>3-5</v>
      </c>
      <c r="AL55" t="str" cm="1">
        <f t="array" ref="AL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5">
        <f>IF(HR_Employee_Attrition[[#This Row],[Attrition]]="Yes",1,0)</f>
        <v>0</v>
      </c>
    </row>
    <row r="56" spans="1:39"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IF(HR_Employee_Attrition[[#This Row],[Age]]&gt;60,"60+",IF(HR_Employee_Attrition[[#This Row],[Age]]&gt;=50,"50-59",IF(HR_Employee_Attrition[[#This Row],[Age]]&gt;=40,"40-49",IF(HR_Employee_Attrition[[#This Row],[Age]]&gt;=30,"30-39",IF(HR_Employee_Attrition[[#This Row],[Age]]&gt;=20,"20-29",IF(HR_Employee_Attrition[[#This Row],[Age]]&gt;=18,"18-20"))))))</f>
        <v>20-29</v>
      </c>
      <c r="AK56" t="str" cm="1">
        <f t="array" ref="AK56">_xlfn.IFS(HR_Employee_Attrition[[#This Row],[YearsAtCompany]]&lt;=2,"0-2",HR_Employee_Attrition[[#This Row],[YearsAtCompany]]&lt;=5,"3-5",HR_Employee_Attrition[[#This Row],[YearsAtCompany]]&lt;=10,"6-10",HR_Employee_Attrition[[#This Row],[YearsAtCompany]]&gt;10,"10+")</f>
        <v>0-2</v>
      </c>
      <c r="AL56" t="str" cm="1">
        <f t="array" ref="AL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6">
        <f>IF(HR_Employee_Attrition[[#This Row],[Attrition]]="Yes",1,0)</f>
        <v>0</v>
      </c>
    </row>
    <row r="57" spans="1:39"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IF(HR_Employee_Attrition[[#This Row],[Age]]&gt;60,"60+",IF(HR_Employee_Attrition[[#This Row],[Age]]&gt;=50,"50-59",IF(HR_Employee_Attrition[[#This Row],[Age]]&gt;=40,"40-49",IF(HR_Employee_Attrition[[#This Row],[Age]]&gt;=30,"30-39",IF(HR_Employee_Attrition[[#This Row],[Age]]&gt;=20,"20-29",IF(HR_Employee_Attrition[[#This Row],[Age]]&gt;=18,"18-20"))))))</f>
        <v>30-39</v>
      </c>
      <c r="AK57" t="str" cm="1">
        <f t="array" ref="AK57">_xlfn.IFS(HR_Employee_Attrition[[#This Row],[YearsAtCompany]]&lt;=2,"0-2",HR_Employee_Attrition[[#This Row],[YearsAtCompany]]&lt;=5,"3-5",HR_Employee_Attrition[[#This Row],[YearsAtCompany]]&lt;=10,"6-10",HR_Employee_Attrition[[#This Row],[YearsAtCompany]]&gt;10,"10+")</f>
        <v>10+</v>
      </c>
      <c r="AL57" t="str" cm="1">
        <f t="array" ref="AL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57">
        <f>IF(HR_Employee_Attrition[[#This Row],[Attrition]]="Yes",1,0)</f>
        <v>0</v>
      </c>
    </row>
    <row r="58" spans="1:39"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IF(HR_Employee_Attrition[[#This Row],[Age]]&gt;60,"60+",IF(HR_Employee_Attrition[[#This Row],[Age]]&gt;=50,"50-59",IF(HR_Employee_Attrition[[#This Row],[Age]]&gt;=40,"40-49",IF(HR_Employee_Attrition[[#This Row],[Age]]&gt;=30,"30-39",IF(HR_Employee_Attrition[[#This Row],[Age]]&gt;=20,"20-29",IF(HR_Employee_Attrition[[#This Row],[Age]]&gt;=18,"18-20"))))))</f>
        <v>30-39</v>
      </c>
      <c r="AK58" t="str" cm="1">
        <f t="array" ref="AK58">_xlfn.IFS(HR_Employee_Attrition[[#This Row],[YearsAtCompany]]&lt;=2,"0-2",HR_Employee_Attrition[[#This Row],[YearsAtCompany]]&lt;=5,"3-5",HR_Employee_Attrition[[#This Row],[YearsAtCompany]]&lt;=10,"6-10",HR_Employee_Attrition[[#This Row],[YearsAtCompany]]&gt;10,"10+")</f>
        <v>6-10</v>
      </c>
      <c r="AL58" t="str" cm="1">
        <f t="array" ref="AL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8">
        <f>IF(HR_Employee_Attrition[[#This Row],[Attrition]]="Yes",1,0)</f>
        <v>0</v>
      </c>
    </row>
    <row r="59" spans="1:39"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IF(HR_Employee_Attrition[[#This Row],[Age]]&gt;60,"60+",IF(HR_Employee_Attrition[[#This Row],[Age]]&gt;=50,"50-59",IF(HR_Employee_Attrition[[#This Row],[Age]]&gt;=40,"40-49",IF(HR_Employee_Attrition[[#This Row],[Age]]&gt;=30,"30-39",IF(HR_Employee_Attrition[[#This Row],[Age]]&gt;=20,"20-29",IF(HR_Employee_Attrition[[#This Row],[Age]]&gt;=18,"18-20"))))))</f>
        <v>30-39</v>
      </c>
      <c r="AK59" t="str" cm="1">
        <f t="array" ref="AK59">_xlfn.IFS(HR_Employee_Attrition[[#This Row],[YearsAtCompany]]&lt;=2,"0-2",HR_Employee_Attrition[[#This Row],[YearsAtCompany]]&lt;=5,"3-5",HR_Employee_Attrition[[#This Row],[YearsAtCompany]]&lt;=10,"6-10",HR_Employee_Attrition[[#This Row],[YearsAtCompany]]&gt;10,"10+")</f>
        <v>0-2</v>
      </c>
      <c r="AL59" t="str" cm="1">
        <f t="array" ref="AL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9">
        <f>IF(HR_Employee_Attrition[[#This Row],[Attrition]]="Yes",1,0)</f>
        <v>0</v>
      </c>
    </row>
    <row r="60" spans="1:39"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IF(HR_Employee_Attrition[[#This Row],[Age]]&gt;60,"60+",IF(HR_Employee_Attrition[[#This Row],[Age]]&gt;=50,"50-59",IF(HR_Employee_Attrition[[#This Row],[Age]]&gt;=40,"40-49",IF(HR_Employee_Attrition[[#This Row],[Age]]&gt;=30,"30-39",IF(HR_Employee_Attrition[[#This Row],[Age]]&gt;=20,"20-29",IF(HR_Employee_Attrition[[#This Row],[Age]]&gt;=18,"18-20"))))))</f>
        <v>30-39</v>
      </c>
      <c r="AK60" t="str" cm="1">
        <f t="array" ref="AK60">_xlfn.IFS(HR_Employee_Attrition[[#This Row],[YearsAtCompany]]&lt;=2,"0-2",HR_Employee_Attrition[[#This Row],[YearsAtCompany]]&lt;=5,"3-5",HR_Employee_Attrition[[#This Row],[YearsAtCompany]]&lt;=10,"6-10",HR_Employee_Attrition[[#This Row],[YearsAtCompany]]&gt;10,"10+")</f>
        <v>6-10</v>
      </c>
      <c r="AL60" t="str" cm="1">
        <f t="array" ref="AL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0">
        <f>IF(HR_Employee_Attrition[[#This Row],[Attrition]]="Yes",1,0)</f>
        <v>0</v>
      </c>
    </row>
    <row r="61" spans="1:39"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IF(HR_Employee_Attrition[[#This Row],[Age]]&gt;60,"60+",IF(HR_Employee_Attrition[[#This Row],[Age]]&gt;=50,"50-59",IF(HR_Employee_Attrition[[#This Row],[Age]]&gt;=40,"40-49",IF(HR_Employee_Attrition[[#This Row],[Age]]&gt;=30,"30-39",IF(HR_Employee_Attrition[[#This Row],[Age]]&gt;=20,"20-29",IF(HR_Employee_Attrition[[#This Row],[Age]]&gt;=18,"18-20"))))))</f>
        <v>30-39</v>
      </c>
      <c r="AK61" t="str" cm="1">
        <f t="array" ref="AK61">_xlfn.IFS(HR_Employee_Attrition[[#This Row],[YearsAtCompany]]&lt;=2,"0-2",HR_Employee_Attrition[[#This Row],[YearsAtCompany]]&lt;=5,"3-5",HR_Employee_Attrition[[#This Row],[YearsAtCompany]]&lt;=10,"6-10",HR_Employee_Attrition[[#This Row],[YearsAtCompany]]&gt;10,"10+")</f>
        <v>6-10</v>
      </c>
      <c r="AL61" t="str" cm="1">
        <f t="array" ref="AL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1">
        <f>IF(HR_Employee_Attrition[[#This Row],[Attrition]]="Yes",1,0)</f>
        <v>0</v>
      </c>
    </row>
    <row r="62" spans="1:39"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IF(HR_Employee_Attrition[[#This Row],[Age]]&gt;60,"60+",IF(HR_Employee_Attrition[[#This Row],[Age]]&gt;=50,"50-59",IF(HR_Employee_Attrition[[#This Row],[Age]]&gt;=40,"40-49",IF(HR_Employee_Attrition[[#This Row],[Age]]&gt;=30,"30-39",IF(HR_Employee_Attrition[[#This Row],[Age]]&gt;=20,"20-29",IF(HR_Employee_Attrition[[#This Row],[Age]]&gt;=18,"18-20"))))))</f>
        <v>30-39</v>
      </c>
      <c r="AK62" t="str" cm="1">
        <f t="array" ref="AK62">_xlfn.IFS(HR_Employee_Attrition[[#This Row],[YearsAtCompany]]&lt;=2,"0-2",HR_Employee_Attrition[[#This Row],[YearsAtCompany]]&lt;=5,"3-5",HR_Employee_Attrition[[#This Row],[YearsAtCompany]]&lt;=10,"6-10",HR_Employee_Attrition[[#This Row],[YearsAtCompany]]&gt;10,"10+")</f>
        <v>6-10</v>
      </c>
      <c r="AL62" t="str" cm="1">
        <f t="array" ref="AL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2">
        <f>IF(HR_Employee_Attrition[[#This Row],[Attrition]]="Yes",1,0)</f>
        <v>0</v>
      </c>
    </row>
    <row r="63" spans="1:39"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IF(HR_Employee_Attrition[[#This Row],[Age]]&gt;60,"60+",IF(HR_Employee_Attrition[[#This Row],[Age]]&gt;=50,"50-59",IF(HR_Employee_Attrition[[#This Row],[Age]]&gt;=40,"40-49",IF(HR_Employee_Attrition[[#This Row],[Age]]&gt;=30,"30-39",IF(HR_Employee_Attrition[[#This Row],[Age]]&gt;=20,"20-29",IF(HR_Employee_Attrition[[#This Row],[Age]]&gt;=18,"18-20"))))))</f>
        <v>30-39</v>
      </c>
      <c r="AK63" t="str" cm="1">
        <f t="array" ref="AK63">_xlfn.IFS(HR_Employee_Attrition[[#This Row],[YearsAtCompany]]&lt;=2,"0-2",HR_Employee_Attrition[[#This Row],[YearsAtCompany]]&lt;=5,"3-5",HR_Employee_Attrition[[#This Row],[YearsAtCompany]]&lt;=10,"6-10",HR_Employee_Attrition[[#This Row],[YearsAtCompany]]&gt;10,"10+")</f>
        <v>6-10</v>
      </c>
      <c r="AL63" t="str" cm="1">
        <f t="array" ref="AL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3">
        <f>IF(HR_Employee_Attrition[[#This Row],[Attrition]]="Yes",1,0)</f>
        <v>0</v>
      </c>
    </row>
    <row r="64" spans="1:39"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IF(HR_Employee_Attrition[[#This Row],[Age]]&gt;60,"60+",IF(HR_Employee_Attrition[[#This Row],[Age]]&gt;=50,"50-59",IF(HR_Employee_Attrition[[#This Row],[Age]]&gt;=40,"40-49",IF(HR_Employee_Attrition[[#This Row],[Age]]&gt;=30,"30-39",IF(HR_Employee_Attrition[[#This Row],[Age]]&gt;=20,"20-29",IF(HR_Employee_Attrition[[#This Row],[Age]]&gt;=18,"18-20"))))))</f>
        <v>50-59</v>
      </c>
      <c r="AK64" t="str" cm="1">
        <f t="array" ref="AK64">_xlfn.IFS(HR_Employee_Attrition[[#This Row],[YearsAtCompany]]&lt;=2,"0-2",HR_Employee_Attrition[[#This Row],[YearsAtCompany]]&lt;=5,"3-5",HR_Employee_Attrition[[#This Row],[YearsAtCompany]]&lt;=10,"6-10",HR_Employee_Attrition[[#This Row],[YearsAtCompany]]&gt;10,"10+")</f>
        <v>10+</v>
      </c>
      <c r="AL64" t="str" cm="1">
        <f t="array" ref="AL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64">
        <f>IF(HR_Employee_Attrition[[#This Row],[Attrition]]="Yes",1,0)</f>
        <v>0</v>
      </c>
    </row>
    <row r="65" spans="1:39"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IF(HR_Employee_Attrition[[#This Row],[Age]]&gt;60,"60+",IF(HR_Employee_Attrition[[#This Row],[Age]]&gt;=50,"50-59",IF(HR_Employee_Attrition[[#This Row],[Age]]&gt;=40,"40-49",IF(HR_Employee_Attrition[[#This Row],[Age]]&gt;=30,"30-39",IF(HR_Employee_Attrition[[#This Row],[Age]]&gt;=20,"20-29",IF(HR_Employee_Attrition[[#This Row],[Age]]&gt;=18,"18-20"))))))</f>
        <v>50-59</v>
      </c>
      <c r="AK65" t="str" cm="1">
        <f t="array" ref="AK65">_xlfn.IFS(HR_Employee_Attrition[[#This Row],[YearsAtCompany]]&lt;=2,"0-2",HR_Employee_Attrition[[#This Row],[YearsAtCompany]]&lt;=5,"3-5",HR_Employee_Attrition[[#This Row],[YearsAtCompany]]&lt;=10,"6-10",HR_Employee_Attrition[[#This Row],[YearsAtCompany]]&gt;10,"10+")</f>
        <v>10+</v>
      </c>
      <c r="AL65" t="str" cm="1">
        <f t="array" ref="AL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5">
        <f>IF(HR_Employee_Attrition[[#This Row],[Attrition]]="Yes",1,0)</f>
        <v>0</v>
      </c>
    </row>
    <row r="66" spans="1:39"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IF(HR_Employee_Attrition[[#This Row],[Age]]&gt;60,"60+",IF(HR_Employee_Attrition[[#This Row],[Age]]&gt;=50,"50-59",IF(HR_Employee_Attrition[[#This Row],[Age]]&gt;=40,"40-49",IF(HR_Employee_Attrition[[#This Row],[Age]]&gt;=30,"30-39",IF(HR_Employee_Attrition[[#This Row],[Age]]&gt;=20,"20-29",IF(HR_Employee_Attrition[[#This Row],[Age]]&gt;=18,"18-20"))))))</f>
        <v>30-39</v>
      </c>
      <c r="AK66" t="str" cm="1">
        <f t="array" ref="AK66">_xlfn.IFS(HR_Employee_Attrition[[#This Row],[YearsAtCompany]]&lt;=2,"0-2",HR_Employee_Attrition[[#This Row],[YearsAtCompany]]&lt;=5,"3-5",HR_Employee_Attrition[[#This Row],[YearsAtCompany]]&lt;=10,"6-10",HR_Employee_Attrition[[#This Row],[YearsAtCompany]]&gt;10,"10+")</f>
        <v>10+</v>
      </c>
      <c r="AL66" t="str" cm="1">
        <f t="array" ref="AL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6">
        <f>IF(HR_Employee_Attrition[[#This Row],[Attrition]]="Yes",1,0)</f>
        <v>0</v>
      </c>
    </row>
    <row r="67" spans="1:39"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IF(HR_Employee_Attrition[[#This Row],[Age]]&gt;60,"60+",IF(HR_Employee_Attrition[[#This Row],[Age]]&gt;=50,"50-59",IF(HR_Employee_Attrition[[#This Row],[Age]]&gt;=40,"40-49",IF(HR_Employee_Attrition[[#This Row],[Age]]&gt;=30,"30-39",IF(HR_Employee_Attrition[[#This Row],[Age]]&gt;=20,"20-29",IF(HR_Employee_Attrition[[#This Row],[Age]]&gt;=18,"18-20"))))))</f>
        <v>50-59</v>
      </c>
      <c r="AK67" t="str" cm="1">
        <f t="array" ref="AK67">_xlfn.IFS(HR_Employee_Attrition[[#This Row],[YearsAtCompany]]&lt;=2,"0-2",HR_Employee_Attrition[[#This Row],[YearsAtCompany]]&lt;=5,"3-5",HR_Employee_Attrition[[#This Row],[YearsAtCompany]]&lt;=10,"6-10",HR_Employee_Attrition[[#This Row],[YearsAtCompany]]&gt;10,"10+")</f>
        <v>3-5</v>
      </c>
      <c r="AL67" t="str" cm="1">
        <f t="array" ref="AL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7">
        <f>IF(HR_Employee_Attrition[[#This Row],[Attrition]]="Yes",1,0)</f>
        <v>0</v>
      </c>
    </row>
    <row r="68" spans="1:39"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IF(HR_Employee_Attrition[[#This Row],[Age]]&gt;60,"60+",IF(HR_Employee_Attrition[[#This Row],[Age]]&gt;=50,"50-59",IF(HR_Employee_Attrition[[#This Row],[Age]]&gt;=40,"40-49",IF(HR_Employee_Attrition[[#This Row],[Age]]&gt;=30,"30-39",IF(HR_Employee_Attrition[[#This Row],[Age]]&gt;=20,"20-29",IF(HR_Employee_Attrition[[#This Row],[Age]]&gt;=18,"18-20"))))))</f>
        <v>30-39</v>
      </c>
      <c r="AK68" t="str" cm="1">
        <f t="array" ref="AK68">_xlfn.IFS(HR_Employee_Attrition[[#This Row],[YearsAtCompany]]&lt;=2,"0-2",HR_Employee_Attrition[[#This Row],[YearsAtCompany]]&lt;=5,"3-5",HR_Employee_Attrition[[#This Row],[YearsAtCompany]]&lt;=10,"6-10",HR_Employee_Attrition[[#This Row],[YearsAtCompany]]&gt;10,"10+")</f>
        <v>6-10</v>
      </c>
      <c r="AL68" t="str" cm="1">
        <f t="array" ref="AL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8">
        <f>IF(HR_Employee_Attrition[[#This Row],[Attrition]]="Yes",1,0)</f>
        <v>0</v>
      </c>
    </row>
    <row r="69" spans="1:39"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IF(HR_Employee_Attrition[[#This Row],[Age]]&gt;60,"60+",IF(HR_Employee_Attrition[[#This Row],[Age]]&gt;=50,"50-59",IF(HR_Employee_Attrition[[#This Row],[Age]]&gt;=40,"40-49",IF(HR_Employee_Attrition[[#This Row],[Age]]&gt;=30,"30-39",IF(HR_Employee_Attrition[[#This Row],[Age]]&gt;=20,"20-29",IF(HR_Employee_Attrition[[#This Row],[Age]]&gt;=18,"18-20"))))))</f>
        <v>40-49</v>
      </c>
      <c r="AK69" t="str" cm="1">
        <f t="array" ref="AK69">_xlfn.IFS(HR_Employee_Attrition[[#This Row],[YearsAtCompany]]&lt;=2,"0-2",HR_Employee_Attrition[[#This Row],[YearsAtCompany]]&lt;=5,"3-5",HR_Employee_Attrition[[#This Row],[YearsAtCompany]]&lt;=10,"6-10",HR_Employee_Attrition[[#This Row],[YearsAtCompany]]&gt;10,"10+")</f>
        <v>0-2</v>
      </c>
      <c r="AL69" t="str" cm="1">
        <f t="array" ref="AL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9">
        <f>IF(HR_Employee_Attrition[[#This Row],[Attrition]]="Yes",1,0)</f>
        <v>0</v>
      </c>
    </row>
    <row r="70" spans="1:39"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IF(HR_Employee_Attrition[[#This Row],[Age]]&gt;60,"60+",IF(HR_Employee_Attrition[[#This Row],[Age]]&gt;=50,"50-59",IF(HR_Employee_Attrition[[#This Row],[Age]]&gt;=40,"40-49",IF(HR_Employee_Attrition[[#This Row],[Age]]&gt;=30,"30-39",IF(HR_Employee_Attrition[[#This Row],[Age]]&gt;=20,"20-29",IF(HR_Employee_Attrition[[#This Row],[Age]]&gt;=18,"18-20"))))))</f>
        <v>30-39</v>
      </c>
      <c r="AK70" t="str" cm="1">
        <f t="array" ref="AK70">_xlfn.IFS(HR_Employee_Attrition[[#This Row],[YearsAtCompany]]&lt;=2,"0-2",HR_Employee_Attrition[[#This Row],[YearsAtCompany]]&lt;=5,"3-5",HR_Employee_Attrition[[#This Row],[YearsAtCompany]]&lt;=10,"6-10",HR_Employee_Attrition[[#This Row],[YearsAtCompany]]&gt;10,"10+")</f>
        <v>3-5</v>
      </c>
      <c r="AL70" t="str" cm="1">
        <f t="array" ref="AL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0">
        <f>IF(HR_Employee_Attrition[[#This Row],[Attrition]]="Yes",1,0)</f>
        <v>0</v>
      </c>
    </row>
    <row r="71" spans="1:39"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IF(HR_Employee_Attrition[[#This Row],[Age]]&gt;60,"60+",IF(HR_Employee_Attrition[[#This Row],[Age]]&gt;=50,"50-59",IF(HR_Employee_Attrition[[#This Row],[Age]]&gt;=40,"40-49",IF(HR_Employee_Attrition[[#This Row],[Age]]&gt;=30,"30-39",IF(HR_Employee_Attrition[[#This Row],[Age]]&gt;=20,"20-29",IF(HR_Employee_Attrition[[#This Row],[Age]]&gt;=18,"18-20"))))))</f>
        <v>30-39</v>
      </c>
      <c r="AK71" t="str" cm="1">
        <f t="array" ref="AK71">_xlfn.IFS(HR_Employee_Attrition[[#This Row],[YearsAtCompany]]&lt;=2,"0-2",HR_Employee_Attrition[[#This Row],[YearsAtCompany]]&lt;=5,"3-5",HR_Employee_Attrition[[#This Row],[YearsAtCompany]]&lt;=10,"6-10",HR_Employee_Attrition[[#This Row],[YearsAtCompany]]&gt;10,"10+")</f>
        <v>0-2</v>
      </c>
      <c r="AL71" t="str" cm="1">
        <f t="array" ref="AL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1">
        <f>IF(HR_Employee_Attrition[[#This Row],[Attrition]]="Yes",1,0)</f>
        <v>1</v>
      </c>
    </row>
    <row r="72" spans="1:39"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IF(HR_Employee_Attrition[[#This Row],[Age]]&gt;60,"60+",IF(HR_Employee_Attrition[[#This Row],[Age]]&gt;=50,"50-59",IF(HR_Employee_Attrition[[#This Row],[Age]]&gt;=40,"40-49",IF(HR_Employee_Attrition[[#This Row],[Age]]&gt;=30,"30-39",IF(HR_Employee_Attrition[[#This Row],[Age]]&gt;=20,"20-29",IF(HR_Employee_Attrition[[#This Row],[Age]]&gt;=18,"18-20"))))))</f>
        <v>50-59</v>
      </c>
      <c r="AK72" t="str" cm="1">
        <f t="array" ref="AK72">_xlfn.IFS(HR_Employee_Attrition[[#This Row],[YearsAtCompany]]&lt;=2,"0-2",HR_Employee_Attrition[[#This Row],[YearsAtCompany]]&lt;=5,"3-5",HR_Employee_Attrition[[#This Row],[YearsAtCompany]]&lt;=10,"6-10",HR_Employee_Attrition[[#This Row],[YearsAtCompany]]&gt;10,"10+")</f>
        <v>3-5</v>
      </c>
      <c r="AL72" t="str" cm="1">
        <f t="array" ref="AL7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2">
        <f>IF(HR_Employee_Attrition[[#This Row],[Attrition]]="Yes",1,0)</f>
        <v>0</v>
      </c>
    </row>
    <row r="73" spans="1:39"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IF(HR_Employee_Attrition[[#This Row],[Age]]&gt;60,"60+",IF(HR_Employee_Attrition[[#This Row],[Age]]&gt;=50,"50-59",IF(HR_Employee_Attrition[[#This Row],[Age]]&gt;=40,"40-49",IF(HR_Employee_Attrition[[#This Row],[Age]]&gt;=30,"30-39",IF(HR_Employee_Attrition[[#This Row],[Age]]&gt;=20,"20-29",IF(HR_Employee_Attrition[[#This Row],[Age]]&gt;=18,"18-20"))))))</f>
        <v>20-29</v>
      </c>
      <c r="AK73" t="str" cm="1">
        <f t="array" ref="AK73">_xlfn.IFS(HR_Employee_Attrition[[#This Row],[YearsAtCompany]]&lt;=2,"0-2",HR_Employee_Attrition[[#This Row],[YearsAtCompany]]&lt;=5,"3-5",HR_Employee_Attrition[[#This Row],[YearsAtCompany]]&lt;=10,"6-10",HR_Employee_Attrition[[#This Row],[YearsAtCompany]]&gt;10,"10+")</f>
        <v>3-5</v>
      </c>
      <c r="AL73" t="str" cm="1">
        <f t="array" ref="AL7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3">
        <f>IF(HR_Employee_Attrition[[#This Row],[Attrition]]="Yes",1,0)</f>
        <v>0</v>
      </c>
    </row>
    <row r="74" spans="1:39"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IF(HR_Employee_Attrition[[#This Row],[Age]]&gt;60,"60+",IF(HR_Employee_Attrition[[#This Row],[Age]]&gt;=50,"50-59",IF(HR_Employee_Attrition[[#This Row],[Age]]&gt;=40,"40-49",IF(HR_Employee_Attrition[[#This Row],[Age]]&gt;=30,"30-39",IF(HR_Employee_Attrition[[#This Row],[Age]]&gt;=20,"20-29",IF(HR_Employee_Attrition[[#This Row],[Age]]&gt;=18,"18-20"))))))</f>
        <v>30-39</v>
      </c>
      <c r="AK74" t="str" cm="1">
        <f t="array" ref="AK74">_xlfn.IFS(HR_Employee_Attrition[[#This Row],[YearsAtCompany]]&lt;=2,"0-2",HR_Employee_Attrition[[#This Row],[YearsAtCompany]]&lt;=5,"3-5",HR_Employee_Attrition[[#This Row],[YearsAtCompany]]&lt;=10,"6-10",HR_Employee_Attrition[[#This Row],[YearsAtCompany]]&gt;10,"10+")</f>
        <v>0-2</v>
      </c>
      <c r="AL74" t="str" cm="1">
        <f t="array" ref="AL7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4">
        <f>IF(HR_Employee_Attrition[[#This Row],[Attrition]]="Yes",1,0)</f>
        <v>0</v>
      </c>
    </row>
    <row r="75" spans="1:39"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IF(HR_Employee_Attrition[[#This Row],[Age]]&gt;60,"60+",IF(HR_Employee_Attrition[[#This Row],[Age]]&gt;=50,"50-59",IF(HR_Employee_Attrition[[#This Row],[Age]]&gt;=40,"40-49",IF(HR_Employee_Attrition[[#This Row],[Age]]&gt;=30,"30-39",IF(HR_Employee_Attrition[[#This Row],[Age]]&gt;=20,"20-29",IF(HR_Employee_Attrition[[#This Row],[Age]]&gt;=18,"18-20"))))))</f>
        <v>30-39</v>
      </c>
      <c r="AK75" t="str" cm="1">
        <f t="array" ref="AK75">_xlfn.IFS(HR_Employee_Attrition[[#This Row],[YearsAtCompany]]&lt;=2,"0-2",HR_Employee_Attrition[[#This Row],[YearsAtCompany]]&lt;=5,"3-5",HR_Employee_Attrition[[#This Row],[YearsAtCompany]]&lt;=10,"6-10",HR_Employee_Attrition[[#This Row],[YearsAtCompany]]&gt;10,"10+")</f>
        <v>6-10</v>
      </c>
      <c r="AL75" t="str" cm="1">
        <f t="array" ref="AL7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5">
        <f>IF(HR_Employee_Attrition[[#This Row],[Attrition]]="Yes",1,0)</f>
        <v>0</v>
      </c>
    </row>
    <row r="76" spans="1:39"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IF(HR_Employee_Attrition[[#This Row],[Age]]&gt;60,"60+",IF(HR_Employee_Attrition[[#This Row],[Age]]&gt;=50,"50-59",IF(HR_Employee_Attrition[[#This Row],[Age]]&gt;=40,"40-49",IF(HR_Employee_Attrition[[#This Row],[Age]]&gt;=30,"30-39",IF(HR_Employee_Attrition[[#This Row],[Age]]&gt;=20,"20-29",IF(HR_Employee_Attrition[[#This Row],[Age]]&gt;=18,"18-20"))))))</f>
        <v>30-39</v>
      </c>
      <c r="AK76" t="str" cm="1">
        <f t="array" ref="AK76">_xlfn.IFS(HR_Employee_Attrition[[#This Row],[YearsAtCompany]]&lt;=2,"0-2",HR_Employee_Attrition[[#This Row],[YearsAtCompany]]&lt;=5,"3-5",HR_Employee_Attrition[[#This Row],[YearsAtCompany]]&lt;=10,"6-10",HR_Employee_Attrition[[#This Row],[YearsAtCompany]]&gt;10,"10+")</f>
        <v>0-2</v>
      </c>
      <c r="AL76" t="str" cm="1">
        <f t="array" ref="AL7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6">
        <f>IF(HR_Employee_Attrition[[#This Row],[Attrition]]="Yes",1,0)</f>
        <v>0</v>
      </c>
    </row>
    <row r="77" spans="1:39"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IF(HR_Employee_Attrition[[#This Row],[Age]]&gt;60,"60+",IF(HR_Employee_Attrition[[#This Row],[Age]]&gt;=50,"50-59",IF(HR_Employee_Attrition[[#This Row],[Age]]&gt;=40,"40-49",IF(HR_Employee_Attrition[[#This Row],[Age]]&gt;=30,"30-39",IF(HR_Employee_Attrition[[#This Row],[Age]]&gt;=20,"20-29",IF(HR_Employee_Attrition[[#This Row],[Age]]&gt;=18,"18-20"))))))</f>
        <v>30-39</v>
      </c>
      <c r="AK77" t="str" cm="1">
        <f t="array" ref="AK77">_xlfn.IFS(HR_Employee_Attrition[[#This Row],[YearsAtCompany]]&lt;=2,"0-2",HR_Employee_Attrition[[#This Row],[YearsAtCompany]]&lt;=5,"3-5",HR_Employee_Attrition[[#This Row],[YearsAtCompany]]&lt;=10,"6-10",HR_Employee_Attrition[[#This Row],[YearsAtCompany]]&gt;10,"10+")</f>
        <v>10+</v>
      </c>
      <c r="AL77" t="str" cm="1">
        <f t="array" ref="AL7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7">
        <f>IF(HR_Employee_Attrition[[#This Row],[Attrition]]="Yes",1,0)</f>
        <v>0</v>
      </c>
    </row>
    <row r="78" spans="1:39"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IF(HR_Employee_Attrition[[#This Row],[Age]]&gt;60,"60+",IF(HR_Employee_Attrition[[#This Row],[Age]]&gt;=50,"50-59",IF(HR_Employee_Attrition[[#This Row],[Age]]&gt;=40,"40-49",IF(HR_Employee_Attrition[[#This Row],[Age]]&gt;=30,"30-39",IF(HR_Employee_Attrition[[#This Row],[Age]]&gt;=20,"20-29",IF(HR_Employee_Attrition[[#This Row],[Age]]&gt;=18,"18-20"))))))</f>
        <v>30-39</v>
      </c>
      <c r="AK78" t="str" cm="1">
        <f t="array" ref="AK78">_xlfn.IFS(HR_Employee_Attrition[[#This Row],[YearsAtCompany]]&lt;=2,"0-2",HR_Employee_Attrition[[#This Row],[YearsAtCompany]]&lt;=5,"3-5",HR_Employee_Attrition[[#This Row],[YearsAtCompany]]&lt;=10,"6-10",HR_Employee_Attrition[[#This Row],[YearsAtCompany]]&gt;10,"10+")</f>
        <v>10+</v>
      </c>
      <c r="AL78" t="str" cm="1">
        <f t="array" ref="AL7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8">
        <f>IF(HR_Employee_Attrition[[#This Row],[Attrition]]="Yes",1,0)</f>
        <v>0</v>
      </c>
    </row>
    <row r="79" spans="1:39"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IF(HR_Employee_Attrition[[#This Row],[Age]]&gt;60,"60+",IF(HR_Employee_Attrition[[#This Row],[Age]]&gt;=50,"50-59",IF(HR_Employee_Attrition[[#This Row],[Age]]&gt;=40,"40-49",IF(HR_Employee_Attrition[[#This Row],[Age]]&gt;=30,"30-39",IF(HR_Employee_Attrition[[#This Row],[Age]]&gt;=20,"20-29",IF(HR_Employee_Attrition[[#This Row],[Age]]&gt;=18,"18-20"))))))</f>
        <v>40-49</v>
      </c>
      <c r="AK79" t="str" cm="1">
        <f t="array" ref="AK79">_xlfn.IFS(HR_Employee_Attrition[[#This Row],[YearsAtCompany]]&lt;=2,"0-2",HR_Employee_Attrition[[#This Row],[YearsAtCompany]]&lt;=5,"3-5",HR_Employee_Attrition[[#This Row],[YearsAtCompany]]&lt;=10,"6-10",HR_Employee_Attrition[[#This Row],[YearsAtCompany]]&gt;10,"10+")</f>
        <v>0-2</v>
      </c>
      <c r="AL79" t="str" cm="1">
        <f t="array" ref="AL7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9">
        <f>IF(HR_Employee_Attrition[[#This Row],[Attrition]]="Yes",1,0)</f>
        <v>0</v>
      </c>
    </row>
    <row r="80" spans="1:39"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IF(HR_Employee_Attrition[[#This Row],[Age]]&gt;60,"60+",IF(HR_Employee_Attrition[[#This Row],[Age]]&gt;=50,"50-59",IF(HR_Employee_Attrition[[#This Row],[Age]]&gt;=40,"40-49",IF(HR_Employee_Attrition[[#This Row],[Age]]&gt;=30,"30-39",IF(HR_Employee_Attrition[[#This Row],[Age]]&gt;=20,"20-29",IF(HR_Employee_Attrition[[#This Row],[Age]]&gt;=18,"18-20"))))))</f>
        <v>30-39</v>
      </c>
      <c r="AK80" t="str" cm="1">
        <f t="array" ref="AK80">_xlfn.IFS(HR_Employee_Attrition[[#This Row],[YearsAtCompany]]&lt;=2,"0-2",HR_Employee_Attrition[[#This Row],[YearsAtCompany]]&lt;=5,"3-5",HR_Employee_Attrition[[#This Row],[YearsAtCompany]]&lt;=10,"6-10",HR_Employee_Attrition[[#This Row],[YearsAtCompany]]&gt;10,"10+")</f>
        <v>3-5</v>
      </c>
      <c r="AL80" t="str" cm="1">
        <f t="array" ref="AL8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80">
        <f>IF(HR_Employee_Attrition[[#This Row],[Attrition]]="Yes",1,0)</f>
        <v>0</v>
      </c>
    </row>
    <row r="81" spans="1:39"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IF(HR_Employee_Attrition[[#This Row],[Age]]&gt;60,"60+",IF(HR_Employee_Attrition[[#This Row],[Age]]&gt;=50,"50-59",IF(HR_Employee_Attrition[[#This Row],[Age]]&gt;=40,"40-49",IF(HR_Employee_Attrition[[#This Row],[Age]]&gt;=30,"30-39",IF(HR_Employee_Attrition[[#This Row],[Age]]&gt;=20,"20-29",IF(HR_Employee_Attrition[[#This Row],[Age]]&gt;=18,"18-20"))))))</f>
        <v>40-49</v>
      </c>
      <c r="AK81" t="str" cm="1">
        <f t="array" ref="AK81">_xlfn.IFS(HR_Employee_Attrition[[#This Row],[YearsAtCompany]]&lt;=2,"0-2",HR_Employee_Attrition[[#This Row],[YearsAtCompany]]&lt;=5,"3-5",HR_Employee_Attrition[[#This Row],[YearsAtCompany]]&lt;=10,"6-10",HR_Employee_Attrition[[#This Row],[YearsAtCompany]]&gt;10,"10+")</f>
        <v>3-5</v>
      </c>
      <c r="AL81" t="str" cm="1">
        <f t="array" ref="AL8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1">
        <f>IF(HR_Employee_Attrition[[#This Row],[Attrition]]="Yes",1,0)</f>
        <v>0</v>
      </c>
    </row>
    <row r="82" spans="1:39"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IF(HR_Employee_Attrition[[#This Row],[Age]]&gt;60,"60+",IF(HR_Employee_Attrition[[#This Row],[Age]]&gt;=50,"50-59",IF(HR_Employee_Attrition[[#This Row],[Age]]&gt;=40,"40-49",IF(HR_Employee_Attrition[[#This Row],[Age]]&gt;=30,"30-39",IF(HR_Employee_Attrition[[#This Row],[Age]]&gt;=20,"20-29",IF(HR_Employee_Attrition[[#This Row],[Age]]&gt;=18,"18-20"))))))</f>
        <v>30-39</v>
      </c>
      <c r="AK82" t="str" cm="1">
        <f t="array" ref="AK82">_xlfn.IFS(HR_Employee_Attrition[[#This Row],[YearsAtCompany]]&lt;=2,"0-2",HR_Employee_Attrition[[#This Row],[YearsAtCompany]]&lt;=5,"3-5",HR_Employee_Attrition[[#This Row],[YearsAtCompany]]&lt;=10,"6-10",HR_Employee_Attrition[[#This Row],[YearsAtCompany]]&gt;10,"10+")</f>
        <v>6-10</v>
      </c>
      <c r="AL82" t="str" cm="1">
        <f t="array" ref="AL8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2">
        <f>IF(HR_Employee_Attrition[[#This Row],[Attrition]]="Yes",1,0)</f>
        <v>0</v>
      </c>
    </row>
    <row r="83" spans="1:39"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IF(HR_Employee_Attrition[[#This Row],[Age]]&gt;60,"60+",IF(HR_Employee_Attrition[[#This Row],[Age]]&gt;=50,"50-59",IF(HR_Employee_Attrition[[#This Row],[Age]]&gt;=40,"40-49",IF(HR_Employee_Attrition[[#This Row],[Age]]&gt;=30,"30-39",IF(HR_Employee_Attrition[[#This Row],[Age]]&gt;=20,"20-29",IF(HR_Employee_Attrition[[#This Row],[Age]]&gt;=18,"18-20"))))))</f>
        <v>30-39</v>
      </c>
      <c r="AK83" t="str" cm="1">
        <f t="array" ref="AK83">_xlfn.IFS(HR_Employee_Attrition[[#This Row],[YearsAtCompany]]&lt;=2,"0-2",HR_Employee_Attrition[[#This Row],[YearsAtCompany]]&lt;=5,"3-5",HR_Employee_Attrition[[#This Row],[YearsAtCompany]]&lt;=10,"6-10",HR_Employee_Attrition[[#This Row],[YearsAtCompany]]&gt;10,"10+")</f>
        <v>6-10</v>
      </c>
      <c r="AL83" t="str" cm="1">
        <f t="array" ref="AL8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3">
        <f>IF(HR_Employee_Attrition[[#This Row],[Attrition]]="Yes",1,0)</f>
        <v>0</v>
      </c>
    </row>
    <row r="84" spans="1:39"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IF(HR_Employee_Attrition[[#This Row],[Age]]&gt;60,"60+",IF(HR_Employee_Attrition[[#This Row],[Age]]&gt;=50,"50-59",IF(HR_Employee_Attrition[[#This Row],[Age]]&gt;=40,"40-49",IF(HR_Employee_Attrition[[#This Row],[Age]]&gt;=30,"30-39",IF(HR_Employee_Attrition[[#This Row],[Age]]&gt;=20,"20-29",IF(HR_Employee_Attrition[[#This Row],[Age]]&gt;=18,"18-20"))))))</f>
        <v>50-59</v>
      </c>
      <c r="AK84" t="str" cm="1">
        <f t="array" ref="AK84">_xlfn.IFS(HR_Employee_Attrition[[#This Row],[YearsAtCompany]]&lt;=2,"0-2",HR_Employee_Attrition[[#This Row],[YearsAtCompany]]&lt;=5,"3-5",HR_Employee_Attrition[[#This Row],[YearsAtCompany]]&lt;=10,"6-10",HR_Employee_Attrition[[#This Row],[YearsAtCompany]]&gt;10,"10+")</f>
        <v>0-2</v>
      </c>
      <c r="AL84" t="str" cm="1">
        <f t="array" ref="AL8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84">
        <f>IF(HR_Employee_Attrition[[#This Row],[Attrition]]="Yes",1,0)</f>
        <v>0</v>
      </c>
    </row>
    <row r="85" spans="1:39"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IF(HR_Employee_Attrition[[#This Row],[Age]]&gt;60,"60+",IF(HR_Employee_Attrition[[#This Row],[Age]]&gt;=50,"50-59",IF(HR_Employee_Attrition[[#This Row],[Age]]&gt;=40,"40-49",IF(HR_Employee_Attrition[[#This Row],[Age]]&gt;=30,"30-39",IF(HR_Employee_Attrition[[#This Row],[Age]]&gt;=20,"20-29",IF(HR_Employee_Attrition[[#This Row],[Age]]&gt;=18,"18-20"))))))</f>
        <v>30-39</v>
      </c>
      <c r="AK85" t="str" cm="1">
        <f t="array" ref="AK85">_xlfn.IFS(HR_Employee_Attrition[[#This Row],[YearsAtCompany]]&lt;=2,"0-2",HR_Employee_Attrition[[#This Row],[YearsAtCompany]]&lt;=5,"3-5",HR_Employee_Attrition[[#This Row],[YearsAtCompany]]&lt;=10,"6-10",HR_Employee_Attrition[[#This Row],[YearsAtCompany]]&gt;10,"10+")</f>
        <v>10+</v>
      </c>
      <c r="AL85" t="str" cm="1">
        <f t="array" ref="AL8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5">
        <f>IF(HR_Employee_Attrition[[#This Row],[Attrition]]="Yes",1,0)</f>
        <v>0</v>
      </c>
    </row>
    <row r="86" spans="1:39"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IF(HR_Employee_Attrition[[#This Row],[Age]]&gt;60,"60+",IF(HR_Employee_Attrition[[#This Row],[Age]]&gt;=50,"50-59",IF(HR_Employee_Attrition[[#This Row],[Age]]&gt;=40,"40-49",IF(HR_Employee_Attrition[[#This Row],[Age]]&gt;=30,"30-39",IF(HR_Employee_Attrition[[#This Row],[Age]]&gt;=20,"20-29",IF(HR_Employee_Attrition[[#This Row],[Age]]&gt;=18,"18-20"))))))</f>
        <v>30-39</v>
      </c>
      <c r="AK86" t="str" cm="1">
        <f t="array" ref="AK86">_xlfn.IFS(HR_Employee_Attrition[[#This Row],[YearsAtCompany]]&lt;=2,"0-2",HR_Employee_Attrition[[#This Row],[YearsAtCompany]]&lt;=5,"3-5",HR_Employee_Attrition[[#This Row],[YearsAtCompany]]&lt;=10,"6-10",HR_Employee_Attrition[[#This Row],[YearsAtCompany]]&gt;10,"10+")</f>
        <v>3-5</v>
      </c>
      <c r="AL86" t="str" cm="1">
        <f t="array" ref="AL8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6">
        <f>IF(HR_Employee_Attrition[[#This Row],[Attrition]]="Yes",1,0)</f>
        <v>0</v>
      </c>
    </row>
    <row r="87" spans="1:39"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IF(HR_Employee_Attrition[[#This Row],[Age]]&gt;60,"60+",IF(HR_Employee_Attrition[[#This Row],[Age]]&gt;=50,"50-59",IF(HR_Employee_Attrition[[#This Row],[Age]]&gt;=40,"40-49",IF(HR_Employee_Attrition[[#This Row],[Age]]&gt;=30,"30-39",IF(HR_Employee_Attrition[[#This Row],[Age]]&gt;=20,"20-29",IF(HR_Employee_Attrition[[#This Row],[Age]]&gt;=18,"18-20"))))))</f>
        <v>50-59</v>
      </c>
      <c r="AK87" t="str" cm="1">
        <f t="array" ref="AK87">_xlfn.IFS(HR_Employee_Attrition[[#This Row],[YearsAtCompany]]&lt;=2,"0-2",HR_Employee_Attrition[[#This Row],[YearsAtCompany]]&lt;=5,"3-5",HR_Employee_Attrition[[#This Row],[YearsAtCompany]]&lt;=10,"6-10",HR_Employee_Attrition[[#This Row],[YearsAtCompany]]&gt;10,"10+")</f>
        <v>6-10</v>
      </c>
      <c r="AL87" t="str" cm="1">
        <f t="array" ref="AL8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7">
        <f>IF(HR_Employee_Attrition[[#This Row],[Attrition]]="Yes",1,0)</f>
        <v>0</v>
      </c>
    </row>
    <row r="88" spans="1:39"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IF(HR_Employee_Attrition[[#This Row],[Age]]&gt;60,"60+",IF(HR_Employee_Attrition[[#This Row],[Age]]&gt;=50,"50-59",IF(HR_Employee_Attrition[[#This Row],[Age]]&gt;=40,"40-49",IF(HR_Employee_Attrition[[#This Row],[Age]]&gt;=30,"30-39",IF(HR_Employee_Attrition[[#This Row],[Age]]&gt;=20,"20-29",IF(HR_Employee_Attrition[[#This Row],[Age]]&gt;=18,"18-20"))))))</f>
        <v>20-29</v>
      </c>
      <c r="AK88" t="str" cm="1">
        <f t="array" ref="AK88">_xlfn.IFS(HR_Employee_Attrition[[#This Row],[YearsAtCompany]]&lt;=2,"0-2",HR_Employee_Attrition[[#This Row],[YearsAtCompany]]&lt;=5,"3-5",HR_Employee_Attrition[[#This Row],[YearsAtCompany]]&lt;=10,"6-10",HR_Employee_Attrition[[#This Row],[YearsAtCompany]]&gt;10,"10+")</f>
        <v>0-2</v>
      </c>
      <c r="AL88" t="str" cm="1">
        <f t="array" ref="AL8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8">
        <f>IF(HR_Employee_Attrition[[#This Row],[Attrition]]="Yes",1,0)</f>
        <v>0</v>
      </c>
    </row>
    <row r="89" spans="1:39"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IF(HR_Employee_Attrition[[#This Row],[Age]]&gt;60,"60+",IF(HR_Employee_Attrition[[#This Row],[Age]]&gt;=50,"50-59",IF(HR_Employee_Attrition[[#This Row],[Age]]&gt;=40,"40-49",IF(HR_Employee_Attrition[[#This Row],[Age]]&gt;=30,"30-39",IF(HR_Employee_Attrition[[#This Row],[Age]]&gt;=20,"20-29",IF(HR_Employee_Attrition[[#This Row],[Age]]&gt;=18,"18-20"))))))</f>
        <v>50-59</v>
      </c>
      <c r="AK89" t="str" cm="1">
        <f t="array" ref="AK89">_xlfn.IFS(HR_Employee_Attrition[[#This Row],[YearsAtCompany]]&lt;=2,"0-2",HR_Employee_Attrition[[#This Row],[YearsAtCompany]]&lt;=5,"3-5",HR_Employee_Attrition[[#This Row],[YearsAtCompany]]&lt;=10,"6-10",HR_Employee_Attrition[[#This Row],[YearsAtCompany]]&gt;10,"10+")</f>
        <v>3-5</v>
      </c>
      <c r="AL89" t="str" cm="1">
        <f t="array" ref="AL8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9">
        <f>IF(HR_Employee_Attrition[[#This Row],[Attrition]]="Yes",1,0)</f>
        <v>0</v>
      </c>
    </row>
    <row r="90" spans="1:39"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IF(HR_Employee_Attrition[[#This Row],[Age]]&gt;60,"60+",IF(HR_Employee_Attrition[[#This Row],[Age]]&gt;=50,"50-59",IF(HR_Employee_Attrition[[#This Row],[Age]]&gt;=40,"40-49",IF(HR_Employee_Attrition[[#This Row],[Age]]&gt;=30,"30-39",IF(HR_Employee_Attrition[[#This Row],[Age]]&gt;=20,"20-29",IF(HR_Employee_Attrition[[#This Row],[Age]]&gt;=18,"18-20"))))))</f>
        <v>30-39</v>
      </c>
      <c r="AK90" t="str" cm="1">
        <f t="array" ref="AK90">_xlfn.IFS(HR_Employee_Attrition[[#This Row],[YearsAtCompany]]&lt;=2,"0-2",HR_Employee_Attrition[[#This Row],[YearsAtCompany]]&lt;=5,"3-5",HR_Employee_Attrition[[#This Row],[YearsAtCompany]]&lt;=10,"6-10",HR_Employee_Attrition[[#This Row],[YearsAtCompany]]&gt;10,"10+")</f>
        <v>10+</v>
      </c>
      <c r="AL90" t="str" cm="1">
        <f t="array" ref="AL9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0">
        <f>IF(HR_Employee_Attrition[[#This Row],[Attrition]]="Yes",1,0)</f>
        <v>0</v>
      </c>
    </row>
    <row r="91" spans="1:39"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IF(HR_Employee_Attrition[[#This Row],[Age]]&gt;60,"60+",IF(HR_Employee_Attrition[[#This Row],[Age]]&gt;=50,"50-59",IF(HR_Employee_Attrition[[#This Row],[Age]]&gt;=40,"40-49",IF(HR_Employee_Attrition[[#This Row],[Age]]&gt;=30,"30-39",IF(HR_Employee_Attrition[[#This Row],[Age]]&gt;=20,"20-29",IF(HR_Employee_Attrition[[#This Row],[Age]]&gt;=18,"18-20"))))))</f>
        <v>40-49</v>
      </c>
      <c r="AK91" t="str" cm="1">
        <f t="array" ref="AK91">_xlfn.IFS(HR_Employee_Attrition[[#This Row],[YearsAtCompany]]&lt;=2,"0-2",HR_Employee_Attrition[[#This Row],[YearsAtCompany]]&lt;=5,"3-5",HR_Employee_Attrition[[#This Row],[YearsAtCompany]]&lt;=10,"6-10",HR_Employee_Attrition[[#This Row],[YearsAtCompany]]&gt;10,"10+")</f>
        <v>6-10</v>
      </c>
      <c r="AL91" t="str" cm="1">
        <f t="array" ref="AL9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1">
        <f>IF(HR_Employee_Attrition[[#This Row],[Attrition]]="Yes",1,0)</f>
        <v>1</v>
      </c>
    </row>
    <row r="92" spans="1:39"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IF(HR_Employee_Attrition[[#This Row],[Age]]&gt;60,"60+",IF(HR_Employee_Attrition[[#This Row],[Age]]&gt;=50,"50-59",IF(HR_Employee_Attrition[[#This Row],[Age]]&gt;=40,"40-49",IF(HR_Employee_Attrition[[#This Row],[Age]]&gt;=30,"30-39",IF(HR_Employee_Attrition[[#This Row],[Age]]&gt;=20,"20-29",IF(HR_Employee_Attrition[[#This Row],[Age]]&gt;=18,"18-20"))))))</f>
        <v>40-49</v>
      </c>
      <c r="AK92" t="str" cm="1">
        <f t="array" ref="AK92">_xlfn.IFS(HR_Employee_Attrition[[#This Row],[YearsAtCompany]]&lt;=2,"0-2",HR_Employee_Attrition[[#This Row],[YearsAtCompany]]&lt;=5,"3-5",HR_Employee_Attrition[[#This Row],[YearsAtCompany]]&lt;=10,"6-10",HR_Employee_Attrition[[#This Row],[YearsAtCompany]]&gt;10,"10+")</f>
        <v>10+</v>
      </c>
      <c r="AL92" t="str" cm="1">
        <f t="array" ref="AL9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2">
        <f>IF(HR_Employee_Attrition[[#This Row],[Attrition]]="Yes",1,0)</f>
        <v>0</v>
      </c>
    </row>
    <row r="93" spans="1:39"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IF(HR_Employee_Attrition[[#This Row],[Age]]&gt;60,"60+",IF(HR_Employee_Attrition[[#This Row],[Age]]&gt;=50,"50-59",IF(HR_Employee_Attrition[[#This Row],[Age]]&gt;=40,"40-49",IF(HR_Employee_Attrition[[#This Row],[Age]]&gt;=30,"30-39",IF(HR_Employee_Attrition[[#This Row],[Age]]&gt;=20,"20-29",IF(HR_Employee_Attrition[[#This Row],[Age]]&gt;=18,"18-20"))))))</f>
        <v>50-59</v>
      </c>
      <c r="AK93" t="str" cm="1">
        <f t="array" ref="AK93">_xlfn.IFS(HR_Employee_Attrition[[#This Row],[YearsAtCompany]]&lt;=2,"0-2",HR_Employee_Attrition[[#This Row],[YearsAtCompany]]&lt;=5,"3-5",HR_Employee_Attrition[[#This Row],[YearsAtCompany]]&lt;=10,"6-10",HR_Employee_Attrition[[#This Row],[YearsAtCompany]]&gt;10,"10+")</f>
        <v>6-10</v>
      </c>
      <c r="AL93" t="str" cm="1">
        <f t="array" ref="AL9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3">
        <f>IF(HR_Employee_Attrition[[#This Row],[Attrition]]="Yes",1,0)</f>
        <v>0</v>
      </c>
    </row>
    <row r="94" spans="1:39"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IF(HR_Employee_Attrition[[#This Row],[Age]]&gt;60,"60+",IF(HR_Employee_Attrition[[#This Row],[Age]]&gt;=50,"50-59",IF(HR_Employee_Attrition[[#This Row],[Age]]&gt;=40,"40-49",IF(HR_Employee_Attrition[[#This Row],[Age]]&gt;=30,"30-39",IF(HR_Employee_Attrition[[#This Row],[Age]]&gt;=20,"20-29",IF(HR_Employee_Attrition[[#This Row],[Age]]&gt;=18,"18-20"))))))</f>
        <v>30-39</v>
      </c>
      <c r="AK94" t="str" cm="1">
        <f t="array" ref="AK94">_xlfn.IFS(HR_Employee_Attrition[[#This Row],[YearsAtCompany]]&lt;=2,"0-2",HR_Employee_Attrition[[#This Row],[YearsAtCompany]]&lt;=5,"3-5",HR_Employee_Attrition[[#This Row],[YearsAtCompany]]&lt;=10,"6-10",HR_Employee_Attrition[[#This Row],[YearsAtCompany]]&gt;10,"10+")</f>
        <v>10+</v>
      </c>
      <c r="AL94" t="str" cm="1">
        <f t="array" ref="AL9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4">
        <f>IF(HR_Employee_Attrition[[#This Row],[Attrition]]="Yes",1,0)</f>
        <v>0</v>
      </c>
    </row>
    <row r="95" spans="1:39"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IF(HR_Employee_Attrition[[#This Row],[Age]]&gt;60,"60+",IF(HR_Employee_Attrition[[#This Row],[Age]]&gt;=50,"50-59",IF(HR_Employee_Attrition[[#This Row],[Age]]&gt;=40,"40-49",IF(HR_Employee_Attrition[[#This Row],[Age]]&gt;=30,"30-39",IF(HR_Employee_Attrition[[#This Row],[Age]]&gt;=20,"20-29",IF(HR_Employee_Attrition[[#This Row],[Age]]&gt;=18,"18-20"))))))</f>
        <v>40-49</v>
      </c>
      <c r="AK95" t="str" cm="1">
        <f t="array" ref="AK95">_xlfn.IFS(HR_Employee_Attrition[[#This Row],[YearsAtCompany]]&lt;=2,"0-2",HR_Employee_Attrition[[#This Row],[YearsAtCompany]]&lt;=5,"3-5",HR_Employee_Attrition[[#This Row],[YearsAtCompany]]&lt;=10,"6-10",HR_Employee_Attrition[[#This Row],[YearsAtCompany]]&gt;10,"10+")</f>
        <v>6-10</v>
      </c>
      <c r="AL95" t="str" cm="1">
        <f t="array" ref="AL9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5">
        <f>IF(HR_Employee_Attrition[[#This Row],[Attrition]]="Yes",1,0)</f>
        <v>0</v>
      </c>
    </row>
    <row r="96" spans="1:39"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IF(HR_Employee_Attrition[[#This Row],[Age]]&gt;60,"60+",IF(HR_Employee_Attrition[[#This Row],[Age]]&gt;=50,"50-59",IF(HR_Employee_Attrition[[#This Row],[Age]]&gt;=40,"40-49",IF(HR_Employee_Attrition[[#This Row],[Age]]&gt;=30,"30-39",IF(HR_Employee_Attrition[[#This Row],[Age]]&gt;=20,"20-29",IF(HR_Employee_Attrition[[#This Row],[Age]]&gt;=18,"18-20"))))))</f>
        <v>30-39</v>
      </c>
      <c r="AK96" t="str" cm="1">
        <f t="array" ref="AK96">_xlfn.IFS(HR_Employee_Attrition[[#This Row],[YearsAtCompany]]&lt;=2,"0-2",HR_Employee_Attrition[[#This Row],[YearsAtCompany]]&lt;=5,"3-5",HR_Employee_Attrition[[#This Row],[YearsAtCompany]]&lt;=10,"6-10",HR_Employee_Attrition[[#This Row],[YearsAtCompany]]&gt;10,"10+")</f>
        <v>10+</v>
      </c>
      <c r="AL96" t="str" cm="1">
        <f t="array" ref="AL9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6">
        <f>IF(HR_Employee_Attrition[[#This Row],[Attrition]]="Yes",1,0)</f>
        <v>0</v>
      </c>
    </row>
    <row r="97" spans="1:39"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IF(HR_Employee_Attrition[[#This Row],[Age]]&gt;60,"60+",IF(HR_Employee_Attrition[[#This Row],[Age]]&gt;=50,"50-59",IF(HR_Employee_Attrition[[#This Row],[Age]]&gt;=40,"40-49",IF(HR_Employee_Attrition[[#This Row],[Age]]&gt;=30,"30-39",IF(HR_Employee_Attrition[[#This Row],[Age]]&gt;=20,"20-29",IF(HR_Employee_Attrition[[#This Row],[Age]]&gt;=18,"18-20"))))))</f>
        <v>50-59</v>
      </c>
      <c r="AK97" t="str" cm="1">
        <f t="array" ref="AK97">_xlfn.IFS(HR_Employee_Attrition[[#This Row],[YearsAtCompany]]&lt;=2,"0-2",HR_Employee_Attrition[[#This Row],[YearsAtCompany]]&lt;=5,"3-5",HR_Employee_Attrition[[#This Row],[YearsAtCompany]]&lt;=10,"6-10",HR_Employee_Attrition[[#This Row],[YearsAtCompany]]&gt;10,"10+")</f>
        <v>3-5</v>
      </c>
      <c r="AL97" t="str" cm="1">
        <f t="array" ref="AL9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7">
        <f>IF(HR_Employee_Attrition[[#This Row],[Attrition]]="Yes",1,0)</f>
        <v>0</v>
      </c>
    </row>
    <row r="98" spans="1:39"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IF(HR_Employee_Attrition[[#This Row],[Age]]&gt;60,"60+",IF(HR_Employee_Attrition[[#This Row],[Age]]&gt;=50,"50-59",IF(HR_Employee_Attrition[[#This Row],[Age]]&gt;=40,"40-49",IF(HR_Employee_Attrition[[#This Row],[Age]]&gt;=30,"30-39",IF(HR_Employee_Attrition[[#This Row],[Age]]&gt;=20,"20-29",IF(HR_Employee_Attrition[[#This Row],[Age]]&gt;=18,"18-20"))))))</f>
        <v>20-29</v>
      </c>
      <c r="AK98" t="str" cm="1">
        <f t="array" ref="AK98">_xlfn.IFS(HR_Employee_Attrition[[#This Row],[YearsAtCompany]]&lt;=2,"0-2",HR_Employee_Attrition[[#This Row],[YearsAtCompany]]&lt;=5,"3-5",HR_Employee_Attrition[[#This Row],[YearsAtCompany]]&lt;=10,"6-10",HR_Employee_Attrition[[#This Row],[YearsAtCompany]]&gt;10,"10+")</f>
        <v>3-5</v>
      </c>
      <c r="AL98" t="str" cm="1">
        <f t="array" ref="AL9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8">
        <f>IF(HR_Employee_Attrition[[#This Row],[Attrition]]="Yes",1,0)</f>
        <v>0</v>
      </c>
    </row>
    <row r="99" spans="1:39"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IF(HR_Employee_Attrition[[#This Row],[Age]]&gt;60,"60+",IF(HR_Employee_Attrition[[#This Row],[Age]]&gt;=50,"50-59",IF(HR_Employee_Attrition[[#This Row],[Age]]&gt;=40,"40-49",IF(HR_Employee_Attrition[[#This Row],[Age]]&gt;=30,"30-39",IF(HR_Employee_Attrition[[#This Row],[Age]]&gt;=20,"20-29",IF(HR_Employee_Attrition[[#This Row],[Age]]&gt;=18,"18-20"))))))</f>
        <v>20-29</v>
      </c>
      <c r="AK99" t="str" cm="1">
        <f t="array" ref="AK99">_xlfn.IFS(HR_Employee_Attrition[[#This Row],[YearsAtCompany]]&lt;=2,"0-2",HR_Employee_Attrition[[#This Row],[YearsAtCompany]]&lt;=5,"3-5",HR_Employee_Attrition[[#This Row],[YearsAtCompany]]&lt;=10,"6-10",HR_Employee_Attrition[[#This Row],[YearsAtCompany]]&gt;10,"10+")</f>
        <v>3-5</v>
      </c>
      <c r="AL99" t="str" cm="1">
        <f t="array" ref="AL9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9">
        <f>IF(HR_Employee_Attrition[[#This Row],[Attrition]]="Yes",1,0)</f>
        <v>0</v>
      </c>
    </row>
    <row r="100" spans="1:39"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IF(HR_Employee_Attrition[[#This Row],[Age]]&gt;60,"60+",IF(HR_Employee_Attrition[[#This Row],[Age]]&gt;=50,"50-59",IF(HR_Employee_Attrition[[#This Row],[Age]]&gt;=40,"40-49",IF(HR_Employee_Attrition[[#This Row],[Age]]&gt;=30,"30-39",IF(HR_Employee_Attrition[[#This Row],[Age]]&gt;=20,"20-29",IF(HR_Employee_Attrition[[#This Row],[Age]]&gt;=18,"18-20"))))))</f>
        <v>50-59</v>
      </c>
      <c r="AK100" t="str" cm="1">
        <f t="array" ref="AK100">_xlfn.IFS(HR_Employee_Attrition[[#This Row],[YearsAtCompany]]&lt;=2,"0-2",HR_Employee_Attrition[[#This Row],[YearsAtCompany]]&lt;=5,"3-5",HR_Employee_Attrition[[#This Row],[YearsAtCompany]]&lt;=10,"6-10",HR_Employee_Attrition[[#This Row],[YearsAtCompany]]&gt;10,"10+")</f>
        <v>10+</v>
      </c>
      <c r="AL100" t="str" cm="1">
        <f t="array" ref="AL10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00">
        <f>IF(HR_Employee_Attrition[[#This Row],[Attrition]]="Yes",1,0)</f>
        <v>0</v>
      </c>
    </row>
    <row r="101" spans="1:39"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IF(HR_Employee_Attrition[[#This Row],[Age]]&gt;60,"60+",IF(HR_Employee_Attrition[[#This Row],[Age]]&gt;=50,"50-59",IF(HR_Employee_Attrition[[#This Row],[Age]]&gt;=40,"40-49",IF(HR_Employee_Attrition[[#This Row],[Age]]&gt;=30,"30-39",IF(HR_Employee_Attrition[[#This Row],[Age]]&gt;=20,"20-29",IF(HR_Employee_Attrition[[#This Row],[Age]]&gt;=18,"18-20"))))))</f>
        <v>40-49</v>
      </c>
      <c r="AK101" t="str" cm="1">
        <f t="array" ref="AK101">_xlfn.IFS(HR_Employee_Attrition[[#This Row],[YearsAtCompany]]&lt;=2,"0-2",HR_Employee_Attrition[[#This Row],[YearsAtCompany]]&lt;=5,"3-5",HR_Employee_Attrition[[#This Row],[YearsAtCompany]]&lt;=10,"6-10",HR_Employee_Attrition[[#This Row],[YearsAtCompany]]&gt;10,"10+")</f>
        <v>3-5</v>
      </c>
      <c r="AL101" t="str" cm="1">
        <f t="array" ref="AL10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1">
        <f>IF(HR_Employee_Attrition[[#This Row],[Attrition]]="Yes",1,0)</f>
        <v>0</v>
      </c>
    </row>
    <row r="102" spans="1:39"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IF(HR_Employee_Attrition[[#This Row],[Age]]&gt;60,"60+",IF(HR_Employee_Attrition[[#This Row],[Age]]&gt;=50,"50-59",IF(HR_Employee_Attrition[[#This Row],[Age]]&gt;=40,"40-49",IF(HR_Employee_Attrition[[#This Row],[Age]]&gt;=30,"30-39",IF(HR_Employee_Attrition[[#This Row],[Age]]&gt;=20,"20-29",IF(HR_Employee_Attrition[[#This Row],[Age]]&gt;=18,"18-20"))))))</f>
        <v>30-39</v>
      </c>
      <c r="AK102" t="str" cm="1">
        <f t="array" ref="AK102">_xlfn.IFS(HR_Employee_Attrition[[#This Row],[YearsAtCompany]]&lt;=2,"0-2",HR_Employee_Attrition[[#This Row],[YearsAtCompany]]&lt;=5,"3-5",HR_Employee_Attrition[[#This Row],[YearsAtCompany]]&lt;=10,"6-10",HR_Employee_Attrition[[#This Row],[YearsAtCompany]]&gt;10,"10+")</f>
        <v>3-5</v>
      </c>
      <c r="AL102" t="str" cm="1">
        <f t="array" ref="AL10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2">
        <f>IF(HR_Employee_Attrition[[#This Row],[Attrition]]="Yes",1,0)</f>
        <v>1</v>
      </c>
    </row>
    <row r="103" spans="1:39"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IF(HR_Employee_Attrition[[#This Row],[Age]]&gt;60,"60+",IF(HR_Employee_Attrition[[#This Row],[Age]]&gt;=50,"50-59",IF(HR_Employee_Attrition[[#This Row],[Age]]&gt;=40,"40-49",IF(HR_Employee_Attrition[[#This Row],[Age]]&gt;=30,"30-39",IF(HR_Employee_Attrition[[#This Row],[Age]]&gt;=20,"20-29",IF(HR_Employee_Attrition[[#This Row],[Age]]&gt;=18,"18-20"))))))</f>
        <v>30-39</v>
      </c>
      <c r="AK103" t="str" cm="1">
        <f t="array" ref="AK103">_xlfn.IFS(HR_Employee_Attrition[[#This Row],[YearsAtCompany]]&lt;=2,"0-2",HR_Employee_Attrition[[#This Row],[YearsAtCompany]]&lt;=5,"3-5",HR_Employee_Attrition[[#This Row],[YearsAtCompany]]&lt;=10,"6-10",HR_Employee_Attrition[[#This Row],[YearsAtCompany]]&gt;10,"10+")</f>
        <v>0-2</v>
      </c>
      <c r="AL103" t="str" cm="1">
        <f t="array" ref="AL10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3">
        <f>IF(HR_Employee_Attrition[[#This Row],[Attrition]]="Yes",1,0)</f>
        <v>0</v>
      </c>
    </row>
    <row r="104" spans="1:39"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IF(HR_Employee_Attrition[[#This Row],[Age]]&gt;60,"60+",IF(HR_Employee_Attrition[[#This Row],[Age]]&gt;=50,"50-59",IF(HR_Employee_Attrition[[#This Row],[Age]]&gt;=40,"40-49",IF(HR_Employee_Attrition[[#This Row],[Age]]&gt;=30,"30-39",IF(HR_Employee_Attrition[[#This Row],[Age]]&gt;=20,"20-29",IF(HR_Employee_Attrition[[#This Row],[Age]]&gt;=18,"18-20"))))))</f>
        <v>20-29</v>
      </c>
      <c r="AK104" t="str" cm="1">
        <f t="array" ref="AK104">_xlfn.IFS(HR_Employee_Attrition[[#This Row],[YearsAtCompany]]&lt;=2,"0-2",HR_Employee_Attrition[[#This Row],[YearsAtCompany]]&lt;=5,"3-5",HR_Employee_Attrition[[#This Row],[YearsAtCompany]]&lt;=10,"6-10",HR_Employee_Attrition[[#This Row],[YearsAtCompany]]&gt;10,"10+")</f>
        <v>0-2</v>
      </c>
      <c r="AL104" t="str" cm="1">
        <f t="array" ref="AL10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4">
        <f>IF(HR_Employee_Attrition[[#This Row],[Attrition]]="Yes",1,0)</f>
        <v>1</v>
      </c>
    </row>
    <row r="105" spans="1:39"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IF(HR_Employee_Attrition[[#This Row],[Age]]&gt;60,"60+",IF(HR_Employee_Attrition[[#This Row],[Age]]&gt;=50,"50-59",IF(HR_Employee_Attrition[[#This Row],[Age]]&gt;=40,"40-49",IF(HR_Employee_Attrition[[#This Row],[Age]]&gt;=30,"30-39",IF(HR_Employee_Attrition[[#This Row],[Age]]&gt;=20,"20-29",IF(HR_Employee_Attrition[[#This Row],[Age]]&gt;=18,"18-20"))))))</f>
        <v>30-39</v>
      </c>
      <c r="AK105" t="str" cm="1">
        <f t="array" ref="AK105">_xlfn.IFS(HR_Employee_Attrition[[#This Row],[YearsAtCompany]]&lt;=2,"0-2",HR_Employee_Attrition[[#This Row],[YearsAtCompany]]&lt;=5,"3-5",HR_Employee_Attrition[[#This Row],[YearsAtCompany]]&lt;=10,"6-10",HR_Employee_Attrition[[#This Row],[YearsAtCompany]]&gt;10,"10+")</f>
        <v>10+</v>
      </c>
      <c r="AL105" t="str" cm="1">
        <f t="array" ref="AL10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5">
        <f>IF(HR_Employee_Attrition[[#This Row],[Attrition]]="Yes",1,0)</f>
        <v>0</v>
      </c>
    </row>
    <row r="106" spans="1:39"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IF(HR_Employee_Attrition[[#This Row],[Age]]&gt;60,"60+",IF(HR_Employee_Attrition[[#This Row],[Age]]&gt;=50,"50-59",IF(HR_Employee_Attrition[[#This Row],[Age]]&gt;=40,"40-49",IF(HR_Employee_Attrition[[#This Row],[Age]]&gt;=30,"30-39",IF(HR_Employee_Attrition[[#This Row],[Age]]&gt;=20,"20-29",IF(HR_Employee_Attrition[[#This Row],[Age]]&gt;=18,"18-20"))))))</f>
        <v>30-39</v>
      </c>
      <c r="AK106" t="str" cm="1">
        <f t="array" ref="AK106">_xlfn.IFS(HR_Employee_Attrition[[#This Row],[YearsAtCompany]]&lt;=2,"0-2",HR_Employee_Attrition[[#This Row],[YearsAtCompany]]&lt;=5,"3-5",HR_Employee_Attrition[[#This Row],[YearsAtCompany]]&lt;=10,"6-10",HR_Employee_Attrition[[#This Row],[YearsAtCompany]]&gt;10,"10+")</f>
        <v>0-2</v>
      </c>
      <c r="AL106" t="str" cm="1">
        <f t="array" ref="AL10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6">
        <f>IF(HR_Employee_Attrition[[#This Row],[Attrition]]="Yes",1,0)</f>
        <v>0</v>
      </c>
    </row>
    <row r="107" spans="1:39"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IF(HR_Employee_Attrition[[#This Row],[Age]]&gt;60,"60+",IF(HR_Employee_Attrition[[#This Row],[Age]]&gt;=50,"50-59",IF(HR_Employee_Attrition[[#This Row],[Age]]&gt;=40,"40-49",IF(HR_Employee_Attrition[[#This Row],[Age]]&gt;=30,"30-39",IF(HR_Employee_Attrition[[#This Row],[Age]]&gt;=20,"20-29",IF(HR_Employee_Attrition[[#This Row],[Age]]&gt;=18,"18-20"))))))</f>
        <v>50-59</v>
      </c>
      <c r="AK107" t="str" cm="1">
        <f t="array" ref="AK107">_xlfn.IFS(HR_Employee_Attrition[[#This Row],[YearsAtCompany]]&lt;=2,"0-2",HR_Employee_Attrition[[#This Row],[YearsAtCompany]]&lt;=5,"3-5",HR_Employee_Attrition[[#This Row],[YearsAtCompany]]&lt;=10,"6-10",HR_Employee_Attrition[[#This Row],[YearsAtCompany]]&gt;10,"10+")</f>
        <v>3-5</v>
      </c>
      <c r="AL107" t="str" cm="1">
        <f t="array" ref="AL10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07">
        <f>IF(HR_Employee_Attrition[[#This Row],[Attrition]]="Yes",1,0)</f>
        <v>0</v>
      </c>
    </row>
    <row r="108" spans="1:39"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IF(HR_Employee_Attrition[[#This Row],[Age]]&gt;60,"60+",IF(HR_Employee_Attrition[[#This Row],[Age]]&gt;=50,"50-59",IF(HR_Employee_Attrition[[#This Row],[Age]]&gt;=40,"40-49",IF(HR_Employee_Attrition[[#This Row],[Age]]&gt;=30,"30-39",IF(HR_Employee_Attrition[[#This Row],[Age]]&gt;=20,"20-29",IF(HR_Employee_Attrition[[#This Row],[Age]]&gt;=18,"18-20"))))))</f>
        <v>50-59</v>
      </c>
      <c r="AK108" t="str" cm="1">
        <f t="array" ref="AK108">_xlfn.IFS(HR_Employee_Attrition[[#This Row],[YearsAtCompany]]&lt;=2,"0-2",HR_Employee_Attrition[[#This Row],[YearsAtCompany]]&lt;=5,"3-5",HR_Employee_Attrition[[#This Row],[YearsAtCompany]]&lt;=10,"6-10",HR_Employee_Attrition[[#This Row],[YearsAtCompany]]&gt;10,"10+")</f>
        <v>6-10</v>
      </c>
      <c r="AL108" t="str" cm="1">
        <f t="array" ref="AL10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08">
        <f>IF(HR_Employee_Attrition[[#This Row],[Attrition]]="Yes",1,0)</f>
        <v>0</v>
      </c>
    </row>
    <row r="109" spans="1:39"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IF(HR_Employee_Attrition[[#This Row],[Age]]&gt;60,"60+",IF(HR_Employee_Attrition[[#This Row],[Age]]&gt;=50,"50-59",IF(HR_Employee_Attrition[[#This Row],[Age]]&gt;=40,"40-49",IF(HR_Employee_Attrition[[#This Row],[Age]]&gt;=30,"30-39",IF(HR_Employee_Attrition[[#This Row],[Age]]&gt;=20,"20-29",IF(HR_Employee_Attrition[[#This Row],[Age]]&gt;=18,"18-20"))))))</f>
        <v>20-29</v>
      </c>
      <c r="AK109" t="str" cm="1">
        <f t="array" ref="AK109">_xlfn.IFS(HR_Employee_Attrition[[#This Row],[YearsAtCompany]]&lt;=2,"0-2",HR_Employee_Attrition[[#This Row],[YearsAtCompany]]&lt;=5,"3-5",HR_Employee_Attrition[[#This Row],[YearsAtCompany]]&lt;=10,"6-10",HR_Employee_Attrition[[#This Row],[YearsAtCompany]]&gt;10,"10+")</f>
        <v>6-10</v>
      </c>
      <c r="AL109" t="str" cm="1">
        <f t="array" ref="AL10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9">
        <f>IF(HR_Employee_Attrition[[#This Row],[Attrition]]="Yes",1,0)</f>
        <v>1</v>
      </c>
    </row>
    <row r="110" spans="1:39"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IF(HR_Employee_Attrition[[#This Row],[Age]]&gt;60,"60+",IF(HR_Employee_Attrition[[#This Row],[Age]]&gt;=50,"50-59",IF(HR_Employee_Attrition[[#This Row],[Age]]&gt;=40,"40-49",IF(HR_Employee_Attrition[[#This Row],[Age]]&gt;=30,"30-39",IF(HR_Employee_Attrition[[#This Row],[Age]]&gt;=20,"20-29",IF(HR_Employee_Attrition[[#This Row],[Age]]&gt;=18,"18-20"))))))</f>
        <v>20-29</v>
      </c>
      <c r="AK110" t="str" cm="1">
        <f t="array" ref="AK110">_xlfn.IFS(HR_Employee_Attrition[[#This Row],[YearsAtCompany]]&lt;=2,"0-2",HR_Employee_Attrition[[#This Row],[YearsAtCompany]]&lt;=5,"3-5",HR_Employee_Attrition[[#This Row],[YearsAtCompany]]&lt;=10,"6-10",HR_Employee_Attrition[[#This Row],[YearsAtCompany]]&gt;10,"10+")</f>
        <v>0-2</v>
      </c>
      <c r="AL110" t="str" cm="1">
        <f t="array" ref="AL1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0">
        <f>IF(HR_Employee_Attrition[[#This Row],[Attrition]]="Yes",1,0)</f>
        <v>0</v>
      </c>
    </row>
    <row r="111" spans="1:39"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IF(HR_Employee_Attrition[[#This Row],[Age]]&gt;60,"60+",IF(HR_Employee_Attrition[[#This Row],[Age]]&gt;=50,"50-59",IF(HR_Employee_Attrition[[#This Row],[Age]]&gt;=40,"40-49",IF(HR_Employee_Attrition[[#This Row],[Age]]&gt;=30,"30-39",IF(HR_Employee_Attrition[[#This Row],[Age]]&gt;=20,"20-29",IF(HR_Employee_Attrition[[#This Row],[Age]]&gt;=18,"18-20"))))))</f>
        <v>20-29</v>
      </c>
      <c r="AK111" t="str" cm="1">
        <f t="array" ref="AK111">_xlfn.IFS(HR_Employee_Attrition[[#This Row],[YearsAtCompany]]&lt;=2,"0-2",HR_Employee_Attrition[[#This Row],[YearsAtCompany]]&lt;=5,"3-5",HR_Employee_Attrition[[#This Row],[YearsAtCompany]]&lt;=10,"6-10",HR_Employee_Attrition[[#This Row],[YearsAtCompany]]&gt;10,"10+")</f>
        <v>0-2</v>
      </c>
      <c r="AL111" t="str" cm="1">
        <f t="array" ref="AL1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1">
        <f>IF(HR_Employee_Attrition[[#This Row],[Attrition]]="Yes",1,0)</f>
        <v>0</v>
      </c>
    </row>
    <row r="112" spans="1:39"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IF(HR_Employee_Attrition[[#This Row],[Age]]&gt;60,"60+",IF(HR_Employee_Attrition[[#This Row],[Age]]&gt;=50,"50-59",IF(HR_Employee_Attrition[[#This Row],[Age]]&gt;=40,"40-49",IF(HR_Employee_Attrition[[#This Row],[Age]]&gt;=30,"30-39",IF(HR_Employee_Attrition[[#This Row],[Age]]&gt;=20,"20-29",IF(HR_Employee_Attrition[[#This Row],[Age]]&gt;=18,"18-20"))))))</f>
        <v>50-59</v>
      </c>
      <c r="AK112" t="str" cm="1">
        <f t="array" ref="AK112">_xlfn.IFS(HR_Employee_Attrition[[#This Row],[YearsAtCompany]]&lt;=2,"0-2",HR_Employee_Attrition[[#This Row],[YearsAtCompany]]&lt;=5,"3-5",HR_Employee_Attrition[[#This Row],[YearsAtCompany]]&lt;=10,"6-10",HR_Employee_Attrition[[#This Row],[YearsAtCompany]]&gt;10,"10+")</f>
        <v>10+</v>
      </c>
      <c r="AL112" t="str" cm="1">
        <f t="array" ref="AL1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2">
        <f>IF(HR_Employee_Attrition[[#This Row],[Attrition]]="Yes",1,0)</f>
        <v>0</v>
      </c>
    </row>
    <row r="113" spans="1:39"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IF(HR_Employee_Attrition[[#This Row],[Age]]&gt;60,"60+",IF(HR_Employee_Attrition[[#This Row],[Age]]&gt;=50,"50-59",IF(HR_Employee_Attrition[[#This Row],[Age]]&gt;=40,"40-49",IF(HR_Employee_Attrition[[#This Row],[Age]]&gt;=30,"30-39",IF(HR_Employee_Attrition[[#This Row],[Age]]&gt;=20,"20-29",IF(HR_Employee_Attrition[[#This Row],[Age]]&gt;=18,"18-20"))))))</f>
        <v>30-39</v>
      </c>
      <c r="AK113" t="str" cm="1">
        <f t="array" ref="AK113">_xlfn.IFS(HR_Employee_Attrition[[#This Row],[YearsAtCompany]]&lt;=2,"0-2",HR_Employee_Attrition[[#This Row],[YearsAtCompany]]&lt;=5,"3-5",HR_Employee_Attrition[[#This Row],[YearsAtCompany]]&lt;=10,"6-10",HR_Employee_Attrition[[#This Row],[YearsAtCompany]]&gt;10,"10+")</f>
        <v>6-10</v>
      </c>
      <c r="AL113" t="str" cm="1">
        <f t="array" ref="AL1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3">
        <f>IF(HR_Employee_Attrition[[#This Row],[Attrition]]="Yes",1,0)</f>
        <v>1</v>
      </c>
    </row>
    <row r="114" spans="1:39"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IF(HR_Employee_Attrition[[#This Row],[Age]]&gt;60,"60+",IF(HR_Employee_Attrition[[#This Row],[Age]]&gt;=50,"50-59",IF(HR_Employee_Attrition[[#This Row],[Age]]&gt;=40,"40-49",IF(HR_Employee_Attrition[[#This Row],[Age]]&gt;=30,"30-39",IF(HR_Employee_Attrition[[#This Row],[Age]]&gt;=20,"20-29",IF(HR_Employee_Attrition[[#This Row],[Age]]&gt;=18,"18-20"))))))</f>
        <v>50-59</v>
      </c>
      <c r="AK114" t="str" cm="1">
        <f t="array" ref="AK114">_xlfn.IFS(HR_Employee_Attrition[[#This Row],[YearsAtCompany]]&lt;=2,"0-2",HR_Employee_Attrition[[#This Row],[YearsAtCompany]]&lt;=5,"3-5",HR_Employee_Attrition[[#This Row],[YearsAtCompany]]&lt;=10,"6-10",HR_Employee_Attrition[[#This Row],[YearsAtCompany]]&gt;10,"10+")</f>
        <v>3-5</v>
      </c>
      <c r="AL114" t="str" cm="1">
        <f t="array" ref="AL1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14">
        <f>IF(HR_Employee_Attrition[[#This Row],[Attrition]]="Yes",1,0)</f>
        <v>0</v>
      </c>
    </row>
    <row r="115" spans="1:39"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IF(HR_Employee_Attrition[[#This Row],[Age]]&gt;60,"60+",IF(HR_Employee_Attrition[[#This Row],[Age]]&gt;=50,"50-59",IF(HR_Employee_Attrition[[#This Row],[Age]]&gt;=40,"40-49",IF(HR_Employee_Attrition[[#This Row],[Age]]&gt;=30,"30-39",IF(HR_Employee_Attrition[[#This Row],[Age]]&gt;=20,"20-29",IF(HR_Employee_Attrition[[#This Row],[Age]]&gt;=18,"18-20"))))))</f>
        <v>20-29</v>
      </c>
      <c r="AK115" t="str" cm="1">
        <f t="array" ref="AK115">_xlfn.IFS(HR_Employee_Attrition[[#This Row],[YearsAtCompany]]&lt;=2,"0-2",HR_Employee_Attrition[[#This Row],[YearsAtCompany]]&lt;=5,"3-5",HR_Employee_Attrition[[#This Row],[YearsAtCompany]]&lt;=10,"6-10",HR_Employee_Attrition[[#This Row],[YearsAtCompany]]&gt;10,"10+")</f>
        <v>3-5</v>
      </c>
      <c r="AL115" t="str" cm="1">
        <f t="array" ref="AL1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5">
        <f>IF(HR_Employee_Attrition[[#This Row],[Attrition]]="Yes",1,0)</f>
        <v>0</v>
      </c>
    </row>
    <row r="116" spans="1:39"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IF(HR_Employee_Attrition[[#This Row],[Age]]&gt;60,"60+",IF(HR_Employee_Attrition[[#This Row],[Age]]&gt;=50,"50-59",IF(HR_Employee_Attrition[[#This Row],[Age]]&gt;=40,"40-49",IF(HR_Employee_Attrition[[#This Row],[Age]]&gt;=30,"30-39",IF(HR_Employee_Attrition[[#This Row],[Age]]&gt;=20,"20-29",IF(HR_Employee_Attrition[[#This Row],[Age]]&gt;=18,"18-20"))))))</f>
        <v>30-39</v>
      </c>
      <c r="AK116" t="str" cm="1">
        <f t="array" ref="AK116">_xlfn.IFS(HR_Employee_Attrition[[#This Row],[YearsAtCompany]]&lt;=2,"0-2",HR_Employee_Attrition[[#This Row],[YearsAtCompany]]&lt;=5,"3-5",HR_Employee_Attrition[[#This Row],[YearsAtCompany]]&lt;=10,"6-10",HR_Employee_Attrition[[#This Row],[YearsAtCompany]]&gt;10,"10+")</f>
        <v>0-2</v>
      </c>
      <c r="AL116" t="str" cm="1">
        <f t="array" ref="AL1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6">
        <f>IF(HR_Employee_Attrition[[#This Row],[Attrition]]="Yes",1,0)</f>
        <v>0</v>
      </c>
    </row>
    <row r="117" spans="1:39"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IF(HR_Employee_Attrition[[#This Row],[Age]]&gt;60,"60+",IF(HR_Employee_Attrition[[#This Row],[Age]]&gt;=50,"50-59",IF(HR_Employee_Attrition[[#This Row],[Age]]&gt;=40,"40-49",IF(HR_Employee_Attrition[[#This Row],[Age]]&gt;=30,"30-39",IF(HR_Employee_Attrition[[#This Row],[Age]]&gt;=20,"20-29",IF(HR_Employee_Attrition[[#This Row],[Age]]&gt;=18,"18-20"))))))</f>
        <v>30-39</v>
      </c>
      <c r="AK117" t="str" cm="1">
        <f t="array" ref="AK117">_xlfn.IFS(HR_Employee_Attrition[[#This Row],[YearsAtCompany]]&lt;=2,"0-2",HR_Employee_Attrition[[#This Row],[YearsAtCompany]]&lt;=5,"3-5",HR_Employee_Attrition[[#This Row],[YearsAtCompany]]&lt;=10,"6-10",HR_Employee_Attrition[[#This Row],[YearsAtCompany]]&gt;10,"10+")</f>
        <v>3-5</v>
      </c>
      <c r="AL117" t="str" cm="1">
        <f t="array" ref="AL1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7">
        <f>IF(HR_Employee_Attrition[[#This Row],[Attrition]]="Yes",1,0)</f>
        <v>0</v>
      </c>
    </row>
    <row r="118" spans="1:39"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IF(HR_Employee_Attrition[[#This Row],[Age]]&gt;60,"60+",IF(HR_Employee_Attrition[[#This Row],[Age]]&gt;=50,"50-59",IF(HR_Employee_Attrition[[#This Row],[Age]]&gt;=40,"40-49",IF(HR_Employee_Attrition[[#This Row],[Age]]&gt;=30,"30-39",IF(HR_Employee_Attrition[[#This Row],[Age]]&gt;=20,"20-29",IF(HR_Employee_Attrition[[#This Row],[Age]]&gt;=18,"18-20"))))))</f>
        <v>30-39</v>
      </c>
      <c r="AK118" t="str" cm="1">
        <f t="array" ref="AK118">_xlfn.IFS(HR_Employee_Attrition[[#This Row],[YearsAtCompany]]&lt;=2,"0-2",HR_Employee_Attrition[[#This Row],[YearsAtCompany]]&lt;=5,"3-5",HR_Employee_Attrition[[#This Row],[YearsAtCompany]]&lt;=10,"6-10",HR_Employee_Attrition[[#This Row],[YearsAtCompany]]&gt;10,"10+")</f>
        <v>10+</v>
      </c>
      <c r="AL118" t="str" cm="1">
        <f t="array" ref="AL1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18">
        <f>IF(HR_Employee_Attrition[[#This Row],[Attrition]]="Yes",1,0)</f>
        <v>0</v>
      </c>
    </row>
    <row r="119" spans="1:39"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IF(HR_Employee_Attrition[[#This Row],[Age]]&gt;60,"60+",IF(HR_Employee_Attrition[[#This Row],[Age]]&gt;=50,"50-59",IF(HR_Employee_Attrition[[#This Row],[Age]]&gt;=40,"40-49",IF(HR_Employee_Attrition[[#This Row],[Age]]&gt;=30,"30-39",IF(HR_Employee_Attrition[[#This Row],[Age]]&gt;=20,"20-29",IF(HR_Employee_Attrition[[#This Row],[Age]]&gt;=18,"18-20"))))))</f>
        <v>30-39</v>
      </c>
      <c r="AK119" t="str" cm="1">
        <f t="array" ref="AK119">_xlfn.IFS(HR_Employee_Attrition[[#This Row],[YearsAtCompany]]&lt;=2,"0-2",HR_Employee_Attrition[[#This Row],[YearsAtCompany]]&lt;=5,"3-5",HR_Employee_Attrition[[#This Row],[YearsAtCompany]]&lt;=10,"6-10",HR_Employee_Attrition[[#This Row],[YearsAtCompany]]&gt;10,"10+")</f>
        <v>6-10</v>
      </c>
      <c r="AL119" t="str" cm="1">
        <f t="array" ref="AL1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9">
        <f>IF(HR_Employee_Attrition[[#This Row],[Attrition]]="Yes",1,0)</f>
        <v>0</v>
      </c>
    </row>
    <row r="120" spans="1:39"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IF(HR_Employee_Attrition[[#This Row],[Age]]&gt;60,"60+",IF(HR_Employee_Attrition[[#This Row],[Age]]&gt;=50,"50-59",IF(HR_Employee_Attrition[[#This Row],[Age]]&gt;=40,"40-49",IF(HR_Employee_Attrition[[#This Row],[Age]]&gt;=30,"30-39",IF(HR_Employee_Attrition[[#This Row],[Age]]&gt;=20,"20-29",IF(HR_Employee_Attrition[[#This Row],[Age]]&gt;=18,"18-20"))))))</f>
        <v>30-39</v>
      </c>
      <c r="AK120" t="str" cm="1">
        <f t="array" ref="AK120">_xlfn.IFS(HR_Employee_Attrition[[#This Row],[YearsAtCompany]]&lt;=2,"0-2",HR_Employee_Attrition[[#This Row],[YearsAtCompany]]&lt;=5,"3-5",HR_Employee_Attrition[[#This Row],[YearsAtCompany]]&lt;=10,"6-10",HR_Employee_Attrition[[#This Row],[YearsAtCompany]]&gt;10,"10+")</f>
        <v>0-2</v>
      </c>
      <c r="AL120" t="str" cm="1">
        <f t="array" ref="AL1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0">
        <f>IF(HR_Employee_Attrition[[#This Row],[Attrition]]="Yes",1,0)</f>
        <v>0</v>
      </c>
    </row>
    <row r="121" spans="1:39"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IF(HR_Employee_Attrition[[#This Row],[Age]]&gt;60,"60+",IF(HR_Employee_Attrition[[#This Row],[Age]]&gt;=50,"50-59",IF(HR_Employee_Attrition[[#This Row],[Age]]&gt;=40,"40-49",IF(HR_Employee_Attrition[[#This Row],[Age]]&gt;=30,"30-39",IF(HR_Employee_Attrition[[#This Row],[Age]]&gt;=20,"20-29",IF(HR_Employee_Attrition[[#This Row],[Age]]&gt;=18,"18-20"))))))</f>
        <v>40-49</v>
      </c>
      <c r="AK121" t="str" cm="1">
        <f t="array" ref="AK121">_xlfn.IFS(HR_Employee_Attrition[[#This Row],[YearsAtCompany]]&lt;=2,"0-2",HR_Employee_Attrition[[#This Row],[YearsAtCompany]]&lt;=5,"3-5",HR_Employee_Attrition[[#This Row],[YearsAtCompany]]&lt;=10,"6-10",HR_Employee_Attrition[[#This Row],[YearsAtCompany]]&gt;10,"10+")</f>
        <v>10+</v>
      </c>
      <c r="AL121" t="str" cm="1">
        <f t="array" ref="AL1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21">
        <f>IF(HR_Employee_Attrition[[#This Row],[Attrition]]="Yes",1,0)</f>
        <v>0</v>
      </c>
    </row>
    <row r="122" spans="1:39"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IF(HR_Employee_Attrition[[#This Row],[Age]]&gt;60,"60+",IF(HR_Employee_Attrition[[#This Row],[Age]]&gt;=50,"50-59",IF(HR_Employee_Attrition[[#This Row],[Age]]&gt;=40,"40-49",IF(HR_Employee_Attrition[[#This Row],[Age]]&gt;=30,"30-39",IF(HR_Employee_Attrition[[#This Row],[Age]]&gt;=20,"20-29",IF(HR_Employee_Attrition[[#This Row],[Age]]&gt;=18,"18-20"))))))</f>
        <v>30-39</v>
      </c>
      <c r="AK122" t="str" cm="1">
        <f t="array" ref="AK122">_xlfn.IFS(HR_Employee_Attrition[[#This Row],[YearsAtCompany]]&lt;=2,"0-2",HR_Employee_Attrition[[#This Row],[YearsAtCompany]]&lt;=5,"3-5",HR_Employee_Attrition[[#This Row],[YearsAtCompany]]&lt;=10,"6-10",HR_Employee_Attrition[[#This Row],[YearsAtCompany]]&gt;10,"10+")</f>
        <v>6-10</v>
      </c>
      <c r="AL122" t="str" cm="1">
        <f t="array" ref="AL1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2">
        <f>IF(HR_Employee_Attrition[[#This Row],[Attrition]]="Yes",1,0)</f>
        <v>0</v>
      </c>
    </row>
    <row r="123" spans="1:39"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IF(HR_Employee_Attrition[[#This Row],[Age]]&gt;60,"60+",IF(HR_Employee_Attrition[[#This Row],[Age]]&gt;=50,"50-59",IF(HR_Employee_Attrition[[#This Row],[Age]]&gt;=40,"40-49",IF(HR_Employee_Attrition[[#This Row],[Age]]&gt;=30,"30-39",IF(HR_Employee_Attrition[[#This Row],[Age]]&gt;=20,"20-29",IF(HR_Employee_Attrition[[#This Row],[Age]]&gt;=18,"18-20"))))))</f>
        <v>30-39</v>
      </c>
      <c r="AK123" t="str" cm="1">
        <f t="array" ref="AK123">_xlfn.IFS(HR_Employee_Attrition[[#This Row],[YearsAtCompany]]&lt;=2,"0-2",HR_Employee_Attrition[[#This Row],[YearsAtCompany]]&lt;=5,"3-5",HR_Employee_Attrition[[#This Row],[YearsAtCompany]]&lt;=10,"6-10",HR_Employee_Attrition[[#This Row],[YearsAtCompany]]&gt;10,"10+")</f>
        <v>6-10</v>
      </c>
      <c r="AL123" t="str" cm="1">
        <f t="array" ref="AL1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3">
        <f>IF(HR_Employee_Attrition[[#This Row],[Attrition]]="Yes",1,0)</f>
        <v>0</v>
      </c>
    </row>
    <row r="124" spans="1:39"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IF(HR_Employee_Attrition[[#This Row],[Age]]&gt;60,"60+",IF(HR_Employee_Attrition[[#This Row],[Age]]&gt;=50,"50-59",IF(HR_Employee_Attrition[[#This Row],[Age]]&gt;=40,"40-49",IF(HR_Employee_Attrition[[#This Row],[Age]]&gt;=30,"30-39",IF(HR_Employee_Attrition[[#This Row],[Age]]&gt;=20,"20-29",IF(HR_Employee_Attrition[[#This Row],[Age]]&gt;=18,"18-20"))))))</f>
        <v>50-59</v>
      </c>
      <c r="AK124" t="str" cm="1">
        <f t="array" ref="AK124">_xlfn.IFS(HR_Employee_Attrition[[#This Row],[YearsAtCompany]]&lt;=2,"0-2",HR_Employee_Attrition[[#This Row],[YearsAtCompany]]&lt;=5,"3-5",HR_Employee_Attrition[[#This Row],[YearsAtCompany]]&lt;=10,"6-10",HR_Employee_Attrition[[#This Row],[YearsAtCompany]]&gt;10,"10+")</f>
        <v>3-5</v>
      </c>
      <c r="AL124" t="str" cm="1">
        <f t="array" ref="AL1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4">
        <f>IF(HR_Employee_Attrition[[#This Row],[Attrition]]="Yes",1,0)</f>
        <v>1</v>
      </c>
    </row>
    <row r="125" spans="1:39"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IF(HR_Employee_Attrition[[#This Row],[Age]]&gt;60,"60+",IF(HR_Employee_Attrition[[#This Row],[Age]]&gt;=50,"50-59",IF(HR_Employee_Attrition[[#This Row],[Age]]&gt;=40,"40-49",IF(HR_Employee_Attrition[[#This Row],[Age]]&gt;=30,"30-39",IF(HR_Employee_Attrition[[#This Row],[Age]]&gt;=20,"20-29",IF(HR_Employee_Attrition[[#This Row],[Age]]&gt;=18,"18-20"))))))</f>
        <v>50-59</v>
      </c>
      <c r="AK125" t="str" cm="1">
        <f t="array" ref="AK125">_xlfn.IFS(HR_Employee_Attrition[[#This Row],[YearsAtCompany]]&lt;=2,"0-2",HR_Employee_Attrition[[#This Row],[YearsAtCompany]]&lt;=5,"3-5",HR_Employee_Attrition[[#This Row],[YearsAtCompany]]&lt;=10,"6-10",HR_Employee_Attrition[[#This Row],[YearsAtCompany]]&gt;10,"10+")</f>
        <v>10+</v>
      </c>
      <c r="AL125" t="str" cm="1">
        <f t="array" ref="AL1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25">
        <f>IF(HR_Employee_Attrition[[#This Row],[Attrition]]="Yes",1,0)</f>
        <v>0</v>
      </c>
    </row>
    <row r="126" spans="1:39"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IF(HR_Employee_Attrition[[#This Row],[Age]]&gt;60,"60+",IF(HR_Employee_Attrition[[#This Row],[Age]]&gt;=50,"50-59",IF(HR_Employee_Attrition[[#This Row],[Age]]&gt;=40,"40-49",IF(HR_Employee_Attrition[[#This Row],[Age]]&gt;=30,"30-39",IF(HR_Employee_Attrition[[#This Row],[Age]]&gt;=20,"20-29",IF(HR_Employee_Attrition[[#This Row],[Age]]&gt;=18,"18-20"))))))</f>
        <v>30-39</v>
      </c>
      <c r="AK126" t="str" cm="1">
        <f t="array" ref="AK126">_xlfn.IFS(HR_Employee_Attrition[[#This Row],[YearsAtCompany]]&lt;=2,"0-2",HR_Employee_Attrition[[#This Row],[YearsAtCompany]]&lt;=5,"3-5",HR_Employee_Attrition[[#This Row],[YearsAtCompany]]&lt;=10,"6-10",HR_Employee_Attrition[[#This Row],[YearsAtCompany]]&gt;10,"10+")</f>
        <v>6-10</v>
      </c>
      <c r="AL126" t="str" cm="1">
        <f t="array" ref="AL1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6">
        <f>IF(HR_Employee_Attrition[[#This Row],[Attrition]]="Yes",1,0)</f>
        <v>1</v>
      </c>
    </row>
    <row r="127" spans="1:39"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IF(HR_Employee_Attrition[[#This Row],[Age]]&gt;60,"60+",IF(HR_Employee_Attrition[[#This Row],[Age]]&gt;=50,"50-59",IF(HR_Employee_Attrition[[#This Row],[Age]]&gt;=40,"40-49",IF(HR_Employee_Attrition[[#This Row],[Age]]&gt;=30,"30-39",IF(HR_Employee_Attrition[[#This Row],[Age]]&gt;=20,"20-29",IF(HR_Employee_Attrition[[#This Row],[Age]]&gt;=18,"18-20"))))))</f>
        <v>20-29</v>
      </c>
      <c r="AK127" t="str" cm="1">
        <f t="array" ref="AK127">_xlfn.IFS(HR_Employee_Attrition[[#This Row],[YearsAtCompany]]&lt;=2,"0-2",HR_Employee_Attrition[[#This Row],[YearsAtCompany]]&lt;=5,"3-5",HR_Employee_Attrition[[#This Row],[YearsAtCompany]]&lt;=10,"6-10",HR_Employee_Attrition[[#This Row],[YearsAtCompany]]&gt;10,"10+")</f>
        <v>3-5</v>
      </c>
      <c r="AL127" t="str" cm="1">
        <f t="array" ref="AL1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7">
        <f>IF(HR_Employee_Attrition[[#This Row],[Attrition]]="Yes",1,0)</f>
        <v>0</v>
      </c>
    </row>
    <row r="128" spans="1:39"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IF(HR_Employee_Attrition[[#This Row],[Age]]&gt;60,"60+",IF(HR_Employee_Attrition[[#This Row],[Age]]&gt;=50,"50-59",IF(HR_Employee_Attrition[[#This Row],[Age]]&gt;=40,"40-49",IF(HR_Employee_Attrition[[#This Row],[Age]]&gt;=30,"30-39",IF(HR_Employee_Attrition[[#This Row],[Age]]&gt;=20,"20-29",IF(HR_Employee_Attrition[[#This Row],[Age]]&gt;=18,"18-20"))))))</f>
        <v>50-59</v>
      </c>
      <c r="AK128" t="str" cm="1">
        <f t="array" ref="AK128">_xlfn.IFS(HR_Employee_Attrition[[#This Row],[YearsAtCompany]]&lt;=2,"0-2",HR_Employee_Attrition[[#This Row],[YearsAtCompany]]&lt;=5,"3-5",HR_Employee_Attrition[[#This Row],[YearsAtCompany]]&lt;=10,"6-10",HR_Employee_Attrition[[#This Row],[YearsAtCompany]]&gt;10,"10+")</f>
        <v>10+</v>
      </c>
      <c r="AL128" t="str" cm="1">
        <f t="array" ref="AL1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28">
        <f>IF(HR_Employee_Attrition[[#This Row],[Attrition]]="Yes",1,0)</f>
        <v>1</v>
      </c>
    </row>
    <row r="129" spans="1:39"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IF(HR_Employee_Attrition[[#This Row],[Age]]&gt;60,"60+",IF(HR_Employee_Attrition[[#This Row],[Age]]&gt;=50,"50-59",IF(HR_Employee_Attrition[[#This Row],[Age]]&gt;=40,"40-49",IF(HR_Employee_Attrition[[#This Row],[Age]]&gt;=30,"30-39",IF(HR_Employee_Attrition[[#This Row],[Age]]&gt;=20,"20-29",IF(HR_Employee_Attrition[[#This Row],[Age]]&gt;=18,"18-20"))))))</f>
        <v>18-20</v>
      </c>
      <c r="AK129" t="str" cm="1">
        <f t="array" ref="AK129">_xlfn.IFS(HR_Employee_Attrition[[#This Row],[YearsAtCompany]]&lt;=2,"0-2",HR_Employee_Attrition[[#This Row],[YearsAtCompany]]&lt;=5,"3-5",HR_Employee_Attrition[[#This Row],[YearsAtCompany]]&lt;=10,"6-10",HR_Employee_Attrition[[#This Row],[YearsAtCompany]]&gt;10,"10+")</f>
        <v>0-2</v>
      </c>
      <c r="AL129" t="str" cm="1">
        <f t="array" ref="AL1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9">
        <f>IF(HR_Employee_Attrition[[#This Row],[Attrition]]="Yes",1,0)</f>
        <v>1</v>
      </c>
    </row>
    <row r="130" spans="1:39"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IF(HR_Employee_Attrition[[#This Row],[Age]]&gt;60,"60+",IF(HR_Employee_Attrition[[#This Row],[Age]]&gt;=50,"50-59",IF(HR_Employee_Attrition[[#This Row],[Age]]&gt;=40,"40-49",IF(HR_Employee_Attrition[[#This Row],[Age]]&gt;=30,"30-39",IF(HR_Employee_Attrition[[#This Row],[Age]]&gt;=20,"20-29",IF(HR_Employee_Attrition[[#This Row],[Age]]&gt;=18,"18-20"))))))</f>
        <v>20-29</v>
      </c>
      <c r="AK130" t="str" cm="1">
        <f t="array" ref="AK130">_xlfn.IFS(HR_Employee_Attrition[[#This Row],[YearsAtCompany]]&lt;=2,"0-2",HR_Employee_Attrition[[#This Row],[YearsAtCompany]]&lt;=5,"3-5",HR_Employee_Attrition[[#This Row],[YearsAtCompany]]&lt;=10,"6-10",HR_Employee_Attrition[[#This Row],[YearsAtCompany]]&gt;10,"10+")</f>
        <v>0-2</v>
      </c>
      <c r="AL130" t="str" cm="1">
        <f t="array" ref="AL1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0">
        <f>IF(HR_Employee_Attrition[[#This Row],[Attrition]]="Yes",1,0)</f>
        <v>0</v>
      </c>
    </row>
    <row r="131" spans="1:39"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IF(HR_Employee_Attrition[[#This Row],[Age]]&gt;60,"60+",IF(HR_Employee_Attrition[[#This Row],[Age]]&gt;=50,"50-59",IF(HR_Employee_Attrition[[#This Row],[Age]]&gt;=40,"40-49",IF(HR_Employee_Attrition[[#This Row],[Age]]&gt;=30,"30-39",IF(HR_Employee_Attrition[[#This Row],[Age]]&gt;=20,"20-29",IF(HR_Employee_Attrition[[#This Row],[Age]]&gt;=18,"18-20"))))))</f>
        <v>40-49</v>
      </c>
      <c r="AK131" t="str" cm="1">
        <f t="array" ref="AK131">_xlfn.IFS(HR_Employee_Attrition[[#This Row],[YearsAtCompany]]&lt;=2,"0-2",HR_Employee_Attrition[[#This Row],[YearsAtCompany]]&lt;=5,"3-5",HR_Employee_Attrition[[#This Row],[YearsAtCompany]]&lt;=10,"6-10",HR_Employee_Attrition[[#This Row],[YearsAtCompany]]&gt;10,"10+")</f>
        <v>10+</v>
      </c>
      <c r="AL131" t="str" cm="1">
        <f t="array" ref="AL1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1">
        <f>IF(HR_Employee_Attrition[[#This Row],[Attrition]]="Yes",1,0)</f>
        <v>0</v>
      </c>
    </row>
    <row r="132" spans="1:39"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IF(HR_Employee_Attrition[[#This Row],[Age]]&gt;60,"60+",IF(HR_Employee_Attrition[[#This Row],[Age]]&gt;=50,"50-59",IF(HR_Employee_Attrition[[#This Row],[Age]]&gt;=40,"40-49",IF(HR_Employee_Attrition[[#This Row],[Age]]&gt;=30,"30-39",IF(HR_Employee_Attrition[[#This Row],[Age]]&gt;=20,"20-29",IF(HR_Employee_Attrition[[#This Row],[Age]]&gt;=18,"18-20"))))))</f>
        <v>40-49</v>
      </c>
      <c r="AK132" t="str" cm="1">
        <f t="array" ref="AK132">_xlfn.IFS(HR_Employee_Attrition[[#This Row],[YearsAtCompany]]&lt;=2,"0-2",HR_Employee_Attrition[[#This Row],[YearsAtCompany]]&lt;=5,"3-5",HR_Employee_Attrition[[#This Row],[YearsAtCompany]]&lt;=10,"6-10",HR_Employee_Attrition[[#This Row],[YearsAtCompany]]&gt;10,"10+")</f>
        <v>3-5</v>
      </c>
      <c r="AL132" t="str" cm="1">
        <f t="array" ref="AL1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2">
        <f>IF(HR_Employee_Attrition[[#This Row],[Attrition]]="Yes",1,0)</f>
        <v>0</v>
      </c>
    </row>
    <row r="133" spans="1:39"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IF(HR_Employee_Attrition[[#This Row],[Age]]&gt;60,"60+",IF(HR_Employee_Attrition[[#This Row],[Age]]&gt;=50,"50-59",IF(HR_Employee_Attrition[[#This Row],[Age]]&gt;=40,"40-49",IF(HR_Employee_Attrition[[#This Row],[Age]]&gt;=30,"30-39",IF(HR_Employee_Attrition[[#This Row],[Age]]&gt;=20,"20-29",IF(HR_Employee_Attrition[[#This Row],[Age]]&gt;=18,"18-20"))))))</f>
        <v>50-59</v>
      </c>
      <c r="AK133" t="str" cm="1">
        <f t="array" ref="AK133">_xlfn.IFS(HR_Employee_Attrition[[#This Row],[YearsAtCompany]]&lt;=2,"0-2",HR_Employee_Attrition[[#This Row],[YearsAtCompany]]&lt;=5,"3-5",HR_Employee_Attrition[[#This Row],[YearsAtCompany]]&lt;=10,"6-10",HR_Employee_Attrition[[#This Row],[YearsAtCompany]]&gt;10,"10+")</f>
        <v>0-2</v>
      </c>
      <c r="AL133" t="str" cm="1">
        <f t="array" ref="AL1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3">
        <f>IF(HR_Employee_Attrition[[#This Row],[Attrition]]="Yes",1,0)</f>
        <v>0</v>
      </c>
    </row>
    <row r="134" spans="1:39"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IF(HR_Employee_Attrition[[#This Row],[Age]]&gt;60,"60+",IF(HR_Employee_Attrition[[#This Row],[Age]]&gt;=50,"50-59",IF(HR_Employee_Attrition[[#This Row],[Age]]&gt;=40,"40-49",IF(HR_Employee_Attrition[[#This Row],[Age]]&gt;=30,"30-39",IF(HR_Employee_Attrition[[#This Row],[Age]]&gt;=20,"20-29",IF(HR_Employee_Attrition[[#This Row],[Age]]&gt;=18,"18-20"))))))</f>
        <v>30-39</v>
      </c>
      <c r="AK134" t="str" cm="1">
        <f t="array" ref="AK134">_xlfn.IFS(HR_Employee_Attrition[[#This Row],[YearsAtCompany]]&lt;=2,"0-2",HR_Employee_Attrition[[#This Row],[YearsAtCompany]]&lt;=5,"3-5",HR_Employee_Attrition[[#This Row],[YearsAtCompany]]&lt;=10,"6-10",HR_Employee_Attrition[[#This Row],[YearsAtCompany]]&gt;10,"10+")</f>
        <v>0-2</v>
      </c>
      <c r="AL134" t="str" cm="1">
        <f t="array" ref="AL1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4">
        <f>IF(HR_Employee_Attrition[[#This Row],[Attrition]]="Yes",1,0)</f>
        <v>1</v>
      </c>
    </row>
    <row r="135" spans="1:39"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IF(HR_Employee_Attrition[[#This Row],[Age]]&gt;60,"60+",IF(HR_Employee_Attrition[[#This Row],[Age]]&gt;=50,"50-59",IF(HR_Employee_Attrition[[#This Row],[Age]]&gt;=40,"40-49",IF(HR_Employee_Attrition[[#This Row],[Age]]&gt;=30,"30-39",IF(HR_Employee_Attrition[[#This Row],[Age]]&gt;=20,"20-29",IF(HR_Employee_Attrition[[#This Row],[Age]]&gt;=18,"18-20"))))))</f>
        <v>40-49</v>
      </c>
      <c r="AK135" t="str" cm="1">
        <f t="array" ref="AK135">_xlfn.IFS(HR_Employee_Attrition[[#This Row],[YearsAtCompany]]&lt;=2,"0-2",HR_Employee_Attrition[[#This Row],[YearsAtCompany]]&lt;=5,"3-5",HR_Employee_Attrition[[#This Row],[YearsAtCompany]]&lt;=10,"6-10",HR_Employee_Attrition[[#This Row],[YearsAtCompany]]&gt;10,"10+")</f>
        <v>6-10</v>
      </c>
      <c r="AL135" t="str" cm="1">
        <f t="array" ref="AL1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5">
        <f>IF(HR_Employee_Attrition[[#This Row],[Attrition]]="Yes",1,0)</f>
        <v>0</v>
      </c>
    </row>
    <row r="136" spans="1:39"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IF(HR_Employee_Attrition[[#This Row],[Age]]&gt;60,"60+",IF(HR_Employee_Attrition[[#This Row],[Age]]&gt;=50,"50-59",IF(HR_Employee_Attrition[[#This Row],[Age]]&gt;=40,"40-49",IF(HR_Employee_Attrition[[#This Row],[Age]]&gt;=30,"30-39",IF(HR_Employee_Attrition[[#This Row],[Age]]&gt;=20,"20-29",IF(HR_Employee_Attrition[[#This Row],[Age]]&gt;=18,"18-20"))))))</f>
        <v>20-29</v>
      </c>
      <c r="AK136" t="str" cm="1">
        <f t="array" ref="AK136">_xlfn.IFS(HR_Employee_Attrition[[#This Row],[YearsAtCompany]]&lt;=2,"0-2",HR_Employee_Attrition[[#This Row],[YearsAtCompany]]&lt;=5,"3-5",HR_Employee_Attrition[[#This Row],[YearsAtCompany]]&lt;=10,"6-10",HR_Employee_Attrition[[#This Row],[YearsAtCompany]]&gt;10,"10+")</f>
        <v>6-10</v>
      </c>
      <c r="AL136" t="str" cm="1">
        <f t="array" ref="AL1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6">
        <f>IF(HR_Employee_Attrition[[#This Row],[Attrition]]="Yes",1,0)</f>
        <v>0</v>
      </c>
    </row>
    <row r="137" spans="1:39"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IF(HR_Employee_Attrition[[#This Row],[Age]]&gt;60,"60+",IF(HR_Employee_Attrition[[#This Row],[Age]]&gt;=50,"50-59",IF(HR_Employee_Attrition[[#This Row],[Age]]&gt;=40,"40-49",IF(HR_Employee_Attrition[[#This Row],[Age]]&gt;=30,"30-39",IF(HR_Employee_Attrition[[#This Row],[Age]]&gt;=20,"20-29",IF(HR_Employee_Attrition[[#This Row],[Age]]&gt;=18,"18-20"))))))</f>
        <v>30-39</v>
      </c>
      <c r="AK137" t="str" cm="1">
        <f t="array" ref="AK137">_xlfn.IFS(HR_Employee_Attrition[[#This Row],[YearsAtCompany]]&lt;=2,"0-2",HR_Employee_Attrition[[#This Row],[YearsAtCompany]]&lt;=5,"3-5",HR_Employee_Attrition[[#This Row],[YearsAtCompany]]&lt;=10,"6-10",HR_Employee_Attrition[[#This Row],[YearsAtCompany]]&gt;10,"10+")</f>
        <v>3-5</v>
      </c>
      <c r="AL137" t="str" cm="1">
        <f t="array" ref="AL1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7">
        <f>IF(HR_Employee_Attrition[[#This Row],[Attrition]]="Yes",1,0)</f>
        <v>0</v>
      </c>
    </row>
    <row r="138" spans="1:39"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IF(HR_Employee_Attrition[[#This Row],[Age]]&gt;60,"60+",IF(HR_Employee_Attrition[[#This Row],[Age]]&gt;=50,"50-59",IF(HR_Employee_Attrition[[#This Row],[Age]]&gt;=40,"40-49",IF(HR_Employee_Attrition[[#This Row],[Age]]&gt;=30,"30-39",IF(HR_Employee_Attrition[[#This Row],[Age]]&gt;=20,"20-29",IF(HR_Employee_Attrition[[#This Row],[Age]]&gt;=18,"18-20"))))))</f>
        <v>50-59</v>
      </c>
      <c r="AK138" t="str" cm="1">
        <f t="array" ref="AK138">_xlfn.IFS(HR_Employee_Attrition[[#This Row],[YearsAtCompany]]&lt;=2,"0-2",HR_Employee_Attrition[[#This Row],[YearsAtCompany]]&lt;=5,"3-5",HR_Employee_Attrition[[#This Row],[YearsAtCompany]]&lt;=10,"6-10",HR_Employee_Attrition[[#This Row],[YearsAtCompany]]&gt;10,"10+")</f>
        <v>3-5</v>
      </c>
      <c r="AL138" t="str" cm="1">
        <f t="array" ref="AL1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38">
        <f>IF(HR_Employee_Attrition[[#This Row],[Attrition]]="Yes",1,0)</f>
        <v>1</v>
      </c>
    </row>
    <row r="139" spans="1:39"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IF(HR_Employee_Attrition[[#This Row],[Age]]&gt;60,"60+",IF(HR_Employee_Attrition[[#This Row],[Age]]&gt;=50,"50-59",IF(HR_Employee_Attrition[[#This Row],[Age]]&gt;=40,"40-49",IF(HR_Employee_Attrition[[#This Row],[Age]]&gt;=30,"30-39",IF(HR_Employee_Attrition[[#This Row],[Age]]&gt;=20,"20-29",IF(HR_Employee_Attrition[[#This Row],[Age]]&gt;=18,"18-20"))))))</f>
        <v>30-39</v>
      </c>
      <c r="AK139" t="str" cm="1">
        <f t="array" ref="AK139">_xlfn.IFS(HR_Employee_Attrition[[#This Row],[YearsAtCompany]]&lt;=2,"0-2",HR_Employee_Attrition[[#This Row],[YearsAtCompany]]&lt;=5,"3-5",HR_Employee_Attrition[[#This Row],[YearsAtCompany]]&lt;=10,"6-10",HR_Employee_Attrition[[#This Row],[YearsAtCompany]]&gt;10,"10+")</f>
        <v>10+</v>
      </c>
      <c r="AL139" t="str" cm="1">
        <f t="array" ref="AL1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9">
        <f>IF(HR_Employee_Attrition[[#This Row],[Attrition]]="Yes",1,0)</f>
        <v>0</v>
      </c>
    </row>
    <row r="140" spans="1:39"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IF(HR_Employee_Attrition[[#This Row],[Age]]&gt;60,"60+",IF(HR_Employee_Attrition[[#This Row],[Age]]&gt;=50,"50-59",IF(HR_Employee_Attrition[[#This Row],[Age]]&gt;=40,"40-49",IF(HR_Employee_Attrition[[#This Row],[Age]]&gt;=30,"30-39",IF(HR_Employee_Attrition[[#This Row],[Age]]&gt;=20,"20-29",IF(HR_Employee_Attrition[[#This Row],[Age]]&gt;=18,"18-20"))))))</f>
        <v>20-29</v>
      </c>
      <c r="AK140" t="str" cm="1">
        <f t="array" ref="AK140">_xlfn.IFS(HR_Employee_Attrition[[#This Row],[YearsAtCompany]]&lt;=2,"0-2",HR_Employee_Attrition[[#This Row],[YearsAtCompany]]&lt;=5,"3-5",HR_Employee_Attrition[[#This Row],[YearsAtCompany]]&lt;=10,"6-10",HR_Employee_Attrition[[#This Row],[YearsAtCompany]]&gt;10,"10+")</f>
        <v>0-2</v>
      </c>
      <c r="AL140" t="str" cm="1">
        <f t="array" ref="AL1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0">
        <f>IF(HR_Employee_Attrition[[#This Row],[Attrition]]="Yes",1,0)</f>
        <v>0</v>
      </c>
    </row>
    <row r="141" spans="1:39"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IF(HR_Employee_Attrition[[#This Row],[Age]]&gt;60,"60+",IF(HR_Employee_Attrition[[#This Row],[Age]]&gt;=50,"50-59",IF(HR_Employee_Attrition[[#This Row],[Age]]&gt;=40,"40-49",IF(HR_Employee_Attrition[[#This Row],[Age]]&gt;=30,"30-39",IF(HR_Employee_Attrition[[#This Row],[Age]]&gt;=20,"20-29",IF(HR_Employee_Attrition[[#This Row],[Age]]&gt;=18,"18-20"))))))</f>
        <v>30-39</v>
      </c>
      <c r="AK141" t="str" cm="1">
        <f t="array" ref="AK141">_xlfn.IFS(HR_Employee_Attrition[[#This Row],[YearsAtCompany]]&lt;=2,"0-2",HR_Employee_Attrition[[#This Row],[YearsAtCompany]]&lt;=5,"3-5",HR_Employee_Attrition[[#This Row],[YearsAtCompany]]&lt;=10,"6-10",HR_Employee_Attrition[[#This Row],[YearsAtCompany]]&gt;10,"10+")</f>
        <v>10+</v>
      </c>
      <c r="AL141" t="str" cm="1">
        <f t="array" ref="AL1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1">
        <f>IF(HR_Employee_Attrition[[#This Row],[Attrition]]="Yes",1,0)</f>
        <v>0</v>
      </c>
    </row>
    <row r="142" spans="1:39"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IF(HR_Employee_Attrition[[#This Row],[Age]]&gt;60,"60+",IF(HR_Employee_Attrition[[#This Row],[Age]]&gt;=50,"50-59",IF(HR_Employee_Attrition[[#This Row],[Age]]&gt;=40,"40-49",IF(HR_Employee_Attrition[[#This Row],[Age]]&gt;=30,"30-39",IF(HR_Employee_Attrition[[#This Row],[Age]]&gt;=20,"20-29",IF(HR_Employee_Attrition[[#This Row],[Age]]&gt;=18,"18-20"))))))</f>
        <v>30-39</v>
      </c>
      <c r="AK142" t="str" cm="1">
        <f t="array" ref="AK142">_xlfn.IFS(HR_Employee_Attrition[[#This Row],[YearsAtCompany]]&lt;=2,"0-2",HR_Employee_Attrition[[#This Row],[YearsAtCompany]]&lt;=5,"3-5",HR_Employee_Attrition[[#This Row],[YearsAtCompany]]&lt;=10,"6-10",HR_Employee_Attrition[[#This Row],[YearsAtCompany]]&gt;10,"10+")</f>
        <v>3-5</v>
      </c>
      <c r="AL142" t="str" cm="1">
        <f t="array" ref="AL1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2">
        <f>IF(HR_Employee_Attrition[[#This Row],[Attrition]]="Yes",1,0)</f>
        <v>1</v>
      </c>
    </row>
    <row r="143" spans="1:39"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IF(HR_Employee_Attrition[[#This Row],[Age]]&gt;60,"60+",IF(HR_Employee_Attrition[[#This Row],[Age]]&gt;=50,"50-59",IF(HR_Employee_Attrition[[#This Row],[Age]]&gt;=40,"40-49",IF(HR_Employee_Attrition[[#This Row],[Age]]&gt;=30,"30-39",IF(HR_Employee_Attrition[[#This Row],[Age]]&gt;=20,"20-29",IF(HR_Employee_Attrition[[#This Row],[Age]]&gt;=18,"18-20"))))))</f>
        <v>40-49</v>
      </c>
      <c r="AK143" t="str" cm="1">
        <f t="array" ref="AK143">_xlfn.IFS(HR_Employee_Attrition[[#This Row],[YearsAtCompany]]&lt;=2,"0-2",HR_Employee_Attrition[[#This Row],[YearsAtCompany]]&lt;=5,"3-5",HR_Employee_Attrition[[#This Row],[YearsAtCompany]]&lt;=10,"6-10",HR_Employee_Attrition[[#This Row],[YearsAtCompany]]&gt;10,"10+")</f>
        <v>6-10</v>
      </c>
      <c r="AL143" t="str" cm="1">
        <f t="array" ref="AL1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3">
        <f>IF(HR_Employee_Attrition[[#This Row],[Attrition]]="Yes",1,0)</f>
        <v>0</v>
      </c>
    </row>
    <row r="144" spans="1:39"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IF(HR_Employee_Attrition[[#This Row],[Age]]&gt;60,"60+",IF(HR_Employee_Attrition[[#This Row],[Age]]&gt;=50,"50-59",IF(HR_Employee_Attrition[[#This Row],[Age]]&gt;=40,"40-49",IF(HR_Employee_Attrition[[#This Row],[Age]]&gt;=30,"30-39",IF(HR_Employee_Attrition[[#This Row],[Age]]&gt;=20,"20-29",IF(HR_Employee_Attrition[[#This Row],[Age]]&gt;=18,"18-20"))))))</f>
        <v>30-39</v>
      </c>
      <c r="AK144" t="str" cm="1">
        <f t="array" ref="AK144">_xlfn.IFS(HR_Employee_Attrition[[#This Row],[YearsAtCompany]]&lt;=2,"0-2",HR_Employee_Attrition[[#This Row],[YearsAtCompany]]&lt;=5,"3-5",HR_Employee_Attrition[[#This Row],[YearsAtCompany]]&lt;=10,"6-10",HR_Employee_Attrition[[#This Row],[YearsAtCompany]]&gt;10,"10+")</f>
        <v>3-5</v>
      </c>
      <c r="AL144" t="str" cm="1">
        <f t="array" ref="AL1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4">
        <f>IF(HR_Employee_Attrition[[#This Row],[Attrition]]="Yes",1,0)</f>
        <v>0</v>
      </c>
    </row>
    <row r="145" spans="1:39"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IF(HR_Employee_Attrition[[#This Row],[Age]]&gt;60,"60+",IF(HR_Employee_Attrition[[#This Row],[Age]]&gt;=50,"50-59",IF(HR_Employee_Attrition[[#This Row],[Age]]&gt;=40,"40-49",IF(HR_Employee_Attrition[[#This Row],[Age]]&gt;=30,"30-39",IF(HR_Employee_Attrition[[#This Row],[Age]]&gt;=20,"20-29",IF(HR_Employee_Attrition[[#This Row],[Age]]&gt;=18,"18-20"))))))</f>
        <v>30-39</v>
      </c>
      <c r="AK145" t="str" cm="1">
        <f t="array" ref="AK145">_xlfn.IFS(HR_Employee_Attrition[[#This Row],[YearsAtCompany]]&lt;=2,"0-2",HR_Employee_Attrition[[#This Row],[YearsAtCompany]]&lt;=5,"3-5",HR_Employee_Attrition[[#This Row],[YearsAtCompany]]&lt;=10,"6-10",HR_Employee_Attrition[[#This Row],[YearsAtCompany]]&gt;10,"10+")</f>
        <v>3-5</v>
      </c>
      <c r="AL145" t="str" cm="1">
        <f t="array" ref="AL1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5">
        <f>IF(HR_Employee_Attrition[[#This Row],[Attrition]]="Yes",1,0)</f>
        <v>0</v>
      </c>
    </row>
    <row r="146" spans="1:39"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IF(HR_Employee_Attrition[[#This Row],[Age]]&gt;60,"60+",IF(HR_Employee_Attrition[[#This Row],[Age]]&gt;=50,"50-59",IF(HR_Employee_Attrition[[#This Row],[Age]]&gt;=40,"40-49",IF(HR_Employee_Attrition[[#This Row],[Age]]&gt;=30,"30-39",IF(HR_Employee_Attrition[[#This Row],[Age]]&gt;=20,"20-29",IF(HR_Employee_Attrition[[#This Row],[Age]]&gt;=18,"18-20"))))))</f>
        <v>30-39</v>
      </c>
      <c r="AK146" t="str" cm="1">
        <f t="array" ref="AK146">_xlfn.IFS(HR_Employee_Attrition[[#This Row],[YearsAtCompany]]&lt;=2,"0-2",HR_Employee_Attrition[[#This Row],[YearsAtCompany]]&lt;=5,"3-5",HR_Employee_Attrition[[#This Row],[YearsAtCompany]]&lt;=10,"6-10",HR_Employee_Attrition[[#This Row],[YearsAtCompany]]&gt;10,"10+")</f>
        <v>6-10</v>
      </c>
      <c r="AL146" t="str" cm="1">
        <f t="array" ref="AL1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6">
        <f>IF(HR_Employee_Attrition[[#This Row],[Attrition]]="Yes",1,0)</f>
        <v>0</v>
      </c>
    </row>
    <row r="147" spans="1:39"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IF(HR_Employee_Attrition[[#This Row],[Age]]&gt;60,"60+",IF(HR_Employee_Attrition[[#This Row],[Age]]&gt;=50,"50-59",IF(HR_Employee_Attrition[[#This Row],[Age]]&gt;=40,"40-49",IF(HR_Employee_Attrition[[#This Row],[Age]]&gt;=30,"30-39",IF(HR_Employee_Attrition[[#This Row],[Age]]&gt;=20,"20-29",IF(HR_Employee_Attrition[[#This Row],[Age]]&gt;=18,"18-20"))))))</f>
        <v>30-39</v>
      </c>
      <c r="AK147" t="str" cm="1">
        <f t="array" ref="AK147">_xlfn.IFS(HR_Employee_Attrition[[#This Row],[YearsAtCompany]]&lt;=2,"0-2",HR_Employee_Attrition[[#This Row],[YearsAtCompany]]&lt;=5,"3-5",HR_Employee_Attrition[[#This Row],[YearsAtCompany]]&lt;=10,"6-10",HR_Employee_Attrition[[#This Row],[YearsAtCompany]]&gt;10,"10+")</f>
        <v>3-5</v>
      </c>
      <c r="AL147" t="str" cm="1">
        <f t="array" ref="AL1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7">
        <f>IF(HR_Employee_Attrition[[#This Row],[Attrition]]="Yes",1,0)</f>
        <v>0</v>
      </c>
    </row>
    <row r="148" spans="1:39"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IF(HR_Employee_Attrition[[#This Row],[Age]]&gt;60,"60+",IF(HR_Employee_Attrition[[#This Row],[Age]]&gt;=50,"50-59",IF(HR_Employee_Attrition[[#This Row],[Age]]&gt;=40,"40-49",IF(HR_Employee_Attrition[[#This Row],[Age]]&gt;=30,"30-39",IF(HR_Employee_Attrition[[#This Row],[Age]]&gt;=20,"20-29",IF(HR_Employee_Attrition[[#This Row],[Age]]&gt;=18,"18-20"))))))</f>
        <v>30-39</v>
      </c>
      <c r="AK148" t="str" cm="1">
        <f t="array" ref="AK148">_xlfn.IFS(HR_Employee_Attrition[[#This Row],[YearsAtCompany]]&lt;=2,"0-2",HR_Employee_Attrition[[#This Row],[YearsAtCompany]]&lt;=5,"3-5",HR_Employee_Attrition[[#This Row],[YearsAtCompany]]&lt;=10,"6-10",HR_Employee_Attrition[[#This Row],[YearsAtCompany]]&gt;10,"10+")</f>
        <v>3-5</v>
      </c>
      <c r="AL148" t="str" cm="1">
        <f t="array" ref="AL1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8">
        <f>IF(HR_Employee_Attrition[[#This Row],[Attrition]]="Yes",1,0)</f>
        <v>0</v>
      </c>
    </row>
    <row r="149" spans="1:39"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IF(HR_Employee_Attrition[[#This Row],[Age]]&gt;60,"60+",IF(HR_Employee_Attrition[[#This Row],[Age]]&gt;=50,"50-59",IF(HR_Employee_Attrition[[#This Row],[Age]]&gt;=40,"40-49",IF(HR_Employee_Attrition[[#This Row],[Age]]&gt;=30,"30-39",IF(HR_Employee_Attrition[[#This Row],[Age]]&gt;=20,"20-29",IF(HR_Employee_Attrition[[#This Row],[Age]]&gt;=18,"18-20"))))))</f>
        <v>40-49</v>
      </c>
      <c r="AK149" t="str" cm="1">
        <f t="array" ref="AK149">_xlfn.IFS(HR_Employee_Attrition[[#This Row],[YearsAtCompany]]&lt;=2,"0-2",HR_Employee_Attrition[[#This Row],[YearsAtCompany]]&lt;=5,"3-5",HR_Employee_Attrition[[#This Row],[YearsAtCompany]]&lt;=10,"6-10",HR_Employee_Attrition[[#This Row],[YearsAtCompany]]&gt;10,"10+")</f>
        <v>6-10</v>
      </c>
      <c r="AL149" t="str" cm="1">
        <f t="array" ref="AL1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49">
        <f>IF(HR_Employee_Attrition[[#This Row],[Attrition]]="Yes",1,0)</f>
        <v>0</v>
      </c>
    </row>
    <row r="150" spans="1:39"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IF(HR_Employee_Attrition[[#This Row],[Age]]&gt;60,"60+",IF(HR_Employee_Attrition[[#This Row],[Age]]&gt;=50,"50-59",IF(HR_Employee_Attrition[[#This Row],[Age]]&gt;=40,"40-49",IF(HR_Employee_Attrition[[#This Row],[Age]]&gt;=30,"30-39",IF(HR_Employee_Attrition[[#This Row],[Age]]&gt;=20,"20-29",IF(HR_Employee_Attrition[[#This Row],[Age]]&gt;=18,"18-20"))))))</f>
        <v>40-49</v>
      </c>
      <c r="AK150" t="str" cm="1">
        <f t="array" ref="AK150">_xlfn.IFS(HR_Employee_Attrition[[#This Row],[YearsAtCompany]]&lt;=2,"0-2",HR_Employee_Attrition[[#This Row],[YearsAtCompany]]&lt;=5,"3-5",HR_Employee_Attrition[[#This Row],[YearsAtCompany]]&lt;=10,"6-10",HR_Employee_Attrition[[#This Row],[YearsAtCompany]]&gt;10,"10+")</f>
        <v>3-5</v>
      </c>
      <c r="AL150" t="str" cm="1">
        <f t="array" ref="AL1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50">
        <f>IF(HR_Employee_Attrition[[#This Row],[Attrition]]="Yes",1,0)</f>
        <v>0</v>
      </c>
    </row>
    <row r="151" spans="1:39"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IF(HR_Employee_Attrition[[#This Row],[Age]]&gt;60,"60+",IF(HR_Employee_Attrition[[#This Row],[Age]]&gt;=50,"50-59",IF(HR_Employee_Attrition[[#This Row],[Age]]&gt;=40,"40-49",IF(HR_Employee_Attrition[[#This Row],[Age]]&gt;=30,"30-39",IF(HR_Employee_Attrition[[#This Row],[Age]]&gt;=20,"20-29",IF(HR_Employee_Attrition[[#This Row],[Age]]&gt;=18,"18-20"))))))</f>
        <v>18-20</v>
      </c>
      <c r="AK151" t="str" cm="1">
        <f t="array" ref="AK151">_xlfn.IFS(HR_Employee_Attrition[[#This Row],[YearsAtCompany]]&lt;=2,"0-2",HR_Employee_Attrition[[#This Row],[YearsAtCompany]]&lt;=5,"3-5",HR_Employee_Attrition[[#This Row],[YearsAtCompany]]&lt;=10,"6-10",HR_Employee_Attrition[[#This Row],[YearsAtCompany]]&gt;10,"10+")</f>
        <v>0-2</v>
      </c>
      <c r="AL151" t="str" cm="1">
        <f t="array" ref="AL1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51">
        <f>IF(HR_Employee_Attrition[[#This Row],[Attrition]]="Yes",1,0)</f>
        <v>0</v>
      </c>
    </row>
    <row r="152" spans="1:39"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IF(HR_Employee_Attrition[[#This Row],[Age]]&gt;60,"60+",IF(HR_Employee_Attrition[[#This Row],[Age]]&gt;=50,"50-59",IF(HR_Employee_Attrition[[#This Row],[Age]]&gt;=40,"40-49",IF(HR_Employee_Attrition[[#This Row],[Age]]&gt;=30,"30-39",IF(HR_Employee_Attrition[[#This Row],[Age]]&gt;=20,"20-29",IF(HR_Employee_Attrition[[#This Row],[Age]]&gt;=18,"18-20"))))))</f>
        <v>40-49</v>
      </c>
      <c r="AK152" t="str" cm="1">
        <f t="array" ref="AK152">_xlfn.IFS(HR_Employee_Attrition[[#This Row],[YearsAtCompany]]&lt;=2,"0-2",HR_Employee_Attrition[[#This Row],[YearsAtCompany]]&lt;=5,"3-5",HR_Employee_Attrition[[#This Row],[YearsAtCompany]]&lt;=10,"6-10",HR_Employee_Attrition[[#This Row],[YearsAtCompany]]&gt;10,"10+")</f>
        <v>10+</v>
      </c>
      <c r="AL152" t="str" cm="1">
        <f t="array" ref="AL1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52">
        <f>IF(HR_Employee_Attrition[[#This Row],[Attrition]]="Yes",1,0)</f>
        <v>0</v>
      </c>
    </row>
    <row r="153" spans="1:39"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IF(HR_Employee_Attrition[[#This Row],[Age]]&gt;60,"60+",IF(HR_Employee_Attrition[[#This Row],[Age]]&gt;=50,"50-59",IF(HR_Employee_Attrition[[#This Row],[Age]]&gt;=40,"40-49",IF(HR_Employee_Attrition[[#This Row],[Age]]&gt;=30,"30-39",IF(HR_Employee_Attrition[[#This Row],[Age]]&gt;=20,"20-29",IF(HR_Employee_Attrition[[#This Row],[Age]]&gt;=18,"18-20"))))))</f>
        <v>30-39</v>
      </c>
      <c r="AK153" t="str" cm="1">
        <f t="array" ref="AK153">_xlfn.IFS(HR_Employee_Attrition[[#This Row],[YearsAtCompany]]&lt;=2,"0-2",HR_Employee_Attrition[[#This Row],[YearsAtCompany]]&lt;=5,"3-5",HR_Employee_Attrition[[#This Row],[YearsAtCompany]]&lt;=10,"6-10",HR_Employee_Attrition[[#This Row],[YearsAtCompany]]&gt;10,"10+")</f>
        <v>6-10</v>
      </c>
      <c r="AL153" t="str" cm="1">
        <f t="array" ref="AL1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53">
        <f>IF(HR_Employee_Attrition[[#This Row],[Attrition]]="Yes",1,0)</f>
        <v>0</v>
      </c>
    </row>
    <row r="154" spans="1:39"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IF(HR_Employee_Attrition[[#This Row],[Age]]&gt;60,"60+",IF(HR_Employee_Attrition[[#This Row],[Age]]&gt;=50,"50-59",IF(HR_Employee_Attrition[[#This Row],[Age]]&gt;=40,"40-49",IF(HR_Employee_Attrition[[#This Row],[Age]]&gt;=30,"30-39",IF(HR_Employee_Attrition[[#This Row],[Age]]&gt;=20,"20-29",IF(HR_Employee_Attrition[[#This Row],[Age]]&gt;=18,"18-20"))))))</f>
        <v>50-59</v>
      </c>
      <c r="AK154" t="str" cm="1">
        <f t="array" ref="AK154">_xlfn.IFS(HR_Employee_Attrition[[#This Row],[YearsAtCompany]]&lt;=2,"0-2",HR_Employee_Attrition[[#This Row],[YearsAtCompany]]&lt;=5,"3-5",HR_Employee_Attrition[[#This Row],[YearsAtCompany]]&lt;=10,"6-10",HR_Employee_Attrition[[#This Row],[YearsAtCompany]]&gt;10,"10+")</f>
        <v>6-10</v>
      </c>
      <c r="AL154" t="str" cm="1">
        <f t="array" ref="AL1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54">
        <f>IF(HR_Employee_Attrition[[#This Row],[Attrition]]="Yes",1,0)</f>
        <v>0</v>
      </c>
    </row>
    <row r="155" spans="1:39"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IF(HR_Employee_Attrition[[#This Row],[Age]]&gt;60,"60+",IF(HR_Employee_Attrition[[#This Row],[Age]]&gt;=50,"50-59",IF(HR_Employee_Attrition[[#This Row],[Age]]&gt;=40,"40-49",IF(HR_Employee_Attrition[[#This Row],[Age]]&gt;=30,"30-39",IF(HR_Employee_Attrition[[#This Row],[Age]]&gt;=20,"20-29",IF(HR_Employee_Attrition[[#This Row],[Age]]&gt;=18,"18-20"))))))</f>
        <v>40-49</v>
      </c>
      <c r="AK155" t="str" cm="1">
        <f t="array" ref="AK155">_xlfn.IFS(HR_Employee_Attrition[[#This Row],[YearsAtCompany]]&lt;=2,"0-2",HR_Employee_Attrition[[#This Row],[YearsAtCompany]]&lt;=5,"3-5",HR_Employee_Attrition[[#This Row],[YearsAtCompany]]&lt;=10,"6-10",HR_Employee_Attrition[[#This Row],[YearsAtCompany]]&gt;10,"10+")</f>
        <v>10+</v>
      </c>
      <c r="AL155" t="str" cm="1">
        <f t="array" ref="AL1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55">
        <f>IF(HR_Employee_Attrition[[#This Row],[Attrition]]="Yes",1,0)</f>
        <v>0</v>
      </c>
    </row>
    <row r="156" spans="1:39"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IF(HR_Employee_Attrition[[#This Row],[Age]]&gt;60,"60+",IF(HR_Employee_Attrition[[#This Row],[Age]]&gt;=50,"50-59",IF(HR_Employee_Attrition[[#This Row],[Age]]&gt;=40,"40-49",IF(HR_Employee_Attrition[[#This Row],[Age]]&gt;=30,"30-39",IF(HR_Employee_Attrition[[#This Row],[Age]]&gt;=20,"20-29",IF(HR_Employee_Attrition[[#This Row],[Age]]&gt;=18,"18-20"))))))</f>
        <v>30-39</v>
      </c>
      <c r="AK156" t="str" cm="1">
        <f t="array" ref="AK156">_xlfn.IFS(HR_Employee_Attrition[[#This Row],[YearsAtCompany]]&lt;=2,"0-2",HR_Employee_Attrition[[#This Row],[YearsAtCompany]]&lt;=5,"3-5",HR_Employee_Attrition[[#This Row],[YearsAtCompany]]&lt;=10,"6-10",HR_Employee_Attrition[[#This Row],[YearsAtCompany]]&gt;10,"10+")</f>
        <v>6-10</v>
      </c>
      <c r="AL156" t="str" cm="1">
        <f t="array" ref="AL1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56">
        <f>IF(HR_Employee_Attrition[[#This Row],[Attrition]]="Yes",1,0)</f>
        <v>0</v>
      </c>
    </row>
    <row r="157" spans="1:39"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IF(HR_Employee_Attrition[[#This Row],[Age]]&gt;60,"60+",IF(HR_Employee_Attrition[[#This Row],[Age]]&gt;=50,"50-59",IF(HR_Employee_Attrition[[#This Row],[Age]]&gt;=40,"40-49",IF(HR_Employee_Attrition[[#This Row],[Age]]&gt;=30,"30-39",IF(HR_Employee_Attrition[[#This Row],[Age]]&gt;=20,"20-29",IF(HR_Employee_Attrition[[#This Row],[Age]]&gt;=18,"18-20"))))))</f>
        <v>20-29</v>
      </c>
      <c r="AK157" t="str" cm="1">
        <f t="array" ref="AK157">_xlfn.IFS(HR_Employee_Attrition[[#This Row],[YearsAtCompany]]&lt;=2,"0-2",HR_Employee_Attrition[[#This Row],[YearsAtCompany]]&lt;=5,"3-5",HR_Employee_Attrition[[#This Row],[YearsAtCompany]]&lt;=10,"6-10",HR_Employee_Attrition[[#This Row],[YearsAtCompany]]&gt;10,"10+")</f>
        <v>6-10</v>
      </c>
      <c r="AL157" t="str" cm="1">
        <f t="array" ref="AL1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57">
        <f>IF(HR_Employee_Attrition[[#This Row],[Attrition]]="Yes",1,0)</f>
        <v>0</v>
      </c>
    </row>
    <row r="158" spans="1:39"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IF(HR_Employee_Attrition[[#This Row],[Age]]&gt;60,"60+",IF(HR_Employee_Attrition[[#This Row],[Age]]&gt;=50,"50-59",IF(HR_Employee_Attrition[[#This Row],[Age]]&gt;=40,"40-49",IF(HR_Employee_Attrition[[#This Row],[Age]]&gt;=30,"30-39",IF(HR_Employee_Attrition[[#This Row],[Age]]&gt;=20,"20-29",IF(HR_Employee_Attrition[[#This Row],[Age]]&gt;=18,"18-20"))))))</f>
        <v>50-59</v>
      </c>
      <c r="AK158" t="str" cm="1">
        <f t="array" ref="AK158">_xlfn.IFS(HR_Employee_Attrition[[#This Row],[YearsAtCompany]]&lt;=2,"0-2",HR_Employee_Attrition[[#This Row],[YearsAtCompany]]&lt;=5,"3-5",HR_Employee_Attrition[[#This Row],[YearsAtCompany]]&lt;=10,"6-10",HR_Employee_Attrition[[#This Row],[YearsAtCompany]]&gt;10,"10+")</f>
        <v>0-2</v>
      </c>
      <c r="AL158" t="str" cm="1">
        <f t="array" ref="AL1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58">
        <f>IF(HR_Employee_Attrition[[#This Row],[Attrition]]="Yes",1,0)</f>
        <v>0</v>
      </c>
    </row>
    <row r="159" spans="1:39"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IF(HR_Employee_Attrition[[#This Row],[Age]]&gt;60,"60+",IF(HR_Employee_Attrition[[#This Row],[Age]]&gt;=50,"50-59",IF(HR_Employee_Attrition[[#This Row],[Age]]&gt;=40,"40-49",IF(HR_Employee_Attrition[[#This Row],[Age]]&gt;=30,"30-39",IF(HR_Employee_Attrition[[#This Row],[Age]]&gt;=20,"20-29",IF(HR_Employee_Attrition[[#This Row],[Age]]&gt;=18,"18-20"))))))</f>
        <v>50-59</v>
      </c>
      <c r="AK159" t="str" cm="1">
        <f t="array" ref="AK159">_xlfn.IFS(HR_Employee_Attrition[[#This Row],[YearsAtCompany]]&lt;=2,"0-2",HR_Employee_Attrition[[#This Row],[YearsAtCompany]]&lt;=5,"3-5",HR_Employee_Attrition[[#This Row],[YearsAtCompany]]&lt;=10,"6-10",HR_Employee_Attrition[[#This Row],[YearsAtCompany]]&gt;10,"10+")</f>
        <v>0-2</v>
      </c>
      <c r="AL159" t="str" cm="1">
        <f t="array" ref="AL1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59">
        <f>IF(HR_Employee_Attrition[[#This Row],[Attrition]]="Yes",1,0)</f>
        <v>0</v>
      </c>
    </row>
    <row r="160" spans="1:39"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IF(HR_Employee_Attrition[[#This Row],[Age]]&gt;60,"60+",IF(HR_Employee_Attrition[[#This Row],[Age]]&gt;=50,"50-59",IF(HR_Employee_Attrition[[#This Row],[Age]]&gt;=40,"40-49",IF(HR_Employee_Attrition[[#This Row],[Age]]&gt;=30,"30-39",IF(HR_Employee_Attrition[[#This Row],[Age]]&gt;=20,"20-29",IF(HR_Employee_Attrition[[#This Row],[Age]]&gt;=18,"18-20"))))))</f>
        <v>40-49</v>
      </c>
      <c r="AK160" t="str" cm="1">
        <f t="array" ref="AK160">_xlfn.IFS(HR_Employee_Attrition[[#This Row],[YearsAtCompany]]&lt;=2,"0-2",HR_Employee_Attrition[[#This Row],[YearsAtCompany]]&lt;=5,"3-5",HR_Employee_Attrition[[#This Row],[YearsAtCompany]]&lt;=10,"6-10",HR_Employee_Attrition[[#This Row],[YearsAtCompany]]&gt;10,"10+")</f>
        <v>10+</v>
      </c>
      <c r="AL160" t="str" cm="1">
        <f t="array" ref="AL1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60">
        <f>IF(HR_Employee_Attrition[[#This Row],[Attrition]]="Yes",1,0)</f>
        <v>0</v>
      </c>
    </row>
    <row r="161" spans="1:39"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IF(HR_Employee_Attrition[[#This Row],[Age]]&gt;60,"60+",IF(HR_Employee_Attrition[[#This Row],[Age]]&gt;=50,"50-59",IF(HR_Employee_Attrition[[#This Row],[Age]]&gt;=40,"40-49",IF(HR_Employee_Attrition[[#This Row],[Age]]&gt;=30,"30-39",IF(HR_Employee_Attrition[[#This Row],[Age]]&gt;=20,"20-29",IF(HR_Employee_Attrition[[#This Row],[Age]]&gt;=18,"18-20"))))))</f>
        <v>30-39</v>
      </c>
      <c r="AK161" t="str" cm="1">
        <f t="array" ref="AK161">_xlfn.IFS(HR_Employee_Attrition[[#This Row],[YearsAtCompany]]&lt;=2,"0-2",HR_Employee_Attrition[[#This Row],[YearsAtCompany]]&lt;=5,"3-5",HR_Employee_Attrition[[#This Row],[YearsAtCompany]]&lt;=10,"6-10",HR_Employee_Attrition[[#This Row],[YearsAtCompany]]&gt;10,"10+")</f>
        <v>3-5</v>
      </c>
      <c r="AL161" t="str" cm="1">
        <f t="array" ref="AL1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61">
        <f>IF(HR_Employee_Attrition[[#This Row],[Attrition]]="Yes",1,0)</f>
        <v>0</v>
      </c>
    </row>
    <row r="162" spans="1:39"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IF(HR_Employee_Attrition[[#This Row],[Age]]&gt;60,"60+",IF(HR_Employee_Attrition[[#This Row],[Age]]&gt;=50,"50-59",IF(HR_Employee_Attrition[[#This Row],[Age]]&gt;=40,"40-49",IF(HR_Employee_Attrition[[#This Row],[Age]]&gt;=30,"30-39",IF(HR_Employee_Attrition[[#This Row],[Age]]&gt;=20,"20-29",IF(HR_Employee_Attrition[[#This Row],[Age]]&gt;=18,"18-20"))))))</f>
        <v>20-29</v>
      </c>
      <c r="AK162" t="str" cm="1">
        <f t="array" ref="AK162">_xlfn.IFS(HR_Employee_Attrition[[#This Row],[YearsAtCompany]]&lt;=2,"0-2",HR_Employee_Attrition[[#This Row],[YearsAtCompany]]&lt;=5,"3-5",HR_Employee_Attrition[[#This Row],[YearsAtCompany]]&lt;=10,"6-10",HR_Employee_Attrition[[#This Row],[YearsAtCompany]]&gt;10,"10+")</f>
        <v>0-2</v>
      </c>
      <c r="AL162" t="str" cm="1">
        <f t="array" ref="AL1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62">
        <f>IF(HR_Employee_Attrition[[#This Row],[Attrition]]="Yes",1,0)</f>
        <v>0</v>
      </c>
    </row>
    <row r="163" spans="1:39"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IF(HR_Employee_Attrition[[#This Row],[Age]]&gt;60,"60+",IF(HR_Employee_Attrition[[#This Row],[Age]]&gt;=50,"50-59",IF(HR_Employee_Attrition[[#This Row],[Age]]&gt;=40,"40-49",IF(HR_Employee_Attrition[[#This Row],[Age]]&gt;=30,"30-39",IF(HR_Employee_Attrition[[#This Row],[Age]]&gt;=20,"20-29",IF(HR_Employee_Attrition[[#This Row],[Age]]&gt;=18,"18-20"))))))</f>
        <v>20-29</v>
      </c>
      <c r="AK163" t="str" cm="1">
        <f t="array" ref="AK163">_xlfn.IFS(HR_Employee_Attrition[[#This Row],[YearsAtCompany]]&lt;=2,"0-2",HR_Employee_Attrition[[#This Row],[YearsAtCompany]]&lt;=5,"3-5",HR_Employee_Attrition[[#This Row],[YearsAtCompany]]&lt;=10,"6-10",HR_Employee_Attrition[[#This Row],[YearsAtCompany]]&gt;10,"10+")</f>
        <v>0-2</v>
      </c>
      <c r="AL163" t="str" cm="1">
        <f t="array" ref="AL1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63">
        <f>IF(HR_Employee_Attrition[[#This Row],[Attrition]]="Yes",1,0)</f>
        <v>0</v>
      </c>
    </row>
    <row r="164" spans="1:39"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IF(HR_Employee_Attrition[[#This Row],[Age]]&gt;60,"60+",IF(HR_Employee_Attrition[[#This Row],[Age]]&gt;=50,"50-59",IF(HR_Employee_Attrition[[#This Row],[Age]]&gt;=40,"40-49",IF(HR_Employee_Attrition[[#This Row],[Age]]&gt;=30,"30-39",IF(HR_Employee_Attrition[[#This Row],[Age]]&gt;=20,"20-29",IF(HR_Employee_Attrition[[#This Row],[Age]]&gt;=18,"18-20"))))))</f>
        <v>20-29</v>
      </c>
      <c r="AK164" t="str" cm="1">
        <f t="array" ref="AK164">_xlfn.IFS(HR_Employee_Attrition[[#This Row],[YearsAtCompany]]&lt;=2,"0-2",HR_Employee_Attrition[[#This Row],[YearsAtCompany]]&lt;=5,"3-5",HR_Employee_Attrition[[#This Row],[YearsAtCompany]]&lt;=10,"6-10",HR_Employee_Attrition[[#This Row],[YearsAtCompany]]&gt;10,"10+")</f>
        <v>3-5</v>
      </c>
      <c r="AL164" t="str" cm="1">
        <f t="array" ref="AL1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64">
        <f>IF(HR_Employee_Attrition[[#This Row],[Attrition]]="Yes",1,0)</f>
        <v>0</v>
      </c>
    </row>
    <row r="165" spans="1:39"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IF(HR_Employee_Attrition[[#This Row],[Age]]&gt;60,"60+",IF(HR_Employee_Attrition[[#This Row],[Age]]&gt;=50,"50-59",IF(HR_Employee_Attrition[[#This Row],[Age]]&gt;=40,"40-49",IF(HR_Employee_Attrition[[#This Row],[Age]]&gt;=30,"30-39",IF(HR_Employee_Attrition[[#This Row],[Age]]&gt;=20,"20-29",IF(HR_Employee_Attrition[[#This Row],[Age]]&gt;=18,"18-20"))))))</f>
        <v>50-59</v>
      </c>
      <c r="AK165" t="str" cm="1">
        <f t="array" ref="AK165">_xlfn.IFS(HR_Employee_Attrition[[#This Row],[YearsAtCompany]]&lt;=2,"0-2",HR_Employee_Attrition[[#This Row],[YearsAtCompany]]&lt;=5,"3-5",HR_Employee_Attrition[[#This Row],[YearsAtCompany]]&lt;=10,"6-10",HR_Employee_Attrition[[#This Row],[YearsAtCompany]]&gt;10,"10+")</f>
        <v>3-5</v>
      </c>
      <c r="AL165" t="str" cm="1">
        <f t="array" ref="AL1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65">
        <f>IF(HR_Employee_Attrition[[#This Row],[Attrition]]="Yes",1,0)</f>
        <v>0</v>
      </c>
    </row>
    <row r="166" spans="1:39"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IF(HR_Employee_Attrition[[#This Row],[Age]]&gt;60,"60+",IF(HR_Employee_Attrition[[#This Row],[Age]]&gt;=50,"50-59",IF(HR_Employee_Attrition[[#This Row],[Age]]&gt;=40,"40-49",IF(HR_Employee_Attrition[[#This Row],[Age]]&gt;=30,"30-39",IF(HR_Employee_Attrition[[#This Row],[Age]]&gt;=20,"20-29",IF(HR_Employee_Attrition[[#This Row],[Age]]&gt;=18,"18-20"))))))</f>
        <v>20-29</v>
      </c>
      <c r="AK166" t="str" cm="1">
        <f t="array" ref="AK166">_xlfn.IFS(HR_Employee_Attrition[[#This Row],[YearsAtCompany]]&lt;=2,"0-2",HR_Employee_Attrition[[#This Row],[YearsAtCompany]]&lt;=5,"3-5",HR_Employee_Attrition[[#This Row],[YearsAtCompany]]&lt;=10,"6-10",HR_Employee_Attrition[[#This Row],[YearsAtCompany]]&gt;10,"10+")</f>
        <v>0-2</v>
      </c>
      <c r="AL166" t="str" cm="1">
        <f t="array" ref="AL1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66">
        <f>IF(HR_Employee_Attrition[[#This Row],[Attrition]]="Yes",1,0)</f>
        <v>0</v>
      </c>
    </row>
    <row r="167" spans="1:39"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IF(HR_Employee_Attrition[[#This Row],[Age]]&gt;60,"60+",IF(HR_Employee_Attrition[[#This Row],[Age]]&gt;=50,"50-59",IF(HR_Employee_Attrition[[#This Row],[Age]]&gt;=40,"40-49",IF(HR_Employee_Attrition[[#This Row],[Age]]&gt;=30,"30-39",IF(HR_Employee_Attrition[[#This Row],[Age]]&gt;=20,"20-29",IF(HR_Employee_Attrition[[#This Row],[Age]]&gt;=18,"18-20"))))))</f>
        <v>50-59</v>
      </c>
      <c r="AK167" t="str" cm="1">
        <f t="array" ref="AK167">_xlfn.IFS(HR_Employee_Attrition[[#This Row],[YearsAtCompany]]&lt;=2,"0-2",HR_Employee_Attrition[[#This Row],[YearsAtCompany]]&lt;=5,"3-5",HR_Employee_Attrition[[#This Row],[YearsAtCompany]]&lt;=10,"6-10",HR_Employee_Attrition[[#This Row],[YearsAtCompany]]&gt;10,"10+")</f>
        <v>3-5</v>
      </c>
      <c r="AL167" t="str" cm="1">
        <f t="array" ref="AL1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67">
        <f>IF(HR_Employee_Attrition[[#This Row],[Attrition]]="Yes",1,0)</f>
        <v>0</v>
      </c>
    </row>
    <row r="168" spans="1:39"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IF(HR_Employee_Attrition[[#This Row],[Age]]&gt;60,"60+",IF(HR_Employee_Attrition[[#This Row],[Age]]&gt;=50,"50-59",IF(HR_Employee_Attrition[[#This Row],[Age]]&gt;=40,"40-49",IF(HR_Employee_Attrition[[#This Row],[Age]]&gt;=30,"30-39",IF(HR_Employee_Attrition[[#This Row],[Age]]&gt;=20,"20-29",IF(HR_Employee_Attrition[[#This Row],[Age]]&gt;=18,"18-20"))))))</f>
        <v>40-49</v>
      </c>
      <c r="AK168" t="str" cm="1">
        <f t="array" ref="AK168">_xlfn.IFS(HR_Employee_Attrition[[#This Row],[YearsAtCompany]]&lt;=2,"0-2",HR_Employee_Attrition[[#This Row],[YearsAtCompany]]&lt;=5,"3-5",HR_Employee_Attrition[[#This Row],[YearsAtCompany]]&lt;=10,"6-10",HR_Employee_Attrition[[#This Row],[YearsAtCompany]]&gt;10,"10+")</f>
        <v>6-10</v>
      </c>
      <c r="AL168" t="str" cm="1">
        <f t="array" ref="AL1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68">
        <f>IF(HR_Employee_Attrition[[#This Row],[Attrition]]="Yes",1,0)</f>
        <v>0</v>
      </c>
    </row>
    <row r="169" spans="1:39"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IF(HR_Employee_Attrition[[#This Row],[Age]]&gt;60,"60+",IF(HR_Employee_Attrition[[#This Row],[Age]]&gt;=50,"50-59",IF(HR_Employee_Attrition[[#This Row],[Age]]&gt;=40,"40-49",IF(HR_Employee_Attrition[[#This Row],[Age]]&gt;=30,"30-39",IF(HR_Employee_Attrition[[#This Row],[Age]]&gt;=20,"20-29",IF(HR_Employee_Attrition[[#This Row],[Age]]&gt;=18,"18-20"))))))</f>
        <v>30-39</v>
      </c>
      <c r="AK169" t="str" cm="1">
        <f t="array" ref="AK169">_xlfn.IFS(HR_Employee_Attrition[[#This Row],[YearsAtCompany]]&lt;=2,"0-2",HR_Employee_Attrition[[#This Row],[YearsAtCompany]]&lt;=5,"3-5",HR_Employee_Attrition[[#This Row],[YearsAtCompany]]&lt;=10,"6-10",HR_Employee_Attrition[[#This Row],[YearsAtCompany]]&gt;10,"10+")</f>
        <v>6-10</v>
      </c>
      <c r="AL169" t="str" cm="1">
        <f t="array" ref="AL1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69">
        <f>IF(HR_Employee_Attrition[[#This Row],[Attrition]]="Yes",1,0)</f>
        <v>0</v>
      </c>
    </row>
    <row r="170" spans="1:39"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IF(HR_Employee_Attrition[[#This Row],[Age]]&gt;60,"60+",IF(HR_Employee_Attrition[[#This Row],[Age]]&gt;=50,"50-59",IF(HR_Employee_Attrition[[#This Row],[Age]]&gt;=40,"40-49",IF(HR_Employee_Attrition[[#This Row],[Age]]&gt;=30,"30-39",IF(HR_Employee_Attrition[[#This Row],[Age]]&gt;=20,"20-29",IF(HR_Employee_Attrition[[#This Row],[Age]]&gt;=18,"18-20"))))))</f>
        <v>30-39</v>
      </c>
      <c r="AK170" t="str" cm="1">
        <f t="array" ref="AK170">_xlfn.IFS(HR_Employee_Attrition[[#This Row],[YearsAtCompany]]&lt;=2,"0-2",HR_Employee_Attrition[[#This Row],[YearsAtCompany]]&lt;=5,"3-5",HR_Employee_Attrition[[#This Row],[YearsAtCompany]]&lt;=10,"6-10",HR_Employee_Attrition[[#This Row],[YearsAtCompany]]&gt;10,"10+")</f>
        <v>6-10</v>
      </c>
      <c r="AL170" t="str" cm="1">
        <f t="array" ref="AL1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70">
        <f>IF(HR_Employee_Attrition[[#This Row],[Attrition]]="Yes",1,0)</f>
        <v>0</v>
      </c>
    </row>
    <row r="171" spans="1:39"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IF(HR_Employee_Attrition[[#This Row],[Age]]&gt;60,"60+",IF(HR_Employee_Attrition[[#This Row],[Age]]&gt;=50,"50-59",IF(HR_Employee_Attrition[[#This Row],[Age]]&gt;=40,"40-49",IF(HR_Employee_Attrition[[#This Row],[Age]]&gt;=30,"30-39",IF(HR_Employee_Attrition[[#This Row],[Age]]&gt;=20,"20-29",IF(HR_Employee_Attrition[[#This Row],[Age]]&gt;=18,"18-20"))))))</f>
        <v>30-39</v>
      </c>
      <c r="AK171" t="str" cm="1">
        <f t="array" ref="AK171">_xlfn.IFS(HR_Employee_Attrition[[#This Row],[YearsAtCompany]]&lt;=2,"0-2",HR_Employee_Attrition[[#This Row],[YearsAtCompany]]&lt;=5,"3-5",HR_Employee_Attrition[[#This Row],[YearsAtCompany]]&lt;=10,"6-10",HR_Employee_Attrition[[#This Row],[YearsAtCompany]]&gt;10,"10+")</f>
        <v>3-5</v>
      </c>
      <c r="AL171" t="str" cm="1">
        <f t="array" ref="AL1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71">
        <f>IF(HR_Employee_Attrition[[#This Row],[Attrition]]="Yes",1,0)</f>
        <v>0</v>
      </c>
    </row>
    <row r="172" spans="1:39"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IF(HR_Employee_Attrition[[#This Row],[Age]]&gt;60,"60+",IF(HR_Employee_Attrition[[#This Row],[Age]]&gt;=50,"50-59",IF(HR_Employee_Attrition[[#This Row],[Age]]&gt;=40,"40-49",IF(HR_Employee_Attrition[[#This Row],[Age]]&gt;=30,"30-39",IF(HR_Employee_Attrition[[#This Row],[Age]]&gt;=20,"20-29",IF(HR_Employee_Attrition[[#This Row],[Age]]&gt;=18,"18-20"))))))</f>
        <v>20-29</v>
      </c>
      <c r="AK172" t="str" cm="1">
        <f t="array" ref="AK172">_xlfn.IFS(HR_Employee_Attrition[[#This Row],[YearsAtCompany]]&lt;=2,"0-2",HR_Employee_Attrition[[#This Row],[YearsAtCompany]]&lt;=5,"3-5",HR_Employee_Attrition[[#This Row],[YearsAtCompany]]&lt;=10,"6-10",HR_Employee_Attrition[[#This Row],[YearsAtCompany]]&gt;10,"10+")</f>
        <v>3-5</v>
      </c>
      <c r="AL172" t="str" cm="1">
        <f t="array" ref="AL17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72">
        <f>IF(HR_Employee_Attrition[[#This Row],[Attrition]]="Yes",1,0)</f>
        <v>0</v>
      </c>
    </row>
    <row r="173" spans="1:39"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IF(HR_Employee_Attrition[[#This Row],[Age]]&gt;60,"60+",IF(HR_Employee_Attrition[[#This Row],[Age]]&gt;=50,"50-59",IF(HR_Employee_Attrition[[#This Row],[Age]]&gt;=40,"40-49",IF(HR_Employee_Attrition[[#This Row],[Age]]&gt;=30,"30-39",IF(HR_Employee_Attrition[[#This Row],[Age]]&gt;=20,"20-29",IF(HR_Employee_Attrition[[#This Row],[Age]]&gt;=18,"18-20"))))))</f>
        <v>18-20</v>
      </c>
      <c r="AK173" t="str" cm="1">
        <f t="array" ref="AK173">_xlfn.IFS(HR_Employee_Attrition[[#This Row],[YearsAtCompany]]&lt;=2,"0-2",HR_Employee_Attrition[[#This Row],[YearsAtCompany]]&lt;=5,"3-5",HR_Employee_Attrition[[#This Row],[YearsAtCompany]]&lt;=10,"6-10",HR_Employee_Attrition[[#This Row],[YearsAtCompany]]&gt;10,"10+")</f>
        <v>0-2</v>
      </c>
      <c r="AL173" t="str" cm="1">
        <f t="array" ref="AL17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73">
        <f>IF(HR_Employee_Attrition[[#This Row],[Attrition]]="Yes",1,0)</f>
        <v>1</v>
      </c>
    </row>
    <row r="174" spans="1:39"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IF(HR_Employee_Attrition[[#This Row],[Age]]&gt;60,"60+",IF(HR_Employee_Attrition[[#This Row],[Age]]&gt;=50,"50-59",IF(HR_Employee_Attrition[[#This Row],[Age]]&gt;=40,"40-49",IF(HR_Employee_Attrition[[#This Row],[Age]]&gt;=30,"30-39",IF(HR_Employee_Attrition[[#This Row],[Age]]&gt;=20,"20-29",IF(HR_Employee_Attrition[[#This Row],[Age]]&gt;=18,"18-20"))))))</f>
        <v>30-39</v>
      </c>
      <c r="AK174" t="str" cm="1">
        <f t="array" ref="AK174">_xlfn.IFS(HR_Employee_Attrition[[#This Row],[YearsAtCompany]]&lt;=2,"0-2",HR_Employee_Attrition[[#This Row],[YearsAtCompany]]&lt;=5,"3-5",HR_Employee_Attrition[[#This Row],[YearsAtCompany]]&lt;=10,"6-10",HR_Employee_Attrition[[#This Row],[YearsAtCompany]]&gt;10,"10+")</f>
        <v>6-10</v>
      </c>
      <c r="AL174" t="str" cm="1">
        <f t="array" ref="AL17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74">
        <f>IF(HR_Employee_Attrition[[#This Row],[Attrition]]="Yes",1,0)</f>
        <v>0</v>
      </c>
    </row>
    <row r="175" spans="1:39"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IF(HR_Employee_Attrition[[#This Row],[Age]]&gt;60,"60+",IF(HR_Employee_Attrition[[#This Row],[Age]]&gt;=50,"50-59",IF(HR_Employee_Attrition[[#This Row],[Age]]&gt;=40,"40-49",IF(HR_Employee_Attrition[[#This Row],[Age]]&gt;=30,"30-39",IF(HR_Employee_Attrition[[#This Row],[Age]]&gt;=20,"20-29",IF(HR_Employee_Attrition[[#This Row],[Age]]&gt;=18,"18-20"))))))</f>
        <v>30-39</v>
      </c>
      <c r="AK175" t="str" cm="1">
        <f t="array" ref="AK175">_xlfn.IFS(HR_Employee_Attrition[[#This Row],[YearsAtCompany]]&lt;=2,"0-2",HR_Employee_Attrition[[#This Row],[YearsAtCompany]]&lt;=5,"3-5",HR_Employee_Attrition[[#This Row],[YearsAtCompany]]&lt;=10,"6-10",HR_Employee_Attrition[[#This Row],[YearsAtCompany]]&gt;10,"10+")</f>
        <v>10+</v>
      </c>
      <c r="AL175" t="str" cm="1">
        <f t="array" ref="AL17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75">
        <f>IF(HR_Employee_Attrition[[#This Row],[Attrition]]="Yes",1,0)</f>
        <v>0</v>
      </c>
    </row>
    <row r="176" spans="1:39"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IF(HR_Employee_Attrition[[#This Row],[Age]]&gt;60,"60+",IF(HR_Employee_Attrition[[#This Row],[Age]]&gt;=50,"50-59",IF(HR_Employee_Attrition[[#This Row],[Age]]&gt;=40,"40-49",IF(HR_Employee_Attrition[[#This Row],[Age]]&gt;=30,"30-39",IF(HR_Employee_Attrition[[#This Row],[Age]]&gt;=20,"20-29",IF(HR_Employee_Attrition[[#This Row],[Age]]&gt;=18,"18-20"))))))</f>
        <v>40-49</v>
      </c>
      <c r="AK176" t="str" cm="1">
        <f t="array" ref="AK176">_xlfn.IFS(HR_Employee_Attrition[[#This Row],[YearsAtCompany]]&lt;=2,"0-2",HR_Employee_Attrition[[#This Row],[YearsAtCompany]]&lt;=5,"3-5",HR_Employee_Attrition[[#This Row],[YearsAtCompany]]&lt;=10,"6-10",HR_Employee_Attrition[[#This Row],[YearsAtCompany]]&gt;10,"10+")</f>
        <v>3-5</v>
      </c>
      <c r="AL176" t="str" cm="1">
        <f t="array" ref="AL17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76">
        <f>IF(HR_Employee_Attrition[[#This Row],[Attrition]]="Yes",1,0)</f>
        <v>0</v>
      </c>
    </row>
    <row r="177" spans="1:39"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IF(HR_Employee_Attrition[[#This Row],[Age]]&gt;60,"60+",IF(HR_Employee_Attrition[[#This Row],[Age]]&gt;=50,"50-59",IF(HR_Employee_Attrition[[#This Row],[Age]]&gt;=40,"40-49",IF(HR_Employee_Attrition[[#This Row],[Age]]&gt;=30,"30-39",IF(HR_Employee_Attrition[[#This Row],[Age]]&gt;=20,"20-29",IF(HR_Employee_Attrition[[#This Row],[Age]]&gt;=18,"18-20"))))))</f>
        <v>50-59</v>
      </c>
      <c r="AK177" t="str" cm="1">
        <f t="array" ref="AK177">_xlfn.IFS(HR_Employee_Attrition[[#This Row],[YearsAtCompany]]&lt;=2,"0-2",HR_Employee_Attrition[[#This Row],[YearsAtCompany]]&lt;=5,"3-5",HR_Employee_Attrition[[#This Row],[YearsAtCompany]]&lt;=10,"6-10",HR_Employee_Attrition[[#This Row],[YearsAtCompany]]&gt;10,"10+")</f>
        <v>0-2</v>
      </c>
      <c r="AL177" t="str" cm="1">
        <f t="array" ref="AL17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77">
        <f>IF(HR_Employee_Attrition[[#This Row],[Attrition]]="Yes",1,0)</f>
        <v>0</v>
      </c>
    </row>
    <row r="178" spans="1:39"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IF(HR_Employee_Attrition[[#This Row],[Age]]&gt;60,"60+",IF(HR_Employee_Attrition[[#This Row],[Age]]&gt;=50,"50-59",IF(HR_Employee_Attrition[[#This Row],[Age]]&gt;=40,"40-49",IF(HR_Employee_Attrition[[#This Row],[Age]]&gt;=30,"30-39",IF(HR_Employee_Attrition[[#This Row],[Age]]&gt;=20,"20-29",IF(HR_Employee_Attrition[[#This Row],[Age]]&gt;=18,"18-20"))))))</f>
        <v>30-39</v>
      </c>
      <c r="AK178" t="str" cm="1">
        <f t="array" ref="AK178">_xlfn.IFS(HR_Employee_Attrition[[#This Row],[YearsAtCompany]]&lt;=2,"0-2",HR_Employee_Attrition[[#This Row],[YearsAtCompany]]&lt;=5,"3-5",HR_Employee_Attrition[[#This Row],[YearsAtCompany]]&lt;=10,"6-10",HR_Employee_Attrition[[#This Row],[YearsAtCompany]]&gt;10,"10+")</f>
        <v>3-5</v>
      </c>
      <c r="AL178" t="str" cm="1">
        <f t="array" ref="AL17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78">
        <f>IF(HR_Employee_Attrition[[#This Row],[Attrition]]="Yes",1,0)</f>
        <v>0</v>
      </c>
    </row>
    <row r="179" spans="1:39"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IF(HR_Employee_Attrition[[#This Row],[Age]]&gt;60,"60+",IF(HR_Employee_Attrition[[#This Row],[Age]]&gt;=50,"50-59",IF(HR_Employee_Attrition[[#This Row],[Age]]&gt;=40,"40-49",IF(HR_Employee_Attrition[[#This Row],[Age]]&gt;=30,"30-39",IF(HR_Employee_Attrition[[#This Row],[Age]]&gt;=20,"20-29",IF(HR_Employee_Attrition[[#This Row],[Age]]&gt;=18,"18-20"))))))</f>
        <v>18-20</v>
      </c>
      <c r="AK179" t="str" cm="1">
        <f t="array" ref="AK179">_xlfn.IFS(HR_Employee_Attrition[[#This Row],[YearsAtCompany]]&lt;=2,"0-2",HR_Employee_Attrition[[#This Row],[YearsAtCompany]]&lt;=5,"3-5",HR_Employee_Attrition[[#This Row],[YearsAtCompany]]&lt;=10,"6-10",HR_Employee_Attrition[[#This Row],[YearsAtCompany]]&gt;10,"10+")</f>
        <v>0-2</v>
      </c>
      <c r="AL179" t="str" cm="1">
        <f t="array" ref="AL17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79">
        <f>IF(HR_Employee_Attrition[[#This Row],[Attrition]]="Yes",1,0)</f>
        <v>1</v>
      </c>
    </row>
    <row r="180" spans="1:39"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IF(HR_Employee_Attrition[[#This Row],[Age]]&gt;60,"60+",IF(HR_Employee_Attrition[[#This Row],[Age]]&gt;=50,"50-59",IF(HR_Employee_Attrition[[#This Row],[Age]]&gt;=40,"40-49",IF(HR_Employee_Attrition[[#This Row],[Age]]&gt;=30,"30-39",IF(HR_Employee_Attrition[[#This Row],[Age]]&gt;=20,"20-29",IF(HR_Employee_Attrition[[#This Row],[Age]]&gt;=18,"18-20"))))))</f>
        <v>40-49</v>
      </c>
      <c r="AK180" t="str" cm="1">
        <f t="array" ref="AK180">_xlfn.IFS(HR_Employee_Attrition[[#This Row],[YearsAtCompany]]&lt;=2,"0-2",HR_Employee_Attrition[[#This Row],[YearsAtCompany]]&lt;=5,"3-5",HR_Employee_Attrition[[#This Row],[YearsAtCompany]]&lt;=10,"6-10",HR_Employee_Attrition[[#This Row],[YearsAtCompany]]&gt;10,"10+")</f>
        <v>10+</v>
      </c>
      <c r="AL180" t="str" cm="1">
        <f t="array" ref="AL18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80">
        <f>IF(HR_Employee_Attrition[[#This Row],[Attrition]]="Yes",1,0)</f>
        <v>0</v>
      </c>
    </row>
    <row r="181" spans="1:39"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IF(HR_Employee_Attrition[[#This Row],[Age]]&gt;60,"60+",IF(HR_Employee_Attrition[[#This Row],[Age]]&gt;=50,"50-59",IF(HR_Employee_Attrition[[#This Row],[Age]]&gt;=40,"40-49",IF(HR_Employee_Attrition[[#This Row],[Age]]&gt;=30,"30-39",IF(HR_Employee_Attrition[[#This Row],[Age]]&gt;=20,"20-29",IF(HR_Employee_Attrition[[#This Row],[Age]]&gt;=18,"18-20"))))))</f>
        <v>30-39</v>
      </c>
      <c r="AK181" t="str" cm="1">
        <f t="array" ref="AK181">_xlfn.IFS(HR_Employee_Attrition[[#This Row],[YearsAtCompany]]&lt;=2,"0-2",HR_Employee_Attrition[[#This Row],[YearsAtCompany]]&lt;=5,"3-5",HR_Employee_Attrition[[#This Row],[YearsAtCompany]]&lt;=10,"6-10",HR_Employee_Attrition[[#This Row],[YearsAtCompany]]&gt;10,"10+")</f>
        <v>0-2</v>
      </c>
      <c r="AL181" t="str" cm="1">
        <f t="array" ref="AL18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81">
        <f>IF(HR_Employee_Attrition[[#This Row],[Attrition]]="Yes",1,0)</f>
        <v>0</v>
      </c>
    </row>
    <row r="182" spans="1:39"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IF(HR_Employee_Attrition[[#This Row],[Age]]&gt;60,"60+",IF(HR_Employee_Attrition[[#This Row],[Age]]&gt;=50,"50-59",IF(HR_Employee_Attrition[[#This Row],[Age]]&gt;=40,"40-49",IF(HR_Employee_Attrition[[#This Row],[Age]]&gt;=30,"30-39",IF(HR_Employee_Attrition[[#This Row],[Age]]&gt;=20,"20-29",IF(HR_Employee_Attrition[[#This Row],[Age]]&gt;=18,"18-20"))))))</f>
        <v>30-39</v>
      </c>
      <c r="AK182" t="str" cm="1">
        <f t="array" ref="AK182">_xlfn.IFS(HR_Employee_Attrition[[#This Row],[YearsAtCompany]]&lt;=2,"0-2",HR_Employee_Attrition[[#This Row],[YearsAtCompany]]&lt;=5,"3-5",HR_Employee_Attrition[[#This Row],[YearsAtCompany]]&lt;=10,"6-10",HR_Employee_Attrition[[#This Row],[YearsAtCompany]]&gt;10,"10+")</f>
        <v>3-5</v>
      </c>
      <c r="AL182" t="str" cm="1">
        <f t="array" ref="AL18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82">
        <f>IF(HR_Employee_Attrition[[#This Row],[Attrition]]="Yes",1,0)</f>
        <v>0</v>
      </c>
    </row>
    <row r="183" spans="1:39"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IF(HR_Employee_Attrition[[#This Row],[Age]]&gt;60,"60+",IF(HR_Employee_Attrition[[#This Row],[Age]]&gt;=50,"50-59",IF(HR_Employee_Attrition[[#This Row],[Age]]&gt;=40,"40-49",IF(HR_Employee_Attrition[[#This Row],[Age]]&gt;=30,"30-39",IF(HR_Employee_Attrition[[#This Row],[Age]]&gt;=20,"20-29",IF(HR_Employee_Attrition[[#This Row],[Age]]&gt;=18,"18-20"))))))</f>
        <v>30-39</v>
      </c>
      <c r="AK183" t="str" cm="1">
        <f t="array" ref="AK183">_xlfn.IFS(HR_Employee_Attrition[[#This Row],[YearsAtCompany]]&lt;=2,"0-2",HR_Employee_Attrition[[#This Row],[YearsAtCompany]]&lt;=5,"3-5",HR_Employee_Attrition[[#This Row],[YearsAtCompany]]&lt;=10,"6-10",HR_Employee_Attrition[[#This Row],[YearsAtCompany]]&gt;10,"10+")</f>
        <v>3-5</v>
      </c>
      <c r="AL183" t="str" cm="1">
        <f t="array" ref="AL18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83">
        <f>IF(HR_Employee_Attrition[[#This Row],[Attrition]]="Yes",1,0)</f>
        <v>0</v>
      </c>
    </row>
    <row r="184" spans="1:39"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IF(HR_Employee_Attrition[[#This Row],[Age]]&gt;60,"60+",IF(HR_Employee_Attrition[[#This Row],[Age]]&gt;=50,"50-59",IF(HR_Employee_Attrition[[#This Row],[Age]]&gt;=40,"40-49",IF(HR_Employee_Attrition[[#This Row],[Age]]&gt;=30,"30-39",IF(HR_Employee_Attrition[[#This Row],[Age]]&gt;=20,"20-29",IF(HR_Employee_Attrition[[#This Row],[Age]]&gt;=18,"18-20"))))))</f>
        <v>40-49</v>
      </c>
      <c r="AK184" t="str" cm="1">
        <f t="array" ref="AK184">_xlfn.IFS(HR_Employee_Attrition[[#This Row],[YearsAtCompany]]&lt;=2,"0-2",HR_Employee_Attrition[[#This Row],[YearsAtCompany]]&lt;=5,"3-5",HR_Employee_Attrition[[#This Row],[YearsAtCompany]]&lt;=10,"6-10",HR_Employee_Attrition[[#This Row],[YearsAtCompany]]&gt;10,"10+")</f>
        <v>3-5</v>
      </c>
      <c r="AL184" t="str" cm="1">
        <f t="array" ref="AL18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84">
        <f>IF(HR_Employee_Attrition[[#This Row],[Attrition]]="Yes",1,0)</f>
        <v>1</v>
      </c>
    </row>
    <row r="185" spans="1:39"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IF(HR_Employee_Attrition[[#This Row],[Age]]&gt;60,"60+",IF(HR_Employee_Attrition[[#This Row],[Age]]&gt;=50,"50-59",IF(HR_Employee_Attrition[[#This Row],[Age]]&gt;=40,"40-49",IF(HR_Employee_Attrition[[#This Row],[Age]]&gt;=30,"30-39",IF(HR_Employee_Attrition[[#This Row],[Age]]&gt;=20,"20-29",IF(HR_Employee_Attrition[[#This Row],[Age]]&gt;=18,"18-20"))))))</f>
        <v>50-59</v>
      </c>
      <c r="AK185" t="str" cm="1">
        <f t="array" ref="AK185">_xlfn.IFS(HR_Employee_Attrition[[#This Row],[YearsAtCompany]]&lt;=2,"0-2",HR_Employee_Attrition[[#This Row],[YearsAtCompany]]&lt;=5,"3-5",HR_Employee_Attrition[[#This Row],[YearsAtCompany]]&lt;=10,"6-10",HR_Employee_Attrition[[#This Row],[YearsAtCompany]]&gt;10,"10+")</f>
        <v>3-5</v>
      </c>
      <c r="AL185" t="str" cm="1">
        <f t="array" ref="AL18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85">
        <f>IF(HR_Employee_Attrition[[#This Row],[Attrition]]="Yes",1,0)</f>
        <v>0</v>
      </c>
    </row>
    <row r="186" spans="1:39"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IF(HR_Employee_Attrition[[#This Row],[Age]]&gt;60,"60+",IF(HR_Employee_Attrition[[#This Row],[Age]]&gt;=50,"50-59",IF(HR_Employee_Attrition[[#This Row],[Age]]&gt;=40,"40-49",IF(HR_Employee_Attrition[[#This Row],[Age]]&gt;=30,"30-39",IF(HR_Employee_Attrition[[#This Row],[Age]]&gt;=20,"20-29",IF(HR_Employee_Attrition[[#This Row],[Age]]&gt;=18,"18-20"))))))</f>
        <v>50-59</v>
      </c>
      <c r="AK186" t="str" cm="1">
        <f t="array" ref="AK186">_xlfn.IFS(HR_Employee_Attrition[[#This Row],[YearsAtCompany]]&lt;=2,"0-2",HR_Employee_Attrition[[#This Row],[YearsAtCompany]]&lt;=5,"3-5",HR_Employee_Attrition[[#This Row],[YearsAtCompany]]&lt;=10,"6-10",HR_Employee_Attrition[[#This Row],[YearsAtCompany]]&gt;10,"10+")</f>
        <v>3-5</v>
      </c>
      <c r="AL186" t="str" cm="1">
        <f t="array" ref="AL18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86">
        <f>IF(HR_Employee_Attrition[[#This Row],[Attrition]]="Yes",1,0)</f>
        <v>0</v>
      </c>
    </row>
    <row r="187" spans="1:39"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IF(HR_Employee_Attrition[[#This Row],[Age]]&gt;60,"60+",IF(HR_Employee_Attrition[[#This Row],[Age]]&gt;=50,"50-59",IF(HR_Employee_Attrition[[#This Row],[Age]]&gt;=40,"40-49",IF(HR_Employee_Attrition[[#This Row],[Age]]&gt;=30,"30-39",IF(HR_Employee_Attrition[[#This Row],[Age]]&gt;=20,"20-29",IF(HR_Employee_Attrition[[#This Row],[Age]]&gt;=18,"18-20"))))))</f>
        <v>30-39</v>
      </c>
      <c r="AK187" t="str" cm="1">
        <f t="array" ref="AK187">_xlfn.IFS(HR_Employee_Attrition[[#This Row],[YearsAtCompany]]&lt;=2,"0-2",HR_Employee_Attrition[[#This Row],[YearsAtCompany]]&lt;=5,"3-5",HR_Employee_Attrition[[#This Row],[YearsAtCompany]]&lt;=10,"6-10",HR_Employee_Attrition[[#This Row],[YearsAtCompany]]&gt;10,"10+")</f>
        <v>6-10</v>
      </c>
      <c r="AL187" t="str" cm="1">
        <f t="array" ref="AL18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87">
        <f>IF(HR_Employee_Attrition[[#This Row],[Attrition]]="Yes",1,0)</f>
        <v>0</v>
      </c>
    </row>
    <row r="188" spans="1:39"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IF(HR_Employee_Attrition[[#This Row],[Age]]&gt;60,"60+",IF(HR_Employee_Attrition[[#This Row],[Age]]&gt;=50,"50-59",IF(HR_Employee_Attrition[[#This Row],[Age]]&gt;=40,"40-49",IF(HR_Employee_Attrition[[#This Row],[Age]]&gt;=30,"30-39",IF(HR_Employee_Attrition[[#This Row],[Age]]&gt;=20,"20-29",IF(HR_Employee_Attrition[[#This Row],[Age]]&gt;=18,"18-20"))))))</f>
        <v>40-49</v>
      </c>
      <c r="AK188" t="str" cm="1">
        <f t="array" ref="AK188">_xlfn.IFS(HR_Employee_Attrition[[#This Row],[YearsAtCompany]]&lt;=2,"0-2",HR_Employee_Attrition[[#This Row],[YearsAtCompany]]&lt;=5,"3-5",HR_Employee_Attrition[[#This Row],[YearsAtCompany]]&lt;=10,"6-10",HR_Employee_Attrition[[#This Row],[YearsAtCompany]]&gt;10,"10+")</f>
        <v>10+</v>
      </c>
      <c r="AL188" t="str" cm="1">
        <f t="array" ref="AL18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88">
        <f>IF(HR_Employee_Attrition[[#This Row],[Attrition]]="Yes",1,0)</f>
        <v>0</v>
      </c>
    </row>
    <row r="189" spans="1:39"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IF(HR_Employee_Attrition[[#This Row],[Age]]&gt;60,"60+",IF(HR_Employee_Attrition[[#This Row],[Age]]&gt;=50,"50-59",IF(HR_Employee_Attrition[[#This Row],[Age]]&gt;=40,"40-49",IF(HR_Employee_Attrition[[#This Row],[Age]]&gt;=30,"30-39",IF(HR_Employee_Attrition[[#This Row],[Age]]&gt;=20,"20-29",IF(HR_Employee_Attrition[[#This Row],[Age]]&gt;=18,"18-20"))))))</f>
        <v>50-59</v>
      </c>
      <c r="AK189" t="str" cm="1">
        <f t="array" ref="AK189">_xlfn.IFS(HR_Employee_Attrition[[#This Row],[YearsAtCompany]]&lt;=2,"0-2",HR_Employee_Attrition[[#This Row],[YearsAtCompany]]&lt;=5,"3-5",HR_Employee_Attrition[[#This Row],[YearsAtCompany]]&lt;=10,"6-10",HR_Employee_Attrition[[#This Row],[YearsAtCompany]]&gt;10,"10+")</f>
        <v>10+</v>
      </c>
      <c r="AL189" t="str" cm="1">
        <f t="array" ref="AL18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89">
        <f>IF(HR_Employee_Attrition[[#This Row],[Attrition]]="Yes",1,0)</f>
        <v>0</v>
      </c>
    </row>
    <row r="190" spans="1:39"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IF(HR_Employee_Attrition[[#This Row],[Age]]&gt;60,"60+",IF(HR_Employee_Attrition[[#This Row],[Age]]&gt;=50,"50-59",IF(HR_Employee_Attrition[[#This Row],[Age]]&gt;=40,"40-49",IF(HR_Employee_Attrition[[#This Row],[Age]]&gt;=30,"30-39",IF(HR_Employee_Attrition[[#This Row],[Age]]&gt;=20,"20-29",IF(HR_Employee_Attrition[[#This Row],[Age]]&gt;=18,"18-20"))))))</f>
        <v>30-39</v>
      </c>
      <c r="AK190" t="str" cm="1">
        <f t="array" ref="AK190">_xlfn.IFS(HR_Employee_Attrition[[#This Row],[YearsAtCompany]]&lt;=2,"0-2",HR_Employee_Attrition[[#This Row],[YearsAtCompany]]&lt;=5,"3-5",HR_Employee_Attrition[[#This Row],[YearsAtCompany]]&lt;=10,"6-10",HR_Employee_Attrition[[#This Row],[YearsAtCompany]]&gt;10,"10+")</f>
        <v>6-10</v>
      </c>
      <c r="AL190" t="str" cm="1">
        <f t="array" ref="AL19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90">
        <f>IF(HR_Employee_Attrition[[#This Row],[Attrition]]="Yes",1,0)</f>
        <v>0</v>
      </c>
    </row>
    <row r="191" spans="1:39"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IF(HR_Employee_Attrition[[#This Row],[Age]]&gt;60,"60+",IF(HR_Employee_Attrition[[#This Row],[Age]]&gt;=50,"50-59",IF(HR_Employee_Attrition[[#This Row],[Age]]&gt;=40,"40-49",IF(HR_Employee_Attrition[[#This Row],[Age]]&gt;=30,"30-39",IF(HR_Employee_Attrition[[#This Row],[Age]]&gt;=20,"20-29",IF(HR_Employee_Attrition[[#This Row],[Age]]&gt;=18,"18-20"))))))</f>
        <v>50-59</v>
      </c>
      <c r="AK191" t="str" cm="1">
        <f t="array" ref="AK191">_xlfn.IFS(HR_Employee_Attrition[[#This Row],[YearsAtCompany]]&lt;=2,"0-2",HR_Employee_Attrition[[#This Row],[YearsAtCompany]]&lt;=5,"3-5",HR_Employee_Attrition[[#This Row],[YearsAtCompany]]&lt;=10,"6-10",HR_Employee_Attrition[[#This Row],[YearsAtCompany]]&gt;10,"10+")</f>
        <v>6-10</v>
      </c>
      <c r="AL191" t="str" cm="1">
        <f t="array" ref="AL19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91">
        <f>IF(HR_Employee_Attrition[[#This Row],[Attrition]]="Yes",1,0)</f>
        <v>0</v>
      </c>
    </row>
    <row r="192" spans="1:39"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IF(HR_Employee_Attrition[[#This Row],[Age]]&gt;60,"60+",IF(HR_Employee_Attrition[[#This Row],[Age]]&gt;=50,"50-59",IF(HR_Employee_Attrition[[#This Row],[Age]]&gt;=40,"40-49",IF(HR_Employee_Attrition[[#This Row],[Age]]&gt;=30,"30-39",IF(HR_Employee_Attrition[[#This Row],[Age]]&gt;=20,"20-29",IF(HR_Employee_Attrition[[#This Row],[Age]]&gt;=18,"18-20"))))))</f>
        <v>50-59</v>
      </c>
      <c r="AK192" t="str" cm="1">
        <f t="array" ref="AK192">_xlfn.IFS(HR_Employee_Attrition[[#This Row],[YearsAtCompany]]&lt;=2,"0-2",HR_Employee_Attrition[[#This Row],[YearsAtCompany]]&lt;=5,"3-5",HR_Employee_Attrition[[#This Row],[YearsAtCompany]]&lt;=10,"6-10",HR_Employee_Attrition[[#This Row],[YearsAtCompany]]&gt;10,"10+")</f>
        <v>10+</v>
      </c>
      <c r="AL192" t="str" cm="1">
        <f t="array" ref="AL19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92">
        <f>IF(HR_Employee_Attrition[[#This Row],[Attrition]]="Yes",1,0)</f>
        <v>0</v>
      </c>
    </row>
    <row r="193" spans="1:39"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IF(HR_Employee_Attrition[[#This Row],[Age]]&gt;60,"60+",IF(HR_Employee_Attrition[[#This Row],[Age]]&gt;=50,"50-59",IF(HR_Employee_Attrition[[#This Row],[Age]]&gt;=40,"40-49",IF(HR_Employee_Attrition[[#This Row],[Age]]&gt;=30,"30-39",IF(HR_Employee_Attrition[[#This Row],[Age]]&gt;=20,"20-29",IF(HR_Employee_Attrition[[#This Row],[Age]]&gt;=18,"18-20"))))))</f>
        <v>20-29</v>
      </c>
      <c r="AK193" t="str" cm="1">
        <f t="array" ref="AK193">_xlfn.IFS(HR_Employee_Attrition[[#This Row],[YearsAtCompany]]&lt;=2,"0-2",HR_Employee_Attrition[[#This Row],[YearsAtCompany]]&lt;=5,"3-5",HR_Employee_Attrition[[#This Row],[YearsAtCompany]]&lt;=10,"6-10",HR_Employee_Attrition[[#This Row],[YearsAtCompany]]&gt;10,"10+")</f>
        <v>6-10</v>
      </c>
      <c r="AL193" t="str" cm="1">
        <f t="array" ref="AL19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93">
        <f>IF(HR_Employee_Attrition[[#This Row],[Attrition]]="Yes",1,0)</f>
        <v>0</v>
      </c>
    </row>
    <row r="194" spans="1:39"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IF(HR_Employee_Attrition[[#This Row],[Age]]&gt;60,"60+",IF(HR_Employee_Attrition[[#This Row],[Age]]&gt;=50,"50-59",IF(HR_Employee_Attrition[[#This Row],[Age]]&gt;=40,"40-49",IF(HR_Employee_Attrition[[#This Row],[Age]]&gt;=30,"30-39",IF(HR_Employee_Attrition[[#This Row],[Age]]&gt;=20,"20-29",IF(HR_Employee_Attrition[[#This Row],[Age]]&gt;=18,"18-20"))))))</f>
        <v>30-39</v>
      </c>
      <c r="AK194" t="str" cm="1">
        <f t="array" ref="AK194">_xlfn.IFS(HR_Employee_Attrition[[#This Row],[YearsAtCompany]]&lt;=2,"0-2",HR_Employee_Attrition[[#This Row],[YearsAtCompany]]&lt;=5,"3-5",HR_Employee_Attrition[[#This Row],[YearsAtCompany]]&lt;=10,"6-10",HR_Employee_Attrition[[#This Row],[YearsAtCompany]]&gt;10,"10+")</f>
        <v>0-2</v>
      </c>
      <c r="AL194" t="str" cm="1">
        <f t="array" ref="AL19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94">
        <f>IF(HR_Employee_Attrition[[#This Row],[Attrition]]="Yes",1,0)</f>
        <v>1</v>
      </c>
    </row>
    <row r="195" spans="1:39"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IF(HR_Employee_Attrition[[#This Row],[Age]]&gt;60,"60+",IF(HR_Employee_Attrition[[#This Row],[Age]]&gt;=50,"50-59",IF(HR_Employee_Attrition[[#This Row],[Age]]&gt;=40,"40-49",IF(HR_Employee_Attrition[[#This Row],[Age]]&gt;=30,"30-39",IF(HR_Employee_Attrition[[#This Row],[Age]]&gt;=20,"20-29",IF(HR_Employee_Attrition[[#This Row],[Age]]&gt;=18,"18-20"))))))</f>
        <v>40-49</v>
      </c>
      <c r="AK195" t="str" cm="1">
        <f t="array" ref="AK195">_xlfn.IFS(HR_Employee_Attrition[[#This Row],[YearsAtCompany]]&lt;=2,"0-2",HR_Employee_Attrition[[#This Row],[YearsAtCompany]]&lt;=5,"3-5",HR_Employee_Attrition[[#This Row],[YearsAtCompany]]&lt;=10,"6-10",HR_Employee_Attrition[[#This Row],[YearsAtCompany]]&gt;10,"10+")</f>
        <v>3-5</v>
      </c>
      <c r="AL195" t="str" cm="1">
        <f t="array" ref="AL19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95">
        <f>IF(HR_Employee_Attrition[[#This Row],[Attrition]]="Yes",1,0)</f>
        <v>0</v>
      </c>
    </row>
    <row r="196" spans="1:39"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IF(HR_Employee_Attrition[[#This Row],[Age]]&gt;60,"60+",IF(HR_Employee_Attrition[[#This Row],[Age]]&gt;=50,"50-59",IF(HR_Employee_Attrition[[#This Row],[Age]]&gt;=40,"40-49",IF(HR_Employee_Attrition[[#This Row],[Age]]&gt;=30,"30-39",IF(HR_Employee_Attrition[[#This Row],[Age]]&gt;=20,"20-29",IF(HR_Employee_Attrition[[#This Row],[Age]]&gt;=18,"18-20"))))))</f>
        <v>40-49</v>
      </c>
      <c r="AK196" t="str" cm="1">
        <f t="array" ref="AK196">_xlfn.IFS(HR_Employee_Attrition[[#This Row],[YearsAtCompany]]&lt;=2,"0-2",HR_Employee_Attrition[[#This Row],[YearsAtCompany]]&lt;=5,"3-5",HR_Employee_Attrition[[#This Row],[YearsAtCompany]]&lt;=10,"6-10",HR_Employee_Attrition[[#This Row],[YearsAtCompany]]&gt;10,"10+")</f>
        <v>10+</v>
      </c>
      <c r="AL196" t="str" cm="1">
        <f t="array" ref="AL19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96">
        <f>IF(HR_Employee_Attrition[[#This Row],[Attrition]]="Yes",1,0)</f>
        <v>0</v>
      </c>
    </row>
    <row r="197" spans="1:39"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IF(HR_Employee_Attrition[[#This Row],[Age]]&gt;60,"60+",IF(HR_Employee_Attrition[[#This Row],[Age]]&gt;=50,"50-59",IF(HR_Employee_Attrition[[#This Row],[Age]]&gt;=40,"40-49",IF(HR_Employee_Attrition[[#This Row],[Age]]&gt;=30,"30-39",IF(HR_Employee_Attrition[[#This Row],[Age]]&gt;=20,"20-29",IF(HR_Employee_Attrition[[#This Row],[Age]]&gt;=18,"18-20"))))))</f>
        <v>30-39</v>
      </c>
      <c r="AK197" t="str" cm="1">
        <f t="array" ref="AK197">_xlfn.IFS(HR_Employee_Attrition[[#This Row],[YearsAtCompany]]&lt;=2,"0-2",HR_Employee_Attrition[[#This Row],[YearsAtCompany]]&lt;=5,"3-5",HR_Employee_Attrition[[#This Row],[YearsAtCompany]]&lt;=10,"6-10",HR_Employee_Attrition[[#This Row],[YearsAtCompany]]&gt;10,"10+")</f>
        <v>6-10</v>
      </c>
      <c r="AL197" t="str" cm="1">
        <f t="array" ref="AL19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97">
        <f>IF(HR_Employee_Attrition[[#This Row],[Attrition]]="Yes",1,0)</f>
        <v>0</v>
      </c>
    </row>
    <row r="198" spans="1:39"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IF(HR_Employee_Attrition[[#This Row],[Age]]&gt;60,"60+",IF(HR_Employee_Attrition[[#This Row],[Age]]&gt;=50,"50-59",IF(HR_Employee_Attrition[[#This Row],[Age]]&gt;=40,"40-49",IF(HR_Employee_Attrition[[#This Row],[Age]]&gt;=30,"30-39",IF(HR_Employee_Attrition[[#This Row],[Age]]&gt;=20,"20-29",IF(HR_Employee_Attrition[[#This Row],[Age]]&gt;=18,"18-20"))))))</f>
        <v>30-39</v>
      </c>
      <c r="AK198" t="str" cm="1">
        <f t="array" ref="AK198">_xlfn.IFS(HR_Employee_Attrition[[#This Row],[YearsAtCompany]]&lt;=2,"0-2",HR_Employee_Attrition[[#This Row],[YearsAtCompany]]&lt;=5,"3-5",HR_Employee_Attrition[[#This Row],[YearsAtCompany]]&lt;=10,"6-10",HR_Employee_Attrition[[#This Row],[YearsAtCompany]]&gt;10,"10+")</f>
        <v>6-10</v>
      </c>
      <c r="AL198" t="str" cm="1">
        <f t="array" ref="AL19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98">
        <f>IF(HR_Employee_Attrition[[#This Row],[Attrition]]="Yes",1,0)</f>
        <v>0</v>
      </c>
    </row>
    <row r="199" spans="1:39"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IF(HR_Employee_Attrition[[#This Row],[Age]]&gt;60,"60+",IF(HR_Employee_Attrition[[#This Row],[Age]]&gt;=50,"50-59",IF(HR_Employee_Attrition[[#This Row],[Age]]&gt;=40,"40-49",IF(HR_Employee_Attrition[[#This Row],[Age]]&gt;=30,"30-39",IF(HR_Employee_Attrition[[#This Row],[Age]]&gt;=20,"20-29",IF(HR_Employee_Attrition[[#This Row],[Age]]&gt;=18,"18-20"))))))</f>
        <v>40-49</v>
      </c>
      <c r="AK199" t="str" cm="1">
        <f t="array" ref="AK199">_xlfn.IFS(HR_Employee_Attrition[[#This Row],[YearsAtCompany]]&lt;=2,"0-2",HR_Employee_Attrition[[#This Row],[YearsAtCompany]]&lt;=5,"3-5",HR_Employee_Attrition[[#This Row],[YearsAtCompany]]&lt;=10,"6-10",HR_Employee_Attrition[[#This Row],[YearsAtCompany]]&gt;10,"10+")</f>
        <v>3-5</v>
      </c>
      <c r="AL199" t="str" cm="1">
        <f t="array" ref="AL19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99">
        <f>IF(HR_Employee_Attrition[[#This Row],[Attrition]]="Yes",1,0)</f>
        <v>0</v>
      </c>
    </row>
    <row r="200" spans="1:39"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IF(HR_Employee_Attrition[[#This Row],[Age]]&gt;60,"60+",IF(HR_Employee_Attrition[[#This Row],[Age]]&gt;=50,"50-59",IF(HR_Employee_Attrition[[#This Row],[Age]]&gt;=40,"40-49",IF(HR_Employee_Attrition[[#This Row],[Age]]&gt;=30,"30-39",IF(HR_Employee_Attrition[[#This Row],[Age]]&gt;=20,"20-29",IF(HR_Employee_Attrition[[#This Row],[Age]]&gt;=18,"18-20"))))))</f>
        <v>30-39</v>
      </c>
      <c r="AK200" t="str" cm="1">
        <f t="array" ref="AK200">_xlfn.IFS(HR_Employee_Attrition[[#This Row],[YearsAtCompany]]&lt;=2,"0-2",HR_Employee_Attrition[[#This Row],[YearsAtCompany]]&lt;=5,"3-5",HR_Employee_Attrition[[#This Row],[YearsAtCompany]]&lt;=10,"6-10",HR_Employee_Attrition[[#This Row],[YearsAtCompany]]&gt;10,"10+")</f>
        <v>0-2</v>
      </c>
      <c r="AL200" t="str" cm="1">
        <f t="array" ref="AL20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00">
        <f>IF(HR_Employee_Attrition[[#This Row],[Attrition]]="Yes",1,0)</f>
        <v>0</v>
      </c>
    </row>
    <row r="201" spans="1:39"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IF(HR_Employee_Attrition[[#This Row],[Age]]&gt;60,"60+",IF(HR_Employee_Attrition[[#This Row],[Age]]&gt;=50,"50-59",IF(HR_Employee_Attrition[[#This Row],[Age]]&gt;=40,"40-49",IF(HR_Employee_Attrition[[#This Row],[Age]]&gt;=30,"30-39",IF(HR_Employee_Attrition[[#This Row],[Age]]&gt;=20,"20-29",IF(HR_Employee_Attrition[[#This Row],[Age]]&gt;=18,"18-20"))))))</f>
        <v>30-39</v>
      </c>
      <c r="AK201" t="str" cm="1">
        <f t="array" ref="AK201">_xlfn.IFS(HR_Employee_Attrition[[#This Row],[YearsAtCompany]]&lt;=2,"0-2",HR_Employee_Attrition[[#This Row],[YearsAtCompany]]&lt;=5,"3-5",HR_Employee_Attrition[[#This Row],[YearsAtCompany]]&lt;=10,"6-10",HR_Employee_Attrition[[#This Row],[YearsAtCompany]]&gt;10,"10+")</f>
        <v>6-10</v>
      </c>
      <c r="AL201" t="str" cm="1">
        <f t="array" ref="AL20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01">
        <f>IF(HR_Employee_Attrition[[#This Row],[Attrition]]="Yes",1,0)</f>
        <v>0</v>
      </c>
    </row>
    <row r="202" spans="1:39"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IF(HR_Employee_Attrition[[#This Row],[Age]]&gt;60,"60+",IF(HR_Employee_Attrition[[#This Row],[Age]]&gt;=50,"50-59",IF(HR_Employee_Attrition[[#This Row],[Age]]&gt;=40,"40-49",IF(HR_Employee_Attrition[[#This Row],[Age]]&gt;=30,"30-39",IF(HR_Employee_Attrition[[#This Row],[Age]]&gt;=20,"20-29",IF(HR_Employee_Attrition[[#This Row],[Age]]&gt;=18,"18-20"))))))</f>
        <v>20-29</v>
      </c>
      <c r="AK202" t="str" cm="1">
        <f t="array" ref="AK202">_xlfn.IFS(HR_Employee_Attrition[[#This Row],[YearsAtCompany]]&lt;=2,"0-2",HR_Employee_Attrition[[#This Row],[YearsAtCompany]]&lt;=5,"3-5",HR_Employee_Attrition[[#This Row],[YearsAtCompany]]&lt;=10,"6-10",HR_Employee_Attrition[[#This Row],[YearsAtCompany]]&gt;10,"10+")</f>
        <v>0-2</v>
      </c>
      <c r="AL202" t="str" cm="1">
        <f t="array" ref="AL20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02">
        <f>IF(HR_Employee_Attrition[[#This Row],[Attrition]]="Yes",1,0)</f>
        <v>0</v>
      </c>
    </row>
    <row r="203" spans="1:39"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IF(HR_Employee_Attrition[[#This Row],[Age]]&gt;60,"60+",IF(HR_Employee_Attrition[[#This Row],[Age]]&gt;=50,"50-59",IF(HR_Employee_Attrition[[#This Row],[Age]]&gt;=40,"40-49",IF(HR_Employee_Attrition[[#This Row],[Age]]&gt;=30,"30-39",IF(HR_Employee_Attrition[[#This Row],[Age]]&gt;=20,"20-29",IF(HR_Employee_Attrition[[#This Row],[Age]]&gt;=18,"18-20"))))))</f>
        <v>40-49</v>
      </c>
      <c r="AK203" t="str" cm="1">
        <f t="array" ref="AK203">_xlfn.IFS(HR_Employee_Attrition[[#This Row],[YearsAtCompany]]&lt;=2,"0-2",HR_Employee_Attrition[[#This Row],[YearsAtCompany]]&lt;=5,"3-5",HR_Employee_Attrition[[#This Row],[YearsAtCompany]]&lt;=10,"6-10",HR_Employee_Attrition[[#This Row],[YearsAtCompany]]&gt;10,"10+")</f>
        <v>6-10</v>
      </c>
      <c r="AL203" t="str" cm="1">
        <f t="array" ref="AL20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03">
        <f>IF(HR_Employee_Attrition[[#This Row],[Attrition]]="Yes",1,0)</f>
        <v>0</v>
      </c>
    </row>
    <row r="204" spans="1:39"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IF(HR_Employee_Attrition[[#This Row],[Age]]&gt;60,"60+",IF(HR_Employee_Attrition[[#This Row],[Age]]&gt;=50,"50-59",IF(HR_Employee_Attrition[[#This Row],[Age]]&gt;=40,"40-49",IF(HR_Employee_Attrition[[#This Row],[Age]]&gt;=30,"30-39",IF(HR_Employee_Attrition[[#This Row],[Age]]&gt;=20,"20-29",IF(HR_Employee_Attrition[[#This Row],[Age]]&gt;=18,"18-20"))))))</f>
        <v>30-39</v>
      </c>
      <c r="AK204" t="str" cm="1">
        <f t="array" ref="AK204">_xlfn.IFS(HR_Employee_Attrition[[#This Row],[YearsAtCompany]]&lt;=2,"0-2",HR_Employee_Attrition[[#This Row],[YearsAtCompany]]&lt;=5,"3-5",HR_Employee_Attrition[[#This Row],[YearsAtCompany]]&lt;=10,"6-10",HR_Employee_Attrition[[#This Row],[YearsAtCompany]]&gt;10,"10+")</f>
        <v>3-5</v>
      </c>
      <c r="AL204" t="str" cm="1">
        <f t="array" ref="AL20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04">
        <f>IF(HR_Employee_Attrition[[#This Row],[Attrition]]="Yes",1,0)</f>
        <v>0</v>
      </c>
    </row>
    <row r="205" spans="1:39"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IF(HR_Employee_Attrition[[#This Row],[Age]]&gt;60,"60+",IF(HR_Employee_Attrition[[#This Row],[Age]]&gt;=50,"50-59",IF(HR_Employee_Attrition[[#This Row],[Age]]&gt;=40,"40-49",IF(HR_Employee_Attrition[[#This Row],[Age]]&gt;=30,"30-39",IF(HR_Employee_Attrition[[#This Row],[Age]]&gt;=20,"20-29",IF(HR_Employee_Attrition[[#This Row],[Age]]&gt;=18,"18-20"))))))</f>
        <v>40-49</v>
      </c>
      <c r="AK205" t="str" cm="1">
        <f t="array" ref="AK205">_xlfn.IFS(HR_Employee_Attrition[[#This Row],[YearsAtCompany]]&lt;=2,"0-2",HR_Employee_Attrition[[#This Row],[YearsAtCompany]]&lt;=5,"3-5",HR_Employee_Attrition[[#This Row],[YearsAtCompany]]&lt;=10,"6-10",HR_Employee_Attrition[[#This Row],[YearsAtCompany]]&gt;10,"10+")</f>
        <v>6-10</v>
      </c>
      <c r="AL205" t="str" cm="1">
        <f t="array" ref="AL20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05">
        <f>IF(HR_Employee_Attrition[[#This Row],[Attrition]]="Yes",1,0)</f>
        <v>0</v>
      </c>
    </row>
    <row r="206" spans="1:39"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IF(HR_Employee_Attrition[[#This Row],[Age]]&gt;60,"60+",IF(HR_Employee_Attrition[[#This Row],[Age]]&gt;=50,"50-59",IF(HR_Employee_Attrition[[#This Row],[Age]]&gt;=40,"40-49",IF(HR_Employee_Attrition[[#This Row],[Age]]&gt;=30,"30-39",IF(HR_Employee_Attrition[[#This Row],[Age]]&gt;=20,"20-29",IF(HR_Employee_Attrition[[#This Row],[Age]]&gt;=18,"18-20"))))))</f>
        <v>30-39</v>
      </c>
      <c r="AK206" t="str" cm="1">
        <f t="array" ref="AK206">_xlfn.IFS(HR_Employee_Attrition[[#This Row],[YearsAtCompany]]&lt;=2,"0-2",HR_Employee_Attrition[[#This Row],[YearsAtCompany]]&lt;=5,"3-5",HR_Employee_Attrition[[#This Row],[YearsAtCompany]]&lt;=10,"6-10",HR_Employee_Attrition[[#This Row],[YearsAtCompany]]&gt;10,"10+")</f>
        <v>0-2</v>
      </c>
      <c r="AL206" t="str" cm="1">
        <f t="array" ref="AL20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06">
        <f>IF(HR_Employee_Attrition[[#This Row],[Attrition]]="Yes",1,0)</f>
        <v>1</v>
      </c>
    </row>
    <row r="207" spans="1:39"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IF(HR_Employee_Attrition[[#This Row],[Age]]&gt;60,"60+",IF(HR_Employee_Attrition[[#This Row],[Age]]&gt;=50,"50-59",IF(HR_Employee_Attrition[[#This Row],[Age]]&gt;=40,"40-49",IF(HR_Employee_Attrition[[#This Row],[Age]]&gt;=30,"30-39",IF(HR_Employee_Attrition[[#This Row],[Age]]&gt;=20,"20-29",IF(HR_Employee_Attrition[[#This Row],[Age]]&gt;=18,"18-20"))))))</f>
        <v>20-29</v>
      </c>
      <c r="AK207" t="str" cm="1">
        <f t="array" ref="AK207">_xlfn.IFS(HR_Employee_Attrition[[#This Row],[YearsAtCompany]]&lt;=2,"0-2",HR_Employee_Attrition[[#This Row],[YearsAtCompany]]&lt;=5,"3-5",HR_Employee_Attrition[[#This Row],[YearsAtCompany]]&lt;=10,"6-10",HR_Employee_Attrition[[#This Row],[YearsAtCompany]]&gt;10,"10+")</f>
        <v>6-10</v>
      </c>
      <c r="AL207" t="str" cm="1">
        <f t="array" ref="AL20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07">
        <f>IF(HR_Employee_Attrition[[#This Row],[Attrition]]="Yes",1,0)</f>
        <v>1</v>
      </c>
    </row>
    <row r="208" spans="1:39"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IF(HR_Employee_Attrition[[#This Row],[Age]]&gt;60,"60+",IF(HR_Employee_Attrition[[#This Row],[Age]]&gt;=50,"50-59",IF(HR_Employee_Attrition[[#This Row],[Age]]&gt;=40,"40-49",IF(HR_Employee_Attrition[[#This Row],[Age]]&gt;=30,"30-39",IF(HR_Employee_Attrition[[#This Row],[Age]]&gt;=20,"20-29",IF(HR_Employee_Attrition[[#This Row],[Age]]&gt;=18,"18-20"))))))</f>
        <v>20-29</v>
      </c>
      <c r="AK208" t="str" cm="1">
        <f t="array" ref="AK208">_xlfn.IFS(HR_Employee_Attrition[[#This Row],[YearsAtCompany]]&lt;=2,"0-2",HR_Employee_Attrition[[#This Row],[YearsAtCompany]]&lt;=5,"3-5",HR_Employee_Attrition[[#This Row],[YearsAtCompany]]&lt;=10,"6-10",HR_Employee_Attrition[[#This Row],[YearsAtCompany]]&gt;10,"10+")</f>
        <v>3-5</v>
      </c>
      <c r="AL208" t="str" cm="1">
        <f t="array" ref="AL20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08">
        <f>IF(HR_Employee_Attrition[[#This Row],[Attrition]]="Yes",1,0)</f>
        <v>0</v>
      </c>
    </row>
    <row r="209" spans="1:39"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IF(HR_Employee_Attrition[[#This Row],[Age]]&gt;60,"60+",IF(HR_Employee_Attrition[[#This Row],[Age]]&gt;=50,"50-59",IF(HR_Employee_Attrition[[#This Row],[Age]]&gt;=40,"40-49",IF(HR_Employee_Attrition[[#This Row],[Age]]&gt;=30,"30-39",IF(HR_Employee_Attrition[[#This Row],[Age]]&gt;=20,"20-29",IF(HR_Employee_Attrition[[#This Row],[Age]]&gt;=18,"18-20"))))))</f>
        <v>30-39</v>
      </c>
      <c r="AK209" t="str" cm="1">
        <f t="array" ref="AK209">_xlfn.IFS(HR_Employee_Attrition[[#This Row],[YearsAtCompany]]&lt;=2,"0-2",HR_Employee_Attrition[[#This Row],[YearsAtCompany]]&lt;=5,"3-5",HR_Employee_Attrition[[#This Row],[YearsAtCompany]]&lt;=10,"6-10",HR_Employee_Attrition[[#This Row],[YearsAtCompany]]&gt;10,"10+")</f>
        <v>6-10</v>
      </c>
      <c r="AL209" t="str" cm="1">
        <f t="array" ref="AL20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09">
        <f>IF(HR_Employee_Attrition[[#This Row],[Attrition]]="Yes",1,0)</f>
        <v>0</v>
      </c>
    </row>
    <row r="210" spans="1:39"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IF(HR_Employee_Attrition[[#This Row],[Age]]&gt;60,"60+",IF(HR_Employee_Attrition[[#This Row],[Age]]&gt;=50,"50-59",IF(HR_Employee_Attrition[[#This Row],[Age]]&gt;=40,"40-49",IF(HR_Employee_Attrition[[#This Row],[Age]]&gt;=30,"30-39",IF(HR_Employee_Attrition[[#This Row],[Age]]&gt;=20,"20-29",IF(HR_Employee_Attrition[[#This Row],[Age]]&gt;=18,"18-20"))))))</f>
        <v>40-49</v>
      </c>
      <c r="AK210" t="str" cm="1">
        <f t="array" ref="AK210">_xlfn.IFS(HR_Employee_Attrition[[#This Row],[YearsAtCompany]]&lt;=2,"0-2",HR_Employee_Attrition[[#This Row],[YearsAtCompany]]&lt;=5,"3-5",HR_Employee_Attrition[[#This Row],[YearsAtCompany]]&lt;=10,"6-10",HR_Employee_Attrition[[#This Row],[YearsAtCompany]]&gt;10,"10+")</f>
        <v>3-5</v>
      </c>
      <c r="AL210" t="str" cm="1">
        <f t="array" ref="AL2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10">
        <f>IF(HR_Employee_Attrition[[#This Row],[Attrition]]="Yes",1,0)</f>
        <v>0</v>
      </c>
    </row>
    <row r="211" spans="1:39"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IF(HR_Employee_Attrition[[#This Row],[Age]]&gt;60,"60+",IF(HR_Employee_Attrition[[#This Row],[Age]]&gt;=50,"50-59",IF(HR_Employee_Attrition[[#This Row],[Age]]&gt;=40,"40-49",IF(HR_Employee_Attrition[[#This Row],[Age]]&gt;=30,"30-39",IF(HR_Employee_Attrition[[#This Row],[Age]]&gt;=20,"20-29",IF(HR_Employee_Attrition[[#This Row],[Age]]&gt;=18,"18-20"))))))</f>
        <v>40-49</v>
      </c>
      <c r="AK211" t="str" cm="1">
        <f t="array" ref="AK211">_xlfn.IFS(HR_Employee_Attrition[[#This Row],[YearsAtCompany]]&lt;=2,"0-2",HR_Employee_Attrition[[#This Row],[YearsAtCompany]]&lt;=5,"3-5",HR_Employee_Attrition[[#This Row],[YearsAtCompany]]&lt;=10,"6-10",HR_Employee_Attrition[[#This Row],[YearsAtCompany]]&gt;10,"10+")</f>
        <v>3-5</v>
      </c>
      <c r="AL211" t="str" cm="1">
        <f t="array" ref="AL2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11">
        <f>IF(HR_Employee_Attrition[[#This Row],[Attrition]]="Yes",1,0)</f>
        <v>0</v>
      </c>
    </row>
    <row r="212" spans="1:39"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IF(HR_Employee_Attrition[[#This Row],[Age]]&gt;60,"60+",IF(HR_Employee_Attrition[[#This Row],[Age]]&gt;=50,"50-59",IF(HR_Employee_Attrition[[#This Row],[Age]]&gt;=40,"40-49",IF(HR_Employee_Attrition[[#This Row],[Age]]&gt;=30,"30-39",IF(HR_Employee_Attrition[[#This Row],[Age]]&gt;=20,"20-29",IF(HR_Employee_Attrition[[#This Row],[Age]]&gt;=18,"18-20"))))))</f>
        <v>30-39</v>
      </c>
      <c r="AK212" t="str" cm="1">
        <f t="array" ref="AK212">_xlfn.IFS(HR_Employee_Attrition[[#This Row],[YearsAtCompany]]&lt;=2,"0-2",HR_Employee_Attrition[[#This Row],[YearsAtCompany]]&lt;=5,"3-5",HR_Employee_Attrition[[#This Row],[YearsAtCompany]]&lt;=10,"6-10",HR_Employee_Attrition[[#This Row],[YearsAtCompany]]&gt;10,"10+")</f>
        <v>10+</v>
      </c>
      <c r="AL212" t="str" cm="1">
        <f t="array" ref="AL2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212">
        <f>IF(HR_Employee_Attrition[[#This Row],[Attrition]]="Yes",1,0)</f>
        <v>1</v>
      </c>
    </row>
    <row r="213" spans="1:39"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IF(HR_Employee_Attrition[[#This Row],[Age]]&gt;60,"60+",IF(HR_Employee_Attrition[[#This Row],[Age]]&gt;=50,"50-59",IF(HR_Employee_Attrition[[#This Row],[Age]]&gt;=40,"40-49",IF(HR_Employee_Attrition[[#This Row],[Age]]&gt;=30,"30-39",IF(HR_Employee_Attrition[[#This Row],[Age]]&gt;=20,"20-29",IF(HR_Employee_Attrition[[#This Row],[Age]]&gt;=18,"18-20"))))))</f>
        <v>30-39</v>
      </c>
      <c r="AK213" t="str" cm="1">
        <f t="array" ref="AK213">_xlfn.IFS(HR_Employee_Attrition[[#This Row],[YearsAtCompany]]&lt;=2,"0-2",HR_Employee_Attrition[[#This Row],[YearsAtCompany]]&lt;=5,"3-5",HR_Employee_Attrition[[#This Row],[YearsAtCompany]]&lt;=10,"6-10",HR_Employee_Attrition[[#This Row],[YearsAtCompany]]&gt;10,"10+")</f>
        <v>10+</v>
      </c>
      <c r="AL213" t="str" cm="1">
        <f t="array" ref="AL2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13">
        <f>IF(HR_Employee_Attrition[[#This Row],[Attrition]]="Yes",1,0)</f>
        <v>0</v>
      </c>
    </row>
    <row r="214" spans="1:39"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IF(HR_Employee_Attrition[[#This Row],[Age]]&gt;60,"60+",IF(HR_Employee_Attrition[[#This Row],[Age]]&gt;=50,"50-59",IF(HR_Employee_Attrition[[#This Row],[Age]]&gt;=40,"40-49",IF(HR_Employee_Attrition[[#This Row],[Age]]&gt;=30,"30-39",IF(HR_Employee_Attrition[[#This Row],[Age]]&gt;=20,"20-29",IF(HR_Employee_Attrition[[#This Row],[Age]]&gt;=18,"18-20"))))))</f>
        <v>20-29</v>
      </c>
      <c r="AK214" t="str" cm="1">
        <f t="array" ref="AK214">_xlfn.IFS(HR_Employee_Attrition[[#This Row],[YearsAtCompany]]&lt;=2,"0-2",HR_Employee_Attrition[[#This Row],[YearsAtCompany]]&lt;=5,"3-5",HR_Employee_Attrition[[#This Row],[YearsAtCompany]]&lt;=10,"6-10",HR_Employee_Attrition[[#This Row],[YearsAtCompany]]&gt;10,"10+")</f>
        <v>6-10</v>
      </c>
      <c r="AL214" t="str" cm="1">
        <f t="array" ref="AL2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14">
        <f>IF(HR_Employee_Attrition[[#This Row],[Attrition]]="Yes",1,0)</f>
        <v>0</v>
      </c>
    </row>
    <row r="215" spans="1:39"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IF(HR_Employee_Attrition[[#This Row],[Age]]&gt;60,"60+",IF(HR_Employee_Attrition[[#This Row],[Age]]&gt;=50,"50-59",IF(HR_Employee_Attrition[[#This Row],[Age]]&gt;=40,"40-49",IF(HR_Employee_Attrition[[#This Row],[Age]]&gt;=30,"30-39",IF(HR_Employee_Attrition[[#This Row],[Age]]&gt;=20,"20-29",IF(HR_Employee_Attrition[[#This Row],[Age]]&gt;=18,"18-20"))))))</f>
        <v>50-59</v>
      </c>
      <c r="AK215" t="str" cm="1">
        <f t="array" ref="AK215">_xlfn.IFS(HR_Employee_Attrition[[#This Row],[YearsAtCompany]]&lt;=2,"0-2",HR_Employee_Attrition[[#This Row],[YearsAtCompany]]&lt;=5,"3-5",HR_Employee_Attrition[[#This Row],[YearsAtCompany]]&lt;=10,"6-10",HR_Employee_Attrition[[#This Row],[YearsAtCompany]]&gt;10,"10+")</f>
        <v>6-10</v>
      </c>
      <c r="AL215" t="str" cm="1">
        <f t="array" ref="AL2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215">
        <f>IF(HR_Employee_Attrition[[#This Row],[Attrition]]="Yes",1,0)</f>
        <v>0</v>
      </c>
    </row>
    <row r="216" spans="1:39"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IF(HR_Employee_Attrition[[#This Row],[Age]]&gt;60,"60+",IF(HR_Employee_Attrition[[#This Row],[Age]]&gt;=50,"50-59",IF(HR_Employee_Attrition[[#This Row],[Age]]&gt;=40,"40-49",IF(HR_Employee_Attrition[[#This Row],[Age]]&gt;=30,"30-39",IF(HR_Employee_Attrition[[#This Row],[Age]]&gt;=20,"20-29",IF(HR_Employee_Attrition[[#This Row],[Age]]&gt;=18,"18-20"))))))</f>
        <v>30-39</v>
      </c>
      <c r="AK216" t="str" cm="1">
        <f t="array" ref="AK216">_xlfn.IFS(HR_Employee_Attrition[[#This Row],[YearsAtCompany]]&lt;=2,"0-2",HR_Employee_Attrition[[#This Row],[YearsAtCompany]]&lt;=5,"3-5",HR_Employee_Attrition[[#This Row],[YearsAtCompany]]&lt;=10,"6-10",HR_Employee_Attrition[[#This Row],[YearsAtCompany]]&gt;10,"10+")</f>
        <v>3-5</v>
      </c>
      <c r="AL216" t="str" cm="1">
        <f t="array" ref="AL2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16">
        <f>IF(HR_Employee_Attrition[[#This Row],[Attrition]]="Yes",1,0)</f>
        <v>1</v>
      </c>
    </row>
    <row r="217" spans="1:39"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IF(HR_Employee_Attrition[[#This Row],[Age]]&gt;60,"60+",IF(HR_Employee_Attrition[[#This Row],[Age]]&gt;=50,"50-59",IF(HR_Employee_Attrition[[#This Row],[Age]]&gt;=40,"40-49",IF(HR_Employee_Attrition[[#This Row],[Age]]&gt;=30,"30-39",IF(HR_Employee_Attrition[[#This Row],[Age]]&gt;=20,"20-29",IF(HR_Employee_Attrition[[#This Row],[Age]]&gt;=18,"18-20"))))))</f>
        <v>40-49</v>
      </c>
      <c r="AK217" t="str" cm="1">
        <f t="array" ref="AK217">_xlfn.IFS(HR_Employee_Attrition[[#This Row],[YearsAtCompany]]&lt;=2,"0-2",HR_Employee_Attrition[[#This Row],[YearsAtCompany]]&lt;=5,"3-5",HR_Employee_Attrition[[#This Row],[YearsAtCompany]]&lt;=10,"6-10",HR_Employee_Attrition[[#This Row],[YearsAtCompany]]&gt;10,"10+")</f>
        <v>0-2</v>
      </c>
      <c r="AL217" t="str" cm="1">
        <f t="array" ref="AL2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217">
        <f>IF(HR_Employee_Attrition[[#This Row],[Attrition]]="Yes",1,0)</f>
        <v>0</v>
      </c>
    </row>
    <row r="218" spans="1:39"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IF(HR_Employee_Attrition[[#This Row],[Age]]&gt;60,"60+",IF(HR_Employee_Attrition[[#This Row],[Age]]&gt;=50,"50-59",IF(HR_Employee_Attrition[[#This Row],[Age]]&gt;=40,"40-49",IF(HR_Employee_Attrition[[#This Row],[Age]]&gt;=30,"30-39",IF(HR_Employee_Attrition[[#This Row],[Age]]&gt;=20,"20-29",IF(HR_Employee_Attrition[[#This Row],[Age]]&gt;=18,"18-20"))))))</f>
        <v>30-39</v>
      </c>
      <c r="AK218" t="str" cm="1">
        <f t="array" ref="AK218">_xlfn.IFS(HR_Employee_Attrition[[#This Row],[YearsAtCompany]]&lt;=2,"0-2",HR_Employee_Attrition[[#This Row],[YearsAtCompany]]&lt;=5,"3-5",HR_Employee_Attrition[[#This Row],[YearsAtCompany]]&lt;=10,"6-10",HR_Employee_Attrition[[#This Row],[YearsAtCompany]]&gt;10,"10+")</f>
        <v>6-10</v>
      </c>
      <c r="AL218" t="str" cm="1">
        <f t="array" ref="AL2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18">
        <f>IF(HR_Employee_Attrition[[#This Row],[Attrition]]="Yes",1,0)</f>
        <v>1</v>
      </c>
    </row>
    <row r="219" spans="1:39"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IF(HR_Employee_Attrition[[#This Row],[Age]]&gt;60,"60+",IF(HR_Employee_Attrition[[#This Row],[Age]]&gt;=50,"50-59",IF(HR_Employee_Attrition[[#This Row],[Age]]&gt;=40,"40-49",IF(HR_Employee_Attrition[[#This Row],[Age]]&gt;=30,"30-39",IF(HR_Employee_Attrition[[#This Row],[Age]]&gt;=20,"20-29",IF(HR_Employee_Attrition[[#This Row],[Age]]&gt;=18,"18-20"))))))</f>
        <v>20-29</v>
      </c>
      <c r="AK219" t="str" cm="1">
        <f t="array" ref="AK219">_xlfn.IFS(HR_Employee_Attrition[[#This Row],[YearsAtCompany]]&lt;=2,"0-2",HR_Employee_Attrition[[#This Row],[YearsAtCompany]]&lt;=5,"3-5",HR_Employee_Attrition[[#This Row],[YearsAtCompany]]&lt;=10,"6-10",HR_Employee_Attrition[[#This Row],[YearsAtCompany]]&gt;10,"10+")</f>
        <v>6-10</v>
      </c>
      <c r="AL219" t="str" cm="1">
        <f t="array" ref="AL2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19">
        <f>IF(HR_Employee_Attrition[[#This Row],[Attrition]]="Yes",1,0)</f>
        <v>1</v>
      </c>
    </row>
    <row r="220" spans="1:39"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IF(HR_Employee_Attrition[[#This Row],[Age]]&gt;60,"60+",IF(HR_Employee_Attrition[[#This Row],[Age]]&gt;=50,"50-59",IF(HR_Employee_Attrition[[#This Row],[Age]]&gt;=40,"40-49",IF(HR_Employee_Attrition[[#This Row],[Age]]&gt;=30,"30-39",IF(HR_Employee_Attrition[[#This Row],[Age]]&gt;=20,"20-29",IF(HR_Employee_Attrition[[#This Row],[Age]]&gt;=18,"18-20"))))))</f>
        <v>40-49</v>
      </c>
      <c r="AK220" t="str" cm="1">
        <f t="array" ref="AK220">_xlfn.IFS(HR_Employee_Attrition[[#This Row],[YearsAtCompany]]&lt;=2,"0-2",HR_Employee_Attrition[[#This Row],[YearsAtCompany]]&lt;=5,"3-5",HR_Employee_Attrition[[#This Row],[YearsAtCompany]]&lt;=10,"6-10",HR_Employee_Attrition[[#This Row],[YearsAtCompany]]&gt;10,"10+")</f>
        <v>10+</v>
      </c>
      <c r="AL220" t="str" cm="1">
        <f t="array" ref="AL2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20">
        <f>IF(HR_Employee_Attrition[[#This Row],[Attrition]]="Yes",1,0)</f>
        <v>0</v>
      </c>
    </row>
    <row r="221" spans="1:39"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IF(HR_Employee_Attrition[[#This Row],[Age]]&gt;60,"60+",IF(HR_Employee_Attrition[[#This Row],[Age]]&gt;=50,"50-59",IF(HR_Employee_Attrition[[#This Row],[Age]]&gt;=40,"40-49",IF(HR_Employee_Attrition[[#This Row],[Age]]&gt;=30,"30-39",IF(HR_Employee_Attrition[[#This Row],[Age]]&gt;=20,"20-29",IF(HR_Employee_Attrition[[#This Row],[Age]]&gt;=18,"18-20"))))))</f>
        <v>50-59</v>
      </c>
      <c r="AK221" t="str" cm="1">
        <f t="array" ref="AK221">_xlfn.IFS(HR_Employee_Attrition[[#This Row],[YearsAtCompany]]&lt;=2,"0-2",HR_Employee_Attrition[[#This Row],[YearsAtCompany]]&lt;=5,"3-5",HR_Employee_Attrition[[#This Row],[YearsAtCompany]]&lt;=10,"6-10",HR_Employee_Attrition[[#This Row],[YearsAtCompany]]&gt;10,"10+")</f>
        <v>6-10</v>
      </c>
      <c r="AL221" t="str" cm="1">
        <f t="array" ref="AL2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21">
        <f>IF(HR_Employee_Attrition[[#This Row],[Attrition]]="Yes",1,0)</f>
        <v>0</v>
      </c>
    </row>
    <row r="222" spans="1:39"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IF(HR_Employee_Attrition[[#This Row],[Age]]&gt;60,"60+",IF(HR_Employee_Attrition[[#This Row],[Age]]&gt;=50,"50-59",IF(HR_Employee_Attrition[[#This Row],[Age]]&gt;=40,"40-49",IF(HR_Employee_Attrition[[#This Row],[Age]]&gt;=30,"30-39",IF(HR_Employee_Attrition[[#This Row],[Age]]&gt;=20,"20-29",IF(HR_Employee_Attrition[[#This Row],[Age]]&gt;=18,"18-20"))))))</f>
        <v>30-39</v>
      </c>
      <c r="AK222" t="str" cm="1">
        <f t="array" ref="AK222">_xlfn.IFS(HR_Employee_Attrition[[#This Row],[YearsAtCompany]]&lt;=2,"0-2",HR_Employee_Attrition[[#This Row],[YearsAtCompany]]&lt;=5,"3-5",HR_Employee_Attrition[[#This Row],[YearsAtCompany]]&lt;=10,"6-10",HR_Employee_Attrition[[#This Row],[YearsAtCompany]]&gt;10,"10+")</f>
        <v>10+</v>
      </c>
      <c r="AL222" t="str" cm="1">
        <f t="array" ref="AL2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22">
        <f>IF(HR_Employee_Attrition[[#This Row],[Attrition]]="Yes",1,0)</f>
        <v>0</v>
      </c>
    </row>
    <row r="223" spans="1:39"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IF(HR_Employee_Attrition[[#This Row],[Age]]&gt;60,"60+",IF(HR_Employee_Attrition[[#This Row],[Age]]&gt;=50,"50-59",IF(HR_Employee_Attrition[[#This Row],[Age]]&gt;=40,"40-49",IF(HR_Employee_Attrition[[#This Row],[Age]]&gt;=30,"30-39",IF(HR_Employee_Attrition[[#This Row],[Age]]&gt;=20,"20-29",IF(HR_Employee_Attrition[[#This Row],[Age]]&gt;=18,"18-20"))))))</f>
        <v>30-39</v>
      </c>
      <c r="AK223" t="str" cm="1">
        <f t="array" ref="AK223">_xlfn.IFS(HR_Employee_Attrition[[#This Row],[YearsAtCompany]]&lt;=2,"0-2",HR_Employee_Attrition[[#This Row],[YearsAtCompany]]&lt;=5,"3-5",HR_Employee_Attrition[[#This Row],[YearsAtCompany]]&lt;=10,"6-10",HR_Employee_Attrition[[#This Row],[YearsAtCompany]]&gt;10,"10+")</f>
        <v>3-5</v>
      </c>
      <c r="AL223" t="str" cm="1">
        <f t="array" ref="AL2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23">
        <f>IF(HR_Employee_Attrition[[#This Row],[Attrition]]="Yes",1,0)</f>
        <v>0</v>
      </c>
    </row>
    <row r="224" spans="1:39"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IF(HR_Employee_Attrition[[#This Row],[Age]]&gt;60,"60+",IF(HR_Employee_Attrition[[#This Row],[Age]]&gt;=50,"50-59",IF(HR_Employee_Attrition[[#This Row],[Age]]&gt;=40,"40-49",IF(HR_Employee_Attrition[[#This Row],[Age]]&gt;=30,"30-39",IF(HR_Employee_Attrition[[#This Row],[Age]]&gt;=20,"20-29",IF(HR_Employee_Attrition[[#This Row],[Age]]&gt;=18,"18-20"))))))</f>
        <v>30-39</v>
      </c>
      <c r="AK224" t="str" cm="1">
        <f t="array" ref="AK224">_xlfn.IFS(HR_Employee_Attrition[[#This Row],[YearsAtCompany]]&lt;=2,"0-2",HR_Employee_Attrition[[#This Row],[YearsAtCompany]]&lt;=5,"3-5",HR_Employee_Attrition[[#This Row],[YearsAtCompany]]&lt;=10,"6-10",HR_Employee_Attrition[[#This Row],[YearsAtCompany]]&gt;10,"10+")</f>
        <v>6-10</v>
      </c>
      <c r="AL224" t="str" cm="1">
        <f t="array" ref="AL2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224">
        <f>IF(HR_Employee_Attrition[[#This Row],[Attrition]]="Yes",1,0)</f>
        <v>0</v>
      </c>
    </row>
    <row r="225" spans="1:39"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IF(HR_Employee_Attrition[[#This Row],[Age]]&gt;60,"60+",IF(HR_Employee_Attrition[[#This Row],[Age]]&gt;=50,"50-59",IF(HR_Employee_Attrition[[#This Row],[Age]]&gt;=40,"40-49",IF(HR_Employee_Attrition[[#This Row],[Age]]&gt;=30,"30-39",IF(HR_Employee_Attrition[[#This Row],[Age]]&gt;=20,"20-29",IF(HR_Employee_Attrition[[#This Row],[Age]]&gt;=18,"18-20"))))))</f>
        <v>30-39</v>
      </c>
      <c r="AK225" t="str" cm="1">
        <f t="array" ref="AK225">_xlfn.IFS(HR_Employee_Attrition[[#This Row],[YearsAtCompany]]&lt;=2,"0-2",HR_Employee_Attrition[[#This Row],[YearsAtCompany]]&lt;=5,"3-5",HR_Employee_Attrition[[#This Row],[YearsAtCompany]]&lt;=10,"6-10",HR_Employee_Attrition[[#This Row],[YearsAtCompany]]&gt;10,"10+")</f>
        <v>10+</v>
      </c>
      <c r="AL225" t="str" cm="1">
        <f t="array" ref="AL2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225">
        <f>IF(HR_Employee_Attrition[[#This Row],[Attrition]]="Yes",1,0)</f>
        <v>0</v>
      </c>
    </row>
    <row r="226" spans="1:39"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IF(HR_Employee_Attrition[[#This Row],[Age]]&gt;60,"60+",IF(HR_Employee_Attrition[[#This Row],[Age]]&gt;=50,"50-59",IF(HR_Employee_Attrition[[#This Row],[Age]]&gt;=40,"40-49",IF(HR_Employee_Attrition[[#This Row],[Age]]&gt;=30,"30-39",IF(HR_Employee_Attrition[[#This Row],[Age]]&gt;=20,"20-29",IF(HR_Employee_Attrition[[#This Row],[Age]]&gt;=18,"18-20"))))))</f>
        <v>30-39</v>
      </c>
      <c r="AK226" t="str" cm="1">
        <f t="array" ref="AK226">_xlfn.IFS(HR_Employee_Attrition[[#This Row],[YearsAtCompany]]&lt;=2,"0-2",HR_Employee_Attrition[[#This Row],[YearsAtCompany]]&lt;=5,"3-5",HR_Employee_Attrition[[#This Row],[YearsAtCompany]]&lt;=10,"6-10",HR_Employee_Attrition[[#This Row],[YearsAtCompany]]&gt;10,"10+")</f>
        <v>3-5</v>
      </c>
      <c r="AL226" t="str" cm="1">
        <f t="array" ref="AL2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26">
        <f>IF(HR_Employee_Attrition[[#This Row],[Attrition]]="Yes",1,0)</f>
        <v>0</v>
      </c>
    </row>
    <row r="227" spans="1:39"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IF(HR_Employee_Attrition[[#This Row],[Age]]&gt;60,"60+",IF(HR_Employee_Attrition[[#This Row],[Age]]&gt;=50,"50-59",IF(HR_Employee_Attrition[[#This Row],[Age]]&gt;=40,"40-49",IF(HR_Employee_Attrition[[#This Row],[Age]]&gt;=30,"30-39",IF(HR_Employee_Attrition[[#This Row],[Age]]&gt;=20,"20-29",IF(HR_Employee_Attrition[[#This Row],[Age]]&gt;=18,"18-20"))))))</f>
        <v>50-59</v>
      </c>
      <c r="AK227" t="str" cm="1">
        <f t="array" ref="AK227">_xlfn.IFS(HR_Employee_Attrition[[#This Row],[YearsAtCompany]]&lt;=2,"0-2",HR_Employee_Attrition[[#This Row],[YearsAtCompany]]&lt;=5,"3-5",HR_Employee_Attrition[[#This Row],[YearsAtCompany]]&lt;=10,"6-10",HR_Employee_Attrition[[#This Row],[YearsAtCompany]]&gt;10,"10+")</f>
        <v>0-2</v>
      </c>
      <c r="AL227" t="str" cm="1">
        <f t="array" ref="AL2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27">
        <f>IF(HR_Employee_Attrition[[#This Row],[Attrition]]="Yes",1,0)</f>
        <v>0</v>
      </c>
    </row>
    <row r="228" spans="1:39"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IF(HR_Employee_Attrition[[#This Row],[Age]]&gt;60,"60+",IF(HR_Employee_Attrition[[#This Row],[Age]]&gt;=50,"50-59",IF(HR_Employee_Attrition[[#This Row],[Age]]&gt;=40,"40-49",IF(HR_Employee_Attrition[[#This Row],[Age]]&gt;=30,"30-39",IF(HR_Employee_Attrition[[#This Row],[Age]]&gt;=20,"20-29",IF(HR_Employee_Attrition[[#This Row],[Age]]&gt;=18,"18-20"))))))</f>
        <v>30-39</v>
      </c>
      <c r="AK228" t="str" cm="1">
        <f t="array" ref="AK228">_xlfn.IFS(HR_Employee_Attrition[[#This Row],[YearsAtCompany]]&lt;=2,"0-2",HR_Employee_Attrition[[#This Row],[YearsAtCompany]]&lt;=5,"3-5",HR_Employee_Attrition[[#This Row],[YearsAtCompany]]&lt;=10,"6-10",HR_Employee_Attrition[[#This Row],[YearsAtCompany]]&gt;10,"10+")</f>
        <v>6-10</v>
      </c>
      <c r="AL228" t="str" cm="1">
        <f t="array" ref="AL2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28">
        <f>IF(HR_Employee_Attrition[[#This Row],[Attrition]]="Yes",1,0)</f>
        <v>0</v>
      </c>
    </row>
    <row r="229" spans="1:39"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IF(HR_Employee_Attrition[[#This Row],[Age]]&gt;60,"60+",IF(HR_Employee_Attrition[[#This Row],[Age]]&gt;=50,"50-59",IF(HR_Employee_Attrition[[#This Row],[Age]]&gt;=40,"40-49",IF(HR_Employee_Attrition[[#This Row],[Age]]&gt;=30,"30-39",IF(HR_Employee_Attrition[[#This Row],[Age]]&gt;=20,"20-29",IF(HR_Employee_Attrition[[#This Row],[Age]]&gt;=18,"18-20"))))))</f>
        <v>20-29</v>
      </c>
      <c r="AK229" t="str" cm="1">
        <f t="array" ref="AK229">_xlfn.IFS(HR_Employee_Attrition[[#This Row],[YearsAtCompany]]&lt;=2,"0-2",HR_Employee_Attrition[[#This Row],[YearsAtCompany]]&lt;=5,"3-5",HR_Employee_Attrition[[#This Row],[YearsAtCompany]]&lt;=10,"6-10",HR_Employee_Attrition[[#This Row],[YearsAtCompany]]&gt;10,"10+")</f>
        <v>10+</v>
      </c>
      <c r="AL229" t="str" cm="1">
        <f t="array" ref="AL2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29">
        <f>IF(HR_Employee_Attrition[[#This Row],[Attrition]]="Yes",1,0)</f>
        <v>0</v>
      </c>
    </row>
    <row r="230" spans="1:39"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IF(HR_Employee_Attrition[[#This Row],[Age]]&gt;60,"60+",IF(HR_Employee_Attrition[[#This Row],[Age]]&gt;=50,"50-59",IF(HR_Employee_Attrition[[#This Row],[Age]]&gt;=40,"40-49",IF(HR_Employee_Attrition[[#This Row],[Age]]&gt;=30,"30-39",IF(HR_Employee_Attrition[[#This Row],[Age]]&gt;=20,"20-29",IF(HR_Employee_Attrition[[#This Row],[Age]]&gt;=18,"18-20"))))))</f>
        <v>30-39</v>
      </c>
      <c r="AK230" t="str" cm="1">
        <f t="array" ref="AK230">_xlfn.IFS(HR_Employee_Attrition[[#This Row],[YearsAtCompany]]&lt;=2,"0-2",HR_Employee_Attrition[[#This Row],[YearsAtCompany]]&lt;=5,"3-5",HR_Employee_Attrition[[#This Row],[YearsAtCompany]]&lt;=10,"6-10",HR_Employee_Attrition[[#This Row],[YearsAtCompany]]&gt;10,"10+")</f>
        <v>6-10</v>
      </c>
      <c r="AL230" t="str" cm="1">
        <f t="array" ref="AL2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30">
        <f>IF(HR_Employee_Attrition[[#This Row],[Attrition]]="Yes",1,0)</f>
        <v>0</v>
      </c>
    </row>
    <row r="231" spans="1:39"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IF(HR_Employee_Attrition[[#This Row],[Age]]&gt;60,"60+",IF(HR_Employee_Attrition[[#This Row],[Age]]&gt;=50,"50-59",IF(HR_Employee_Attrition[[#This Row],[Age]]&gt;=40,"40-49",IF(HR_Employee_Attrition[[#This Row],[Age]]&gt;=30,"30-39",IF(HR_Employee_Attrition[[#This Row],[Age]]&gt;=20,"20-29",IF(HR_Employee_Attrition[[#This Row],[Age]]&gt;=18,"18-20"))))))</f>
        <v>20-29</v>
      </c>
      <c r="AK231" t="str" cm="1">
        <f t="array" ref="AK231">_xlfn.IFS(HR_Employee_Attrition[[#This Row],[YearsAtCompany]]&lt;=2,"0-2",HR_Employee_Attrition[[#This Row],[YearsAtCompany]]&lt;=5,"3-5",HR_Employee_Attrition[[#This Row],[YearsAtCompany]]&lt;=10,"6-10",HR_Employee_Attrition[[#This Row],[YearsAtCompany]]&gt;10,"10+")</f>
        <v>3-5</v>
      </c>
      <c r="AL231" t="str" cm="1">
        <f t="array" ref="AL2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31">
        <f>IF(HR_Employee_Attrition[[#This Row],[Attrition]]="Yes",1,0)</f>
        <v>1</v>
      </c>
    </row>
    <row r="232" spans="1:39"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IF(HR_Employee_Attrition[[#This Row],[Age]]&gt;60,"60+",IF(HR_Employee_Attrition[[#This Row],[Age]]&gt;=50,"50-59",IF(HR_Employee_Attrition[[#This Row],[Age]]&gt;=40,"40-49",IF(HR_Employee_Attrition[[#This Row],[Age]]&gt;=30,"30-39",IF(HR_Employee_Attrition[[#This Row],[Age]]&gt;=20,"20-29",IF(HR_Employee_Attrition[[#This Row],[Age]]&gt;=18,"18-20"))))))</f>
        <v>50-59</v>
      </c>
      <c r="AK232" t="str" cm="1">
        <f t="array" ref="AK232">_xlfn.IFS(HR_Employee_Attrition[[#This Row],[YearsAtCompany]]&lt;=2,"0-2",HR_Employee_Attrition[[#This Row],[YearsAtCompany]]&lt;=5,"3-5",HR_Employee_Attrition[[#This Row],[YearsAtCompany]]&lt;=10,"6-10",HR_Employee_Attrition[[#This Row],[YearsAtCompany]]&gt;10,"10+")</f>
        <v>0-2</v>
      </c>
      <c r="AL232" t="str" cm="1">
        <f t="array" ref="AL2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32">
        <f>IF(HR_Employee_Attrition[[#This Row],[Attrition]]="Yes",1,0)</f>
        <v>0</v>
      </c>
    </row>
    <row r="233" spans="1:39"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IF(HR_Employee_Attrition[[#This Row],[Age]]&gt;60,"60+",IF(HR_Employee_Attrition[[#This Row],[Age]]&gt;=50,"50-59",IF(HR_Employee_Attrition[[#This Row],[Age]]&gt;=40,"40-49",IF(HR_Employee_Attrition[[#This Row],[Age]]&gt;=30,"30-39",IF(HR_Employee_Attrition[[#This Row],[Age]]&gt;=20,"20-29",IF(HR_Employee_Attrition[[#This Row],[Age]]&gt;=18,"18-20"))))))</f>
        <v>40-49</v>
      </c>
      <c r="AK233" t="str" cm="1">
        <f t="array" ref="AK233">_xlfn.IFS(HR_Employee_Attrition[[#This Row],[YearsAtCompany]]&lt;=2,"0-2",HR_Employee_Attrition[[#This Row],[YearsAtCompany]]&lt;=5,"3-5",HR_Employee_Attrition[[#This Row],[YearsAtCompany]]&lt;=10,"6-10",HR_Employee_Attrition[[#This Row],[YearsAtCompany]]&gt;10,"10+")</f>
        <v>10+</v>
      </c>
      <c r="AL233" t="str" cm="1">
        <f t="array" ref="AL2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233">
        <f>IF(HR_Employee_Attrition[[#This Row],[Attrition]]="Yes",1,0)</f>
        <v>0</v>
      </c>
    </row>
    <row r="234" spans="1:39"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IF(HR_Employee_Attrition[[#This Row],[Age]]&gt;60,"60+",IF(HR_Employee_Attrition[[#This Row],[Age]]&gt;=50,"50-59",IF(HR_Employee_Attrition[[#This Row],[Age]]&gt;=40,"40-49",IF(HR_Employee_Attrition[[#This Row],[Age]]&gt;=30,"30-39",IF(HR_Employee_Attrition[[#This Row],[Age]]&gt;=20,"20-29",IF(HR_Employee_Attrition[[#This Row],[Age]]&gt;=18,"18-20"))))))</f>
        <v>50-59</v>
      </c>
      <c r="AK234" t="str" cm="1">
        <f t="array" ref="AK234">_xlfn.IFS(HR_Employee_Attrition[[#This Row],[YearsAtCompany]]&lt;=2,"0-2",HR_Employee_Attrition[[#This Row],[YearsAtCompany]]&lt;=5,"3-5",HR_Employee_Attrition[[#This Row],[YearsAtCompany]]&lt;=10,"6-10",HR_Employee_Attrition[[#This Row],[YearsAtCompany]]&gt;10,"10+")</f>
        <v>0-2</v>
      </c>
      <c r="AL234" t="str" cm="1">
        <f t="array" ref="AL2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34">
        <f>IF(HR_Employee_Attrition[[#This Row],[Attrition]]="Yes",1,0)</f>
        <v>0</v>
      </c>
    </row>
    <row r="235" spans="1:39"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IF(HR_Employee_Attrition[[#This Row],[Age]]&gt;60,"60+",IF(HR_Employee_Attrition[[#This Row],[Age]]&gt;=50,"50-59",IF(HR_Employee_Attrition[[#This Row],[Age]]&gt;=40,"40-49",IF(HR_Employee_Attrition[[#This Row],[Age]]&gt;=30,"30-39",IF(HR_Employee_Attrition[[#This Row],[Age]]&gt;=20,"20-29",IF(HR_Employee_Attrition[[#This Row],[Age]]&gt;=18,"18-20"))))))</f>
        <v>50-59</v>
      </c>
      <c r="AK235" t="str" cm="1">
        <f t="array" ref="AK235">_xlfn.IFS(HR_Employee_Attrition[[#This Row],[YearsAtCompany]]&lt;=2,"0-2",HR_Employee_Attrition[[#This Row],[YearsAtCompany]]&lt;=5,"3-5",HR_Employee_Attrition[[#This Row],[YearsAtCompany]]&lt;=10,"6-10",HR_Employee_Attrition[[#This Row],[YearsAtCompany]]&gt;10,"10+")</f>
        <v>6-10</v>
      </c>
      <c r="AL235" t="str" cm="1">
        <f t="array" ref="AL2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235">
        <f>IF(HR_Employee_Attrition[[#This Row],[Attrition]]="Yes",1,0)</f>
        <v>0</v>
      </c>
    </row>
    <row r="236" spans="1:39"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IF(HR_Employee_Attrition[[#This Row],[Age]]&gt;60,"60+",IF(HR_Employee_Attrition[[#This Row],[Age]]&gt;=50,"50-59",IF(HR_Employee_Attrition[[#This Row],[Age]]&gt;=40,"40-49",IF(HR_Employee_Attrition[[#This Row],[Age]]&gt;=30,"30-39",IF(HR_Employee_Attrition[[#This Row],[Age]]&gt;=20,"20-29",IF(HR_Employee_Attrition[[#This Row],[Age]]&gt;=18,"18-20"))))))</f>
        <v>30-39</v>
      </c>
      <c r="AK236" t="str" cm="1">
        <f t="array" ref="AK236">_xlfn.IFS(HR_Employee_Attrition[[#This Row],[YearsAtCompany]]&lt;=2,"0-2",HR_Employee_Attrition[[#This Row],[YearsAtCompany]]&lt;=5,"3-5",HR_Employee_Attrition[[#This Row],[YearsAtCompany]]&lt;=10,"6-10",HR_Employee_Attrition[[#This Row],[YearsAtCompany]]&gt;10,"10+")</f>
        <v>3-5</v>
      </c>
      <c r="AL236" t="str" cm="1">
        <f t="array" ref="AL2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36">
        <f>IF(HR_Employee_Attrition[[#This Row],[Attrition]]="Yes",1,0)</f>
        <v>1</v>
      </c>
    </row>
    <row r="237" spans="1:39"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IF(HR_Employee_Attrition[[#This Row],[Age]]&gt;60,"60+",IF(HR_Employee_Attrition[[#This Row],[Age]]&gt;=50,"50-59",IF(HR_Employee_Attrition[[#This Row],[Age]]&gt;=40,"40-49",IF(HR_Employee_Attrition[[#This Row],[Age]]&gt;=30,"30-39",IF(HR_Employee_Attrition[[#This Row],[Age]]&gt;=20,"20-29",IF(HR_Employee_Attrition[[#This Row],[Age]]&gt;=18,"18-20"))))))</f>
        <v>40-49</v>
      </c>
      <c r="AK237" t="str" cm="1">
        <f t="array" ref="AK237">_xlfn.IFS(HR_Employee_Attrition[[#This Row],[YearsAtCompany]]&lt;=2,"0-2",HR_Employee_Attrition[[#This Row],[YearsAtCompany]]&lt;=5,"3-5",HR_Employee_Attrition[[#This Row],[YearsAtCompany]]&lt;=10,"6-10",HR_Employee_Attrition[[#This Row],[YearsAtCompany]]&gt;10,"10+")</f>
        <v>10+</v>
      </c>
      <c r="AL237" t="str" cm="1">
        <f t="array" ref="AL2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237">
        <f>IF(HR_Employee_Attrition[[#This Row],[Attrition]]="Yes",1,0)</f>
        <v>0</v>
      </c>
    </row>
    <row r="238" spans="1:39"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IF(HR_Employee_Attrition[[#This Row],[Age]]&gt;60,"60+",IF(HR_Employee_Attrition[[#This Row],[Age]]&gt;=50,"50-59",IF(HR_Employee_Attrition[[#This Row],[Age]]&gt;=40,"40-49",IF(HR_Employee_Attrition[[#This Row],[Age]]&gt;=30,"30-39",IF(HR_Employee_Attrition[[#This Row],[Age]]&gt;=20,"20-29",IF(HR_Employee_Attrition[[#This Row],[Age]]&gt;=18,"18-20"))))))</f>
        <v>30-39</v>
      </c>
      <c r="AK238" t="str" cm="1">
        <f t="array" ref="AK238">_xlfn.IFS(HR_Employee_Attrition[[#This Row],[YearsAtCompany]]&lt;=2,"0-2",HR_Employee_Attrition[[#This Row],[YearsAtCompany]]&lt;=5,"3-5",HR_Employee_Attrition[[#This Row],[YearsAtCompany]]&lt;=10,"6-10",HR_Employee_Attrition[[#This Row],[YearsAtCompany]]&gt;10,"10+")</f>
        <v>6-10</v>
      </c>
      <c r="AL238" t="str" cm="1">
        <f t="array" ref="AL2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38">
        <f>IF(HR_Employee_Attrition[[#This Row],[Attrition]]="Yes",1,0)</f>
        <v>1</v>
      </c>
    </row>
    <row r="239" spans="1:39"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IF(HR_Employee_Attrition[[#This Row],[Age]]&gt;60,"60+",IF(HR_Employee_Attrition[[#This Row],[Age]]&gt;=50,"50-59",IF(HR_Employee_Attrition[[#This Row],[Age]]&gt;=40,"40-49",IF(HR_Employee_Attrition[[#This Row],[Age]]&gt;=30,"30-39",IF(HR_Employee_Attrition[[#This Row],[Age]]&gt;=20,"20-29",IF(HR_Employee_Attrition[[#This Row],[Age]]&gt;=18,"18-20"))))))</f>
        <v>50-59</v>
      </c>
      <c r="AK239" t="str" cm="1">
        <f t="array" ref="AK239">_xlfn.IFS(HR_Employee_Attrition[[#This Row],[YearsAtCompany]]&lt;=2,"0-2",HR_Employee_Attrition[[#This Row],[YearsAtCompany]]&lt;=5,"3-5",HR_Employee_Attrition[[#This Row],[YearsAtCompany]]&lt;=10,"6-10",HR_Employee_Attrition[[#This Row],[YearsAtCompany]]&gt;10,"10+")</f>
        <v>10+</v>
      </c>
      <c r="AL239" t="str" cm="1">
        <f t="array" ref="AL2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239">
        <f>IF(HR_Employee_Attrition[[#This Row],[Attrition]]="Yes",1,0)</f>
        <v>0</v>
      </c>
    </row>
    <row r="240" spans="1:39"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IF(HR_Employee_Attrition[[#This Row],[Age]]&gt;60,"60+",IF(HR_Employee_Attrition[[#This Row],[Age]]&gt;=50,"50-59",IF(HR_Employee_Attrition[[#This Row],[Age]]&gt;=40,"40-49",IF(HR_Employee_Attrition[[#This Row],[Age]]&gt;=30,"30-39",IF(HR_Employee_Attrition[[#This Row],[Age]]&gt;=20,"20-29",IF(HR_Employee_Attrition[[#This Row],[Age]]&gt;=18,"18-20"))))))</f>
        <v>30-39</v>
      </c>
      <c r="AK240" t="str" cm="1">
        <f t="array" ref="AK240">_xlfn.IFS(HR_Employee_Attrition[[#This Row],[YearsAtCompany]]&lt;=2,"0-2",HR_Employee_Attrition[[#This Row],[YearsAtCompany]]&lt;=5,"3-5",HR_Employee_Attrition[[#This Row],[YearsAtCompany]]&lt;=10,"6-10",HR_Employee_Attrition[[#This Row],[YearsAtCompany]]&gt;10,"10+")</f>
        <v>3-5</v>
      </c>
      <c r="AL240" t="str" cm="1">
        <f t="array" ref="AL2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40">
        <f>IF(HR_Employee_Attrition[[#This Row],[Attrition]]="Yes",1,0)</f>
        <v>0</v>
      </c>
    </row>
    <row r="241" spans="1:39"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IF(HR_Employee_Attrition[[#This Row],[Age]]&gt;60,"60+",IF(HR_Employee_Attrition[[#This Row],[Age]]&gt;=50,"50-59",IF(HR_Employee_Attrition[[#This Row],[Age]]&gt;=40,"40-49",IF(HR_Employee_Attrition[[#This Row],[Age]]&gt;=30,"30-39",IF(HR_Employee_Attrition[[#This Row],[Age]]&gt;=20,"20-29",IF(HR_Employee_Attrition[[#This Row],[Age]]&gt;=18,"18-20"))))))</f>
        <v>30-39</v>
      </c>
      <c r="AK241" t="str" cm="1">
        <f t="array" ref="AK241">_xlfn.IFS(HR_Employee_Attrition[[#This Row],[YearsAtCompany]]&lt;=2,"0-2",HR_Employee_Attrition[[#This Row],[YearsAtCompany]]&lt;=5,"3-5",HR_Employee_Attrition[[#This Row],[YearsAtCompany]]&lt;=10,"6-10",HR_Employee_Attrition[[#This Row],[YearsAtCompany]]&gt;10,"10+")</f>
        <v>3-5</v>
      </c>
      <c r="AL241" t="str" cm="1">
        <f t="array" ref="AL2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41">
        <f>IF(HR_Employee_Attrition[[#This Row],[Attrition]]="Yes",1,0)</f>
        <v>1</v>
      </c>
    </row>
    <row r="242" spans="1:39"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IF(HR_Employee_Attrition[[#This Row],[Age]]&gt;60,"60+",IF(HR_Employee_Attrition[[#This Row],[Age]]&gt;=50,"50-59",IF(HR_Employee_Attrition[[#This Row],[Age]]&gt;=40,"40-49",IF(HR_Employee_Attrition[[#This Row],[Age]]&gt;=30,"30-39",IF(HR_Employee_Attrition[[#This Row],[Age]]&gt;=20,"20-29",IF(HR_Employee_Attrition[[#This Row],[Age]]&gt;=18,"18-20"))))))</f>
        <v>30-39</v>
      </c>
      <c r="AK242" t="str" cm="1">
        <f t="array" ref="AK242">_xlfn.IFS(HR_Employee_Attrition[[#This Row],[YearsAtCompany]]&lt;=2,"0-2",HR_Employee_Attrition[[#This Row],[YearsAtCompany]]&lt;=5,"3-5",HR_Employee_Attrition[[#This Row],[YearsAtCompany]]&lt;=10,"6-10",HR_Employee_Attrition[[#This Row],[YearsAtCompany]]&gt;10,"10+")</f>
        <v>3-5</v>
      </c>
      <c r="AL242" t="str" cm="1">
        <f t="array" ref="AL2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42">
        <f>IF(HR_Employee_Attrition[[#This Row],[Attrition]]="Yes",1,0)</f>
        <v>0</v>
      </c>
    </row>
    <row r="243" spans="1:39"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IF(HR_Employee_Attrition[[#This Row],[Age]]&gt;60,"60+",IF(HR_Employee_Attrition[[#This Row],[Age]]&gt;=50,"50-59",IF(HR_Employee_Attrition[[#This Row],[Age]]&gt;=40,"40-49",IF(HR_Employee_Attrition[[#This Row],[Age]]&gt;=30,"30-39",IF(HR_Employee_Attrition[[#This Row],[Age]]&gt;=20,"20-29",IF(HR_Employee_Attrition[[#This Row],[Age]]&gt;=18,"18-20"))))))</f>
        <v>30-39</v>
      </c>
      <c r="AK243" t="str" cm="1">
        <f t="array" ref="AK243">_xlfn.IFS(HR_Employee_Attrition[[#This Row],[YearsAtCompany]]&lt;=2,"0-2",HR_Employee_Attrition[[#This Row],[YearsAtCompany]]&lt;=5,"3-5",HR_Employee_Attrition[[#This Row],[YearsAtCompany]]&lt;=10,"6-10",HR_Employee_Attrition[[#This Row],[YearsAtCompany]]&gt;10,"10+")</f>
        <v>3-5</v>
      </c>
      <c r="AL243" t="str" cm="1">
        <f t="array" ref="AL2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43">
        <f>IF(HR_Employee_Attrition[[#This Row],[Attrition]]="Yes",1,0)</f>
        <v>0</v>
      </c>
    </row>
    <row r="244" spans="1:39"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IF(HR_Employee_Attrition[[#This Row],[Age]]&gt;60,"60+",IF(HR_Employee_Attrition[[#This Row],[Age]]&gt;=50,"50-59",IF(HR_Employee_Attrition[[#This Row],[Age]]&gt;=40,"40-49",IF(HR_Employee_Attrition[[#This Row],[Age]]&gt;=30,"30-39",IF(HR_Employee_Attrition[[#This Row],[Age]]&gt;=20,"20-29",IF(HR_Employee_Attrition[[#This Row],[Age]]&gt;=18,"18-20"))))))</f>
        <v>40-49</v>
      </c>
      <c r="AK244" t="str" cm="1">
        <f t="array" ref="AK244">_xlfn.IFS(HR_Employee_Attrition[[#This Row],[YearsAtCompany]]&lt;=2,"0-2",HR_Employee_Attrition[[#This Row],[YearsAtCompany]]&lt;=5,"3-5",HR_Employee_Attrition[[#This Row],[YearsAtCompany]]&lt;=10,"6-10",HR_Employee_Attrition[[#This Row],[YearsAtCompany]]&gt;10,"10+")</f>
        <v>0-2</v>
      </c>
      <c r="AL244" t="str" cm="1">
        <f t="array" ref="AL2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44">
        <f>IF(HR_Employee_Attrition[[#This Row],[Attrition]]="Yes",1,0)</f>
        <v>0</v>
      </c>
    </row>
    <row r="245" spans="1:39"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IF(HR_Employee_Attrition[[#This Row],[Age]]&gt;60,"60+",IF(HR_Employee_Attrition[[#This Row],[Age]]&gt;=50,"50-59",IF(HR_Employee_Attrition[[#This Row],[Age]]&gt;=40,"40-49",IF(HR_Employee_Attrition[[#This Row],[Age]]&gt;=30,"30-39",IF(HR_Employee_Attrition[[#This Row],[Age]]&gt;=20,"20-29",IF(HR_Employee_Attrition[[#This Row],[Age]]&gt;=18,"18-20"))))))</f>
        <v>40-49</v>
      </c>
      <c r="AK245" t="str" cm="1">
        <f t="array" ref="AK245">_xlfn.IFS(HR_Employee_Attrition[[#This Row],[YearsAtCompany]]&lt;=2,"0-2",HR_Employee_Attrition[[#This Row],[YearsAtCompany]]&lt;=5,"3-5",HR_Employee_Attrition[[#This Row],[YearsAtCompany]]&lt;=10,"6-10",HR_Employee_Attrition[[#This Row],[YearsAtCompany]]&gt;10,"10+")</f>
        <v>6-10</v>
      </c>
      <c r="AL245" t="str" cm="1">
        <f t="array" ref="AL2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45">
        <f>IF(HR_Employee_Attrition[[#This Row],[Attrition]]="Yes",1,0)</f>
        <v>0</v>
      </c>
    </row>
    <row r="246" spans="1:39"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IF(HR_Employee_Attrition[[#This Row],[Age]]&gt;60,"60+",IF(HR_Employee_Attrition[[#This Row],[Age]]&gt;=50,"50-59",IF(HR_Employee_Attrition[[#This Row],[Age]]&gt;=40,"40-49",IF(HR_Employee_Attrition[[#This Row],[Age]]&gt;=30,"30-39",IF(HR_Employee_Attrition[[#This Row],[Age]]&gt;=20,"20-29",IF(HR_Employee_Attrition[[#This Row],[Age]]&gt;=18,"18-20"))))))</f>
        <v>40-49</v>
      </c>
      <c r="AK246" t="str" cm="1">
        <f t="array" ref="AK246">_xlfn.IFS(HR_Employee_Attrition[[#This Row],[YearsAtCompany]]&lt;=2,"0-2",HR_Employee_Attrition[[#This Row],[YearsAtCompany]]&lt;=5,"3-5",HR_Employee_Attrition[[#This Row],[YearsAtCompany]]&lt;=10,"6-10",HR_Employee_Attrition[[#This Row],[YearsAtCompany]]&gt;10,"10+")</f>
        <v>10+</v>
      </c>
      <c r="AL246" t="str" cm="1">
        <f t="array" ref="AL2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246">
        <f>IF(HR_Employee_Attrition[[#This Row],[Attrition]]="Yes",1,0)</f>
        <v>0</v>
      </c>
    </row>
    <row r="247" spans="1:39"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IF(HR_Employee_Attrition[[#This Row],[Age]]&gt;60,"60+",IF(HR_Employee_Attrition[[#This Row],[Age]]&gt;=50,"50-59",IF(HR_Employee_Attrition[[#This Row],[Age]]&gt;=40,"40-49",IF(HR_Employee_Attrition[[#This Row],[Age]]&gt;=30,"30-39",IF(HR_Employee_Attrition[[#This Row],[Age]]&gt;=20,"20-29",IF(HR_Employee_Attrition[[#This Row],[Age]]&gt;=18,"18-20"))))))</f>
        <v>30-39</v>
      </c>
      <c r="AK247" t="str" cm="1">
        <f t="array" ref="AK247">_xlfn.IFS(HR_Employee_Attrition[[#This Row],[YearsAtCompany]]&lt;=2,"0-2",HR_Employee_Attrition[[#This Row],[YearsAtCompany]]&lt;=5,"3-5",HR_Employee_Attrition[[#This Row],[YearsAtCompany]]&lt;=10,"6-10",HR_Employee_Attrition[[#This Row],[YearsAtCompany]]&gt;10,"10+")</f>
        <v>0-2</v>
      </c>
      <c r="AL247" t="str" cm="1">
        <f t="array" ref="AL2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247">
        <f>IF(HR_Employee_Attrition[[#This Row],[Attrition]]="Yes",1,0)</f>
        <v>0</v>
      </c>
    </row>
    <row r="248" spans="1:39"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IF(HR_Employee_Attrition[[#This Row],[Age]]&gt;60,"60+",IF(HR_Employee_Attrition[[#This Row],[Age]]&gt;=50,"50-59",IF(HR_Employee_Attrition[[#This Row],[Age]]&gt;=40,"40-49",IF(HR_Employee_Attrition[[#This Row],[Age]]&gt;=30,"30-39",IF(HR_Employee_Attrition[[#This Row],[Age]]&gt;=20,"20-29",IF(HR_Employee_Attrition[[#This Row],[Age]]&gt;=18,"18-20"))))))</f>
        <v>30-39</v>
      </c>
      <c r="AK248" t="str" cm="1">
        <f t="array" ref="AK248">_xlfn.IFS(HR_Employee_Attrition[[#This Row],[YearsAtCompany]]&lt;=2,"0-2",HR_Employee_Attrition[[#This Row],[YearsAtCompany]]&lt;=5,"3-5",HR_Employee_Attrition[[#This Row],[YearsAtCompany]]&lt;=10,"6-10",HR_Employee_Attrition[[#This Row],[YearsAtCompany]]&gt;10,"10+")</f>
        <v>0-2</v>
      </c>
      <c r="AL248" t="str" cm="1">
        <f t="array" ref="AL2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48">
        <f>IF(HR_Employee_Attrition[[#This Row],[Attrition]]="Yes",1,0)</f>
        <v>0</v>
      </c>
    </row>
    <row r="249" spans="1:39"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IF(HR_Employee_Attrition[[#This Row],[Age]]&gt;60,"60+",IF(HR_Employee_Attrition[[#This Row],[Age]]&gt;=50,"50-59",IF(HR_Employee_Attrition[[#This Row],[Age]]&gt;=40,"40-49",IF(HR_Employee_Attrition[[#This Row],[Age]]&gt;=30,"30-39",IF(HR_Employee_Attrition[[#This Row],[Age]]&gt;=20,"20-29",IF(HR_Employee_Attrition[[#This Row],[Age]]&gt;=18,"18-20"))))))</f>
        <v>30-39</v>
      </c>
      <c r="AK249" t="str" cm="1">
        <f t="array" ref="AK249">_xlfn.IFS(HR_Employee_Attrition[[#This Row],[YearsAtCompany]]&lt;=2,"0-2",HR_Employee_Attrition[[#This Row],[YearsAtCompany]]&lt;=5,"3-5",HR_Employee_Attrition[[#This Row],[YearsAtCompany]]&lt;=10,"6-10",HR_Employee_Attrition[[#This Row],[YearsAtCompany]]&gt;10,"10+")</f>
        <v>10+</v>
      </c>
      <c r="AL249" t="str" cm="1">
        <f t="array" ref="AL2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49">
        <f>IF(HR_Employee_Attrition[[#This Row],[Attrition]]="Yes",1,0)</f>
        <v>0</v>
      </c>
    </row>
    <row r="250" spans="1:39"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IF(HR_Employee_Attrition[[#This Row],[Age]]&gt;60,"60+",IF(HR_Employee_Attrition[[#This Row],[Age]]&gt;=50,"50-59",IF(HR_Employee_Attrition[[#This Row],[Age]]&gt;=40,"40-49",IF(HR_Employee_Attrition[[#This Row],[Age]]&gt;=30,"30-39",IF(HR_Employee_Attrition[[#This Row],[Age]]&gt;=20,"20-29",IF(HR_Employee_Attrition[[#This Row],[Age]]&gt;=18,"18-20"))))))</f>
        <v>30-39</v>
      </c>
      <c r="AK250" t="str" cm="1">
        <f t="array" ref="AK250">_xlfn.IFS(HR_Employee_Attrition[[#This Row],[YearsAtCompany]]&lt;=2,"0-2",HR_Employee_Attrition[[#This Row],[YearsAtCompany]]&lt;=5,"3-5",HR_Employee_Attrition[[#This Row],[YearsAtCompany]]&lt;=10,"6-10",HR_Employee_Attrition[[#This Row],[YearsAtCompany]]&gt;10,"10+")</f>
        <v>3-5</v>
      </c>
      <c r="AL250" t="str" cm="1">
        <f t="array" ref="AL2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50">
        <f>IF(HR_Employee_Attrition[[#This Row],[Attrition]]="Yes",1,0)</f>
        <v>0</v>
      </c>
    </row>
    <row r="251" spans="1:39"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IF(HR_Employee_Attrition[[#This Row],[Age]]&gt;60,"60+",IF(HR_Employee_Attrition[[#This Row],[Age]]&gt;=50,"50-59",IF(HR_Employee_Attrition[[#This Row],[Age]]&gt;=40,"40-49",IF(HR_Employee_Attrition[[#This Row],[Age]]&gt;=30,"30-39",IF(HR_Employee_Attrition[[#This Row],[Age]]&gt;=20,"20-29",IF(HR_Employee_Attrition[[#This Row],[Age]]&gt;=18,"18-20"))))))</f>
        <v>40-49</v>
      </c>
      <c r="AK251" t="str" cm="1">
        <f t="array" ref="AK251">_xlfn.IFS(HR_Employee_Attrition[[#This Row],[YearsAtCompany]]&lt;=2,"0-2",HR_Employee_Attrition[[#This Row],[YearsAtCompany]]&lt;=5,"3-5",HR_Employee_Attrition[[#This Row],[YearsAtCompany]]&lt;=10,"6-10",HR_Employee_Attrition[[#This Row],[YearsAtCompany]]&gt;10,"10+")</f>
        <v>3-5</v>
      </c>
      <c r="AL251" t="str" cm="1">
        <f t="array" ref="AL2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51">
        <f>IF(HR_Employee_Attrition[[#This Row],[Attrition]]="Yes",1,0)</f>
        <v>0</v>
      </c>
    </row>
    <row r="252" spans="1:39"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IF(HR_Employee_Attrition[[#This Row],[Age]]&gt;60,"60+",IF(HR_Employee_Attrition[[#This Row],[Age]]&gt;=50,"50-59",IF(HR_Employee_Attrition[[#This Row],[Age]]&gt;=40,"40-49",IF(HR_Employee_Attrition[[#This Row],[Age]]&gt;=30,"30-39",IF(HR_Employee_Attrition[[#This Row],[Age]]&gt;=20,"20-29",IF(HR_Employee_Attrition[[#This Row],[Age]]&gt;=18,"18-20"))))))</f>
        <v>30-39</v>
      </c>
      <c r="AK252" t="str" cm="1">
        <f t="array" ref="AK252">_xlfn.IFS(HR_Employee_Attrition[[#This Row],[YearsAtCompany]]&lt;=2,"0-2",HR_Employee_Attrition[[#This Row],[YearsAtCompany]]&lt;=5,"3-5",HR_Employee_Attrition[[#This Row],[YearsAtCompany]]&lt;=10,"6-10",HR_Employee_Attrition[[#This Row],[YearsAtCompany]]&gt;10,"10+")</f>
        <v>0-2</v>
      </c>
      <c r="AL252" t="str" cm="1">
        <f t="array" ref="AL2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252">
        <f>IF(HR_Employee_Attrition[[#This Row],[Attrition]]="Yes",1,0)</f>
        <v>1</v>
      </c>
    </row>
    <row r="253" spans="1:39"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IF(HR_Employee_Attrition[[#This Row],[Age]]&gt;60,"60+",IF(HR_Employee_Attrition[[#This Row],[Age]]&gt;=50,"50-59",IF(HR_Employee_Attrition[[#This Row],[Age]]&gt;=40,"40-49",IF(HR_Employee_Attrition[[#This Row],[Age]]&gt;=30,"30-39",IF(HR_Employee_Attrition[[#This Row],[Age]]&gt;=20,"20-29",IF(HR_Employee_Attrition[[#This Row],[Age]]&gt;=18,"18-20"))))))</f>
        <v>30-39</v>
      </c>
      <c r="AK253" t="str" cm="1">
        <f t="array" ref="AK253">_xlfn.IFS(HR_Employee_Attrition[[#This Row],[YearsAtCompany]]&lt;=2,"0-2",HR_Employee_Attrition[[#This Row],[YearsAtCompany]]&lt;=5,"3-5",HR_Employee_Attrition[[#This Row],[YearsAtCompany]]&lt;=10,"6-10",HR_Employee_Attrition[[#This Row],[YearsAtCompany]]&gt;10,"10+")</f>
        <v>10+</v>
      </c>
      <c r="AL253" t="str" cm="1">
        <f t="array" ref="AL2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253">
        <f>IF(HR_Employee_Attrition[[#This Row],[Attrition]]="Yes",1,0)</f>
        <v>0</v>
      </c>
    </row>
    <row r="254" spans="1:39"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IF(HR_Employee_Attrition[[#This Row],[Age]]&gt;60,"60+",IF(HR_Employee_Attrition[[#This Row],[Age]]&gt;=50,"50-59",IF(HR_Employee_Attrition[[#This Row],[Age]]&gt;=40,"40-49",IF(HR_Employee_Attrition[[#This Row],[Age]]&gt;=30,"30-39",IF(HR_Employee_Attrition[[#This Row],[Age]]&gt;=20,"20-29",IF(HR_Employee_Attrition[[#This Row],[Age]]&gt;=18,"18-20"))))))</f>
        <v>20-29</v>
      </c>
      <c r="AK254" t="str" cm="1">
        <f t="array" ref="AK254">_xlfn.IFS(HR_Employee_Attrition[[#This Row],[YearsAtCompany]]&lt;=2,"0-2",HR_Employee_Attrition[[#This Row],[YearsAtCompany]]&lt;=5,"3-5",HR_Employee_Attrition[[#This Row],[YearsAtCompany]]&lt;=10,"6-10",HR_Employee_Attrition[[#This Row],[YearsAtCompany]]&gt;10,"10+")</f>
        <v>6-10</v>
      </c>
      <c r="AL254" t="str" cm="1">
        <f t="array" ref="AL2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54">
        <f>IF(HR_Employee_Attrition[[#This Row],[Attrition]]="Yes",1,0)</f>
        <v>0</v>
      </c>
    </row>
    <row r="255" spans="1:39"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IF(HR_Employee_Attrition[[#This Row],[Age]]&gt;60,"60+",IF(HR_Employee_Attrition[[#This Row],[Age]]&gt;=50,"50-59",IF(HR_Employee_Attrition[[#This Row],[Age]]&gt;=40,"40-49",IF(HR_Employee_Attrition[[#This Row],[Age]]&gt;=30,"30-39",IF(HR_Employee_Attrition[[#This Row],[Age]]&gt;=20,"20-29",IF(HR_Employee_Attrition[[#This Row],[Age]]&gt;=18,"18-20"))))))</f>
        <v>40-49</v>
      </c>
      <c r="AK255" t="str" cm="1">
        <f t="array" ref="AK255">_xlfn.IFS(HR_Employee_Attrition[[#This Row],[YearsAtCompany]]&lt;=2,"0-2",HR_Employee_Attrition[[#This Row],[YearsAtCompany]]&lt;=5,"3-5",HR_Employee_Attrition[[#This Row],[YearsAtCompany]]&lt;=10,"6-10",HR_Employee_Attrition[[#This Row],[YearsAtCompany]]&gt;10,"10+")</f>
        <v>3-5</v>
      </c>
      <c r="AL255" t="str" cm="1">
        <f t="array" ref="AL2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55">
        <f>IF(HR_Employee_Attrition[[#This Row],[Attrition]]="Yes",1,0)</f>
        <v>0</v>
      </c>
    </row>
    <row r="256" spans="1:39"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IF(HR_Employee_Attrition[[#This Row],[Age]]&gt;60,"60+",IF(HR_Employee_Attrition[[#This Row],[Age]]&gt;=50,"50-59",IF(HR_Employee_Attrition[[#This Row],[Age]]&gt;=40,"40-49",IF(HR_Employee_Attrition[[#This Row],[Age]]&gt;=30,"30-39",IF(HR_Employee_Attrition[[#This Row],[Age]]&gt;=20,"20-29",IF(HR_Employee_Attrition[[#This Row],[Age]]&gt;=18,"18-20"))))))</f>
        <v>20-29</v>
      </c>
      <c r="AK256" t="str" cm="1">
        <f t="array" ref="AK256">_xlfn.IFS(HR_Employee_Attrition[[#This Row],[YearsAtCompany]]&lt;=2,"0-2",HR_Employee_Attrition[[#This Row],[YearsAtCompany]]&lt;=5,"3-5",HR_Employee_Attrition[[#This Row],[YearsAtCompany]]&lt;=10,"6-10",HR_Employee_Attrition[[#This Row],[YearsAtCompany]]&gt;10,"10+")</f>
        <v>3-5</v>
      </c>
      <c r="AL256" t="str" cm="1">
        <f t="array" ref="AL2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56">
        <f>IF(HR_Employee_Attrition[[#This Row],[Attrition]]="Yes",1,0)</f>
        <v>0</v>
      </c>
    </row>
    <row r="257" spans="1:39"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IF(HR_Employee_Attrition[[#This Row],[Age]]&gt;60,"60+",IF(HR_Employee_Attrition[[#This Row],[Age]]&gt;=50,"50-59",IF(HR_Employee_Attrition[[#This Row],[Age]]&gt;=40,"40-49",IF(HR_Employee_Attrition[[#This Row],[Age]]&gt;=30,"30-39",IF(HR_Employee_Attrition[[#This Row],[Age]]&gt;=20,"20-29",IF(HR_Employee_Attrition[[#This Row],[Age]]&gt;=18,"18-20"))))))</f>
        <v>20-29</v>
      </c>
      <c r="AK257" t="str" cm="1">
        <f t="array" ref="AK257">_xlfn.IFS(HR_Employee_Attrition[[#This Row],[YearsAtCompany]]&lt;=2,"0-2",HR_Employee_Attrition[[#This Row],[YearsAtCompany]]&lt;=5,"3-5",HR_Employee_Attrition[[#This Row],[YearsAtCompany]]&lt;=10,"6-10",HR_Employee_Attrition[[#This Row],[YearsAtCompany]]&gt;10,"10+")</f>
        <v>3-5</v>
      </c>
      <c r="AL257" t="str" cm="1">
        <f t="array" ref="AL2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57">
        <f>IF(HR_Employee_Attrition[[#This Row],[Attrition]]="Yes",1,0)</f>
        <v>0</v>
      </c>
    </row>
    <row r="258" spans="1:39"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IF(HR_Employee_Attrition[[#This Row],[Age]]&gt;60,"60+",IF(HR_Employee_Attrition[[#This Row],[Age]]&gt;=50,"50-59",IF(HR_Employee_Attrition[[#This Row],[Age]]&gt;=40,"40-49",IF(HR_Employee_Attrition[[#This Row],[Age]]&gt;=30,"30-39",IF(HR_Employee_Attrition[[#This Row],[Age]]&gt;=20,"20-29",IF(HR_Employee_Attrition[[#This Row],[Age]]&gt;=18,"18-20"))))))</f>
        <v>40-49</v>
      </c>
      <c r="AK258" t="str" cm="1">
        <f t="array" ref="AK258">_xlfn.IFS(HR_Employee_Attrition[[#This Row],[YearsAtCompany]]&lt;=2,"0-2",HR_Employee_Attrition[[#This Row],[YearsAtCompany]]&lt;=5,"3-5",HR_Employee_Attrition[[#This Row],[YearsAtCompany]]&lt;=10,"6-10",HR_Employee_Attrition[[#This Row],[YearsAtCompany]]&gt;10,"10+")</f>
        <v>6-10</v>
      </c>
      <c r="AL258" t="str" cm="1">
        <f t="array" ref="AL2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58">
        <f>IF(HR_Employee_Attrition[[#This Row],[Attrition]]="Yes",1,0)</f>
        <v>0</v>
      </c>
    </row>
    <row r="259" spans="1:39"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IF(HR_Employee_Attrition[[#This Row],[Age]]&gt;60,"60+",IF(HR_Employee_Attrition[[#This Row],[Age]]&gt;=50,"50-59",IF(HR_Employee_Attrition[[#This Row],[Age]]&gt;=40,"40-49",IF(HR_Employee_Attrition[[#This Row],[Age]]&gt;=30,"30-39",IF(HR_Employee_Attrition[[#This Row],[Age]]&gt;=20,"20-29",IF(HR_Employee_Attrition[[#This Row],[Age]]&gt;=18,"18-20"))))))</f>
        <v>40-49</v>
      </c>
      <c r="AK259" t="str" cm="1">
        <f t="array" ref="AK259">_xlfn.IFS(HR_Employee_Attrition[[#This Row],[YearsAtCompany]]&lt;=2,"0-2",HR_Employee_Attrition[[#This Row],[YearsAtCompany]]&lt;=5,"3-5",HR_Employee_Attrition[[#This Row],[YearsAtCompany]]&lt;=10,"6-10",HR_Employee_Attrition[[#This Row],[YearsAtCompany]]&gt;10,"10+")</f>
        <v>10+</v>
      </c>
      <c r="AL259" t="str" cm="1">
        <f t="array" ref="AL2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259">
        <f>IF(HR_Employee_Attrition[[#This Row],[Attrition]]="Yes",1,0)</f>
        <v>0</v>
      </c>
    </row>
    <row r="260" spans="1:39"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IF(HR_Employee_Attrition[[#This Row],[Age]]&gt;60,"60+",IF(HR_Employee_Attrition[[#This Row],[Age]]&gt;=50,"50-59",IF(HR_Employee_Attrition[[#This Row],[Age]]&gt;=40,"40-49",IF(HR_Employee_Attrition[[#This Row],[Age]]&gt;=30,"30-39",IF(HR_Employee_Attrition[[#This Row],[Age]]&gt;=20,"20-29",IF(HR_Employee_Attrition[[#This Row],[Age]]&gt;=18,"18-20"))))))</f>
        <v>50-59</v>
      </c>
      <c r="AK260" t="str" cm="1">
        <f t="array" ref="AK260">_xlfn.IFS(HR_Employee_Attrition[[#This Row],[YearsAtCompany]]&lt;=2,"0-2",HR_Employee_Attrition[[#This Row],[YearsAtCompany]]&lt;=5,"3-5",HR_Employee_Attrition[[#This Row],[YearsAtCompany]]&lt;=10,"6-10",HR_Employee_Attrition[[#This Row],[YearsAtCompany]]&gt;10,"10+")</f>
        <v>0-2</v>
      </c>
      <c r="AL260" t="str" cm="1">
        <f t="array" ref="AL2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60">
        <f>IF(HR_Employee_Attrition[[#This Row],[Attrition]]="Yes",1,0)</f>
        <v>0</v>
      </c>
    </row>
    <row r="261" spans="1:39"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IF(HR_Employee_Attrition[[#This Row],[Age]]&gt;60,"60+",IF(HR_Employee_Attrition[[#This Row],[Age]]&gt;=50,"50-59",IF(HR_Employee_Attrition[[#This Row],[Age]]&gt;=40,"40-49",IF(HR_Employee_Attrition[[#This Row],[Age]]&gt;=30,"30-39",IF(HR_Employee_Attrition[[#This Row],[Age]]&gt;=20,"20-29",IF(HR_Employee_Attrition[[#This Row],[Age]]&gt;=18,"18-20"))))))</f>
        <v>30-39</v>
      </c>
      <c r="AK261" t="str" cm="1">
        <f t="array" ref="AK261">_xlfn.IFS(HR_Employee_Attrition[[#This Row],[YearsAtCompany]]&lt;=2,"0-2",HR_Employee_Attrition[[#This Row],[YearsAtCompany]]&lt;=5,"3-5",HR_Employee_Attrition[[#This Row],[YearsAtCompany]]&lt;=10,"6-10",HR_Employee_Attrition[[#This Row],[YearsAtCompany]]&gt;10,"10+")</f>
        <v>3-5</v>
      </c>
      <c r="AL261" t="str" cm="1">
        <f t="array" ref="AL2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61">
        <f>IF(HR_Employee_Attrition[[#This Row],[Attrition]]="Yes",1,0)</f>
        <v>1</v>
      </c>
    </row>
    <row r="262" spans="1:39"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IF(HR_Employee_Attrition[[#This Row],[Age]]&gt;60,"60+",IF(HR_Employee_Attrition[[#This Row],[Age]]&gt;=50,"50-59",IF(HR_Employee_Attrition[[#This Row],[Age]]&gt;=40,"40-49",IF(HR_Employee_Attrition[[#This Row],[Age]]&gt;=30,"30-39",IF(HR_Employee_Attrition[[#This Row],[Age]]&gt;=20,"20-29",IF(HR_Employee_Attrition[[#This Row],[Age]]&gt;=18,"18-20"))))))</f>
        <v>30-39</v>
      </c>
      <c r="AK262" t="str" cm="1">
        <f t="array" ref="AK262">_xlfn.IFS(HR_Employee_Attrition[[#This Row],[YearsAtCompany]]&lt;=2,"0-2",HR_Employee_Attrition[[#This Row],[YearsAtCompany]]&lt;=5,"3-5",HR_Employee_Attrition[[#This Row],[YearsAtCompany]]&lt;=10,"6-10",HR_Employee_Attrition[[#This Row],[YearsAtCompany]]&gt;10,"10+")</f>
        <v>3-5</v>
      </c>
      <c r="AL262" t="str" cm="1">
        <f t="array" ref="AL2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62">
        <f>IF(HR_Employee_Attrition[[#This Row],[Attrition]]="Yes",1,0)</f>
        <v>0</v>
      </c>
    </row>
    <row r="263" spans="1:39"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IF(HR_Employee_Attrition[[#This Row],[Age]]&gt;60,"60+",IF(HR_Employee_Attrition[[#This Row],[Age]]&gt;=50,"50-59",IF(HR_Employee_Attrition[[#This Row],[Age]]&gt;=40,"40-49",IF(HR_Employee_Attrition[[#This Row],[Age]]&gt;=30,"30-39",IF(HR_Employee_Attrition[[#This Row],[Age]]&gt;=20,"20-29",IF(HR_Employee_Attrition[[#This Row],[Age]]&gt;=18,"18-20"))))))</f>
        <v>30-39</v>
      </c>
      <c r="AK263" t="str" cm="1">
        <f t="array" ref="AK263">_xlfn.IFS(HR_Employee_Attrition[[#This Row],[YearsAtCompany]]&lt;=2,"0-2",HR_Employee_Attrition[[#This Row],[YearsAtCompany]]&lt;=5,"3-5",HR_Employee_Attrition[[#This Row],[YearsAtCompany]]&lt;=10,"6-10",HR_Employee_Attrition[[#This Row],[YearsAtCompany]]&gt;10,"10+")</f>
        <v>6-10</v>
      </c>
      <c r="AL263" t="str" cm="1">
        <f t="array" ref="AL2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63">
        <f>IF(HR_Employee_Attrition[[#This Row],[Attrition]]="Yes",1,0)</f>
        <v>0</v>
      </c>
    </row>
    <row r="264" spans="1:39"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IF(HR_Employee_Attrition[[#This Row],[Age]]&gt;60,"60+",IF(HR_Employee_Attrition[[#This Row],[Age]]&gt;=50,"50-59",IF(HR_Employee_Attrition[[#This Row],[Age]]&gt;=40,"40-49",IF(HR_Employee_Attrition[[#This Row],[Age]]&gt;=30,"30-39",IF(HR_Employee_Attrition[[#This Row],[Age]]&gt;=20,"20-29",IF(HR_Employee_Attrition[[#This Row],[Age]]&gt;=18,"18-20"))))))</f>
        <v>30-39</v>
      </c>
      <c r="AK264" t="str" cm="1">
        <f t="array" ref="AK264">_xlfn.IFS(HR_Employee_Attrition[[#This Row],[YearsAtCompany]]&lt;=2,"0-2",HR_Employee_Attrition[[#This Row],[YearsAtCompany]]&lt;=5,"3-5",HR_Employee_Attrition[[#This Row],[YearsAtCompany]]&lt;=10,"6-10",HR_Employee_Attrition[[#This Row],[YearsAtCompany]]&gt;10,"10+")</f>
        <v>6-10</v>
      </c>
      <c r="AL264" t="str" cm="1">
        <f t="array" ref="AL2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64">
        <f>IF(HR_Employee_Attrition[[#This Row],[Attrition]]="Yes",1,0)</f>
        <v>0</v>
      </c>
    </row>
    <row r="265" spans="1:39"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IF(HR_Employee_Attrition[[#This Row],[Age]]&gt;60,"60+",IF(HR_Employee_Attrition[[#This Row],[Age]]&gt;=50,"50-59",IF(HR_Employee_Attrition[[#This Row],[Age]]&gt;=40,"40-49",IF(HR_Employee_Attrition[[#This Row],[Age]]&gt;=30,"30-39",IF(HR_Employee_Attrition[[#This Row],[Age]]&gt;=20,"20-29",IF(HR_Employee_Attrition[[#This Row],[Age]]&gt;=18,"18-20"))))))</f>
        <v>40-49</v>
      </c>
      <c r="AK265" t="str" cm="1">
        <f t="array" ref="AK265">_xlfn.IFS(HR_Employee_Attrition[[#This Row],[YearsAtCompany]]&lt;=2,"0-2",HR_Employee_Attrition[[#This Row],[YearsAtCompany]]&lt;=5,"3-5",HR_Employee_Attrition[[#This Row],[YearsAtCompany]]&lt;=10,"6-10",HR_Employee_Attrition[[#This Row],[YearsAtCompany]]&gt;10,"10+")</f>
        <v>6-10</v>
      </c>
      <c r="AL265" t="str" cm="1">
        <f t="array" ref="AL2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265">
        <f>IF(HR_Employee_Attrition[[#This Row],[Attrition]]="Yes",1,0)</f>
        <v>0</v>
      </c>
    </row>
    <row r="266" spans="1:39"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IF(HR_Employee_Attrition[[#This Row],[Age]]&gt;60,"60+",IF(HR_Employee_Attrition[[#This Row],[Age]]&gt;=50,"50-59",IF(HR_Employee_Attrition[[#This Row],[Age]]&gt;=40,"40-49",IF(HR_Employee_Attrition[[#This Row],[Age]]&gt;=30,"30-39",IF(HR_Employee_Attrition[[#This Row],[Age]]&gt;=20,"20-29",IF(HR_Employee_Attrition[[#This Row],[Age]]&gt;=18,"18-20"))))))</f>
        <v>20-29</v>
      </c>
      <c r="AK266" t="str" cm="1">
        <f t="array" ref="AK266">_xlfn.IFS(HR_Employee_Attrition[[#This Row],[YearsAtCompany]]&lt;=2,"0-2",HR_Employee_Attrition[[#This Row],[YearsAtCompany]]&lt;=5,"3-5",HR_Employee_Attrition[[#This Row],[YearsAtCompany]]&lt;=10,"6-10",HR_Employee_Attrition[[#This Row],[YearsAtCompany]]&gt;10,"10+")</f>
        <v>0-2</v>
      </c>
      <c r="AL266" t="str" cm="1">
        <f t="array" ref="AL2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66">
        <f>IF(HR_Employee_Attrition[[#This Row],[Attrition]]="Yes",1,0)</f>
        <v>1</v>
      </c>
    </row>
    <row r="267" spans="1:39"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IF(HR_Employee_Attrition[[#This Row],[Age]]&gt;60,"60+",IF(HR_Employee_Attrition[[#This Row],[Age]]&gt;=50,"50-59",IF(HR_Employee_Attrition[[#This Row],[Age]]&gt;=40,"40-49",IF(HR_Employee_Attrition[[#This Row],[Age]]&gt;=30,"30-39",IF(HR_Employee_Attrition[[#This Row],[Age]]&gt;=20,"20-29",IF(HR_Employee_Attrition[[#This Row],[Age]]&gt;=18,"18-20"))))))</f>
        <v>20-29</v>
      </c>
      <c r="AK267" t="str" cm="1">
        <f t="array" ref="AK267">_xlfn.IFS(HR_Employee_Attrition[[#This Row],[YearsAtCompany]]&lt;=2,"0-2",HR_Employee_Attrition[[#This Row],[YearsAtCompany]]&lt;=5,"3-5",HR_Employee_Attrition[[#This Row],[YearsAtCompany]]&lt;=10,"6-10",HR_Employee_Attrition[[#This Row],[YearsAtCompany]]&gt;10,"10+")</f>
        <v>0-2</v>
      </c>
      <c r="AL267" t="str" cm="1">
        <f t="array" ref="AL2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67">
        <f>IF(HR_Employee_Attrition[[#This Row],[Attrition]]="Yes",1,0)</f>
        <v>0</v>
      </c>
    </row>
    <row r="268" spans="1:39"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IF(HR_Employee_Attrition[[#This Row],[Age]]&gt;60,"60+",IF(HR_Employee_Attrition[[#This Row],[Age]]&gt;=50,"50-59",IF(HR_Employee_Attrition[[#This Row],[Age]]&gt;=40,"40-49",IF(HR_Employee_Attrition[[#This Row],[Age]]&gt;=30,"30-39",IF(HR_Employee_Attrition[[#This Row],[Age]]&gt;=20,"20-29",IF(HR_Employee_Attrition[[#This Row],[Age]]&gt;=18,"18-20"))))))</f>
        <v>30-39</v>
      </c>
      <c r="AK268" t="str" cm="1">
        <f t="array" ref="AK268">_xlfn.IFS(HR_Employee_Attrition[[#This Row],[YearsAtCompany]]&lt;=2,"0-2",HR_Employee_Attrition[[#This Row],[YearsAtCompany]]&lt;=5,"3-5",HR_Employee_Attrition[[#This Row],[YearsAtCompany]]&lt;=10,"6-10",HR_Employee_Attrition[[#This Row],[YearsAtCompany]]&gt;10,"10+")</f>
        <v>6-10</v>
      </c>
      <c r="AL268" t="str" cm="1">
        <f t="array" ref="AL2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68">
        <f>IF(HR_Employee_Attrition[[#This Row],[Attrition]]="Yes",1,0)</f>
        <v>0</v>
      </c>
    </row>
    <row r="269" spans="1:39"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IF(HR_Employee_Attrition[[#This Row],[Age]]&gt;60,"60+",IF(HR_Employee_Attrition[[#This Row],[Age]]&gt;=50,"50-59",IF(HR_Employee_Attrition[[#This Row],[Age]]&gt;=40,"40-49",IF(HR_Employee_Attrition[[#This Row],[Age]]&gt;=30,"30-39",IF(HR_Employee_Attrition[[#This Row],[Age]]&gt;=20,"20-29",IF(HR_Employee_Attrition[[#This Row],[Age]]&gt;=18,"18-20"))))))</f>
        <v>20-29</v>
      </c>
      <c r="AK269" t="str" cm="1">
        <f t="array" ref="AK269">_xlfn.IFS(HR_Employee_Attrition[[#This Row],[YearsAtCompany]]&lt;=2,"0-2",HR_Employee_Attrition[[#This Row],[YearsAtCompany]]&lt;=5,"3-5",HR_Employee_Attrition[[#This Row],[YearsAtCompany]]&lt;=10,"6-10",HR_Employee_Attrition[[#This Row],[YearsAtCompany]]&gt;10,"10+")</f>
        <v>6-10</v>
      </c>
      <c r="AL269" t="str" cm="1">
        <f t="array" ref="AL2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69">
        <f>IF(HR_Employee_Attrition[[#This Row],[Attrition]]="Yes",1,0)</f>
        <v>0</v>
      </c>
    </row>
    <row r="270" spans="1:39"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IF(HR_Employee_Attrition[[#This Row],[Age]]&gt;60,"60+",IF(HR_Employee_Attrition[[#This Row],[Age]]&gt;=50,"50-59",IF(HR_Employee_Attrition[[#This Row],[Age]]&gt;=40,"40-49",IF(HR_Employee_Attrition[[#This Row],[Age]]&gt;=30,"30-39",IF(HR_Employee_Attrition[[#This Row],[Age]]&gt;=20,"20-29",IF(HR_Employee_Attrition[[#This Row],[Age]]&gt;=18,"18-20"))))))</f>
        <v>40-49</v>
      </c>
      <c r="AK270" t="str" cm="1">
        <f t="array" ref="AK270">_xlfn.IFS(HR_Employee_Attrition[[#This Row],[YearsAtCompany]]&lt;=2,"0-2",HR_Employee_Attrition[[#This Row],[YearsAtCompany]]&lt;=5,"3-5",HR_Employee_Attrition[[#This Row],[YearsAtCompany]]&lt;=10,"6-10",HR_Employee_Attrition[[#This Row],[YearsAtCompany]]&gt;10,"10+")</f>
        <v>10+</v>
      </c>
      <c r="AL270" t="str" cm="1">
        <f t="array" ref="AL2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270">
        <f>IF(HR_Employee_Attrition[[#This Row],[Attrition]]="Yes",1,0)</f>
        <v>0</v>
      </c>
    </row>
    <row r="271" spans="1:39"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IF(HR_Employee_Attrition[[#This Row],[Age]]&gt;60,"60+",IF(HR_Employee_Attrition[[#This Row],[Age]]&gt;=50,"50-59",IF(HR_Employee_Attrition[[#This Row],[Age]]&gt;=40,"40-49",IF(HR_Employee_Attrition[[#This Row],[Age]]&gt;=30,"30-39",IF(HR_Employee_Attrition[[#This Row],[Age]]&gt;=20,"20-29",IF(HR_Employee_Attrition[[#This Row],[Age]]&gt;=18,"18-20"))))))</f>
        <v>30-39</v>
      </c>
      <c r="AK271" t="str" cm="1">
        <f t="array" ref="AK271">_xlfn.IFS(HR_Employee_Attrition[[#This Row],[YearsAtCompany]]&lt;=2,"0-2",HR_Employee_Attrition[[#This Row],[YearsAtCompany]]&lt;=5,"3-5",HR_Employee_Attrition[[#This Row],[YearsAtCompany]]&lt;=10,"6-10",HR_Employee_Attrition[[#This Row],[YearsAtCompany]]&gt;10,"10+")</f>
        <v>10+</v>
      </c>
      <c r="AL271" t="str" cm="1">
        <f t="array" ref="AL2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71">
        <f>IF(HR_Employee_Attrition[[#This Row],[Attrition]]="Yes",1,0)</f>
        <v>0</v>
      </c>
    </row>
    <row r="272" spans="1:39"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IF(HR_Employee_Attrition[[#This Row],[Age]]&gt;60,"60+",IF(HR_Employee_Attrition[[#This Row],[Age]]&gt;=50,"50-59",IF(HR_Employee_Attrition[[#This Row],[Age]]&gt;=40,"40-49",IF(HR_Employee_Attrition[[#This Row],[Age]]&gt;=30,"30-39",IF(HR_Employee_Attrition[[#This Row],[Age]]&gt;=20,"20-29",IF(HR_Employee_Attrition[[#This Row],[Age]]&gt;=18,"18-20"))))))</f>
        <v>50-59</v>
      </c>
      <c r="AK272" t="str" cm="1">
        <f t="array" ref="AK272">_xlfn.IFS(HR_Employee_Attrition[[#This Row],[YearsAtCompany]]&lt;=2,"0-2",HR_Employee_Attrition[[#This Row],[YearsAtCompany]]&lt;=5,"3-5",HR_Employee_Attrition[[#This Row],[YearsAtCompany]]&lt;=10,"6-10",HR_Employee_Attrition[[#This Row],[YearsAtCompany]]&gt;10,"10+")</f>
        <v>10+</v>
      </c>
      <c r="AL272" t="str" cm="1">
        <f t="array" ref="AL27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272">
        <f>IF(HR_Employee_Attrition[[#This Row],[Attrition]]="Yes",1,0)</f>
        <v>0</v>
      </c>
    </row>
    <row r="273" spans="1:39"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IF(HR_Employee_Attrition[[#This Row],[Age]]&gt;60,"60+",IF(HR_Employee_Attrition[[#This Row],[Age]]&gt;=50,"50-59",IF(HR_Employee_Attrition[[#This Row],[Age]]&gt;=40,"40-49",IF(HR_Employee_Attrition[[#This Row],[Age]]&gt;=30,"30-39",IF(HR_Employee_Attrition[[#This Row],[Age]]&gt;=20,"20-29",IF(HR_Employee_Attrition[[#This Row],[Age]]&gt;=18,"18-20"))))))</f>
        <v>40-49</v>
      </c>
      <c r="AK273" t="str" cm="1">
        <f t="array" ref="AK273">_xlfn.IFS(HR_Employee_Attrition[[#This Row],[YearsAtCompany]]&lt;=2,"0-2",HR_Employee_Attrition[[#This Row],[YearsAtCompany]]&lt;=5,"3-5",HR_Employee_Attrition[[#This Row],[YearsAtCompany]]&lt;=10,"6-10",HR_Employee_Attrition[[#This Row],[YearsAtCompany]]&gt;10,"10+")</f>
        <v>6-10</v>
      </c>
      <c r="AL273" t="str" cm="1">
        <f t="array" ref="AL27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273">
        <f>IF(HR_Employee_Attrition[[#This Row],[Attrition]]="Yes",1,0)</f>
        <v>1</v>
      </c>
    </row>
    <row r="274" spans="1:39"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IF(HR_Employee_Attrition[[#This Row],[Age]]&gt;60,"60+",IF(HR_Employee_Attrition[[#This Row],[Age]]&gt;=50,"50-59",IF(HR_Employee_Attrition[[#This Row],[Age]]&gt;=40,"40-49",IF(HR_Employee_Attrition[[#This Row],[Age]]&gt;=30,"30-39",IF(HR_Employee_Attrition[[#This Row],[Age]]&gt;=20,"20-29",IF(HR_Employee_Attrition[[#This Row],[Age]]&gt;=18,"18-20"))))))</f>
        <v>20-29</v>
      </c>
      <c r="AK274" t="str" cm="1">
        <f t="array" ref="AK274">_xlfn.IFS(HR_Employee_Attrition[[#This Row],[YearsAtCompany]]&lt;=2,"0-2",HR_Employee_Attrition[[#This Row],[YearsAtCompany]]&lt;=5,"3-5",HR_Employee_Attrition[[#This Row],[YearsAtCompany]]&lt;=10,"6-10",HR_Employee_Attrition[[#This Row],[YearsAtCompany]]&gt;10,"10+")</f>
        <v>3-5</v>
      </c>
      <c r="AL274" t="str" cm="1">
        <f t="array" ref="AL27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74">
        <f>IF(HR_Employee_Attrition[[#This Row],[Attrition]]="Yes",1,0)</f>
        <v>0</v>
      </c>
    </row>
    <row r="275" spans="1:39"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IF(HR_Employee_Attrition[[#This Row],[Age]]&gt;60,"60+",IF(HR_Employee_Attrition[[#This Row],[Age]]&gt;=50,"50-59",IF(HR_Employee_Attrition[[#This Row],[Age]]&gt;=40,"40-49",IF(HR_Employee_Attrition[[#This Row],[Age]]&gt;=30,"30-39",IF(HR_Employee_Attrition[[#This Row],[Age]]&gt;=20,"20-29",IF(HR_Employee_Attrition[[#This Row],[Age]]&gt;=18,"18-20"))))))</f>
        <v>30-39</v>
      </c>
      <c r="AK275" t="str" cm="1">
        <f t="array" ref="AK275">_xlfn.IFS(HR_Employee_Attrition[[#This Row],[YearsAtCompany]]&lt;=2,"0-2",HR_Employee_Attrition[[#This Row],[YearsAtCompany]]&lt;=5,"3-5",HR_Employee_Attrition[[#This Row],[YearsAtCompany]]&lt;=10,"6-10",HR_Employee_Attrition[[#This Row],[YearsAtCompany]]&gt;10,"10+")</f>
        <v>3-5</v>
      </c>
      <c r="AL275" t="str" cm="1">
        <f t="array" ref="AL27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75">
        <f>IF(HR_Employee_Attrition[[#This Row],[Attrition]]="Yes",1,0)</f>
        <v>0</v>
      </c>
    </row>
    <row r="276" spans="1:39"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IF(HR_Employee_Attrition[[#This Row],[Age]]&gt;60,"60+",IF(HR_Employee_Attrition[[#This Row],[Age]]&gt;=50,"50-59",IF(HR_Employee_Attrition[[#This Row],[Age]]&gt;=40,"40-49",IF(HR_Employee_Attrition[[#This Row],[Age]]&gt;=30,"30-39",IF(HR_Employee_Attrition[[#This Row],[Age]]&gt;=20,"20-29",IF(HR_Employee_Attrition[[#This Row],[Age]]&gt;=18,"18-20"))))))</f>
        <v>20-29</v>
      </c>
      <c r="AK276" t="str" cm="1">
        <f t="array" ref="AK276">_xlfn.IFS(HR_Employee_Attrition[[#This Row],[YearsAtCompany]]&lt;=2,"0-2",HR_Employee_Attrition[[#This Row],[YearsAtCompany]]&lt;=5,"3-5",HR_Employee_Attrition[[#This Row],[YearsAtCompany]]&lt;=10,"6-10",HR_Employee_Attrition[[#This Row],[YearsAtCompany]]&gt;10,"10+")</f>
        <v>3-5</v>
      </c>
      <c r="AL276" t="str" cm="1">
        <f t="array" ref="AL27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76">
        <f>IF(HR_Employee_Attrition[[#This Row],[Attrition]]="Yes",1,0)</f>
        <v>0</v>
      </c>
    </row>
    <row r="277" spans="1:39"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IF(HR_Employee_Attrition[[#This Row],[Age]]&gt;60,"60+",IF(HR_Employee_Attrition[[#This Row],[Age]]&gt;=50,"50-59",IF(HR_Employee_Attrition[[#This Row],[Age]]&gt;=40,"40-49",IF(HR_Employee_Attrition[[#This Row],[Age]]&gt;=30,"30-39",IF(HR_Employee_Attrition[[#This Row],[Age]]&gt;=20,"20-29",IF(HR_Employee_Attrition[[#This Row],[Age]]&gt;=18,"18-20"))))))</f>
        <v>30-39</v>
      </c>
      <c r="AK277" t="str" cm="1">
        <f t="array" ref="AK277">_xlfn.IFS(HR_Employee_Attrition[[#This Row],[YearsAtCompany]]&lt;=2,"0-2",HR_Employee_Attrition[[#This Row],[YearsAtCompany]]&lt;=5,"3-5",HR_Employee_Attrition[[#This Row],[YearsAtCompany]]&lt;=10,"6-10",HR_Employee_Attrition[[#This Row],[YearsAtCompany]]&gt;10,"10+")</f>
        <v>3-5</v>
      </c>
      <c r="AL277" t="str" cm="1">
        <f t="array" ref="AL27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277">
        <f>IF(HR_Employee_Attrition[[#This Row],[Attrition]]="Yes",1,0)</f>
        <v>0</v>
      </c>
    </row>
    <row r="278" spans="1:39"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IF(HR_Employee_Attrition[[#This Row],[Age]]&gt;60,"60+",IF(HR_Employee_Attrition[[#This Row],[Age]]&gt;=50,"50-59",IF(HR_Employee_Attrition[[#This Row],[Age]]&gt;=40,"40-49",IF(HR_Employee_Attrition[[#This Row],[Age]]&gt;=30,"30-39",IF(HR_Employee_Attrition[[#This Row],[Age]]&gt;=20,"20-29",IF(HR_Employee_Attrition[[#This Row],[Age]]&gt;=18,"18-20"))))))</f>
        <v>30-39</v>
      </c>
      <c r="AK278" t="str" cm="1">
        <f t="array" ref="AK278">_xlfn.IFS(HR_Employee_Attrition[[#This Row],[YearsAtCompany]]&lt;=2,"0-2",HR_Employee_Attrition[[#This Row],[YearsAtCompany]]&lt;=5,"3-5",HR_Employee_Attrition[[#This Row],[YearsAtCompany]]&lt;=10,"6-10",HR_Employee_Attrition[[#This Row],[YearsAtCompany]]&gt;10,"10+")</f>
        <v>6-10</v>
      </c>
      <c r="AL278" t="str" cm="1">
        <f t="array" ref="AL27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278">
        <f>IF(HR_Employee_Attrition[[#This Row],[Attrition]]="Yes",1,0)</f>
        <v>0</v>
      </c>
    </row>
    <row r="279" spans="1:39"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IF(HR_Employee_Attrition[[#This Row],[Age]]&gt;60,"60+",IF(HR_Employee_Attrition[[#This Row],[Age]]&gt;=50,"50-59",IF(HR_Employee_Attrition[[#This Row],[Age]]&gt;=40,"40-49",IF(HR_Employee_Attrition[[#This Row],[Age]]&gt;=30,"30-39",IF(HR_Employee_Attrition[[#This Row],[Age]]&gt;=20,"20-29",IF(HR_Employee_Attrition[[#This Row],[Age]]&gt;=18,"18-20"))))))</f>
        <v>30-39</v>
      </c>
      <c r="AK279" t="str" cm="1">
        <f t="array" ref="AK279">_xlfn.IFS(HR_Employee_Attrition[[#This Row],[YearsAtCompany]]&lt;=2,"0-2",HR_Employee_Attrition[[#This Row],[YearsAtCompany]]&lt;=5,"3-5",HR_Employee_Attrition[[#This Row],[YearsAtCompany]]&lt;=10,"6-10",HR_Employee_Attrition[[#This Row],[YearsAtCompany]]&gt;10,"10+")</f>
        <v>6-10</v>
      </c>
      <c r="AL279" t="str" cm="1">
        <f t="array" ref="AL27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79">
        <f>IF(HR_Employee_Attrition[[#This Row],[Attrition]]="Yes",1,0)</f>
        <v>0</v>
      </c>
    </row>
    <row r="280" spans="1:39"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IF(HR_Employee_Attrition[[#This Row],[Age]]&gt;60,"60+",IF(HR_Employee_Attrition[[#This Row],[Age]]&gt;=50,"50-59",IF(HR_Employee_Attrition[[#This Row],[Age]]&gt;=40,"40-49",IF(HR_Employee_Attrition[[#This Row],[Age]]&gt;=30,"30-39",IF(HR_Employee_Attrition[[#This Row],[Age]]&gt;=20,"20-29",IF(HR_Employee_Attrition[[#This Row],[Age]]&gt;=18,"18-20"))))))</f>
        <v>20-29</v>
      </c>
      <c r="AK280" t="str" cm="1">
        <f t="array" ref="AK280">_xlfn.IFS(HR_Employee_Attrition[[#This Row],[YearsAtCompany]]&lt;=2,"0-2",HR_Employee_Attrition[[#This Row],[YearsAtCompany]]&lt;=5,"3-5",HR_Employee_Attrition[[#This Row],[YearsAtCompany]]&lt;=10,"6-10",HR_Employee_Attrition[[#This Row],[YearsAtCompany]]&gt;10,"10+")</f>
        <v>6-10</v>
      </c>
      <c r="AL280" t="str" cm="1">
        <f t="array" ref="AL28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80">
        <f>IF(HR_Employee_Attrition[[#This Row],[Attrition]]="Yes",1,0)</f>
        <v>0</v>
      </c>
    </row>
    <row r="281" spans="1:39"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IF(HR_Employee_Attrition[[#This Row],[Age]]&gt;60,"60+",IF(HR_Employee_Attrition[[#This Row],[Age]]&gt;=50,"50-59",IF(HR_Employee_Attrition[[#This Row],[Age]]&gt;=40,"40-49",IF(HR_Employee_Attrition[[#This Row],[Age]]&gt;=30,"30-39",IF(HR_Employee_Attrition[[#This Row],[Age]]&gt;=20,"20-29",IF(HR_Employee_Attrition[[#This Row],[Age]]&gt;=18,"18-20"))))))</f>
        <v>50-59</v>
      </c>
      <c r="AK281" t="str" cm="1">
        <f t="array" ref="AK281">_xlfn.IFS(HR_Employee_Attrition[[#This Row],[YearsAtCompany]]&lt;=2,"0-2",HR_Employee_Attrition[[#This Row],[YearsAtCompany]]&lt;=5,"3-5",HR_Employee_Attrition[[#This Row],[YearsAtCompany]]&lt;=10,"6-10",HR_Employee_Attrition[[#This Row],[YearsAtCompany]]&gt;10,"10+")</f>
        <v>6-10</v>
      </c>
      <c r="AL281" t="str" cm="1">
        <f t="array" ref="AL28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281">
        <f>IF(HR_Employee_Attrition[[#This Row],[Attrition]]="Yes",1,0)</f>
        <v>0</v>
      </c>
    </row>
    <row r="282" spans="1:39"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IF(HR_Employee_Attrition[[#This Row],[Age]]&gt;60,"60+",IF(HR_Employee_Attrition[[#This Row],[Age]]&gt;=50,"50-59",IF(HR_Employee_Attrition[[#This Row],[Age]]&gt;=40,"40-49",IF(HR_Employee_Attrition[[#This Row],[Age]]&gt;=30,"30-39",IF(HR_Employee_Attrition[[#This Row],[Age]]&gt;=20,"20-29",IF(HR_Employee_Attrition[[#This Row],[Age]]&gt;=18,"18-20"))))))</f>
        <v>50-59</v>
      </c>
      <c r="AK282" t="str" cm="1">
        <f t="array" ref="AK282">_xlfn.IFS(HR_Employee_Attrition[[#This Row],[YearsAtCompany]]&lt;=2,"0-2",HR_Employee_Attrition[[#This Row],[YearsAtCompany]]&lt;=5,"3-5",HR_Employee_Attrition[[#This Row],[YearsAtCompany]]&lt;=10,"6-10",HR_Employee_Attrition[[#This Row],[YearsAtCompany]]&gt;10,"10+")</f>
        <v>3-5</v>
      </c>
      <c r="AL282" t="str" cm="1">
        <f t="array" ref="AL28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282">
        <f>IF(HR_Employee_Attrition[[#This Row],[Attrition]]="Yes",1,0)</f>
        <v>0</v>
      </c>
    </row>
    <row r="283" spans="1:39"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IF(HR_Employee_Attrition[[#This Row],[Age]]&gt;60,"60+",IF(HR_Employee_Attrition[[#This Row],[Age]]&gt;=50,"50-59",IF(HR_Employee_Attrition[[#This Row],[Age]]&gt;=40,"40-49",IF(HR_Employee_Attrition[[#This Row],[Age]]&gt;=30,"30-39",IF(HR_Employee_Attrition[[#This Row],[Age]]&gt;=20,"20-29",IF(HR_Employee_Attrition[[#This Row],[Age]]&gt;=18,"18-20"))))))</f>
        <v>40-49</v>
      </c>
      <c r="AK283" t="str" cm="1">
        <f t="array" ref="AK283">_xlfn.IFS(HR_Employee_Attrition[[#This Row],[YearsAtCompany]]&lt;=2,"0-2",HR_Employee_Attrition[[#This Row],[YearsAtCompany]]&lt;=5,"3-5",HR_Employee_Attrition[[#This Row],[YearsAtCompany]]&lt;=10,"6-10",HR_Employee_Attrition[[#This Row],[YearsAtCompany]]&gt;10,"10+")</f>
        <v>10+</v>
      </c>
      <c r="AL283" t="str" cm="1">
        <f t="array" ref="AL28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83">
        <f>IF(HR_Employee_Attrition[[#This Row],[Attrition]]="Yes",1,0)</f>
        <v>0</v>
      </c>
    </row>
    <row r="284" spans="1:39"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IF(HR_Employee_Attrition[[#This Row],[Age]]&gt;60,"60+",IF(HR_Employee_Attrition[[#This Row],[Age]]&gt;=50,"50-59",IF(HR_Employee_Attrition[[#This Row],[Age]]&gt;=40,"40-49",IF(HR_Employee_Attrition[[#This Row],[Age]]&gt;=30,"30-39",IF(HR_Employee_Attrition[[#This Row],[Age]]&gt;=20,"20-29",IF(HR_Employee_Attrition[[#This Row],[Age]]&gt;=18,"18-20"))))))</f>
        <v>20-29</v>
      </c>
      <c r="AK284" t="str" cm="1">
        <f t="array" ref="AK284">_xlfn.IFS(HR_Employee_Attrition[[#This Row],[YearsAtCompany]]&lt;=2,"0-2",HR_Employee_Attrition[[#This Row],[YearsAtCompany]]&lt;=5,"3-5",HR_Employee_Attrition[[#This Row],[YearsAtCompany]]&lt;=10,"6-10",HR_Employee_Attrition[[#This Row],[YearsAtCompany]]&gt;10,"10+")</f>
        <v>6-10</v>
      </c>
      <c r="AL284" t="str" cm="1">
        <f t="array" ref="AL28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84">
        <f>IF(HR_Employee_Attrition[[#This Row],[Attrition]]="Yes",1,0)</f>
        <v>0</v>
      </c>
    </row>
    <row r="285" spans="1:39"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IF(HR_Employee_Attrition[[#This Row],[Age]]&gt;60,"60+",IF(HR_Employee_Attrition[[#This Row],[Age]]&gt;=50,"50-59",IF(HR_Employee_Attrition[[#This Row],[Age]]&gt;=40,"40-49",IF(HR_Employee_Attrition[[#This Row],[Age]]&gt;=30,"30-39",IF(HR_Employee_Attrition[[#This Row],[Age]]&gt;=20,"20-29",IF(HR_Employee_Attrition[[#This Row],[Age]]&gt;=18,"18-20"))))))</f>
        <v>50-59</v>
      </c>
      <c r="AK285" t="str" cm="1">
        <f t="array" ref="AK285">_xlfn.IFS(HR_Employee_Attrition[[#This Row],[YearsAtCompany]]&lt;=2,"0-2",HR_Employee_Attrition[[#This Row],[YearsAtCompany]]&lt;=5,"3-5",HR_Employee_Attrition[[#This Row],[YearsAtCompany]]&lt;=10,"6-10",HR_Employee_Attrition[[#This Row],[YearsAtCompany]]&gt;10,"10+")</f>
        <v>6-10</v>
      </c>
      <c r="AL285" t="str" cm="1">
        <f t="array" ref="AL28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85">
        <f>IF(HR_Employee_Attrition[[#This Row],[Attrition]]="Yes",1,0)</f>
        <v>0</v>
      </c>
    </row>
    <row r="286" spans="1:39"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IF(HR_Employee_Attrition[[#This Row],[Age]]&gt;60,"60+",IF(HR_Employee_Attrition[[#This Row],[Age]]&gt;=50,"50-59",IF(HR_Employee_Attrition[[#This Row],[Age]]&gt;=40,"40-49",IF(HR_Employee_Attrition[[#This Row],[Age]]&gt;=30,"30-39",IF(HR_Employee_Attrition[[#This Row],[Age]]&gt;=20,"20-29",IF(HR_Employee_Attrition[[#This Row],[Age]]&gt;=18,"18-20"))))))</f>
        <v>20-29</v>
      </c>
      <c r="AK286" t="str" cm="1">
        <f t="array" ref="AK286">_xlfn.IFS(HR_Employee_Attrition[[#This Row],[YearsAtCompany]]&lt;=2,"0-2",HR_Employee_Attrition[[#This Row],[YearsAtCompany]]&lt;=5,"3-5",HR_Employee_Attrition[[#This Row],[YearsAtCompany]]&lt;=10,"6-10",HR_Employee_Attrition[[#This Row],[YearsAtCompany]]&gt;10,"10+")</f>
        <v>3-5</v>
      </c>
      <c r="AL286" t="str" cm="1">
        <f t="array" ref="AL28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86">
        <f>IF(HR_Employee_Attrition[[#This Row],[Attrition]]="Yes",1,0)</f>
        <v>0</v>
      </c>
    </row>
    <row r="287" spans="1:39"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IF(HR_Employee_Attrition[[#This Row],[Age]]&gt;60,"60+",IF(HR_Employee_Attrition[[#This Row],[Age]]&gt;=50,"50-59",IF(HR_Employee_Attrition[[#This Row],[Age]]&gt;=40,"40-49",IF(HR_Employee_Attrition[[#This Row],[Age]]&gt;=30,"30-39",IF(HR_Employee_Attrition[[#This Row],[Age]]&gt;=20,"20-29",IF(HR_Employee_Attrition[[#This Row],[Age]]&gt;=18,"18-20"))))))</f>
        <v>30-39</v>
      </c>
      <c r="AK287" t="str" cm="1">
        <f t="array" ref="AK287">_xlfn.IFS(HR_Employee_Attrition[[#This Row],[YearsAtCompany]]&lt;=2,"0-2",HR_Employee_Attrition[[#This Row],[YearsAtCompany]]&lt;=5,"3-5",HR_Employee_Attrition[[#This Row],[YearsAtCompany]]&lt;=10,"6-10",HR_Employee_Attrition[[#This Row],[YearsAtCompany]]&gt;10,"10+")</f>
        <v>10+</v>
      </c>
      <c r="AL287" t="str" cm="1">
        <f t="array" ref="AL28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87">
        <f>IF(HR_Employee_Attrition[[#This Row],[Attrition]]="Yes",1,0)</f>
        <v>0</v>
      </c>
    </row>
    <row r="288" spans="1:39"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IF(HR_Employee_Attrition[[#This Row],[Age]]&gt;60,"60+",IF(HR_Employee_Attrition[[#This Row],[Age]]&gt;=50,"50-59",IF(HR_Employee_Attrition[[#This Row],[Age]]&gt;=40,"40-49",IF(HR_Employee_Attrition[[#This Row],[Age]]&gt;=30,"30-39",IF(HR_Employee_Attrition[[#This Row],[Age]]&gt;=20,"20-29",IF(HR_Employee_Attrition[[#This Row],[Age]]&gt;=18,"18-20"))))))</f>
        <v>40-49</v>
      </c>
      <c r="AK288" t="str" cm="1">
        <f t="array" ref="AK288">_xlfn.IFS(HR_Employee_Attrition[[#This Row],[YearsAtCompany]]&lt;=2,"0-2",HR_Employee_Attrition[[#This Row],[YearsAtCompany]]&lt;=5,"3-5",HR_Employee_Attrition[[#This Row],[YearsAtCompany]]&lt;=10,"6-10",HR_Employee_Attrition[[#This Row],[YearsAtCompany]]&gt;10,"10+")</f>
        <v>0-2</v>
      </c>
      <c r="AL288" t="str" cm="1">
        <f t="array" ref="AL28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88">
        <f>IF(HR_Employee_Attrition[[#This Row],[Attrition]]="Yes",1,0)</f>
        <v>1</v>
      </c>
    </row>
    <row r="289" spans="1:39"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IF(HR_Employee_Attrition[[#This Row],[Age]]&gt;60,"60+",IF(HR_Employee_Attrition[[#This Row],[Age]]&gt;=50,"50-59",IF(HR_Employee_Attrition[[#This Row],[Age]]&gt;=40,"40-49",IF(HR_Employee_Attrition[[#This Row],[Age]]&gt;=30,"30-39",IF(HR_Employee_Attrition[[#This Row],[Age]]&gt;=20,"20-29",IF(HR_Employee_Attrition[[#This Row],[Age]]&gt;=18,"18-20"))))))</f>
        <v>30-39</v>
      </c>
      <c r="AK289" t="str" cm="1">
        <f t="array" ref="AK289">_xlfn.IFS(HR_Employee_Attrition[[#This Row],[YearsAtCompany]]&lt;=2,"0-2",HR_Employee_Attrition[[#This Row],[YearsAtCompany]]&lt;=5,"3-5",HR_Employee_Attrition[[#This Row],[YearsAtCompany]]&lt;=10,"6-10",HR_Employee_Attrition[[#This Row],[YearsAtCompany]]&gt;10,"10+")</f>
        <v>0-2</v>
      </c>
      <c r="AL289" t="str" cm="1">
        <f t="array" ref="AL28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89">
        <f>IF(HR_Employee_Attrition[[#This Row],[Attrition]]="Yes",1,0)</f>
        <v>0</v>
      </c>
    </row>
    <row r="290" spans="1:39"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IF(HR_Employee_Attrition[[#This Row],[Age]]&gt;60,"60+",IF(HR_Employee_Attrition[[#This Row],[Age]]&gt;=50,"50-59",IF(HR_Employee_Attrition[[#This Row],[Age]]&gt;=40,"40-49",IF(HR_Employee_Attrition[[#This Row],[Age]]&gt;=30,"30-39",IF(HR_Employee_Attrition[[#This Row],[Age]]&gt;=20,"20-29",IF(HR_Employee_Attrition[[#This Row],[Age]]&gt;=18,"18-20"))))))</f>
        <v>20-29</v>
      </c>
      <c r="AK290" t="str" cm="1">
        <f t="array" ref="AK290">_xlfn.IFS(HR_Employee_Attrition[[#This Row],[YearsAtCompany]]&lt;=2,"0-2",HR_Employee_Attrition[[#This Row],[YearsAtCompany]]&lt;=5,"3-5",HR_Employee_Attrition[[#This Row],[YearsAtCompany]]&lt;=10,"6-10",HR_Employee_Attrition[[#This Row],[YearsAtCompany]]&gt;10,"10+")</f>
        <v>3-5</v>
      </c>
      <c r="AL290" t="str" cm="1">
        <f t="array" ref="AL29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90">
        <f>IF(HR_Employee_Attrition[[#This Row],[Attrition]]="Yes",1,0)</f>
        <v>1</v>
      </c>
    </row>
    <row r="291" spans="1:39"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IF(HR_Employee_Attrition[[#This Row],[Age]]&gt;60,"60+",IF(HR_Employee_Attrition[[#This Row],[Age]]&gt;=50,"50-59",IF(HR_Employee_Attrition[[#This Row],[Age]]&gt;=40,"40-49",IF(HR_Employee_Attrition[[#This Row],[Age]]&gt;=30,"30-39",IF(HR_Employee_Attrition[[#This Row],[Age]]&gt;=20,"20-29",IF(HR_Employee_Attrition[[#This Row],[Age]]&gt;=18,"18-20"))))))</f>
        <v>20-29</v>
      </c>
      <c r="AK291" t="str" cm="1">
        <f t="array" ref="AK291">_xlfn.IFS(HR_Employee_Attrition[[#This Row],[YearsAtCompany]]&lt;=2,"0-2",HR_Employee_Attrition[[#This Row],[YearsAtCompany]]&lt;=5,"3-5",HR_Employee_Attrition[[#This Row],[YearsAtCompany]]&lt;=10,"6-10",HR_Employee_Attrition[[#This Row],[YearsAtCompany]]&gt;10,"10+")</f>
        <v>3-5</v>
      </c>
      <c r="AL291" t="str" cm="1">
        <f t="array" ref="AL29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91">
        <f>IF(HR_Employee_Attrition[[#This Row],[Attrition]]="Yes",1,0)</f>
        <v>0</v>
      </c>
    </row>
    <row r="292" spans="1:39"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IF(HR_Employee_Attrition[[#This Row],[Age]]&gt;60,"60+",IF(HR_Employee_Attrition[[#This Row],[Age]]&gt;=50,"50-59",IF(HR_Employee_Attrition[[#This Row],[Age]]&gt;=40,"40-49",IF(HR_Employee_Attrition[[#This Row],[Age]]&gt;=30,"30-39",IF(HR_Employee_Attrition[[#This Row],[Age]]&gt;=20,"20-29",IF(HR_Employee_Attrition[[#This Row],[Age]]&gt;=18,"18-20"))))))</f>
        <v>40-49</v>
      </c>
      <c r="AK292" t="str" cm="1">
        <f t="array" ref="AK292">_xlfn.IFS(HR_Employee_Attrition[[#This Row],[YearsAtCompany]]&lt;=2,"0-2",HR_Employee_Attrition[[#This Row],[YearsAtCompany]]&lt;=5,"3-5",HR_Employee_Attrition[[#This Row],[YearsAtCompany]]&lt;=10,"6-10",HR_Employee_Attrition[[#This Row],[YearsAtCompany]]&gt;10,"10+")</f>
        <v>3-5</v>
      </c>
      <c r="AL292" t="str" cm="1">
        <f t="array" ref="AL29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292">
        <f>IF(HR_Employee_Attrition[[#This Row],[Attrition]]="Yes",1,0)</f>
        <v>0</v>
      </c>
    </row>
    <row r="293" spans="1:39"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IF(HR_Employee_Attrition[[#This Row],[Age]]&gt;60,"60+",IF(HR_Employee_Attrition[[#This Row],[Age]]&gt;=50,"50-59",IF(HR_Employee_Attrition[[#This Row],[Age]]&gt;=40,"40-49",IF(HR_Employee_Attrition[[#This Row],[Age]]&gt;=30,"30-39",IF(HR_Employee_Attrition[[#This Row],[Age]]&gt;=20,"20-29",IF(HR_Employee_Attrition[[#This Row],[Age]]&gt;=18,"18-20"))))))</f>
        <v>30-39</v>
      </c>
      <c r="AK293" t="str" cm="1">
        <f t="array" ref="AK293">_xlfn.IFS(HR_Employee_Attrition[[#This Row],[YearsAtCompany]]&lt;=2,"0-2",HR_Employee_Attrition[[#This Row],[YearsAtCompany]]&lt;=5,"3-5",HR_Employee_Attrition[[#This Row],[YearsAtCompany]]&lt;=10,"6-10",HR_Employee_Attrition[[#This Row],[YearsAtCompany]]&gt;10,"10+")</f>
        <v>6-10</v>
      </c>
      <c r="AL293" t="str" cm="1">
        <f t="array" ref="AL29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93">
        <f>IF(HR_Employee_Attrition[[#This Row],[Attrition]]="Yes",1,0)</f>
        <v>0</v>
      </c>
    </row>
    <row r="294" spans="1:39"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IF(HR_Employee_Attrition[[#This Row],[Age]]&gt;60,"60+",IF(HR_Employee_Attrition[[#This Row],[Age]]&gt;=50,"50-59",IF(HR_Employee_Attrition[[#This Row],[Age]]&gt;=40,"40-49",IF(HR_Employee_Attrition[[#This Row],[Age]]&gt;=30,"30-39",IF(HR_Employee_Attrition[[#This Row],[Age]]&gt;=20,"20-29",IF(HR_Employee_Attrition[[#This Row],[Age]]&gt;=18,"18-20"))))))</f>
        <v>30-39</v>
      </c>
      <c r="AK294" t="str" cm="1">
        <f t="array" ref="AK294">_xlfn.IFS(HR_Employee_Attrition[[#This Row],[YearsAtCompany]]&lt;=2,"0-2",HR_Employee_Attrition[[#This Row],[YearsAtCompany]]&lt;=5,"3-5",HR_Employee_Attrition[[#This Row],[YearsAtCompany]]&lt;=10,"6-10",HR_Employee_Attrition[[#This Row],[YearsAtCompany]]&gt;10,"10+")</f>
        <v>0-2</v>
      </c>
      <c r="AL294" t="str" cm="1">
        <f t="array" ref="AL29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94">
        <f>IF(HR_Employee_Attrition[[#This Row],[Attrition]]="Yes",1,0)</f>
        <v>0</v>
      </c>
    </row>
    <row r="295" spans="1:39"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IF(HR_Employee_Attrition[[#This Row],[Age]]&gt;60,"60+",IF(HR_Employee_Attrition[[#This Row],[Age]]&gt;=50,"50-59",IF(HR_Employee_Attrition[[#This Row],[Age]]&gt;=40,"40-49",IF(HR_Employee_Attrition[[#This Row],[Age]]&gt;=30,"30-39",IF(HR_Employee_Attrition[[#This Row],[Age]]&gt;=20,"20-29",IF(HR_Employee_Attrition[[#This Row],[Age]]&gt;=18,"18-20"))))))</f>
        <v>20-29</v>
      </c>
      <c r="AK295" t="str" cm="1">
        <f t="array" ref="AK295">_xlfn.IFS(HR_Employee_Attrition[[#This Row],[YearsAtCompany]]&lt;=2,"0-2",HR_Employee_Attrition[[#This Row],[YearsAtCompany]]&lt;=5,"3-5",HR_Employee_Attrition[[#This Row],[YearsAtCompany]]&lt;=10,"6-10",HR_Employee_Attrition[[#This Row],[YearsAtCompany]]&gt;10,"10+")</f>
        <v>6-10</v>
      </c>
      <c r="AL295" t="str" cm="1">
        <f t="array" ref="AL29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95">
        <f>IF(HR_Employee_Attrition[[#This Row],[Attrition]]="Yes",1,0)</f>
        <v>1</v>
      </c>
    </row>
    <row r="296" spans="1:39"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IF(HR_Employee_Attrition[[#This Row],[Age]]&gt;60,"60+",IF(HR_Employee_Attrition[[#This Row],[Age]]&gt;=50,"50-59",IF(HR_Employee_Attrition[[#This Row],[Age]]&gt;=40,"40-49",IF(HR_Employee_Attrition[[#This Row],[Age]]&gt;=30,"30-39",IF(HR_Employee_Attrition[[#This Row],[Age]]&gt;=20,"20-29",IF(HR_Employee_Attrition[[#This Row],[Age]]&gt;=18,"18-20"))))))</f>
        <v>30-39</v>
      </c>
      <c r="AK296" t="str" cm="1">
        <f t="array" ref="AK296">_xlfn.IFS(HR_Employee_Attrition[[#This Row],[YearsAtCompany]]&lt;=2,"0-2",HR_Employee_Attrition[[#This Row],[YearsAtCompany]]&lt;=5,"3-5",HR_Employee_Attrition[[#This Row],[YearsAtCompany]]&lt;=10,"6-10",HR_Employee_Attrition[[#This Row],[YearsAtCompany]]&gt;10,"10+")</f>
        <v>3-5</v>
      </c>
      <c r="AL296" t="str" cm="1">
        <f t="array" ref="AL29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96">
        <f>IF(HR_Employee_Attrition[[#This Row],[Attrition]]="Yes",1,0)</f>
        <v>0</v>
      </c>
    </row>
    <row r="297" spans="1:39"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IF(HR_Employee_Attrition[[#This Row],[Age]]&gt;60,"60+",IF(HR_Employee_Attrition[[#This Row],[Age]]&gt;=50,"50-59",IF(HR_Employee_Attrition[[#This Row],[Age]]&gt;=40,"40-49",IF(HR_Employee_Attrition[[#This Row],[Age]]&gt;=30,"30-39",IF(HR_Employee_Attrition[[#This Row],[Age]]&gt;=20,"20-29",IF(HR_Employee_Attrition[[#This Row],[Age]]&gt;=18,"18-20"))))))</f>
        <v>40-49</v>
      </c>
      <c r="AK297" t="str" cm="1">
        <f t="array" ref="AK297">_xlfn.IFS(HR_Employee_Attrition[[#This Row],[YearsAtCompany]]&lt;=2,"0-2",HR_Employee_Attrition[[#This Row],[YearsAtCompany]]&lt;=5,"3-5",HR_Employee_Attrition[[#This Row],[YearsAtCompany]]&lt;=10,"6-10",HR_Employee_Attrition[[#This Row],[YearsAtCompany]]&gt;10,"10+")</f>
        <v>10+</v>
      </c>
      <c r="AL297" t="str" cm="1">
        <f t="array" ref="AL29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297">
        <f>IF(HR_Employee_Attrition[[#This Row],[Attrition]]="Yes",1,0)</f>
        <v>0</v>
      </c>
    </row>
    <row r="298" spans="1:39"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IF(HR_Employee_Attrition[[#This Row],[Age]]&gt;60,"60+",IF(HR_Employee_Attrition[[#This Row],[Age]]&gt;=50,"50-59",IF(HR_Employee_Attrition[[#This Row],[Age]]&gt;=40,"40-49",IF(HR_Employee_Attrition[[#This Row],[Age]]&gt;=30,"30-39",IF(HR_Employee_Attrition[[#This Row],[Age]]&gt;=20,"20-29",IF(HR_Employee_Attrition[[#This Row],[Age]]&gt;=18,"18-20"))))))</f>
        <v>18-20</v>
      </c>
      <c r="AK298" t="str" cm="1">
        <f t="array" ref="AK298">_xlfn.IFS(HR_Employee_Attrition[[#This Row],[YearsAtCompany]]&lt;=2,"0-2",HR_Employee_Attrition[[#This Row],[YearsAtCompany]]&lt;=5,"3-5",HR_Employee_Attrition[[#This Row],[YearsAtCompany]]&lt;=10,"6-10",HR_Employee_Attrition[[#This Row],[YearsAtCompany]]&gt;10,"10+")</f>
        <v>0-2</v>
      </c>
      <c r="AL298" t="str" cm="1">
        <f t="array" ref="AL29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298">
        <f>IF(HR_Employee_Attrition[[#This Row],[Attrition]]="Yes",1,0)</f>
        <v>1</v>
      </c>
    </row>
    <row r="299" spans="1:39"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IF(HR_Employee_Attrition[[#This Row],[Age]]&gt;60,"60+",IF(HR_Employee_Attrition[[#This Row],[Age]]&gt;=50,"50-59",IF(HR_Employee_Attrition[[#This Row],[Age]]&gt;=40,"40-49",IF(HR_Employee_Attrition[[#This Row],[Age]]&gt;=30,"30-39",IF(HR_Employee_Attrition[[#This Row],[Age]]&gt;=20,"20-29",IF(HR_Employee_Attrition[[#This Row],[Age]]&gt;=18,"18-20"))))))</f>
        <v>30-39</v>
      </c>
      <c r="AK299" t="str" cm="1">
        <f t="array" ref="AK299">_xlfn.IFS(HR_Employee_Attrition[[#This Row],[YearsAtCompany]]&lt;=2,"0-2",HR_Employee_Attrition[[#This Row],[YearsAtCompany]]&lt;=5,"3-5",HR_Employee_Attrition[[#This Row],[YearsAtCompany]]&lt;=10,"6-10",HR_Employee_Attrition[[#This Row],[YearsAtCompany]]&gt;10,"10+")</f>
        <v>10+</v>
      </c>
      <c r="AL299" t="str" cm="1">
        <f t="array" ref="AL29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299">
        <f>IF(HR_Employee_Attrition[[#This Row],[Attrition]]="Yes",1,0)</f>
        <v>0</v>
      </c>
    </row>
    <row r="300" spans="1:39"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IF(HR_Employee_Attrition[[#This Row],[Age]]&gt;60,"60+",IF(HR_Employee_Attrition[[#This Row],[Age]]&gt;=50,"50-59",IF(HR_Employee_Attrition[[#This Row],[Age]]&gt;=40,"40-49",IF(HR_Employee_Attrition[[#This Row],[Age]]&gt;=30,"30-39",IF(HR_Employee_Attrition[[#This Row],[Age]]&gt;=20,"20-29",IF(HR_Employee_Attrition[[#This Row],[Age]]&gt;=18,"18-20"))))))</f>
        <v>30-39</v>
      </c>
      <c r="AK300" t="str" cm="1">
        <f t="array" ref="AK300">_xlfn.IFS(HR_Employee_Attrition[[#This Row],[YearsAtCompany]]&lt;=2,"0-2",HR_Employee_Attrition[[#This Row],[YearsAtCompany]]&lt;=5,"3-5",HR_Employee_Attrition[[#This Row],[YearsAtCompany]]&lt;=10,"6-10",HR_Employee_Attrition[[#This Row],[YearsAtCompany]]&gt;10,"10+")</f>
        <v>0-2</v>
      </c>
      <c r="AL300" t="str" cm="1">
        <f t="array" ref="AL30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00">
        <f>IF(HR_Employee_Attrition[[#This Row],[Attrition]]="Yes",1,0)</f>
        <v>0</v>
      </c>
    </row>
    <row r="301" spans="1:39"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IF(HR_Employee_Attrition[[#This Row],[Age]]&gt;60,"60+",IF(HR_Employee_Attrition[[#This Row],[Age]]&gt;=50,"50-59",IF(HR_Employee_Attrition[[#This Row],[Age]]&gt;=40,"40-49",IF(HR_Employee_Attrition[[#This Row],[Age]]&gt;=30,"30-39",IF(HR_Employee_Attrition[[#This Row],[Age]]&gt;=20,"20-29",IF(HR_Employee_Attrition[[#This Row],[Age]]&gt;=18,"18-20"))))))</f>
        <v>50-59</v>
      </c>
      <c r="AK301" t="str" cm="1">
        <f t="array" ref="AK301">_xlfn.IFS(HR_Employee_Attrition[[#This Row],[YearsAtCompany]]&lt;=2,"0-2",HR_Employee_Attrition[[#This Row],[YearsAtCompany]]&lt;=5,"3-5",HR_Employee_Attrition[[#This Row],[YearsAtCompany]]&lt;=10,"6-10",HR_Employee_Attrition[[#This Row],[YearsAtCompany]]&gt;10,"10+")</f>
        <v>3-5</v>
      </c>
      <c r="AL301" t="str" cm="1">
        <f t="array" ref="AL30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01">
        <f>IF(HR_Employee_Attrition[[#This Row],[Attrition]]="Yes",1,0)</f>
        <v>0</v>
      </c>
    </row>
    <row r="302" spans="1:39"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IF(HR_Employee_Attrition[[#This Row],[Age]]&gt;60,"60+",IF(HR_Employee_Attrition[[#This Row],[Age]]&gt;=50,"50-59",IF(HR_Employee_Attrition[[#This Row],[Age]]&gt;=40,"40-49",IF(HR_Employee_Attrition[[#This Row],[Age]]&gt;=30,"30-39",IF(HR_Employee_Attrition[[#This Row],[Age]]&gt;=20,"20-29",IF(HR_Employee_Attrition[[#This Row],[Age]]&gt;=18,"18-20"))))))</f>
        <v>40-49</v>
      </c>
      <c r="AK302" t="str" cm="1">
        <f t="array" ref="AK302">_xlfn.IFS(HR_Employee_Attrition[[#This Row],[YearsAtCompany]]&lt;=2,"0-2",HR_Employee_Attrition[[#This Row],[YearsAtCompany]]&lt;=5,"3-5",HR_Employee_Attrition[[#This Row],[YearsAtCompany]]&lt;=10,"6-10",HR_Employee_Attrition[[#This Row],[YearsAtCompany]]&gt;10,"10+")</f>
        <v>10+</v>
      </c>
      <c r="AL302" t="str" cm="1">
        <f t="array" ref="AL30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302">
        <f>IF(HR_Employee_Attrition[[#This Row],[Attrition]]="Yes",1,0)</f>
        <v>0</v>
      </c>
    </row>
    <row r="303" spans="1:39"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IF(HR_Employee_Attrition[[#This Row],[Age]]&gt;60,"60+",IF(HR_Employee_Attrition[[#This Row],[Age]]&gt;=50,"50-59",IF(HR_Employee_Attrition[[#This Row],[Age]]&gt;=40,"40-49",IF(HR_Employee_Attrition[[#This Row],[Age]]&gt;=30,"30-39",IF(HR_Employee_Attrition[[#This Row],[Age]]&gt;=20,"20-29",IF(HR_Employee_Attrition[[#This Row],[Age]]&gt;=18,"18-20"))))))</f>
        <v>18-20</v>
      </c>
      <c r="AK303" t="str" cm="1">
        <f t="array" ref="AK303">_xlfn.IFS(HR_Employee_Attrition[[#This Row],[YearsAtCompany]]&lt;=2,"0-2",HR_Employee_Attrition[[#This Row],[YearsAtCompany]]&lt;=5,"3-5",HR_Employee_Attrition[[#This Row],[YearsAtCompany]]&lt;=10,"6-10",HR_Employee_Attrition[[#This Row],[YearsAtCompany]]&gt;10,"10+")</f>
        <v>0-2</v>
      </c>
      <c r="AL303" t="str" cm="1">
        <f t="array" ref="AL30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03">
        <f>IF(HR_Employee_Attrition[[#This Row],[Attrition]]="Yes",1,0)</f>
        <v>0</v>
      </c>
    </row>
    <row r="304" spans="1:39"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IF(HR_Employee_Attrition[[#This Row],[Age]]&gt;60,"60+",IF(HR_Employee_Attrition[[#This Row],[Age]]&gt;=50,"50-59",IF(HR_Employee_Attrition[[#This Row],[Age]]&gt;=40,"40-49",IF(HR_Employee_Attrition[[#This Row],[Age]]&gt;=30,"30-39",IF(HR_Employee_Attrition[[#This Row],[Age]]&gt;=20,"20-29",IF(HR_Employee_Attrition[[#This Row],[Age]]&gt;=18,"18-20"))))))</f>
        <v>20-29</v>
      </c>
      <c r="AK304" t="str" cm="1">
        <f t="array" ref="AK304">_xlfn.IFS(HR_Employee_Attrition[[#This Row],[YearsAtCompany]]&lt;=2,"0-2",HR_Employee_Attrition[[#This Row],[YearsAtCompany]]&lt;=5,"3-5",HR_Employee_Attrition[[#This Row],[YearsAtCompany]]&lt;=10,"6-10",HR_Employee_Attrition[[#This Row],[YearsAtCompany]]&gt;10,"10+")</f>
        <v>6-10</v>
      </c>
      <c r="AL304" t="str" cm="1">
        <f t="array" ref="AL30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04">
        <f>IF(HR_Employee_Attrition[[#This Row],[Attrition]]="Yes",1,0)</f>
        <v>0</v>
      </c>
    </row>
    <row r="305" spans="1:39"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IF(HR_Employee_Attrition[[#This Row],[Age]]&gt;60,"60+",IF(HR_Employee_Attrition[[#This Row],[Age]]&gt;=50,"50-59",IF(HR_Employee_Attrition[[#This Row],[Age]]&gt;=40,"40-49",IF(HR_Employee_Attrition[[#This Row],[Age]]&gt;=30,"30-39",IF(HR_Employee_Attrition[[#This Row],[Age]]&gt;=20,"20-29",IF(HR_Employee_Attrition[[#This Row],[Age]]&gt;=18,"18-20"))))))</f>
        <v>30-39</v>
      </c>
      <c r="AK305" t="str" cm="1">
        <f t="array" ref="AK305">_xlfn.IFS(HR_Employee_Attrition[[#This Row],[YearsAtCompany]]&lt;=2,"0-2",HR_Employee_Attrition[[#This Row],[YearsAtCompany]]&lt;=5,"3-5",HR_Employee_Attrition[[#This Row],[YearsAtCompany]]&lt;=10,"6-10",HR_Employee_Attrition[[#This Row],[YearsAtCompany]]&gt;10,"10+")</f>
        <v>6-10</v>
      </c>
      <c r="AL305" t="str" cm="1">
        <f t="array" ref="AL30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05">
        <f>IF(HR_Employee_Attrition[[#This Row],[Attrition]]="Yes",1,0)</f>
        <v>0</v>
      </c>
    </row>
    <row r="306" spans="1:39"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IF(HR_Employee_Attrition[[#This Row],[Age]]&gt;60,"60+",IF(HR_Employee_Attrition[[#This Row],[Age]]&gt;=50,"50-59",IF(HR_Employee_Attrition[[#This Row],[Age]]&gt;=40,"40-49",IF(HR_Employee_Attrition[[#This Row],[Age]]&gt;=30,"30-39",IF(HR_Employee_Attrition[[#This Row],[Age]]&gt;=20,"20-29",IF(HR_Employee_Attrition[[#This Row],[Age]]&gt;=18,"18-20"))))))</f>
        <v>30-39</v>
      </c>
      <c r="AK306" t="str" cm="1">
        <f t="array" ref="AK306">_xlfn.IFS(HR_Employee_Attrition[[#This Row],[YearsAtCompany]]&lt;=2,"0-2",HR_Employee_Attrition[[#This Row],[YearsAtCompany]]&lt;=5,"3-5",HR_Employee_Attrition[[#This Row],[YearsAtCompany]]&lt;=10,"6-10",HR_Employee_Attrition[[#This Row],[YearsAtCompany]]&gt;10,"10+")</f>
        <v>10+</v>
      </c>
      <c r="AL306" t="str" cm="1">
        <f t="array" ref="AL30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06">
        <f>IF(HR_Employee_Attrition[[#This Row],[Attrition]]="Yes",1,0)</f>
        <v>0</v>
      </c>
    </row>
    <row r="307" spans="1:39"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IF(HR_Employee_Attrition[[#This Row],[Age]]&gt;60,"60+",IF(HR_Employee_Attrition[[#This Row],[Age]]&gt;=50,"50-59",IF(HR_Employee_Attrition[[#This Row],[Age]]&gt;=40,"40-49",IF(HR_Employee_Attrition[[#This Row],[Age]]&gt;=30,"30-39",IF(HR_Employee_Attrition[[#This Row],[Age]]&gt;=20,"20-29",IF(HR_Employee_Attrition[[#This Row],[Age]]&gt;=18,"18-20"))))))</f>
        <v>30-39</v>
      </c>
      <c r="AK307" t="str" cm="1">
        <f t="array" ref="AK307">_xlfn.IFS(HR_Employee_Attrition[[#This Row],[YearsAtCompany]]&lt;=2,"0-2",HR_Employee_Attrition[[#This Row],[YearsAtCompany]]&lt;=5,"3-5",HR_Employee_Attrition[[#This Row],[YearsAtCompany]]&lt;=10,"6-10",HR_Employee_Attrition[[#This Row],[YearsAtCompany]]&gt;10,"10+")</f>
        <v>6-10</v>
      </c>
      <c r="AL307" t="str" cm="1">
        <f t="array" ref="AL30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07">
        <f>IF(HR_Employee_Attrition[[#This Row],[Attrition]]="Yes",1,0)</f>
        <v>0</v>
      </c>
    </row>
    <row r="308" spans="1:39"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IF(HR_Employee_Attrition[[#This Row],[Age]]&gt;60,"60+",IF(HR_Employee_Attrition[[#This Row],[Age]]&gt;=50,"50-59",IF(HR_Employee_Attrition[[#This Row],[Age]]&gt;=40,"40-49",IF(HR_Employee_Attrition[[#This Row],[Age]]&gt;=30,"30-39",IF(HR_Employee_Attrition[[#This Row],[Age]]&gt;=20,"20-29",IF(HR_Employee_Attrition[[#This Row],[Age]]&gt;=18,"18-20"))))))</f>
        <v>30-39</v>
      </c>
      <c r="AK308" t="str" cm="1">
        <f t="array" ref="AK308">_xlfn.IFS(HR_Employee_Attrition[[#This Row],[YearsAtCompany]]&lt;=2,"0-2",HR_Employee_Attrition[[#This Row],[YearsAtCompany]]&lt;=5,"3-5",HR_Employee_Attrition[[#This Row],[YearsAtCompany]]&lt;=10,"6-10",HR_Employee_Attrition[[#This Row],[YearsAtCompany]]&gt;10,"10+")</f>
        <v>10+</v>
      </c>
      <c r="AL308" t="str" cm="1">
        <f t="array" ref="AL30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08">
        <f>IF(HR_Employee_Attrition[[#This Row],[Attrition]]="Yes",1,0)</f>
        <v>0</v>
      </c>
    </row>
    <row r="309" spans="1:39"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IF(HR_Employee_Attrition[[#This Row],[Age]]&gt;60,"60+",IF(HR_Employee_Attrition[[#This Row],[Age]]&gt;=50,"50-59",IF(HR_Employee_Attrition[[#This Row],[Age]]&gt;=40,"40-49",IF(HR_Employee_Attrition[[#This Row],[Age]]&gt;=30,"30-39",IF(HR_Employee_Attrition[[#This Row],[Age]]&gt;=20,"20-29",IF(HR_Employee_Attrition[[#This Row],[Age]]&gt;=18,"18-20"))))))</f>
        <v>30-39</v>
      </c>
      <c r="AK309" t="str" cm="1">
        <f t="array" ref="AK309">_xlfn.IFS(HR_Employee_Attrition[[#This Row],[YearsAtCompany]]&lt;=2,"0-2",HR_Employee_Attrition[[#This Row],[YearsAtCompany]]&lt;=5,"3-5",HR_Employee_Attrition[[#This Row],[YearsAtCompany]]&lt;=10,"6-10",HR_Employee_Attrition[[#This Row],[YearsAtCompany]]&gt;10,"10+")</f>
        <v>6-10</v>
      </c>
      <c r="AL309" t="str" cm="1">
        <f t="array" ref="AL30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309">
        <f>IF(HR_Employee_Attrition[[#This Row],[Attrition]]="Yes",1,0)</f>
        <v>0</v>
      </c>
    </row>
    <row r="310" spans="1:39"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IF(HR_Employee_Attrition[[#This Row],[Age]]&gt;60,"60+",IF(HR_Employee_Attrition[[#This Row],[Age]]&gt;=50,"50-59",IF(HR_Employee_Attrition[[#This Row],[Age]]&gt;=40,"40-49",IF(HR_Employee_Attrition[[#This Row],[Age]]&gt;=30,"30-39",IF(HR_Employee_Attrition[[#This Row],[Age]]&gt;=20,"20-29",IF(HR_Employee_Attrition[[#This Row],[Age]]&gt;=18,"18-20"))))))</f>
        <v>50-59</v>
      </c>
      <c r="AK310" t="str" cm="1">
        <f t="array" ref="AK310">_xlfn.IFS(HR_Employee_Attrition[[#This Row],[YearsAtCompany]]&lt;=2,"0-2",HR_Employee_Attrition[[#This Row],[YearsAtCompany]]&lt;=5,"3-5",HR_Employee_Attrition[[#This Row],[YearsAtCompany]]&lt;=10,"6-10",HR_Employee_Attrition[[#This Row],[YearsAtCompany]]&gt;10,"10+")</f>
        <v>3-5</v>
      </c>
      <c r="AL310" t="str" cm="1">
        <f t="array" ref="AL3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10">
        <f>IF(HR_Employee_Attrition[[#This Row],[Attrition]]="Yes",1,0)</f>
        <v>0</v>
      </c>
    </row>
    <row r="311" spans="1:39"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IF(HR_Employee_Attrition[[#This Row],[Age]]&gt;60,"60+",IF(HR_Employee_Attrition[[#This Row],[Age]]&gt;=50,"50-59",IF(HR_Employee_Attrition[[#This Row],[Age]]&gt;=40,"40-49",IF(HR_Employee_Attrition[[#This Row],[Age]]&gt;=30,"30-39",IF(HR_Employee_Attrition[[#This Row],[Age]]&gt;=20,"20-29",IF(HR_Employee_Attrition[[#This Row],[Age]]&gt;=18,"18-20"))))))</f>
        <v>30-39</v>
      </c>
      <c r="AK311" t="str" cm="1">
        <f t="array" ref="AK311">_xlfn.IFS(HR_Employee_Attrition[[#This Row],[YearsAtCompany]]&lt;=2,"0-2",HR_Employee_Attrition[[#This Row],[YearsAtCompany]]&lt;=5,"3-5",HR_Employee_Attrition[[#This Row],[YearsAtCompany]]&lt;=10,"6-10",HR_Employee_Attrition[[#This Row],[YearsAtCompany]]&gt;10,"10+")</f>
        <v>3-5</v>
      </c>
      <c r="AL311" t="str" cm="1">
        <f t="array" ref="AL3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11">
        <f>IF(HR_Employee_Attrition[[#This Row],[Attrition]]="Yes",1,0)</f>
        <v>0</v>
      </c>
    </row>
    <row r="312" spans="1:39"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IF(HR_Employee_Attrition[[#This Row],[Age]]&gt;60,"60+",IF(HR_Employee_Attrition[[#This Row],[Age]]&gt;=50,"50-59",IF(HR_Employee_Attrition[[#This Row],[Age]]&gt;=40,"40-49",IF(HR_Employee_Attrition[[#This Row],[Age]]&gt;=30,"30-39",IF(HR_Employee_Attrition[[#This Row],[Age]]&gt;=20,"20-29",IF(HR_Employee_Attrition[[#This Row],[Age]]&gt;=18,"18-20"))))))</f>
        <v>30-39</v>
      </c>
      <c r="AK312" t="str" cm="1">
        <f t="array" ref="AK312">_xlfn.IFS(HR_Employee_Attrition[[#This Row],[YearsAtCompany]]&lt;=2,"0-2",HR_Employee_Attrition[[#This Row],[YearsAtCompany]]&lt;=5,"3-5",HR_Employee_Attrition[[#This Row],[YearsAtCompany]]&lt;=10,"6-10",HR_Employee_Attrition[[#This Row],[YearsAtCompany]]&gt;10,"10+")</f>
        <v>0-2</v>
      </c>
      <c r="AL312" t="str" cm="1">
        <f t="array" ref="AL3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12">
        <f>IF(HR_Employee_Attrition[[#This Row],[Attrition]]="Yes",1,0)</f>
        <v>0</v>
      </c>
    </row>
    <row r="313" spans="1:39"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IF(HR_Employee_Attrition[[#This Row],[Age]]&gt;60,"60+",IF(HR_Employee_Attrition[[#This Row],[Age]]&gt;=50,"50-59",IF(HR_Employee_Attrition[[#This Row],[Age]]&gt;=40,"40-49",IF(HR_Employee_Attrition[[#This Row],[Age]]&gt;=30,"30-39",IF(HR_Employee_Attrition[[#This Row],[Age]]&gt;=20,"20-29",IF(HR_Employee_Attrition[[#This Row],[Age]]&gt;=18,"18-20"))))))</f>
        <v>40-49</v>
      </c>
      <c r="AK313" t="str" cm="1">
        <f t="array" ref="AK313">_xlfn.IFS(HR_Employee_Attrition[[#This Row],[YearsAtCompany]]&lt;=2,"0-2",HR_Employee_Attrition[[#This Row],[YearsAtCompany]]&lt;=5,"3-5",HR_Employee_Attrition[[#This Row],[YearsAtCompany]]&lt;=10,"6-10",HR_Employee_Attrition[[#This Row],[YearsAtCompany]]&gt;10,"10+")</f>
        <v>10+</v>
      </c>
      <c r="AL313" t="str" cm="1">
        <f t="array" ref="AL3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13">
        <f>IF(HR_Employee_Attrition[[#This Row],[Attrition]]="Yes",1,0)</f>
        <v>0</v>
      </c>
    </row>
    <row r="314" spans="1:39"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IF(HR_Employee_Attrition[[#This Row],[Age]]&gt;60,"60+",IF(HR_Employee_Attrition[[#This Row],[Age]]&gt;=50,"50-59",IF(HR_Employee_Attrition[[#This Row],[Age]]&gt;=40,"40-49",IF(HR_Employee_Attrition[[#This Row],[Age]]&gt;=30,"30-39",IF(HR_Employee_Attrition[[#This Row],[Age]]&gt;=20,"20-29",IF(HR_Employee_Attrition[[#This Row],[Age]]&gt;=18,"18-20"))))))</f>
        <v>30-39</v>
      </c>
      <c r="AK314" t="str" cm="1">
        <f t="array" ref="AK314">_xlfn.IFS(HR_Employee_Attrition[[#This Row],[YearsAtCompany]]&lt;=2,"0-2",HR_Employee_Attrition[[#This Row],[YearsAtCompany]]&lt;=5,"3-5",HR_Employee_Attrition[[#This Row],[YearsAtCompany]]&lt;=10,"6-10",HR_Employee_Attrition[[#This Row],[YearsAtCompany]]&gt;10,"10+")</f>
        <v>0-2</v>
      </c>
      <c r="AL314" t="str" cm="1">
        <f t="array" ref="AL3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14">
        <f>IF(HR_Employee_Attrition[[#This Row],[Attrition]]="Yes",1,0)</f>
        <v>0</v>
      </c>
    </row>
    <row r="315" spans="1:39"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IF(HR_Employee_Attrition[[#This Row],[Age]]&gt;60,"60+",IF(HR_Employee_Attrition[[#This Row],[Age]]&gt;=50,"50-59",IF(HR_Employee_Attrition[[#This Row],[Age]]&gt;=40,"40-49",IF(HR_Employee_Attrition[[#This Row],[Age]]&gt;=30,"30-39",IF(HR_Employee_Attrition[[#This Row],[Age]]&gt;=20,"20-29",IF(HR_Employee_Attrition[[#This Row],[Age]]&gt;=18,"18-20"))))))</f>
        <v>30-39</v>
      </c>
      <c r="AK315" t="str" cm="1">
        <f t="array" ref="AK315">_xlfn.IFS(HR_Employee_Attrition[[#This Row],[YearsAtCompany]]&lt;=2,"0-2",HR_Employee_Attrition[[#This Row],[YearsAtCompany]]&lt;=5,"3-5",HR_Employee_Attrition[[#This Row],[YearsAtCompany]]&lt;=10,"6-10",HR_Employee_Attrition[[#This Row],[YearsAtCompany]]&gt;10,"10+")</f>
        <v>6-10</v>
      </c>
      <c r="AL315" t="str" cm="1">
        <f t="array" ref="AL3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315">
        <f>IF(HR_Employee_Attrition[[#This Row],[Attrition]]="Yes",1,0)</f>
        <v>0</v>
      </c>
    </row>
    <row r="316" spans="1:39"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IF(HR_Employee_Attrition[[#This Row],[Age]]&gt;60,"60+",IF(HR_Employee_Attrition[[#This Row],[Age]]&gt;=50,"50-59",IF(HR_Employee_Attrition[[#This Row],[Age]]&gt;=40,"40-49",IF(HR_Employee_Attrition[[#This Row],[Age]]&gt;=30,"30-39",IF(HR_Employee_Attrition[[#This Row],[Age]]&gt;=20,"20-29",IF(HR_Employee_Attrition[[#This Row],[Age]]&gt;=18,"18-20"))))))</f>
        <v>30-39</v>
      </c>
      <c r="AK316" t="str" cm="1">
        <f t="array" ref="AK316">_xlfn.IFS(HR_Employee_Attrition[[#This Row],[YearsAtCompany]]&lt;=2,"0-2",HR_Employee_Attrition[[#This Row],[YearsAtCompany]]&lt;=5,"3-5",HR_Employee_Attrition[[#This Row],[YearsAtCompany]]&lt;=10,"6-10",HR_Employee_Attrition[[#This Row],[YearsAtCompany]]&gt;10,"10+")</f>
        <v>10+</v>
      </c>
      <c r="AL316" t="str" cm="1">
        <f t="array" ref="AL3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316">
        <f>IF(HR_Employee_Attrition[[#This Row],[Attrition]]="Yes",1,0)</f>
        <v>0</v>
      </c>
    </row>
    <row r="317" spans="1:39"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IF(HR_Employee_Attrition[[#This Row],[Age]]&gt;60,"60+",IF(HR_Employee_Attrition[[#This Row],[Age]]&gt;=50,"50-59",IF(HR_Employee_Attrition[[#This Row],[Age]]&gt;=40,"40-49",IF(HR_Employee_Attrition[[#This Row],[Age]]&gt;=30,"30-39",IF(HR_Employee_Attrition[[#This Row],[Age]]&gt;=20,"20-29",IF(HR_Employee_Attrition[[#This Row],[Age]]&gt;=18,"18-20"))))))</f>
        <v>40-49</v>
      </c>
      <c r="AK317" t="str" cm="1">
        <f t="array" ref="AK317">_xlfn.IFS(HR_Employee_Attrition[[#This Row],[YearsAtCompany]]&lt;=2,"0-2",HR_Employee_Attrition[[#This Row],[YearsAtCompany]]&lt;=5,"3-5",HR_Employee_Attrition[[#This Row],[YearsAtCompany]]&lt;=10,"6-10",HR_Employee_Attrition[[#This Row],[YearsAtCompany]]&gt;10,"10+")</f>
        <v>6-10</v>
      </c>
      <c r="AL317" t="str" cm="1">
        <f t="array" ref="AL3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17">
        <f>IF(HR_Employee_Attrition[[#This Row],[Attrition]]="Yes",1,0)</f>
        <v>0</v>
      </c>
    </row>
    <row r="318" spans="1:39"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IF(HR_Employee_Attrition[[#This Row],[Age]]&gt;60,"60+",IF(HR_Employee_Attrition[[#This Row],[Age]]&gt;=50,"50-59",IF(HR_Employee_Attrition[[#This Row],[Age]]&gt;=40,"40-49",IF(HR_Employee_Attrition[[#This Row],[Age]]&gt;=30,"30-39",IF(HR_Employee_Attrition[[#This Row],[Age]]&gt;=20,"20-29",IF(HR_Employee_Attrition[[#This Row],[Age]]&gt;=18,"18-20"))))))</f>
        <v>40-49</v>
      </c>
      <c r="AK318" t="str" cm="1">
        <f t="array" ref="AK318">_xlfn.IFS(HR_Employee_Attrition[[#This Row],[YearsAtCompany]]&lt;=2,"0-2",HR_Employee_Attrition[[#This Row],[YearsAtCompany]]&lt;=5,"3-5",HR_Employee_Attrition[[#This Row],[YearsAtCompany]]&lt;=10,"6-10",HR_Employee_Attrition[[#This Row],[YearsAtCompany]]&gt;10,"10+")</f>
        <v>6-10</v>
      </c>
      <c r="AL318" t="str" cm="1">
        <f t="array" ref="AL3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318">
        <f>IF(HR_Employee_Attrition[[#This Row],[Attrition]]="Yes",1,0)</f>
        <v>0</v>
      </c>
    </row>
    <row r="319" spans="1:39"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IF(HR_Employee_Attrition[[#This Row],[Age]]&gt;60,"60+",IF(HR_Employee_Attrition[[#This Row],[Age]]&gt;=50,"50-59",IF(HR_Employee_Attrition[[#This Row],[Age]]&gt;=40,"40-49",IF(HR_Employee_Attrition[[#This Row],[Age]]&gt;=30,"30-39",IF(HR_Employee_Attrition[[#This Row],[Age]]&gt;=20,"20-29",IF(HR_Employee_Attrition[[#This Row],[Age]]&gt;=18,"18-20"))))))</f>
        <v>50-59</v>
      </c>
      <c r="AK319" t="str" cm="1">
        <f t="array" ref="AK319">_xlfn.IFS(HR_Employee_Attrition[[#This Row],[YearsAtCompany]]&lt;=2,"0-2",HR_Employee_Attrition[[#This Row],[YearsAtCompany]]&lt;=5,"3-5",HR_Employee_Attrition[[#This Row],[YearsAtCompany]]&lt;=10,"6-10",HR_Employee_Attrition[[#This Row],[YearsAtCompany]]&gt;10,"10+")</f>
        <v>6-10</v>
      </c>
      <c r="AL319" t="str" cm="1">
        <f t="array" ref="AL3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19">
        <f>IF(HR_Employee_Attrition[[#This Row],[Attrition]]="Yes",1,0)</f>
        <v>1</v>
      </c>
    </row>
    <row r="320" spans="1:39"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IF(HR_Employee_Attrition[[#This Row],[Age]]&gt;60,"60+",IF(HR_Employee_Attrition[[#This Row],[Age]]&gt;=50,"50-59",IF(HR_Employee_Attrition[[#This Row],[Age]]&gt;=40,"40-49",IF(HR_Employee_Attrition[[#This Row],[Age]]&gt;=30,"30-39",IF(HR_Employee_Attrition[[#This Row],[Age]]&gt;=20,"20-29",IF(HR_Employee_Attrition[[#This Row],[Age]]&gt;=18,"18-20"))))))</f>
        <v>20-29</v>
      </c>
      <c r="AK320" t="str" cm="1">
        <f t="array" ref="AK320">_xlfn.IFS(HR_Employee_Attrition[[#This Row],[YearsAtCompany]]&lt;=2,"0-2",HR_Employee_Attrition[[#This Row],[YearsAtCompany]]&lt;=5,"3-5",HR_Employee_Attrition[[#This Row],[YearsAtCompany]]&lt;=10,"6-10",HR_Employee_Attrition[[#This Row],[YearsAtCompany]]&gt;10,"10+")</f>
        <v>3-5</v>
      </c>
      <c r="AL320" t="str" cm="1">
        <f t="array" ref="AL3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20">
        <f>IF(HR_Employee_Attrition[[#This Row],[Attrition]]="Yes",1,0)</f>
        <v>0</v>
      </c>
    </row>
    <row r="321" spans="1:39"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IF(HR_Employee_Attrition[[#This Row],[Age]]&gt;60,"60+",IF(HR_Employee_Attrition[[#This Row],[Age]]&gt;=50,"50-59",IF(HR_Employee_Attrition[[#This Row],[Age]]&gt;=40,"40-49",IF(HR_Employee_Attrition[[#This Row],[Age]]&gt;=30,"30-39",IF(HR_Employee_Attrition[[#This Row],[Age]]&gt;=20,"20-29",IF(HR_Employee_Attrition[[#This Row],[Age]]&gt;=18,"18-20"))))))</f>
        <v>30-39</v>
      </c>
      <c r="AK321" t="str" cm="1">
        <f t="array" ref="AK321">_xlfn.IFS(HR_Employee_Attrition[[#This Row],[YearsAtCompany]]&lt;=2,"0-2",HR_Employee_Attrition[[#This Row],[YearsAtCompany]]&lt;=5,"3-5",HR_Employee_Attrition[[#This Row],[YearsAtCompany]]&lt;=10,"6-10",HR_Employee_Attrition[[#This Row],[YearsAtCompany]]&gt;10,"10+")</f>
        <v>10+</v>
      </c>
      <c r="AL321" t="str" cm="1">
        <f t="array" ref="AL3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21">
        <f>IF(HR_Employee_Attrition[[#This Row],[Attrition]]="Yes",1,0)</f>
        <v>0</v>
      </c>
    </row>
    <row r="322" spans="1:39"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IF(HR_Employee_Attrition[[#This Row],[Age]]&gt;60,"60+",IF(HR_Employee_Attrition[[#This Row],[Age]]&gt;=50,"50-59",IF(HR_Employee_Attrition[[#This Row],[Age]]&gt;=40,"40-49",IF(HR_Employee_Attrition[[#This Row],[Age]]&gt;=30,"30-39",IF(HR_Employee_Attrition[[#This Row],[Age]]&gt;=20,"20-29",IF(HR_Employee_Attrition[[#This Row],[Age]]&gt;=18,"18-20"))))))</f>
        <v>20-29</v>
      </c>
      <c r="AK322" t="str" cm="1">
        <f t="array" ref="AK322">_xlfn.IFS(HR_Employee_Attrition[[#This Row],[YearsAtCompany]]&lt;=2,"0-2",HR_Employee_Attrition[[#This Row],[YearsAtCompany]]&lt;=5,"3-5",HR_Employee_Attrition[[#This Row],[YearsAtCompany]]&lt;=10,"6-10",HR_Employee_Attrition[[#This Row],[YearsAtCompany]]&gt;10,"10+")</f>
        <v>3-5</v>
      </c>
      <c r="AL322" t="str" cm="1">
        <f t="array" ref="AL3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22">
        <f>IF(HR_Employee_Attrition[[#This Row],[Attrition]]="Yes",1,0)</f>
        <v>0</v>
      </c>
    </row>
    <row r="323" spans="1:39"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IF(HR_Employee_Attrition[[#This Row],[Age]]&gt;60,"60+",IF(HR_Employee_Attrition[[#This Row],[Age]]&gt;=50,"50-59",IF(HR_Employee_Attrition[[#This Row],[Age]]&gt;=40,"40-49",IF(HR_Employee_Attrition[[#This Row],[Age]]&gt;=30,"30-39",IF(HR_Employee_Attrition[[#This Row],[Age]]&gt;=20,"20-29",IF(HR_Employee_Attrition[[#This Row],[Age]]&gt;=18,"18-20"))))))</f>
        <v>30-39</v>
      </c>
      <c r="AK323" t="str" cm="1">
        <f t="array" ref="AK323">_xlfn.IFS(HR_Employee_Attrition[[#This Row],[YearsAtCompany]]&lt;=2,"0-2",HR_Employee_Attrition[[#This Row],[YearsAtCompany]]&lt;=5,"3-5",HR_Employee_Attrition[[#This Row],[YearsAtCompany]]&lt;=10,"6-10",HR_Employee_Attrition[[#This Row],[YearsAtCompany]]&gt;10,"10+")</f>
        <v>6-10</v>
      </c>
      <c r="AL323" t="str" cm="1">
        <f t="array" ref="AL3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23">
        <f>IF(HR_Employee_Attrition[[#This Row],[Attrition]]="Yes",1,0)</f>
        <v>0</v>
      </c>
    </row>
    <row r="324" spans="1:39"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IF(HR_Employee_Attrition[[#This Row],[Age]]&gt;60,"60+",IF(HR_Employee_Attrition[[#This Row],[Age]]&gt;=50,"50-59",IF(HR_Employee_Attrition[[#This Row],[Age]]&gt;=40,"40-49",IF(HR_Employee_Attrition[[#This Row],[Age]]&gt;=30,"30-39",IF(HR_Employee_Attrition[[#This Row],[Age]]&gt;=20,"20-29",IF(HR_Employee_Attrition[[#This Row],[Age]]&gt;=18,"18-20"))))))</f>
        <v>30-39</v>
      </c>
      <c r="AK324" t="str" cm="1">
        <f t="array" ref="AK324">_xlfn.IFS(HR_Employee_Attrition[[#This Row],[YearsAtCompany]]&lt;=2,"0-2",HR_Employee_Attrition[[#This Row],[YearsAtCompany]]&lt;=5,"3-5",HR_Employee_Attrition[[#This Row],[YearsAtCompany]]&lt;=10,"6-10",HR_Employee_Attrition[[#This Row],[YearsAtCompany]]&gt;10,"10+")</f>
        <v>6-10</v>
      </c>
      <c r="AL324" t="str" cm="1">
        <f t="array" ref="AL3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24">
        <f>IF(HR_Employee_Attrition[[#This Row],[Attrition]]="Yes",1,0)</f>
        <v>0</v>
      </c>
    </row>
    <row r="325" spans="1:39"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IF(HR_Employee_Attrition[[#This Row],[Age]]&gt;60,"60+",IF(HR_Employee_Attrition[[#This Row],[Age]]&gt;=50,"50-59",IF(HR_Employee_Attrition[[#This Row],[Age]]&gt;=40,"40-49",IF(HR_Employee_Attrition[[#This Row],[Age]]&gt;=30,"30-39",IF(HR_Employee_Attrition[[#This Row],[Age]]&gt;=20,"20-29",IF(HR_Employee_Attrition[[#This Row],[Age]]&gt;=18,"18-20"))))))</f>
        <v>20-29</v>
      </c>
      <c r="AK325" t="str" cm="1">
        <f t="array" ref="AK325">_xlfn.IFS(HR_Employee_Attrition[[#This Row],[YearsAtCompany]]&lt;=2,"0-2",HR_Employee_Attrition[[#This Row],[YearsAtCompany]]&lt;=5,"3-5",HR_Employee_Attrition[[#This Row],[YearsAtCompany]]&lt;=10,"6-10",HR_Employee_Attrition[[#This Row],[YearsAtCompany]]&gt;10,"10+")</f>
        <v>3-5</v>
      </c>
      <c r="AL325" t="str" cm="1">
        <f t="array" ref="AL3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25">
        <f>IF(HR_Employee_Attrition[[#This Row],[Attrition]]="Yes",1,0)</f>
        <v>1</v>
      </c>
    </row>
    <row r="326" spans="1:39"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IF(HR_Employee_Attrition[[#This Row],[Age]]&gt;60,"60+",IF(HR_Employee_Attrition[[#This Row],[Age]]&gt;=50,"50-59",IF(HR_Employee_Attrition[[#This Row],[Age]]&gt;=40,"40-49",IF(HR_Employee_Attrition[[#This Row],[Age]]&gt;=30,"30-39",IF(HR_Employee_Attrition[[#This Row],[Age]]&gt;=20,"20-29",IF(HR_Employee_Attrition[[#This Row],[Age]]&gt;=18,"18-20"))))))</f>
        <v>30-39</v>
      </c>
      <c r="AK326" t="str" cm="1">
        <f t="array" ref="AK326">_xlfn.IFS(HR_Employee_Attrition[[#This Row],[YearsAtCompany]]&lt;=2,"0-2",HR_Employee_Attrition[[#This Row],[YearsAtCompany]]&lt;=5,"3-5",HR_Employee_Attrition[[#This Row],[YearsAtCompany]]&lt;=10,"6-10",HR_Employee_Attrition[[#This Row],[YearsAtCompany]]&gt;10,"10+")</f>
        <v>6-10</v>
      </c>
      <c r="AL326" t="str" cm="1">
        <f t="array" ref="AL3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26">
        <f>IF(HR_Employee_Attrition[[#This Row],[Attrition]]="Yes",1,0)</f>
        <v>0</v>
      </c>
    </row>
    <row r="327" spans="1:39"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IF(HR_Employee_Attrition[[#This Row],[Age]]&gt;60,"60+",IF(HR_Employee_Attrition[[#This Row],[Age]]&gt;=50,"50-59",IF(HR_Employee_Attrition[[#This Row],[Age]]&gt;=40,"40-49",IF(HR_Employee_Attrition[[#This Row],[Age]]&gt;=30,"30-39",IF(HR_Employee_Attrition[[#This Row],[Age]]&gt;=20,"20-29",IF(HR_Employee_Attrition[[#This Row],[Age]]&gt;=18,"18-20"))))))</f>
        <v>30-39</v>
      </c>
      <c r="AK327" t="str" cm="1">
        <f t="array" ref="AK327">_xlfn.IFS(HR_Employee_Attrition[[#This Row],[YearsAtCompany]]&lt;=2,"0-2",HR_Employee_Attrition[[#This Row],[YearsAtCompany]]&lt;=5,"3-5",HR_Employee_Attrition[[#This Row],[YearsAtCompany]]&lt;=10,"6-10",HR_Employee_Attrition[[#This Row],[YearsAtCompany]]&gt;10,"10+")</f>
        <v>6-10</v>
      </c>
      <c r="AL327" t="str" cm="1">
        <f t="array" ref="AL3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27">
        <f>IF(HR_Employee_Attrition[[#This Row],[Attrition]]="Yes",1,0)</f>
        <v>0</v>
      </c>
    </row>
    <row r="328" spans="1:39"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IF(HR_Employee_Attrition[[#This Row],[Age]]&gt;60,"60+",IF(HR_Employee_Attrition[[#This Row],[Age]]&gt;=50,"50-59",IF(HR_Employee_Attrition[[#This Row],[Age]]&gt;=40,"40-49",IF(HR_Employee_Attrition[[#This Row],[Age]]&gt;=30,"30-39",IF(HR_Employee_Attrition[[#This Row],[Age]]&gt;=20,"20-29",IF(HR_Employee_Attrition[[#This Row],[Age]]&gt;=18,"18-20"))))))</f>
        <v>30-39</v>
      </c>
      <c r="AK328" t="str" cm="1">
        <f t="array" ref="AK328">_xlfn.IFS(HR_Employee_Attrition[[#This Row],[YearsAtCompany]]&lt;=2,"0-2",HR_Employee_Attrition[[#This Row],[YearsAtCompany]]&lt;=5,"3-5",HR_Employee_Attrition[[#This Row],[YearsAtCompany]]&lt;=10,"6-10",HR_Employee_Attrition[[#This Row],[YearsAtCompany]]&gt;10,"10+")</f>
        <v>10+</v>
      </c>
      <c r="AL328" t="str" cm="1">
        <f t="array" ref="AL3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328">
        <f>IF(HR_Employee_Attrition[[#This Row],[Attrition]]="Yes",1,0)</f>
        <v>0</v>
      </c>
    </row>
    <row r="329" spans="1:39"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IF(HR_Employee_Attrition[[#This Row],[Age]]&gt;60,"60+",IF(HR_Employee_Attrition[[#This Row],[Age]]&gt;=50,"50-59",IF(HR_Employee_Attrition[[#This Row],[Age]]&gt;=40,"40-49",IF(HR_Employee_Attrition[[#This Row],[Age]]&gt;=30,"30-39",IF(HR_Employee_Attrition[[#This Row],[Age]]&gt;=20,"20-29",IF(HR_Employee_Attrition[[#This Row],[Age]]&gt;=18,"18-20"))))))</f>
        <v>30-39</v>
      </c>
      <c r="AK329" t="str" cm="1">
        <f t="array" ref="AK329">_xlfn.IFS(HR_Employee_Attrition[[#This Row],[YearsAtCompany]]&lt;=2,"0-2",HR_Employee_Attrition[[#This Row],[YearsAtCompany]]&lt;=5,"3-5",HR_Employee_Attrition[[#This Row],[YearsAtCompany]]&lt;=10,"6-10",HR_Employee_Attrition[[#This Row],[YearsAtCompany]]&gt;10,"10+")</f>
        <v>0-2</v>
      </c>
      <c r="AL329" t="str" cm="1">
        <f t="array" ref="AL3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29">
        <f>IF(HR_Employee_Attrition[[#This Row],[Attrition]]="Yes",1,0)</f>
        <v>1</v>
      </c>
    </row>
    <row r="330" spans="1:39"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IF(HR_Employee_Attrition[[#This Row],[Age]]&gt;60,"60+",IF(HR_Employee_Attrition[[#This Row],[Age]]&gt;=50,"50-59",IF(HR_Employee_Attrition[[#This Row],[Age]]&gt;=40,"40-49",IF(HR_Employee_Attrition[[#This Row],[Age]]&gt;=30,"30-39",IF(HR_Employee_Attrition[[#This Row],[Age]]&gt;=20,"20-29",IF(HR_Employee_Attrition[[#This Row],[Age]]&gt;=18,"18-20"))))))</f>
        <v>30-39</v>
      </c>
      <c r="AK330" t="str" cm="1">
        <f t="array" ref="AK330">_xlfn.IFS(HR_Employee_Attrition[[#This Row],[YearsAtCompany]]&lt;=2,"0-2",HR_Employee_Attrition[[#This Row],[YearsAtCompany]]&lt;=5,"3-5",HR_Employee_Attrition[[#This Row],[YearsAtCompany]]&lt;=10,"6-10",HR_Employee_Attrition[[#This Row],[YearsAtCompany]]&gt;10,"10+")</f>
        <v>6-10</v>
      </c>
      <c r="AL330" t="str" cm="1">
        <f t="array" ref="AL3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30">
        <f>IF(HR_Employee_Attrition[[#This Row],[Attrition]]="Yes",1,0)</f>
        <v>0</v>
      </c>
    </row>
    <row r="331" spans="1:39"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IF(HR_Employee_Attrition[[#This Row],[Age]]&gt;60,"60+",IF(HR_Employee_Attrition[[#This Row],[Age]]&gt;=50,"50-59",IF(HR_Employee_Attrition[[#This Row],[Age]]&gt;=40,"40-49",IF(HR_Employee_Attrition[[#This Row],[Age]]&gt;=30,"30-39",IF(HR_Employee_Attrition[[#This Row],[Age]]&gt;=20,"20-29",IF(HR_Employee_Attrition[[#This Row],[Age]]&gt;=18,"18-20"))))))</f>
        <v>40-49</v>
      </c>
      <c r="AK331" t="str" cm="1">
        <f t="array" ref="AK331">_xlfn.IFS(HR_Employee_Attrition[[#This Row],[YearsAtCompany]]&lt;=2,"0-2",HR_Employee_Attrition[[#This Row],[YearsAtCompany]]&lt;=5,"3-5",HR_Employee_Attrition[[#This Row],[YearsAtCompany]]&lt;=10,"6-10",HR_Employee_Attrition[[#This Row],[YearsAtCompany]]&gt;10,"10+")</f>
        <v>3-5</v>
      </c>
      <c r="AL331" t="str" cm="1">
        <f t="array" ref="AL3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331">
        <f>IF(HR_Employee_Attrition[[#This Row],[Attrition]]="Yes",1,0)</f>
        <v>0</v>
      </c>
    </row>
    <row r="332" spans="1:39"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IF(HR_Employee_Attrition[[#This Row],[Age]]&gt;60,"60+",IF(HR_Employee_Attrition[[#This Row],[Age]]&gt;=50,"50-59",IF(HR_Employee_Attrition[[#This Row],[Age]]&gt;=40,"40-49",IF(HR_Employee_Attrition[[#This Row],[Age]]&gt;=30,"30-39",IF(HR_Employee_Attrition[[#This Row],[Age]]&gt;=20,"20-29",IF(HR_Employee_Attrition[[#This Row],[Age]]&gt;=18,"18-20"))))))</f>
        <v>40-49</v>
      </c>
      <c r="AK332" t="str" cm="1">
        <f t="array" ref="AK332">_xlfn.IFS(HR_Employee_Attrition[[#This Row],[YearsAtCompany]]&lt;=2,"0-2",HR_Employee_Attrition[[#This Row],[YearsAtCompany]]&lt;=5,"3-5",HR_Employee_Attrition[[#This Row],[YearsAtCompany]]&lt;=10,"6-10",HR_Employee_Attrition[[#This Row],[YearsAtCompany]]&gt;10,"10+")</f>
        <v>6-10</v>
      </c>
      <c r="AL332" t="str" cm="1">
        <f t="array" ref="AL3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32">
        <f>IF(HR_Employee_Attrition[[#This Row],[Attrition]]="Yes",1,0)</f>
        <v>0</v>
      </c>
    </row>
    <row r="333" spans="1:39"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IF(HR_Employee_Attrition[[#This Row],[Age]]&gt;60,"60+",IF(HR_Employee_Attrition[[#This Row],[Age]]&gt;=50,"50-59",IF(HR_Employee_Attrition[[#This Row],[Age]]&gt;=40,"40-49",IF(HR_Employee_Attrition[[#This Row],[Age]]&gt;=30,"30-39",IF(HR_Employee_Attrition[[#This Row],[Age]]&gt;=20,"20-29",IF(HR_Employee_Attrition[[#This Row],[Age]]&gt;=18,"18-20"))))))</f>
        <v>20-29</v>
      </c>
      <c r="AK333" t="str" cm="1">
        <f t="array" ref="AK333">_xlfn.IFS(HR_Employee_Attrition[[#This Row],[YearsAtCompany]]&lt;=2,"0-2",HR_Employee_Attrition[[#This Row],[YearsAtCompany]]&lt;=5,"3-5",HR_Employee_Attrition[[#This Row],[YearsAtCompany]]&lt;=10,"6-10",HR_Employee_Attrition[[#This Row],[YearsAtCompany]]&gt;10,"10+")</f>
        <v>3-5</v>
      </c>
      <c r="AL333" t="str" cm="1">
        <f t="array" ref="AL3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33">
        <f>IF(HR_Employee_Attrition[[#This Row],[Attrition]]="Yes",1,0)</f>
        <v>0</v>
      </c>
    </row>
    <row r="334" spans="1:39"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IF(HR_Employee_Attrition[[#This Row],[Age]]&gt;60,"60+",IF(HR_Employee_Attrition[[#This Row],[Age]]&gt;=50,"50-59",IF(HR_Employee_Attrition[[#This Row],[Age]]&gt;=40,"40-49",IF(HR_Employee_Attrition[[#This Row],[Age]]&gt;=30,"30-39",IF(HR_Employee_Attrition[[#This Row],[Age]]&gt;=20,"20-29",IF(HR_Employee_Attrition[[#This Row],[Age]]&gt;=18,"18-20"))))))</f>
        <v>50-59</v>
      </c>
      <c r="AK334" t="str" cm="1">
        <f t="array" ref="AK334">_xlfn.IFS(HR_Employee_Attrition[[#This Row],[YearsAtCompany]]&lt;=2,"0-2",HR_Employee_Attrition[[#This Row],[YearsAtCompany]]&lt;=5,"3-5",HR_Employee_Attrition[[#This Row],[YearsAtCompany]]&lt;=10,"6-10",HR_Employee_Attrition[[#This Row],[YearsAtCompany]]&gt;10,"10+")</f>
        <v>3-5</v>
      </c>
      <c r="AL334" t="str" cm="1">
        <f t="array" ref="AL3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34">
        <f>IF(HR_Employee_Attrition[[#This Row],[Attrition]]="Yes",1,0)</f>
        <v>0</v>
      </c>
    </row>
    <row r="335" spans="1:39"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IF(HR_Employee_Attrition[[#This Row],[Age]]&gt;60,"60+",IF(HR_Employee_Attrition[[#This Row],[Age]]&gt;=50,"50-59",IF(HR_Employee_Attrition[[#This Row],[Age]]&gt;=40,"40-49",IF(HR_Employee_Attrition[[#This Row],[Age]]&gt;=30,"30-39",IF(HR_Employee_Attrition[[#This Row],[Age]]&gt;=20,"20-29",IF(HR_Employee_Attrition[[#This Row],[Age]]&gt;=18,"18-20"))))))</f>
        <v>40-49</v>
      </c>
      <c r="AK335" t="str" cm="1">
        <f t="array" ref="AK335">_xlfn.IFS(HR_Employee_Attrition[[#This Row],[YearsAtCompany]]&lt;=2,"0-2",HR_Employee_Attrition[[#This Row],[YearsAtCompany]]&lt;=5,"3-5",HR_Employee_Attrition[[#This Row],[YearsAtCompany]]&lt;=10,"6-10",HR_Employee_Attrition[[#This Row],[YearsAtCompany]]&gt;10,"10+")</f>
        <v>0-2</v>
      </c>
      <c r="AL335" t="str" cm="1">
        <f t="array" ref="AL3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35">
        <f>IF(HR_Employee_Attrition[[#This Row],[Attrition]]="Yes",1,0)</f>
        <v>0</v>
      </c>
    </row>
    <row r="336" spans="1:39"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IF(HR_Employee_Attrition[[#This Row],[Age]]&gt;60,"60+",IF(HR_Employee_Attrition[[#This Row],[Age]]&gt;=50,"50-59",IF(HR_Employee_Attrition[[#This Row],[Age]]&gt;=40,"40-49",IF(HR_Employee_Attrition[[#This Row],[Age]]&gt;=30,"30-39",IF(HR_Employee_Attrition[[#This Row],[Age]]&gt;=20,"20-29",IF(HR_Employee_Attrition[[#This Row],[Age]]&gt;=18,"18-20"))))))</f>
        <v>40-49</v>
      </c>
      <c r="AK336" t="str" cm="1">
        <f t="array" ref="AK336">_xlfn.IFS(HR_Employee_Attrition[[#This Row],[YearsAtCompany]]&lt;=2,"0-2",HR_Employee_Attrition[[#This Row],[YearsAtCompany]]&lt;=5,"3-5",HR_Employee_Attrition[[#This Row],[YearsAtCompany]]&lt;=10,"6-10",HR_Employee_Attrition[[#This Row],[YearsAtCompany]]&gt;10,"10+")</f>
        <v>6-10</v>
      </c>
      <c r="AL336" t="str" cm="1">
        <f t="array" ref="AL3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36">
        <f>IF(HR_Employee_Attrition[[#This Row],[Attrition]]="Yes",1,0)</f>
        <v>0</v>
      </c>
    </row>
    <row r="337" spans="1:39"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IF(HR_Employee_Attrition[[#This Row],[Age]]&gt;60,"60+",IF(HR_Employee_Attrition[[#This Row],[Age]]&gt;=50,"50-59",IF(HR_Employee_Attrition[[#This Row],[Age]]&gt;=40,"40-49",IF(HR_Employee_Attrition[[#This Row],[Age]]&gt;=30,"30-39",IF(HR_Employee_Attrition[[#This Row],[Age]]&gt;=20,"20-29",IF(HR_Employee_Attrition[[#This Row],[Age]]&gt;=18,"18-20"))))))</f>
        <v>40-49</v>
      </c>
      <c r="AK337" t="str" cm="1">
        <f t="array" ref="AK337">_xlfn.IFS(HR_Employee_Attrition[[#This Row],[YearsAtCompany]]&lt;=2,"0-2",HR_Employee_Attrition[[#This Row],[YearsAtCompany]]&lt;=5,"3-5",HR_Employee_Attrition[[#This Row],[YearsAtCompany]]&lt;=10,"6-10",HR_Employee_Attrition[[#This Row],[YearsAtCompany]]&gt;10,"10+")</f>
        <v>3-5</v>
      </c>
      <c r="AL337" t="str" cm="1">
        <f t="array" ref="AL3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37">
        <f>IF(HR_Employee_Attrition[[#This Row],[Attrition]]="Yes",1,0)</f>
        <v>0</v>
      </c>
    </row>
    <row r="338" spans="1:39"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IF(HR_Employee_Attrition[[#This Row],[Age]]&gt;60,"60+",IF(HR_Employee_Attrition[[#This Row],[Age]]&gt;=50,"50-59",IF(HR_Employee_Attrition[[#This Row],[Age]]&gt;=40,"40-49",IF(HR_Employee_Attrition[[#This Row],[Age]]&gt;=30,"30-39",IF(HR_Employee_Attrition[[#This Row],[Age]]&gt;=20,"20-29",IF(HR_Employee_Attrition[[#This Row],[Age]]&gt;=18,"18-20"))))))</f>
        <v>20-29</v>
      </c>
      <c r="AK338" t="str" cm="1">
        <f t="array" ref="AK338">_xlfn.IFS(HR_Employee_Attrition[[#This Row],[YearsAtCompany]]&lt;=2,"0-2",HR_Employee_Attrition[[#This Row],[YearsAtCompany]]&lt;=5,"3-5",HR_Employee_Attrition[[#This Row],[YearsAtCompany]]&lt;=10,"6-10",HR_Employee_Attrition[[#This Row],[YearsAtCompany]]&gt;10,"10+")</f>
        <v>6-10</v>
      </c>
      <c r="AL338" t="str" cm="1">
        <f t="array" ref="AL3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38">
        <f>IF(HR_Employee_Attrition[[#This Row],[Attrition]]="Yes",1,0)</f>
        <v>1</v>
      </c>
    </row>
    <row r="339" spans="1:39"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IF(HR_Employee_Attrition[[#This Row],[Age]]&gt;60,"60+",IF(HR_Employee_Attrition[[#This Row],[Age]]&gt;=50,"50-59",IF(HR_Employee_Attrition[[#This Row],[Age]]&gt;=40,"40-49",IF(HR_Employee_Attrition[[#This Row],[Age]]&gt;=30,"30-39",IF(HR_Employee_Attrition[[#This Row],[Age]]&gt;=20,"20-29",IF(HR_Employee_Attrition[[#This Row],[Age]]&gt;=18,"18-20"))))))</f>
        <v>20-29</v>
      </c>
      <c r="AK339" t="str" cm="1">
        <f t="array" ref="AK339">_xlfn.IFS(HR_Employee_Attrition[[#This Row],[YearsAtCompany]]&lt;=2,"0-2",HR_Employee_Attrition[[#This Row],[YearsAtCompany]]&lt;=5,"3-5",HR_Employee_Attrition[[#This Row],[YearsAtCompany]]&lt;=10,"6-10",HR_Employee_Attrition[[#This Row],[YearsAtCompany]]&gt;10,"10+")</f>
        <v>3-5</v>
      </c>
      <c r="AL339" t="str" cm="1">
        <f t="array" ref="AL3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39">
        <f>IF(HR_Employee_Attrition[[#This Row],[Attrition]]="Yes",1,0)</f>
        <v>0</v>
      </c>
    </row>
    <row r="340" spans="1:39"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IF(HR_Employee_Attrition[[#This Row],[Age]]&gt;60,"60+",IF(HR_Employee_Attrition[[#This Row],[Age]]&gt;=50,"50-59",IF(HR_Employee_Attrition[[#This Row],[Age]]&gt;=40,"40-49",IF(HR_Employee_Attrition[[#This Row],[Age]]&gt;=30,"30-39",IF(HR_Employee_Attrition[[#This Row],[Age]]&gt;=20,"20-29",IF(HR_Employee_Attrition[[#This Row],[Age]]&gt;=18,"18-20"))))))</f>
        <v>30-39</v>
      </c>
      <c r="AK340" t="str" cm="1">
        <f t="array" ref="AK340">_xlfn.IFS(HR_Employee_Attrition[[#This Row],[YearsAtCompany]]&lt;=2,"0-2",HR_Employee_Attrition[[#This Row],[YearsAtCompany]]&lt;=5,"3-5",HR_Employee_Attrition[[#This Row],[YearsAtCompany]]&lt;=10,"6-10",HR_Employee_Attrition[[#This Row],[YearsAtCompany]]&gt;10,"10+")</f>
        <v>6-10</v>
      </c>
      <c r="AL340" t="str" cm="1">
        <f t="array" ref="AL3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40">
        <f>IF(HR_Employee_Attrition[[#This Row],[Attrition]]="Yes",1,0)</f>
        <v>0</v>
      </c>
    </row>
    <row r="341" spans="1:39"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IF(HR_Employee_Attrition[[#This Row],[Age]]&gt;60,"60+",IF(HR_Employee_Attrition[[#This Row],[Age]]&gt;=50,"50-59",IF(HR_Employee_Attrition[[#This Row],[Age]]&gt;=40,"40-49",IF(HR_Employee_Attrition[[#This Row],[Age]]&gt;=30,"30-39",IF(HR_Employee_Attrition[[#This Row],[Age]]&gt;=20,"20-29",IF(HR_Employee_Attrition[[#This Row],[Age]]&gt;=18,"18-20"))))))</f>
        <v>20-29</v>
      </c>
      <c r="AK341" t="str" cm="1">
        <f t="array" ref="AK341">_xlfn.IFS(HR_Employee_Attrition[[#This Row],[YearsAtCompany]]&lt;=2,"0-2",HR_Employee_Attrition[[#This Row],[YearsAtCompany]]&lt;=5,"3-5",HR_Employee_Attrition[[#This Row],[YearsAtCompany]]&lt;=10,"6-10",HR_Employee_Attrition[[#This Row],[YearsAtCompany]]&gt;10,"10+")</f>
        <v>6-10</v>
      </c>
      <c r="AL341" t="str" cm="1">
        <f t="array" ref="AL3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41">
        <f>IF(HR_Employee_Attrition[[#This Row],[Attrition]]="Yes",1,0)</f>
        <v>0</v>
      </c>
    </row>
    <row r="342" spans="1:39"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IF(HR_Employee_Attrition[[#This Row],[Age]]&gt;60,"60+",IF(HR_Employee_Attrition[[#This Row],[Age]]&gt;=50,"50-59",IF(HR_Employee_Attrition[[#This Row],[Age]]&gt;=40,"40-49",IF(HR_Employee_Attrition[[#This Row],[Age]]&gt;=30,"30-39",IF(HR_Employee_Attrition[[#This Row],[Age]]&gt;=20,"20-29",IF(HR_Employee_Attrition[[#This Row],[Age]]&gt;=18,"18-20"))))))</f>
        <v>30-39</v>
      </c>
      <c r="AK342" t="str" cm="1">
        <f t="array" ref="AK342">_xlfn.IFS(HR_Employee_Attrition[[#This Row],[YearsAtCompany]]&lt;=2,"0-2",HR_Employee_Attrition[[#This Row],[YearsAtCompany]]&lt;=5,"3-5",HR_Employee_Attrition[[#This Row],[YearsAtCompany]]&lt;=10,"6-10",HR_Employee_Attrition[[#This Row],[YearsAtCompany]]&gt;10,"10+")</f>
        <v>6-10</v>
      </c>
      <c r="AL342" t="str" cm="1">
        <f t="array" ref="AL3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42">
        <f>IF(HR_Employee_Attrition[[#This Row],[Attrition]]="Yes",1,0)</f>
        <v>0</v>
      </c>
    </row>
    <row r="343" spans="1:39"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IF(HR_Employee_Attrition[[#This Row],[Age]]&gt;60,"60+",IF(HR_Employee_Attrition[[#This Row],[Age]]&gt;=50,"50-59",IF(HR_Employee_Attrition[[#This Row],[Age]]&gt;=40,"40-49",IF(HR_Employee_Attrition[[#This Row],[Age]]&gt;=30,"30-39",IF(HR_Employee_Attrition[[#This Row],[Age]]&gt;=20,"20-29",IF(HR_Employee_Attrition[[#This Row],[Age]]&gt;=18,"18-20"))))))</f>
        <v>30-39</v>
      </c>
      <c r="AK343" t="str" cm="1">
        <f t="array" ref="AK343">_xlfn.IFS(HR_Employee_Attrition[[#This Row],[YearsAtCompany]]&lt;=2,"0-2",HR_Employee_Attrition[[#This Row],[YearsAtCompany]]&lt;=5,"3-5",HR_Employee_Attrition[[#This Row],[YearsAtCompany]]&lt;=10,"6-10",HR_Employee_Attrition[[#This Row],[YearsAtCompany]]&gt;10,"10+")</f>
        <v>10+</v>
      </c>
      <c r="AL343" t="str" cm="1">
        <f t="array" ref="AL3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343">
        <f>IF(HR_Employee_Attrition[[#This Row],[Attrition]]="Yes",1,0)</f>
        <v>0</v>
      </c>
    </row>
    <row r="344" spans="1:39"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IF(HR_Employee_Attrition[[#This Row],[Age]]&gt;60,"60+",IF(HR_Employee_Attrition[[#This Row],[Age]]&gt;=50,"50-59",IF(HR_Employee_Attrition[[#This Row],[Age]]&gt;=40,"40-49",IF(HR_Employee_Attrition[[#This Row],[Age]]&gt;=30,"30-39",IF(HR_Employee_Attrition[[#This Row],[Age]]&gt;=20,"20-29",IF(HR_Employee_Attrition[[#This Row],[Age]]&gt;=18,"18-20"))))))</f>
        <v>30-39</v>
      </c>
      <c r="AK344" t="str" cm="1">
        <f t="array" ref="AK344">_xlfn.IFS(HR_Employee_Attrition[[#This Row],[YearsAtCompany]]&lt;=2,"0-2",HR_Employee_Attrition[[#This Row],[YearsAtCompany]]&lt;=5,"3-5",HR_Employee_Attrition[[#This Row],[YearsAtCompany]]&lt;=10,"6-10",HR_Employee_Attrition[[#This Row],[YearsAtCompany]]&gt;10,"10+")</f>
        <v>10+</v>
      </c>
      <c r="AL344" t="str" cm="1">
        <f t="array" ref="AL3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44">
        <f>IF(HR_Employee_Attrition[[#This Row],[Attrition]]="Yes",1,0)</f>
        <v>0</v>
      </c>
    </row>
    <row r="345" spans="1:39"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IF(HR_Employee_Attrition[[#This Row],[Age]]&gt;60,"60+",IF(HR_Employee_Attrition[[#This Row],[Age]]&gt;=50,"50-59",IF(HR_Employee_Attrition[[#This Row],[Age]]&gt;=40,"40-49",IF(HR_Employee_Attrition[[#This Row],[Age]]&gt;=30,"30-39",IF(HR_Employee_Attrition[[#This Row],[Age]]&gt;=20,"20-29",IF(HR_Employee_Attrition[[#This Row],[Age]]&gt;=18,"18-20"))))))</f>
        <v>20-29</v>
      </c>
      <c r="AK345" t="str" cm="1">
        <f t="array" ref="AK345">_xlfn.IFS(HR_Employee_Attrition[[#This Row],[YearsAtCompany]]&lt;=2,"0-2",HR_Employee_Attrition[[#This Row],[YearsAtCompany]]&lt;=5,"3-5",HR_Employee_Attrition[[#This Row],[YearsAtCompany]]&lt;=10,"6-10",HR_Employee_Attrition[[#This Row],[YearsAtCompany]]&gt;10,"10+")</f>
        <v>6-10</v>
      </c>
      <c r="AL345" t="str" cm="1">
        <f t="array" ref="AL3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45">
        <f>IF(HR_Employee_Attrition[[#This Row],[Attrition]]="Yes",1,0)</f>
        <v>0</v>
      </c>
    </row>
    <row r="346" spans="1:39"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IF(HR_Employee_Attrition[[#This Row],[Age]]&gt;60,"60+",IF(HR_Employee_Attrition[[#This Row],[Age]]&gt;=50,"50-59",IF(HR_Employee_Attrition[[#This Row],[Age]]&gt;=40,"40-49",IF(HR_Employee_Attrition[[#This Row],[Age]]&gt;=30,"30-39",IF(HR_Employee_Attrition[[#This Row],[Age]]&gt;=20,"20-29",IF(HR_Employee_Attrition[[#This Row],[Age]]&gt;=18,"18-20"))))))</f>
        <v>30-39</v>
      </c>
      <c r="AK346" t="str" cm="1">
        <f t="array" ref="AK346">_xlfn.IFS(HR_Employee_Attrition[[#This Row],[YearsAtCompany]]&lt;=2,"0-2",HR_Employee_Attrition[[#This Row],[YearsAtCompany]]&lt;=5,"3-5",HR_Employee_Attrition[[#This Row],[YearsAtCompany]]&lt;=10,"6-10",HR_Employee_Attrition[[#This Row],[YearsAtCompany]]&gt;10,"10+")</f>
        <v>10+</v>
      </c>
      <c r="AL346" t="str" cm="1">
        <f t="array" ref="AL3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46">
        <f>IF(HR_Employee_Attrition[[#This Row],[Attrition]]="Yes",1,0)</f>
        <v>0</v>
      </c>
    </row>
    <row r="347" spans="1:39"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IF(HR_Employee_Attrition[[#This Row],[Age]]&gt;60,"60+",IF(HR_Employee_Attrition[[#This Row],[Age]]&gt;=50,"50-59",IF(HR_Employee_Attrition[[#This Row],[Age]]&gt;=40,"40-49",IF(HR_Employee_Attrition[[#This Row],[Age]]&gt;=30,"30-39",IF(HR_Employee_Attrition[[#This Row],[Age]]&gt;=20,"20-29",IF(HR_Employee_Attrition[[#This Row],[Age]]&gt;=18,"18-20"))))))</f>
        <v>20-29</v>
      </c>
      <c r="AK347" t="str" cm="1">
        <f t="array" ref="AK347">_xlfn.IFS(HR_Employee_Attrition[[#This Row],[YearsAtCompany]]&lt;=2,"0-2",HR_Employee_Attrition[[#This Row],[YearsAtCompany]]&lt;=5,"3-5",HR_Employee_Attrition[[#This Row],[YearsAtCompany]]&lt;=10,"6-10",HR_Employee_Attrition[[#This Row],[YearsAtCompany]]&gt;10,"10+")</f>
        <v>3-5</v>
      </c>
      <c r="AL347" t="str" cm="1">
        <f t="array" ref="AL3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47">
        <f>IF(HR_Employee_Attrition[[#This Row],[Attrition]]="Yes",1,0)</f>
        <v>0</v>
      </c>
    </row>
    <row r="348" spans="1:39"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IF(HR_Employee_Attrition[[#This Row],[Age]]&gt;60,"60+",IF(HR_Employee_Attrition[[#This Row],[Age]]&gt;=50,"50-59",IF(HR_Employee_Attrition[[#This Row],[Age]]&gt;=40,"40-49",IF(HR_Employee_Attrition[[#This Row],[Age]]&gt;=30,"30-39",IF(HR_Employee_Attrition[[#This Row],[Age]]&gt;=20,"20-29",IF(HR_Employee_Attrition[[#This Row],[Age]]&gt;=18,"18-20"))))))</f>
        <v>40-49</v>
      </c>
      <c r="AK348" t="str" cm="1">
        <f t="array" ref="AK348">_xlfn.IFS(HR_Employee_Attrition[[#This Row],[YearsAtCompany]]&lt;=2,"0-2",HR_Employee_Attrition[[#This Row],[YearsAtCompany]]&lt;=5,"3-5",HR_Employee_Attrition[[#This Row],[YearsAtCompany]]&lt;=10,"6-10",HR_Employee_Attrition[[#This Row],[YearsAtCompany]]&gt;10,"10+")</f>
        <v>3-5</v>
      </c>
      <c r="AL348" t="str" cm="1">
        <f t="array" ref="AL3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48">
        <f>IF(HR_Employee_Attrition[[#This Row],[Attrition]]="Yes",1,0)</f>
        <v>0</v>
      </c>
    </row>
    <row r="349" spans="1:39"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IF(HR_Employee_Attrition[[#This Row],[Age]]&gt;60,"60+",IF(HR_Employee_Attrition[[#This Row],[Age]]&gt;=50,"50-59",IF(HR_Employee_Attrition[[#This Row],[Age]]&gt;=40,"40-49",IF(HR_Employee_Attrition[[#This Row],[Age]]&gt;=30,"30-39",IF(HR_Employee_Attrition[[#This Row],[Age]]&gt;=20,"20-29",IF(HR_Employee_Attrition[[#This Row],[Age]]&gt;=18,"18-20"))))))</f>
        <v>40-49</v>
      </c>
      <c r="AK349" t="str" cm="1">
        <f t="array" ref="AK349">_xlfn.IFS(HR_Employee_Attrition[[#This Row],[YearsAtCompany]]&lt;=2,"0-2",HR_Employee_Attrition[[#This Row],[YearsAtCompany]]&lt;=5,"3-5",HR_Employee_Attrition[[#This Row],[YearsAtCompany]]&lt;=10,"6-10",HR_Employee_Attrition[[#This Row],[YearsAtCompany]]&gt;10,"10+")</f>
        <v>0-2</v>
      </c>
      <c r="AL349" t="str" cm="1">
        <f t="array" ref="AL3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49">
        <f>IF(HR_Employee_Attrition[[#This Row],[Attrition]]="Yes",1,0)</f>
        <v>0</v>
      </c>
    </row>
    <row r="350" spans="1:39"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IF(HR_Employee_Attrition[[#This Row],[Age]]&gt;60,"60+",IF(HR_Employee_Attrition[[#This Row],[Age]]&gt;=50,"50-59",IF(HR_Employee_Attrition[[#This Row],[Age]]&gt;=40,"40-49",IF(HR_Employee_Attrition[[#This Row],[Age]]&gt;=30,"30-39",IF(HR_Employee_Attrition[[#This Row],[Age]]&gt;=20,"20-29",IF(HR_Employee_Attrition[[#This Row],[Age]]&gt;=18,"18-20"))))))</f>
        <v>40-49</v>
      </c>
      <c r="AK350" t="str" cm="1">
        <f t="array" ref="AK350">_xlfn.IFS(HR_Employee_Attrition[[#This Row],[YearsAtCompany]]&lt;=2,"0-2",HR_Employee_Attrition[[#This Row],[YearsAtCompany]]&lt;=5,"3-5",HR_Employee_Attrition[[#This Row],[YearsAtCompany]]&lt;=10,"6-10",HR_Employee_Attrition[[#This Row],[YearsAtCompany]]&gt;10,"10+")</f>
        <v>0-2</v>
      </c>
      <c r="AL350" t="str" cm="1">
        <f t="array" ref="AL3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350">
        <f>IF(HR_Employee_Attrition[[#This Row],[Attrition]]="Yes",1,0)</f>
        <v>0</v>
      </c>
    </row>
    <row r="351" spans="1:39"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IF(HR_Employee_Attrition[[#This Row],[Age]]&gt;60,"60+",IF(HR_Employee_Attrition[[#This Row],[Age]]&gt;=50,"50-59",IF(HR_Employee_Attrition[[#This Row],[Age]]&gt;=40,"40-49",IF(HR_Employee_Attrition[[#This Row],[Age]]&gt;=30,"30-39",IF(HR_Employee_Attrition[[#This Row],[Age]]&gt;=20,"20-29",IF(HR_Employee_Attrition[[#This Row],[Age]]&gt;=18,"18-20"))))))</f>
        <v>20-29</v>
      </c>
      <c r="AK351" t="str" cm="1">
        <f t="array" ref="AK351">_xlfn.IFS(HR_Employee_Attrition[[#This Row],[YearsAtCompany]]&lt;=2,"0-2",HR_Employee_Attrition[[#This Row],[YearsAtCompany]]&lt;=5,"3-5",HR_Employee_Attrition[[#This Row],[YearsAtCompany]]&lt;=10,"6-10",HR_Employee_Attrition[[#This Row],[YearsAtCompany]]&gt;10,"10+")</f>
        <v>3-5</v>
      </c>
      <c r="AL351" t="str" cm="1">
        <f t="array" ref="AL3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51">
        <f>IF(HR_Employee_Attrition[[#This Row],[Attrition]]="Yes",1,0)</f>
        <v>0</v>
      </c>
    </row>
    <row r="352" spans="1:39"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IF(HR_Employee_Attrition[[#This Row],[Age]]&gt;60,"60+",IF(HR_Employee_Attrition[[#This Row],[Age]]&gt;=50,"50-59",IF(HR_Employee_Attrition[[#This Row],[Age]]&gt;=40,"40-49",IF(HR_Employee_Attrition[[#This Row],[Age]]&gt;=30,"30-39",IF(HR_Employee_Attrition[[#This Row],[Age]]&gt;=20,"20-29",IF(HR_Employee_Attrition[[#This Row],[Age]]&gt;=18,"18-20"))))))</f>
        <v>40-49</v>
      </c>
      <c r="AK352" t="str" cm="1">
        <f t="array" ref="AK352">_xlfn.IFS(HR_Employee_Attrition[[#This Row],[YearsAtCompany]]&lt;=2,"0-2",HR_Employee_Attrition[[#This Row],[YearsAtCompany]]&lt;=5,"3-5",HR_Employee_Attrition[[#This Row],[YearsAtCompany]]&lt;=10,"6-10",HR_Employee_Attrition[[#This Row],[YearsAtCompany]]&gt;10,"10+")</f>
        <v>3-5</v>
      </c>
      <c r="AL352" t="str" cm="1">
        <f t="array" ref="AL3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52">
        <f>IF(HR_Employee_Attrition[[#This Row],[Attrition]]="Yes",1,0)</f>
        <v>0</v>
      </c>
    </row>
    <row r="353" spans="1:39"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IF(HR_Employee_Attrition[[#This Row],[Age]]&gt;60,"60+",IF(HR_Employee_Attrition[[#This Row],[Age]]&gt;=50,"50-59",IF(HR_Employee_Attrition[[#This Row],[Age]]&gt;=40,"40-49",IF(HR_Employee_Attrition[[#This Row],[Age]]&gt;=30,"30-39",IF(HR_Employee_Attrition[[#This Row],[Age]]&gt;=20,"20-29",IF(HR_Employee_Attrition[[#This Row],[Age]]&gt;=18,"18-20"))))))</f>
        <v>30-39</v>
      </c>
      <c r="AK353" t="str" cm="1">
        <f t="array" ref="AK353">_xlfn.IFS(HR_Employee_Attrition[[#This Row],[YearsAtCompany]]&lt;=2,"0-2",HR_Employee_Attrition[[#This Row],[YearsAtCompany]]&lt;=5,"3-5",HR_Employee_Attrition[[#This Row],[YearsAtCompany]]&lt;=10,"6-10",HR_Employee_Attrition[[#This Row],[YearsAtCompany]]&gt;10,"10+")</f>
        <v>6-10</v>
      </c>
      <c r="AL353" t="str" cm="1">
        <f t="array" ref="AL3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53">
        <f>IF(HR_Employee_Attrition[[#This Row],[Attrition]]="Yes",1,0)</f>
        <v>0</v>
      </c>
    </row>
    <row r="354" spans="1:39"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IF(HR_Employee_Attrition[[#This Row],[Age]]&gt;60,"60+",IF(HR_Employee_Attrition[[#This Row],[Age]]&gt;=50,"50-59",IF(HR_Employee_Attrition[[#This Row],[Age]]&gt;=40,"40-49",IF(HR_Employee_Attrition[[#This Row],[Age]]&gt;=30,"30-39",IF(HR_Employee_Attrition[[#This Row],[Age]]&gt;=20,"20-29",IF(HR_Employee_Attrition[[#This Row],[Age]]&gt;=18,"18-20"))))))</f>
        <v>40-49</v>
      </c>
      <c r="AK354" t="str" cm="1">
        <f t="array" ref="AK354">_xlfn.IFS(HR_Employee_Attrition[[#This Row],[YearsAtCompany]]&lt;=2,"0-2",HR_Employee_Attrition[[#This Row],[YearsAtCompany]]&lt;=5,"3-5",HR_Employee_Attrition[[#This Row],[YearsAtCompany]]&lt;=10,"6-10",HR_Employee_Attrition[[#This Row],[YearsAtCompany]]&gt;10,"10+")</f>
        <v>0-2</v>
      </c>
      <c r="AL354" t="str" cm="1">
        <f t="array" ref="AL3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354">
        <f>IF(HR_Employee_Attrition[[#This Row],[Attrition]]="Yes",1,0)</f>
        <v>0</v>
      </c>
    </row>
    <row r="355" spans="1:39"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IF(HR_Employee_Attrition[[#This Row],[Age]]&gt;60,"60+",IF(HR_Employee_Attrition[[#This Row],[Age]]&gt;=50,"50-59",IF(HR_Employee_Attrition[[#This Row],[Age]]&gt;=40,"40-49",IF(HR_Employee_Attrition[[#This Row],[Age]]&gt;=30,"30-39",IF(HR_Employee_Attrition[[#This Row],[Age]]&gt;=20,"20-29",IF(HR_Employee_Attrition[[#This Row],[Age]]&gt;=18,"18-20"))))))</f>
        <v>30-39</v>
      </c>
      <c r="AK355" t="str" cm="1">
        <f t="array" ref="AK355">_xlfn.IFS(HR_Employee_Attrition[[#This Row],[YearsAtCompany]]&lt;=2,"0-2",HR_Employee_Attrition[[#This Row],[YearsAtCompany]]&lt;=5,"3-5",HR_Employee_Attrition[[#This Row],[YearsAtCompany]]&lt;=10,"6-10",HR_Employee_Attrition[[#This Row],[YearsAtCompany]]&gt;10,"10+")</f>
        <v>6-10</v>
      </c>
      <c r="AL355" t="str" cm="1">
        <f t="array" ref="AL3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55">
        <f>IF(HR_Employee_Attrition[[#This Row],[Attrition]]="Yes",1,0)</f>
        <v>0</v>
      </c>
    </row>
    <row r="356" spans="1:39"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IF(HR_Employee_Attrition[[#This Row],[Age]]&gt;60,"60+",IF(HR_Employee_Attrition[[#This Row],[Age]]&gt;=50,"50-59",IF(HR_Employee_Attrition[[#This Row],[Age]]&gt;=40,"40-49",IF(HR_Employee_Attrition[[#This Row],[Age]]&gt;=30,"30-39",IF(HR_Employee_Attrition[[#This Row],[Age]]&gt;=20,"20-29",IF(HR_Employee_Attrition[[#This Row],[Age]]&gt;=18,"18-20"))))))</f>
        <v>30-39</v>
      </c>
      <c r="AK356" t="str" cm="1">
        <f t="array" ref="AK356">_xlfn.IFS(HR_Employee_Attrition[[#This Row],[YearsAtCompany]]&lt;=2,"0-2",HR_Employee_Attrition[[#This Row],[YearsAtCompany]]&lt;=5,"3-5",HR_Employee_Attrition[[#This Row],[YearsAtCompany]]&lt;=10,"6-10",HR_Employee_Attrition[[#This Row],[YearsAtCompany]]&gt;10,"10+")</f>
        <v>0-2</v>
      </c>
      <c r="AL356" t="str" cm="1">
        <f t="array" ref="AL3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56">
        <f>IF(HR_Employee_Attrition[[#This Row],[Attrition]]="Yes",1,0)</f>
        <v>0</v>
      </c>
    </row>
    <row r="357" spans="1:39"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IF(HR_Employee_Attrition[[#This Row],[Age]]&gt;60,"60+",IF(HR_Employee_Attrition[[#This Row],[Age]]&gt;=50,"50-59",IF(HR_Employee_Attrition[[#This Row],[Age]]&gt;=40,"40-49",IF(HR_Employee_Attrition[[#This Row],[Age]]&gt;=30,"30-39",IF(HR_Employee_Attrition[[#This Row],[Age]]&gt;=20,"20-29",IF(HR_Employee_Attrition[[#This Row],[Age]]&gt;=18,"18-20"))))))</f>
        <v>20-29</v>
      </c>
      <c r="AK357" t="str" cm="1">
        <f t="array" ref="AK357">_xlfn.IFS(HR_Employee_Attrition[[#This Row],[YearsAtCompany]]&lt;=2,"0-2",HR_Employee_Attrition[[#This Row],[YearsAtCompany]]&lt;=5,"3-5",HR_Employee_Attrition[[#This Row],[YearsAtCompany]]&lt;=10,"6-10",HR_Employee_Attrition[[#This Row],[YearsAtCompany]]&gt;10,"10+")</f>
        <v>6-10</v>
      </c>
      <c r="AL357" t="str" cm="1">
        <f t="array" ref="AL3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57">
        <f>IF(HR_Employee_Attrition[[#This Row],[Attrition]]="Yes",1,0)</f>
        <v>0</v>
      </c>
    </row>
    <row r="358" spans="1:39"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IF(HR_Employee_Attrition[[#This Row],[Age]]&gt;60,"60+",IF(HR_Employee_Attrition[[#This Row],[Age]]&gt;=50,"50-59",IF(HR_Employee_Attrition[[#This Row],[Age]]&gt;=40,"40-49",IF(HR_Employee_Attrition[[#This Row],[Age]]&gt;=30,"30-39",IF(HR_Employee_Attrition[[#This Row],[Age]]&gt;=20,"20-29",IF(HR_Employee_Attrition[[#This Row],[Age]]&gt;=18,"18-20"))))))</f>
        <v>40-49</v>
      </c>
      <c r="AK358" t="str" cm="1">
        <f t="array" ref="AK358">_xlfn.IFS(HR_Employee_Attrition[[#This Row],[YearsAtCompany]]&lt;=2,"0-2",HR_Employee_Attrition[[#This Row],[YearsAtCompany]]&lt;=5,"3-5",HR_Employee_Attrition[[#This Row],[YearsAtCompany]]&lt;=10,"6-10",HR_Employee_Attrition[[#This Row],[YearsAtCompany]]&gt;10,"10+")</f>
        <v>0-2</v>
      </c>
      <c r="AL358" t="str" cm="1">
        <f t="array" ref="AL3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58">
        <f>IF(HR_Employee_Attrition[[#This Row],[Attrition]]="Yes",1,0)</f>
        <v>0</v>
      </c>
    </row>
    <row r="359" spans="1:39"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IF(HR_Employee_Attrition[[#This Row],[Age]]&gt;60,"60+",IF(HR_Employee_Attrition[[#This Row],[Age]]&gt;=50,"50-59",IF(HR_Employee_Attrition[[#This Row],[Age]]&gt;=40,"40-49",IF(HR_Employee_Attrition[[#This Row],[Age]]&gt;=30,"30-39",IF(HR_Employee_Attrition[[#This Row],[Age]]&gt;=20,"20-29",IF(HR_Employee_Attrition[[#This Row],[Age]]&gt;=18,"18-20"))))))</f>
        <v>20-29</v>
      </c>
      <c r="AK359" t="str" cm="1">
        <f t="array" ref="AK359">_xlfn.IFS(HR_Employee_Attrition[[#This Row],[YearsAtCompany]]&lt;=2,"0-2",HR_Employee_Attrition[[#This Row],[YearsAtCompany]]&lt;=5,"3-5",HR_Employee_Attrition[[#This Row],[YearsAtCompany]]&lt;=10,"6-10",HR_Employee_Attrition[[#This Row],[YearsAtCompany]]&gt;10,"10+")</f>
        <v>3-5</v>
      </c>
      <c r="AL359" t="str" cm="1">
        <f t="array" ref="AL3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59">
        <f>IF(HR_Employee_Attrition[[#This Row],[Attrition]]="Yes",1,0)</f>
        <v>1</v>
      </c>
    </row>
    <row r="360" spans="1:39"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IF(HR_Employee_Attrition[[#This Row],[Age]]&gt;60,"60+",IF(HR_Employee_Attrition[[#This Row],[Age]]&gt;=50,"50-59",IF(HR_Employee_Attrition[[#This Row],[Age]]&gt;=40,"40-49",IF(HR_Employee_Attrition[[#This Row],[Age]]&gt;=30,"30-39",IF(HR_Employee_Attrition[[#This Row],[Age]]&gt;=20,"20-29",IF(HR_Employee_Attrition[[#This Row],[Age]]&gt;=18,"18-20"))))))</f>
        <v>30-39</v>
      </c>
      <c r="AK360" t="str" cm="1">
        <f t="array" ref="AK360">_xlfn.IFS(HR_Employee_Attrition[[#This Row],[YearsAtCompany]]&lt;=2,"0-2",HR_Employee_Attrition[[#This Row],[YearsAtCompany]]&lt;=5,"3-5",HR_Employee_Attrition[[#This Row],[YearsAtCompany]]&lt;=10,"6-10",HR_Employee_Attrition[[#This Row],[YearsAtCompany]]&gt;10,"10+")</f>
        <v>0-2</v>
      </c>
      <c r="AL360" t="str" cm="1">
        <f t="array" ref="AL3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60">
        <f>IF(HR_Employee_Attrition[[#This Row],[Attrition]]="Yes",1,0)</f>
        <v>0</v>
      </c>
    </row>
    <row r="361" spans="1:39"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IF(HR_Employee_Attrition[[#This Row],[Age]]&gt;60,"60+",IF(HR_Employee_Attrition[[#This Row],[Age]]&gt;=50,"50-59",IF(HR_Employee_Attrition[[#This Row],[Age]]&gt;=40,"40-49",IF(HR_Employee_Attrition[[#This Row],[Age]]&gt;=30,"30-39",IF(HR_Employee_Attrition[[#This Row],[Age]]&gt;=20,"20-29",IF(HR_Employee_Attrition[[#This Row],[Age]]&gt;=18,"18-20"))))))</f>
        <v>30-39</v>
      </c>
      <c r="AK361" t="str" cm="1">
        <f t="array" ref="AK361">_xlfn.IFS(HR_Employee_Attrition[[#This Row],[YearsAtCompany]]&lt;=2,"0-2",HR_Employee_Attrition[[#This Row],[YearsAtCompany]]&lt;=5,"3-5",HR_Employee_Attrition[[#This Row],[YearsAtCompany]]&lt;=10,"6-10",HR_Employee_Attrition[[#This Row],[YearsAtCompany]]&gt;10,"10+")</f>
        <v>10+</v>
      </c>
      <c r="AL361" t="str" cm="1">
        <f t="array" ref="AL3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61">
        <f>IF(HR_Employee_Attrition[[#This Row],[Attrition]]="Yes",1,0)</f>
        <v>0</v>
      </c>
    </row>
    <row r="362" spans="1:39"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IF(HR_Employee_Attrition[[#This Row],[Age]]&gt;60,"60+",IF(HR_Employee_Attrition[[#This Row],[Age]]&gt;=50,"50-59",IF(HR_Employee_Attrition[[#This Row],[Age]]&gt;=40,"40-49",IF(HR_Employee_Attrition[[#This Row],[Age]]&gt;=30,"30-39",IF(HR_Employee_Attrition[[#This Row],[Age]]&gt;=20,"20-29",IF(HR_Employee_Attrition[[#This Row],[Age]]&gt;=18,"18-20"))))))</f>
        <v>50-59</v>
      </c>
      <c r="AK362" t="str" cm="1">
        <f t="array" ref="AK362">_xlfn.IFS(HR_Employee_Attrition[[#This Row],[YearsAtCompany]]&lt;=2,"0-2",HR_Employee_Attrition[[#This Row],[YearsAtCompany]]&lt;=5,"3-5",HR_Employee_Attrition[[#This Row],[YearsAtCompany]]&lt;=10,"6-10",HR_Employee_Attrition[[#This Row],[YearsAtCompany]]&gt;10,"10+")</f>
        <v>3-5</v>
      </c>
      <c r="AL362" t="str" cm="1">
        <f t="array" ref="AL3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62">
        <f>IF(HR_Employee_Attrition[[#This Row],[Attrition]]="Yes",1,0)</f>
        <v>0</v>
      </c>
    </row>
    <row r="363" spans="1:39"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IF(HR_Employee_Attrition[[#This Row],[Age]]&gt;60,"60+",IF(HR_Employee_Attrition[[#This Row],[Age]]&gt;=50,"50-59",IF(HR_Employee_Attrition[[#This Row],[Age]]&gt;=40,"40-49",IF(HR_Employee_Attrition[[#This Row],[Age]]&gt;=30,"30-39",IF(HR_Employee_Attrition[[#This Row],[Age]]&gt;=20,"20-29",IF(HR_Employee_Attrition[[#This Row],[Age]]&gt;=18,"18-20"))))))</f>
        <v>40-49</v>
      </c>
      <c r="AK363" t="str" cm="1">
        <f t="array" ref="AK363">_xlfn.IFS(HR_Employee_Attrition[[#This Row],[YearsAtCompany]]&lt;=2,"0-2",HR_Employee_Attrition[[#This Row],[YearsAtCompany]]&lt;=5,"3-5",HR_Employee_Attrition[[#This Row],[YearsAtCompany]]&lt;=10,"6-10",HR_Employee_Attrition[[#This Row],[YearsAtCompany]]&gt;10,"10+")</f>
        <v>6-10</v>
      </c>
      <c r="AL363" t="str" cm="1">
        <f t="array" ref="AL3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63">
        <f>IF(HR_Employee_Attrition[[#This Row],[Attrition]]="Yes",1,0)</f>
        <v>0</v>
      </c>
    </row>
    <row r="364" spans="1:39"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IF(HR_Employee_Attrition[[#This Row],[Age]]&gt;60,"60+",IF(HR_Employee_Attrition[[#This Row],[Age]]&gt;=50,"50-59",IF(HR_Employee_Attrition[[#This Row],[Age]]&gt;=40,"40-49",IF(HR_Employee_Attrition[[#This Row],[Age]]&gt;=30,"30-39",IF(HR_Employee_Attrition[[#This Row],[Age]]&gt;=20,"20-29",IF(HR_Employee_Attrition[[#This Row],[Age]]&gt;=18,"18-20"))))))</f>
        <v>20-29</v>
      </c>
      <c r="AK364" t="str" cm="1">
        <f t="array" ref="AK364">_xlfn.IFS(HR_Employee_Attrition[[#This Row],[YearsAtCompany]]&lt;=2,"0-2",HR_Employee_Attrition[[#This Row],[YearsAtCompany]]&lt;=5,"3-5",HR_Employee_Attrition[[#This Row],[YearsAtCompany]]&lt;=10,"6-10",HR_Employee_Attrition[[#This Row],[YearsAtCompany]]&gt;10,"10+")</f>
        <v>3-5</v>
      </c>
      <c r="AL364" t="str" cm="1">
        <f t="array" ref="AL3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64">
        <f>IF(HR_Employee_Attrition[[#This Row],[Attrition]]="Yes",1,0)</f>
        <v>0</v>
      </c>
    </row>
    <row r="365" spans="1:39"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IF(HR_Employee_Attrition[[#This Row],[Age]]&gt;60,"60+",IF(HR_Employee_Attrition[[#This Row],[Age]]&gt;=50,"50-59",IF(HR_Employee_Attrition[[#This Row],[Age]]&gt;=40,"40-49",IF(HR_Employee_Attrition[[#This Row],[Age]]&gt;=30,"30-39",IF(HR_Employee_Attrition[[#This Row],[Age]]&gt;=20,"20-29",IF(HR_Employee_Attrition[[#This Row],[Age]]&gt;=18,"18-20"))))))</f>
        <v>30-39</v>
      </c>
      <c r="AK365" t="str" cm="1">
        <f t="array" ref="AK365">_xlfn.IFS(HR_Employee_Attrition[[#This Row],[YearsAtCompany]]&lt;=2,"0-2",HR_Employee_Attrition[[#This Row],[YearsAtCompany]]&lt;=5,"3-5",HR_Employee_Attrition[[#This Row],[YearsAtCompany]]&lt;=10,"6-10",HR_Employee_Attrition[[#This Row],[YearsAtCompany]]&gt;10,"10+")</f>
        <v>0-2</v>
      </c>
      <c r="AL365" t="str" cm="1">
        <f t="array" ref="AL3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65">
        <f>IF(HR_Employee_Attrition[[#This Row],[Attrition]]="Yes",1,0)</f>
        <v>1</v>
      </c>
    </row>
    <row r="366" spans="1:39"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IF(HR_Employee_Attrition[[#This Row],[Age]]&gt;60,"60+",IF(HR_Employee_Attrition[[#This Row],[Age]]&gt;=50,"50-59",IF(HR_Employee_Attrition[[#This Row],[Age]]&gt;=40,"40-49",IF(HR_Employee_Attrition[[#This Row],[Age]]&gt;=30,"30-39",IF(HR_Employee_Attrition[[#This Row],[Age]]&gt;=20,"20-29",IF(HR_Employee_Attrition[[#This Row],[Age]]&gt;=18,"18-20"))))))</f>
        <v>30-39</v>
      </c>
      <c r="AK366" t="str" cm="1">
        <f t="array" ref="AK366">_xlfn.IFS(HR_Employee_Attrition[[#This Row],[YearsAtCompany]]&lt;=2,"0-2",HR_Employee_Attrition[[#This Row],[YearsAtCompany]]&lt;=5,"3-5",HR_Employee_Attrition[[#This Row],[YearsAtCompany]]&lt;=10,"6-10",HR_Employee_Attrition[[#This Row],[YearsAtCompany]]&gt;10,"10+")</f>
        <v>3-5</v>
      </c>
      <c r="AL366" t="str" cm="1">
        <f t="array" ref="AL3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66">
        <f>IF(HR_Employee_Attrition[[#This Row],[Attrition]]="Yes",1,0)</f>
        <v>0</v>
      </c>
    </row>
    <row r="367" spans="1:39"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IF(HR_Employee_Attrition[[#This Row],[Age]]&gt;60,"60+",IF(HR_Employee_Attrition[[#This Row],[Age]]&gt;=50,"50-59",IF(HR_Employee_Attrition[[#This Row],[Age]]&gt;=40,"40-49",IF(HR_Employee_Attrition[[#This Row],[Age]]&gt;=30,"30-39",IF(HR_Employee_Attrition[[#This Row],[Age]]&gt;=20,"20-29",IF(HR_Employee_Attrition[[#This Row],[Age]]&gt;=18,"18-20"))))))</f>
        <v>40-49</v>
      </c>
      <c r="AK367" t="str" cm="1">
        <f t="array" ref="AK367">_xlfn.IFS(HR_Employee_Attrition[[#This Row],[YearsAtCompany]]&lt;=2,"0-2",HR_Employee_Attrition[[#This Row],[YearsAtCompany]]&lt;=5,"3-5",HR_Employee_Attrition[[#This Row],[YearsAtCompany]]&lt;=10,"6-10",HR_Employee_Attrition[[#This Row],[YearsAtCompany]]&gt;10,"10+")</f>
        <v>0-2</v>
      </c>
      <c r="AL367" t="str" cm="1">
        <f t="array" ref="AL3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67">
        <f>IF(HR_Employee_Attrition[[#This Row],[Attrition]]="Yes",1,0)</f>
        <v>0</v>
      </c>
    </row>
    <row r="368" spans="1:39"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IF(HR_Employee_Attrition[[#This Row],[Age]]&gt;60,"60+",IF(HR_Employee_Attrition[[#This Row],[Age]]&gt;=50,"50-59",IF(HR_Employee_Attrition[[#This Row],[Age]]&gt;=40,"40-49",IF(HR_Employee_Attrition[[#This Row],[Age]]&gt;=30,"30-39",IF(HR_Employee_Attrition[[#This Row],[Age]]&gt;=20,"20-29",IF(HR_Employee_Attrition[[#This Row],[Age]]&gt;=18,"18-20"))))))</f>
        <v>40-49</v>
      </c>
      <c r="AK368" t="str" cm="1">
        <f t="array" ref="AK368">_xlfn.IFS(HR_Employee_Attrition[[#This Row],[YearsAtCompany]]&lt;=2,"0-2",HR_Employee_Attrition[[#This Row],[YearsAtCompany]]&lt;=5,"3-5",HR_Employee_Attrition[[#This Row],[YearsAtCompany]]&lt;=10,"6-10",HR_Employee_Attrition[[#This Row],[YearsAtCompany]]&gt;10,"10+")</f>
        <v>6-10</v>
      </c>
      <c r="AL368" t="str" cm="1">
        <f t="array" ref="AL3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68">
        <f>IF(HR_Employee_Attrition[[#This Row],[Attrition]]="Yes",1,0)</f>
        <v>1</v>
      </c>
    </row>
    <row r="369" spans="1:39"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IF(HR_Employee_Attrition[[#This Row],[Age]]&gt;60,"60+",IF(HR_Employee_Attrition[[#This Row],[Age]]&gt;=50,"50-59",IF(HR_Employee_Attrition[[#This Row],[Age]]&gt;=40,"40-49",IF(HR_Employee_Attrition[[#This Row],[Age]]&gt;=30,"30-39",IF(HR_Employee_Attrition[[#This Row],[Age]]&gt;=20,"20-29",IF(HR_Employee_Attrition[[#This Row],[Age]]&gt;=18,"18-20"))))))</f>
        <v>50-59</v>
      </c>
      <c r="AK369" t="str" cm="1">
        <f t="array" ref="AK369">_xlfn.IFS(HR_Employee_Attrition[[#This Row],[YearsAtCompany]]&lt;=2,"0-2",HR_Employee_Attrition[[#This Row],[YearsAtCompany]]&lt;=5,"3-5",HR_Employee_Attrition[[#This Row],[YearsAtCompany]]&lt;=10,"6-10",HR_Employee_Attrition[[#This Row],[YearsAtCompany]]&gt;10,"10+")</f>
        <v>3-5</v>
      </c>
      <c r="AL369" t="str" cm="1">
        <f t="array" ref="AL3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369">
        <f>IF(HR_Employee_Attrition[[#This Row],[Attrition]]="Yes",1,0)</f>
        <v>0</v>
      </c>
    </row>
    <row r="370" spans="1:39"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IF(HR_Employee_Attrition[[#This Row],[Age]]&gt;60,"60+",IF(HR_Employee_Attrition[[#This Row],[Age]]&gt;=50,"50-59",IF(HR_Employee_Attrition[[#This Row],[Age]]&gt;=40,"40-49",IF(HR_Employee_Attrition[[#This Row],[Age]]&gt;=30,"30-39",IF(HR_Employee_Attrition[[#This Row],[Age]]&gt;=20,"20-29",IF(HR_Employee_Attrition[[#This Row],[Age]]&gt;=18,"18-20"))))))</f>
        <v>40-49</v>
      </c>
      <c r="AK370" t="str" cm="1">
        <f t="array" ref="AK370">_xlfn.IFS(HR_Employee_Attrition[[#This Row],[YearsAtCompany]]&lt;=2,"0-2",HR_Employee_Attrition[[#This Row],[YearsAtCompany]]&lt;=5,"3-5",HR_Employee_Attrition[[#This Row],[YearsAtCompany]]&lt;=10,"6-10",HR_Employee_Attrition[[#This Row],[YearsAtCompany]]&gt;10,"10+")</f>
        <v>6-10</v>
      </c>
      <c r="AL370" t="str" cm="1">
        <f t="array" ref="AL3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70">
        <f>IF(HR_Employee_Attrition[[#This Row],[Attrition]]="Yes",1,0)</f>
        <v>1</v>
      </c>
    </row>
    <row r="371" spans="1:39"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IF(HR_Employee_Attrition[[#This Row],[Age]]&gt;60,"60+",IF(HR_Employee_Attrition[[#This Row],[Age]]&gt;=50,"50-59",IF(HR_Employee_Attrition[[#This Row],[Age]]&gt;=40,"40-49",IF(HR_Employee_Attrition[[#This Row],[Age]]&gt;=30,"30-39",IF(HR_Employee_Attrition[[#This Row],[Age]]&gt;=20,"20-29",IF(HR_Employee_Attrition[[#This Row],[Age]]&gt;=18,"18-20"))))))</f>
        <v>30-39</v>
      </c>
      <c r="AK371" t="str" cm="1">
        <f t="array" ref="AK371">_xlfn.IFS(HR_Employee_Attrition[[#This Row],[YearsAtCompany]]&lt;=2,"0-2",HR_Employee_Attrition[[#This Row],[YearsAtCompany]]&lt;=5,"3-5",HR_Employee_Attrition[[#This Row],[YearsAtCompany]]&lt;=10,"6-10",HR_Employee_Attrition[[#This Row],[YearsAtCompany]]&gt;10,"10+")</f>
        <v>0-2</v>
      </c>
      <c r="AL371" t="str" cm="1">
        <f t="array" ref="AL3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71">
        <f>IF(HR_Employee_Attrition[[#This Row],[Attrition]]="Yes",1,0)</f>
        <v>0</v>
      </c>
    </row>
    <row r="372" spans="1:39"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IF(HR_Employee_Attrition[[#This Row],[Age]]&gt;60,"60+",IF(HR_Employee_Attrition[[#This Row],[Age]]&gt;=50,"50-59",IF(HR_Employee_Attrition[[#This Row],[Age]]&gt;=40,"40-49",IF(HR_Employee_Attrition[[#This Row],[Age]]&gt;=30,"30-39",IF(HR_Employee_Attrition[[#This Row],[Age]]&gt;=20,"20-29",IF(HR_Employee_Attrition[[#This Row],[Age]]&gt;=18,"18-20"))))))</f>
        <v>20-29</v>
      </c>
      <c r="AK372" t="str" cm="1">
        <f t="array" ref="AK372">_xlfn.IFS(HR_Employee_Attrition[[#This Row],[YearsAtCompany]]&lt;=2,"0-2",HR_Employee_Attrition[[#This Row],[YearsAtCompany]]&lt;=5,"3-5",HR_Employee_Attrition[[#This Row],[YearsAtCompany]]&lt;=10,"6-10",HR_Employee_Attrition[[#This Row],[YearsAtCompany]]&gt;10,"10+")</f>
        <v>0-2</v>
      </c>
      <c r="AL372" t="str" cm="1">
        <f t="array" ref="AL37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72">
        <f>IF(HR_Employee_Attrition[[#This Row],[Attrition]]="Yes",1,0)</f>
        <v>1</v>
      </c>
    </row>
    <row r="373" spans="1:39"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IF(HR_Employee_Attrition[[#This Row],[Age]]&gt;60,"60+",IF(HR_Employee_Attrition[[#This Row],[Age]]&gt;=50,"50-59",IF(HR_Employee_Attrition[[#This Row],[Age]]&gt;=40,"40-49",IF(HR_Employee_Attrition[[#This Row],[Age]]&gt;=30,"30-39",IF(HR_Employee_Attrition[[#This Row],[Age]]&gt;=20,"20-29",IF(HR_Employee_Attrition[[#This Row],[Age]]&gt;=18,"18-20"))))))</f>
        <v>20-29</v>
      </c>
      <c r="AK373" t="str" cm="1">
        <f t="array" ref="AK373">_xlfn.IFS(HR_Employee_Attrition[[#This Row],[YearsAtCompany]]&lt;=2,"0-2",HR_Employee_Attrition[[#This Row],[YearsAtCompany]]&lt;=5,"3-5",HR_Employee_Attrition[[#This Row],[YearsAtCompany]]&lt;=10,"6-10",HR_Employee_Attrition[[#This Row],[YearsAtCompany]]&gt;10,"10+")</f>
        <v>3-5</v>
      </c>
      <c r="AL373" t="str" cm="1">
        <f t="array" ref="AL37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73">
        <f>IF(HR_Employee_Attrition[[#This Row],[Attrition]]="Yes",1,0)</f>
        <v>0</v>
      </c>
    </row>
    <row r="374" spans="1:39"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IF(HR_Employee_Attrition[[#This Row],[Age]]&gt;60,"60+",IF(HR_Employee_Attrition[[#This Row],[Age]]&gt;=50,"50-59",IF(HR_Employee_Attrition[[#This Row],[Age]]&gt;=40,"40-49",IF(HR_Employee_Attrition[[#This Row],[Age]]&gt;=30,"30-39",IF(HR_Employee_Attrition[[#This Row],[Age]]&gt;=20,"20-29",IF(HR_Employee_Attrition[[#This Row],[Age]]&gt;=18,"18-20"))))))</f>
        <v>30-39</v>
      </c>
      <c r="AK374" t="str" cm="1">
        <f t="array" ref="AK374">_xlfn.IFS(HR_Employee_Attrition[[#This Row],[YearsAtCompany]]&lt;=2,"0-2",HR_Employee_Attrition[[#This Row],[YearsAtCompany]]&lt;=5,"3-5",HR_Employee_Attrition[[#This Row],[YearsAtCompany]]&lt;=10,"6-10",HR_Employee_Attrition[[#This Row],[YearsAtCompany]]&gt;10,"10+")</f>
        <v>0-2</v>
      </c>
      <c r="AL374" t="str" cm="1">
        <f t="array" ref="AL37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74">
        <f>IF(HR_Employee_Attrition[[#This Row],[Attrition]]="Yes",1,0)</f>
        <v>0</v>
      </c>
    </row>
    <row r="375" spans="1:39"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IF(HR_Employee_Attrition[[#This Row],[Age]]&gt;60,"60+",IF(HR_Employee_Attrition[[#This Row],[Age]]&gt;=50,"50-59",IF(HR_Employee_Attrition[[#This Row],[Age]]&gt;=40,"40-49",IF(HR_Employee_Attrition[[#This Row],[Age]]&gt;=30,"30-39",IF(HR_Employee_Attrition[[#This Row],[Age]]&gt;=20,"20-29",IF(HR_Employee_Attrition[[#This Row],[Age]]&gt;=18,"18-20"))))))</f>
        <v>20-29</v>
      </c>
      <c r="AK375" t="str" cm="1">
        <f t="array" ref="AK375">_xlfn.IFS(HR_Employee_Attrition[[#This Row],[YearsAtCompany]]&lt;=2,"0-2",HR_Employee_Attrition[[#This Row],[YearsAtCompany]]&lt;=5,"3-5",HR_Employee_Attrition[[#This Row],[YearsAtCompany]]&lt;=10,"6-10",HR_Employee_Attrition[[#This Row],[YearsAtCompany]]&gt;10,"10+")</f>
        <v>3-5</v>
      </c>
      <c r="AL375" t="str" cm="1">
        <f t="array" ref="AL37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75">
        <f>IF(HR_Employee_Attrition[[#This Row],[Attrition]]="Yes",1,0)</f>
        <v>0</v>
      </c>
    </row>
    <row r="376" spans="1:39"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IF(HR_Employee_Attrition[[#This Row],[Age]]&gt;60,"60+",IF(HR_Employee_Attrition[[#This Row],[Age]]&gt;=50,"50-59",IF(HR_Employee_Attrition[[#This Row],[Age]]&gt;=40,"40-49",IF(HR_Employee_Attrition[[#This Row],[Age]]&gt;=30,"30-39",IF(HR_Employee_Attrition[[#This Row],[Age]]&gt;=20,"20-29",IF(HR_Employee_Attrition[[#This Row],[Age]]&gt;=18,"18-20"))))))</f>
        <v>20-29</v>
      </c>
      <c r="AK376" t="str" cm="1">
        <f t="array" ref="AK376">_xlfn.IFS(HR_Employee_Attrition[[#This Row],[YearsAtCompany]]&lt;=2,"0-2",HR_Employee_Attrition[[#This Row],[YearsAtCompany]]&lt;=5,"3-5",HR_Employee_Attrition[[#This Row],[YearsAtCompany]]&lt;=10,"6-10",HR_Employee_Attrition[[#This Row],[YearsAtCompany]]&gt;10,"10+")</f>
        <v>6-10</v>
      </c>
      <c r="AL376" t="str" cm="1">
        <f t="array" ref="AL37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76">
        <f>IF(HR_Employee_Attrition[[#This Row],[Attrition]]="Yes",1,0)</f>
        <v>0</v>
      </c>
    </row>
    <row r="377" spans="1:39"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IF(HR_Employee_Attrition[[#This Row],[Age]]&gt;60,"60+",IF(HR_Employee_Attrition[[#This Row],[Age]]&gt;=50,"50-59",IF(HR_Employee_Attrition[[#This Row],[Age]]&gt;=40,"40-49",IF(HR_Employee_Attrition[[#This Row],[Age]]&gt;=30,"30-39",IF(HR_Employee_Attrition[[#This Row],[Age]]&gt;=20,"20-29",IF(HR_Employee_Attrition[[#This Row],[Age]]&gt;=18,"18-20"))))))</f>
        <v>40-49</v>
      </c>
      <c r="AK377" t="str" cm="1">
        <f t="array" ref="AK377">_xlfn.IFS(HR_Employee_Attrition[[#This Row],[YearsAtCompany]]&lt;=2,"0-2",HR_Employee_Attrition[[#This Row],[YearsAtCompany]]&lt;=5,"3-5",HR_Employee_Attrition[[#This Row],[YearsAtCompany]]&lt;=10,"6-10",HR_Employee_Attrition[[#This Row],[YearsAtCompany]]&gt;10,"10+")</f>
        <v>3-5</v>
      </c>
      <c r="AL377" t="str" cm="1">
        <f t="array" ref="AL37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377">
        <f>IF(HR_Employee_Attrition[[#This Row],[Attrition]]="Yes",1,0)</f>
        <v>0</v>
      </c>
    </row>
    <row r="378" spans="1:39"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IF(HR_Employee_Attrition[[#This Row],[Age]]&gt;60,"60+",IF(HR_Employee_Attrition[[#This Row],[Age]]&gt;=50,"50-59",IF(HR_Employee_Attrition[[#This Row],[Age]]&gt;=40,"40-49",IF(HR_Employee_Attrition[[#This Row],[Age]]&gt;=30,"30-39",IF(HR_Employee_Attrition[[#This Row],[Age]]&gt;=20,"20-29",IF(HR_Employee_Attrition[[#This Row],[Age]]&gt;=18,"18-20"))))))</f>
        <v>50-59</v>
      </c>
      <c r="AK378" t="str" cm="1">
        <f t="array" ref="AK378">_xlfn.IFS(HR_Employee_Attrition[[#This Row],[YearsAtCompany]]&lt;=2,"0-2",HR_Employee_Attrition[[#This Row],[YearsAtCompany]]&lt;=5,"3-5",HR_Employee_Attrition[[#This Row],[YearsAtCompany]]&lt;=10,"6-10",HR_Employee_Attrition[[#This Row],[YearsAtCompany]]&gt;10,"10+")</f>
        <v>6-10</v>
      </c>
      <c r="AL378" t="str" cm="1">
        <f t="array" ref="AL37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78">
        <f>IF(HR_Employee_Attrition[[#This Row],[Attrition]]="Yes",1,0)</f>
        <v>0</v>
      </c>
    </row>
    <row r="379" spans="1:39"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IF(HR_Employee_Attrition[[#This Row],[Age]]&gt;60,"60+",IF(HR_Employee_Attrition[[#This Row],[Age]]&gt;=50,"50-59",IF(HR_Employee_Attrition[[#This Row],[Age]]&gt;=40,"40-49",IF(HR_Employee_Attrition[[#This Row],[Age]]&gt;=30,"30-39",IF(HR_Employee_Attrition[[#This Row],[Age]]&gt;=20,"20-29",IF(HR_Employee_Attrition[[#This Row],[Age]]&gt;=18,"18-20"))))))</f>
        <v>30-39</v>
      </c>
      <c r="AK379" t="str" cm="1">
        <f t="array" ref="AK379">_xlfn.IFS(HR_Employee_Attrition[[#This Row],[YearsAtCompany]]&lt;=2,"0-2",HR_Employee_Attrition[[#This Row],[YearsAtCompany]]&lt;=5,"3-5",HR_Employee_Attrition[[#This Row],[YearsAtCompany]]&lt;=10,"6-10",HR_Employee_Attrition[[#This Row],[YearsAtCompany]]&gt;10,"10+")</f>
        <v>0-2</v>
      </c>
      <c r="AL379" t="str" cm="1">
        <f t="array" ref="AL37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79">
        <f>IF(HR_Employee_Attrition[[#This Row],[Attrition]]="Yes",1,0)</f>
        <v>0</v>
      </c>
    </row>
    <row r="380" spans="1:39"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IF(HR_Employee_Attrition[[#This Row],[Age]]&gt;60,"60+",IF(HR_Employee_Attrition[[#This Row],[Age]]&gt;=50,"50-59",IF(HR_Employee_Attrition[[#This Row],[Age]]&gt;=40,"40-49",IF(HR_Employee_Attrition[[#This Row],[Age]]&gt;=30,"30-39",IF(HR_Employee_Attrition[[#This Row],[Age]]&gt;=20,"20-29",IF(HR_Employee_Attrition[[#This Row],[Age]]&gt;=18,"18-20"))))))</f>
        <v>30-39</v>
      </c>
      <c r="AK380" t="str" cm="1">
        <f t="array" ref="AK380">_xlfn.IFS(HR_Employee_Attrition[[#This Row],[YearsAtCompany]]&lt;=2,"0-2",HR_Employee_Attrition[[#This Row],[YearsAtCompany]]&lt;=5,"3-5",HR_Employee_Attrition[[#This Row],[YearsAtCompany]]&lt;=10,"6-10",HR_Employee_Attrition[[#This Row],[YearsAtCompany]]&gt;10,"10+")</f>
        <v>3-5</v>
      </c>
      <c r="AL380" t="str" cm="1">
        <f t="array" ref="AL38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80">
        <f>IF(HR_Employee_Attrition[[#This Row],[Attrition]]="Yes",1,0)</f>
        <v>1</v>
      </c>
    </row>
    <row r="381" spans="1:39"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IF(HR_Employee_Attrition[[#This Row],[Age]]&gt;60,"60+",IF(HR_Employee_Attrition[[#This Row],[Age]]&gt;=50,"50-59",IF(HR_Employee_Attrition[[#This Row],[Age]]&gt;=40,"40-49",IF(HR_Employee_Attrition[[#This Row],[Age]]&gt;=30,"30-39",IF(HR_Employee_Attrition[[#This Row],[Age]]&gt;=20,"20-29",IF(HR_Employee_Attrition[[#This Row],[Age]]&gt;=18,"18-20"))))))</f>
        <v>50-59</v>
      </c>
      <c r="AK381" t="str" cm="1">
        <f t="array" ref="AK381">_xlfn.IFS(HR_Employee_Attrition[[#This Row],[YearsAtCompany]]&lt;=2,"0-2",HR_Employee_Attrition[[#This Row],[YearsAtCompany]]&lt;=5,"3-5",HR_Employee_Attrition[[#This Row],[YearsAtCompany]]&lt;=10,"6-10",HR_Employee_Attrition[[#This Row],[YearsAtCompany]]&gt;10,"10+")</f>
        <v>3-5</v>
      </c>
      <c r="AL381" t="str" cm="1">
        <f t="array" ref="AL38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381">
        <f>IF(HR_Employee_Attrition[[#This Row],[Attrition]]="Yes",1,0)</f>
        <v>0</v>
      </c>
    </row>
    <row r="382" spans="1:39"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IF(HR_Employee_Attrition[[#This Row],[Age]]&gt;60,"60+",IF(HR_Employee_Attrition[[#This Row],[Age]]&gt;=50,"50-59",IF(HR_Employee_Attrition[[#This Row],[Age]]&gt;=40,"40-49",IF(HR_Employee_Attrition[[#This Row],[Age]]&gt;=30,"30-39",IF(HR_Employee_Attrition[[#This Row],[Age]]&gt;=20,"20-29",IF(HR_Employee_Attrition[[#This Row],[Age]]&gt;=18,"18-20"))))))</f>
        <v>20-29</v>
      </c>
      <c r="AK382" t="str" cm="1">
        <f t="array" ref="AK382">_xlfn.IFS(HR_Employee_Attrition[[#This Row],[YearsAtCompany]]&lt;=2,"0-2",HR_Employee_Attrition[[#This Row],[YearsAtCompany]]&lt;=5,"3-5",HR_Employee_Attrition[[#This Row],[YearsAtCompany]]&lt;=10,"6-10",HR_Employee_Attrition[[#This Row],[YearsAtCompany]]&gt;10,"10+")</f>
        <v>3-5</v>
      </c>
      <c r="AL382" t="str" cm="1">
        <f t="array" ref="AL38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82">
        <f>IF(HR_Employee_Attrition[[#This Row],[Attrition]]="Yes",1,0)</f>
        <v>0</v>
      </c>
    </row>
    <row r="383" spans="1:39"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IF(HR_Employee_Attrition[[#This Row],[Age]]&gt;60,"60+",IF(HR_Employee_Attrition[[#This Row],[Age]]&gt;=50,"50-59",IF(HR_Employee_Attrition[[#This Row],[Age]]&gt;=40,"40-49",IF(HR_Employee_Attrition[[#This Row],[Age]]&gt;=30,"30-39",IF(HR_Employee_Attrition[[#This Row],[Age]]&gt;=20,"20-29",IF(HR_Employee_Attrition[[#This Row],[Age]]&gt;=18,"18-20"))))))</f>
        <v>30-39</v>
      </c>
      <c r="AK383" t="str" cm="1">
        <f t="array" ref="AK383">_xlfn.IFS(HR_Employee_Attrition[[#This Row],[YearsAtCompany]]&lt;=2,"0-2",HR_Employee_Attrition[[#This Row],[YearsAtCompany]]&lt;=5,"3-5",HR_Employee_Attrition[[#This Row],[YearsAtCompany]]&lt;=10,"6-10",HR_Employee_Attrition[[#This Row],[YearsAtCompany]]&gt;10,"10+")</f>
        <v>0-2</v>
      </c>
      <c r="AL383" t="str" cm="1">
        <f t="array" ref="AL38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83">
        <f>IF(HR_Employee_Attrition[[#This Row],[Attrition]]="Yes",1,0)</f>
        <v>0</v>
      </c>
    </row>
    <row r="384" spans="1:39"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IF(HR_Employee_Attrition[[#This Row],[Age]]&gt;60,"60+",IF(HR_Employee_Attrition[[#This Row],[Age]]&gt;=50,"50-59",IF(HR_Employee_Attrition[[#This Row],[Age]]&gt;=40,"40-49",IF(HR_Employee_Attrition[[#This Row],[Age]]&gt;=30,"30-39",IF(HR_Employee_Attrition[[#This Row],[Age]]&gt;=20,"20-29",IF(HR_Employee_Attrition[[#This Row],[Age]]&gt;=18,"18-20"))))))</f>
        <v>20-29</v>
      </c>
      <c r="AK384" t="str" cm="1">
        <f t="array" ref="AK384">_xlfn.IFS(HR_Employee_Attrition[[#This Row],[YearsAtCompany]]&lt;=2,"0-2",HR_Employee_Attrition[[#This Row],[YearsAtCompany]]&lt;=5,"3-5",HR_Employee_Attrition[[#This Row],[YearsAtCompany]]&lt;=10,"6-10",HR_Employee_Attrition[[#This Row],[YearsAtCompany]]&gt;10,"10+")</f>
        <v>6-10</v>
      </c>
      <c r="AL384" t="str" cm="1">
        <f t="array" ref="AL38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84">
        <f>IF(HR_Employee_Attrition[[#This Row],[Attrition]]="Yes",1,0)</f>
        <v>1</v>
      </c>
    </row>
    <row r="385" spans="1:39"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IF(HR_Employee_Attrition[[#This Row],[Age]]&gt;60,"60+",IF(HR_Employee_Attrition[[#This Row],[Age]]&gt;=50,"50-59",IF(HR_Employee_Attrition[[#This Row],[Age]]&gt;=40,"40-49",IF(HR_Employee_Attrition[[#This Row],[Age]]&gt;=30,"30-39",IF(HR_Employee_Attrition[[#This Row],[Age]]&gt;=20,"20-29",IF(HR_Employee_Attrition[[#This Row],[Age]]&gt;=18,"18-20"))))))</f>
        <v>20-29</v>
      </c>
      <c r="AK385" t="str" cm="1">
        <f t="array" ref="AK385">_xlfn.IFS(HR_Employee_Attrition[[#This Row],[YearsAtCompany]]&lt;=2,"0-2",HR_Employee_Attrition[[#This Row],[YearsAtCompany]]&lt;=5,"3-5",HR_Employee_Attrition[[#This Row],[YearsAtCompany]]&lt;=10,"6-10",HR_Employee_Attrition[[#This Row],[YearsAtCompany]]&gt;10,"10+")</f>
        <v>0-2</v>
      </c>
      <c r="AL385" t="str" cm="1">
        <f t="array" ref="AL38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85">
        <f>IF(HR_Employee_Attrition[[#This Row],[Attrition]]="Yes",1,0)</f>
        <v>0</v>
      </c>
    </row>
    <row r="386" spans="1:39"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IF(HR_Employee_Attrition[[#This Row],[Age]]&gt;60,"60+",IF(HR_Employee_Attrition[[#This Row],[Age]]&gt;=50,"50-59",IF(HR_Employee_Attrition[[#This Row],[Age]]&gt;=40,"40-49",IF(HR_Employee_Attrition[[#This Row],[Age]]&gt;=30,"30-39",IF(HR_Employee_Attrition[[#This Row],[Age]]&gt;=20,"20-29",IF(HR_Employee_Attrition[[#This Row],[Age]]&gt;=18,"18-20"))))))</f>
        <v>30-39</v>
      </c>
      <c r="AK386" t="str" cm="1">
        <f t="array" ref="AK386">_xlfn.IFS(HR_Employee_Attrition[[#This Row],[YearsAtCompany]]&lt;=2,"0-2",HR_Employee_Attrition[[#This Row],[YearsAtCompany]]&lt;=5,"3-5",HR_Employee_Attrition[[#This Row],[YearsAtCompany]]&lt;=10,"6-10",HR_Employee_Attrition[[#This Row],[YearsAtCompany]]&gt;10,"10+")</f>
        <v>6-10</v>
      </c>
      <c r="AL386" t="str" cm="1">
        <f t="array" ref="AL38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86">
        <f>IF(HR_Employee_Attrition[[#This Row],[Attrition]]="Yes",1,0)</f>
        <v>0</v>
      </c>
    </row>
    <row r="387" spans="1:39"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IF(HR_Employee_Attrition[[#This Row],[Age]]&gt;60,"60+",IF(HR_Employee_Attrition[[#This Row],[Age]]&gt;=50,"50-59",IF(HR_Employee_Attrition[[#This Row],[Age]]&gt;=40,"40-49",IF(HR_Employee_Attrition[[#This Row],[Age]]&gt;=30,"30-39",IF(HR_Employee_Attrition[[#This Row],[Age]]&gt;=20,"20-29",IF(HR_Employee_Attrition[[#This Row],[Age]]&gt;=18,"18-20"))))))</f>
        <v>30-39</v>
      </c>
      <c r="AK387" t="str" cm="1">
        <f t="array" ref="AK387">_xlfn.IFS(HR_Employee_Attrition[[#This Row],[YearsAtCompany]]&lt;=2,"0-2",HR_Employee_Attrition[[#This Row],[YearsAtCompany]]&lt;=5,"3-5",HR_Employee_Attrition[[#This Row],[YearsAtCompany]]&lt;=10,"6-10",HR_Employee_Attrition[[#This Row],[YearsAtCompany]]&gt;10,"10+")</f>
        <v>0-2</v>
      </c>
      <c r="AL387" t="str" cm="1">
        <f t="array" ref="AL38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87">
        <f>IF(HR_Employee_Attrition[[#This Row],[Attrition]]="Yes",1,0)</f>
        <v>1</v>
      </c>
    </row>
    <row r="388" spans="1:39"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IF(HR_Employee_Attrition[[#This Row],[Age]]&gt;60,"60+",IF(HR_Employee_Attrition[[#This Row],[Age]]&gt;=50,"50-59",IF(HR_Employee_Attrition[[#This Row],[Age]]&gt;=40,"40-49",IF(HR_Employee_Attrition[[#This Row],[Age]]&gt;=30,"30-39",IF(HR_Employee_Attrition[[#This Row],[Age]]&gt;=20,"20-29",IF(HR_Employee_Attrition[[#This Row],[Age]]&gt;=18,"18-20"))))))</f>
        <v>30-39</v>
      </c>
      <c r="AK388" t="str" cm="1">
        <f t="array" ref="AK388">_xlfn.IFS(HR_Employee_Attrition[[#This Row],[YearsAtCompany]]&lt;=2,"0-2",HR_Employee_Attrition[[#This Row],[YearsAtCompany]]&lt;=5,"3-5",HR_Employee_Attrition[[#This Row],[YearsAtCompany]]&lt;=10,"6-10",HR_Employee_Attrition[[#This Row],[YearsAtCompany]]&gt;10,"10+")</f>
        <v>10+</v>
      </c>
      <c r="AL388" t="str" cm="1">
        <f t="array" ref="AL38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88">
        <f>IF(HR_Employee_Attrition[[#This Row],[Attrition]]="Yes",1,0)</f>
        <v>0</v>
      </c>
    </row>
    <row r="389" spans="1:39"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IF(HR_Employee_Attrition[[#This Row],[Age]]&gt;60,"60+",IF(HR_Employee_Attrition[[#This Row],[Age]]&gt;=50,"50-59",IF(HR_Employee_Attrition[[#This Row],[Age]]&gt;=40,"40-49",IF(HR_Employee_Attrition[[#This Row],[Age]]&gt;=30,"30-39",IF(HR_Employee_Attrition[[#This Row],[Age]]&gt;=20,"20-29",IF(HR_Employee_Attrition[[#This Row],[Age]]&gt;=18,"18-20"))))))</f>
        <v>40-49</v>
      </c>
      <c r="AK389" t="str" cm="1">
        <f t="array" ref="AK389">_xlfn.IFS(HR_Employee_Attrition[[#This Row],[YearsAtCompany]]&lt;=2,"0-2",HR_Employee_Attrition[[#This Row],[YearsAtCompany]]&lt;=5,"3-5",HR_Employee_Attrition[[#This Row],[YearsAtCompany]]&lt;=10,"6-10",HR_Employee_Attrition[[#This Row],[YearsAtCompany]]&gt;10,"10+")</f>
        <v>3-5</v>
      </c>
      <c r="AL389" t="str" cm="1">
        <f t="array" ref="AL38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89">
        <f>IF(HR_Employee_Attrition[[#This Row],[Attrition]]="Yes",1,0)</f>
        <v>0</v>
      </c>
    </row>
    <row r="390" spans="1:39"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IF(HR_Employee_Attrition[[#This Row],[Age]]&gt;60,"60+",IF(HR_Employee_Attrition[[#This Row],[Age]]&gt;=50,"50-59",IF(HR_Employee_Attrition[[#This Row],[Age]]&gt;=40,"40-49",IF(HR_Employee_Attrition[[#This Row],[Age]]&gt;=30,"30-39",IF(HR_Employee_Attrition[[#This Row],[Age]]&gt;=20,"20-29",IF(HR_Employee_Attrition[[#This Row],[Age]]&gt;=18,"18-20"))))))</f>
        <v>40-49</v>
      </c>
      <c r="AK390" t="str" cm="1">
        <f t="array" ref="AK390">_xlfn.IFS(HR_Employee_Attrition[[#This Row],[YearsAtCompany]]&lt;=2,"0-2",HR_Employee_Attrition[[#This Row],[YearsAtCompany]]&lt;=5,"3-5",HR_Employee_Attrition[[#This Row],[YearsAtCompany]]&lt;=10,"6-10",HR_Employee_Attrition[[#This Row],[YearsAtCompany]]&gt;10,"10+")</f>
        <v>3-5</v>
      </c>
      <c r="AL390" t="str" cm="1">
        <f t="array" ref="AL39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90">
        <f>IF(HR_Employee_Attrition[[#This Row],[Attrition]]="Yes",1,0)</f>
        <v>0</v>
      </c>
    </row>
    <row r="391" spans="1:39"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IF(HR_Employee_Attrition[[#This Row],[Age]]&gt;60,"60+",IF(HR_Employee_Attrition[[#This Row],[Age]]&gt;=50,"50-59",IF(HR_Employee_Attrition[[#This Row],[Age]]&gt;=40,"40-49",IF(HR_Employee_Attrition[[#This Row],[Age]]&gt;=30,"30-39",IF(HR_Employee_Attrition[[#This Row],[Age]]&gt;=20,"20-29",IF(HR_Employee_Attrition[[#This Row],[Age]]&gt;=18,"18-20"))))))</f>
        <v>30-39</v>
      </c>
      <c r="AK391" t="str" cm="1">
        <f t="array" ref="AK391">_xlfn.IFS(HR_Employee_Attrition[[#This Row],[YearsAtCompany]]&lt;=2,"0-2",HR_Employee_Attrition[[#This Row],[YearsAtCompany]]&lt;=5,"3-5",HR_Employee_Attrition[[#This Row],[YearsAtCompany]]&lt;=10,"6-10",HR_Employee_Attrition[[#This Row],[YearsAtCompany]]&gt;10,"10+")</f>
        <v>0-2</v>
      </c>
      <c r="AL391" t="str" cm="1">
        <f t="array" ref="AL39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91">
        <f>IF(HR_Employee_Attrition[[#This Row],[Attrition]]="Yes",1,0)</f>
        <v>0</v>
      </c>
    </row>
    <row r="392" spans="1:39"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IF(HR_Employee_Attrition[[#This Row],[Age]]&gt;60,"60+",IF(HR_Employee_Attrition[[#This Row],[Age]]&gt;=50,"50-59",IF(HR_Employee_Attrition[[#This Row],[Age]]&gt;=40,"40-49",IF(HR_Employee_Attrition[[#This Row],[Age]]&gt;=30,"30-39",IF(HR_Employee_Attrition[[#This Row],[Age]]&gt;=20,"20-29",IF(HR_Employee_Attrition[[#This Row],[Age]]&gt;=18,"18-20"))))))</f>
        <v>40-49</v>
      </c>
      <c r="AK392" t="str" cm="1">
        <f t="array" ref="AK392">_xlfn.IFS(HR_Employee_Attrition[[#This Row],[YearsAtCompany]]&lt;=2,"0-2",HR_Employee_Attrition[[#This Row],[YearsAtCompany]]&lt;=5,"3-5",HR_Employee_Attrition[[#This Row],[YearsAtCompany]]&lt;=10,"6-10",HR_Employee_Attrition[[#This Row],[YearsAtCompany]]&gt;10,"10+")</f>
        <v>10+</v>
      </c>
      <c r="AL392" t="str" cm="1">
        <f t="array" ref="AL39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392">
        <f>IF(HR_Employee_Attrition[[#This Row],[Attrition]]="Yes",1,0)</f>
        <v>0</v>
      </c>
    </row>
    <row r="393" spans="1:39"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IF(HR_Employee_Attrition[[#This Row],[Age]]&gt;60,"60+",IF(HR_Employee_Attrition[[#This Row],[Age]]&gt;=50,"50-59",IF(HR_Employee_Attrition[[#This Row],[Age]]&gt;=40,"40-49",IF(HR_Employee_Attrition[[#This Row],[Age]]&gt;=30,"30-39",IF(HR_Employee_Attrition[[#This Row],[Age]]&gt;=20,"20-29",IF(HR_Employee_Attrition[[#This Row],[Age]]&gt;=18,"18-20"))))))</f>
        <v>40-49</v>
      </c>
      <c r="AK393" t="str" cm="1">
        <f t="array" ref="AK393">_xlfn.IFS(HR_Employee_Attrition[[#This Row],[YearsAtCompany]]&lt;=2,"0-2",HR_Employee_Attrition[[#This Row],[YearsAtCompany]]&lt;=5,"3-5",HR_Employee_Attrition[[#This Row],[YearsAtCompany]]&lt;=10,"6-10",HR_Employee_Attrition[[#This Row],[YearsAtCompany]]&gt;10,"10+")</f>
        <v>0-2</v>
      </c>
      <c r="AL393" t="str" cm="1">
        <f t="array" ref="AL39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93">
        <f>IF(HR_Employee_Attrition[[#This Row],[Attrition]]="Yes",1,0)</f>
        <v>0</v>
      </c>
    </row>
    <row r="394" spans="1:39"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IF(HR_Employee_Attrition[[#This Row],[Age]]&gt;60,"60+",IF(HR_Employee_Attrition[[#This Row],[Age]]&gt;=50,"50-59",IF(HR_Employee_Attrition[[#This Row],[Age]]&gt;=40,"40-49",IF(HR_Employee_Attrition[[#This Row],[Age]]&gt;=30,"30-39",IF(HR_Employee_Attrition[[#This Row],[Age]]&gt;=20,"20-29",IF(HR_Employee_Attrition[[#This Row],[Age]]&gt;=18,"18-20"))))))</f>
        <v>50-59</v>
      </c>
      <c r="AK394" t="str" cm="1">
        <f t="array" ref="AK394">_xlfn.IFS(HR_Employee_Attrition[[#This Row],[YearsAtCompany]]&lt;=2,"0-2",HR_Employee_Attrition[[#This Row],[YearsAtCompany]]&lt;=5,"3-5",HR_Employee_Attrition[[#This Row],[YearsAtCompany]]&lt;=10,"6-10",HR_Employee_Attrition[[#This Row],[YearsAtCompany]]&gt;10,"10+")</f>
        <v>3-5</v>
      </c>
      <c r="AL394" t="str" cm="1">
        <f t="array" ref="AL39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394">
        <f>IF(HR_Employee_Attrition[[#This Row],[Attrition]]="Yes",1,0)</f>
        <v>0</v>
      </c>
    </row>
    <row r="395" spans="1:39"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IF(HR_Employee_Attrition[[#This Row],[Age]]&gt;60,"60+",IF(HR_Employee_Attrition[[#This Row],[Age]]&gt;=50,"50-59",IF(HR_Employee_Attrition[[#This Row],[Age]]&gt;=40,"40-49",IF(HR_Employee_Attrition[[#This Row],[Age]]&gt;=30,"30-39",IF(HR_Employee_Attrition[[#This Row],[Age]]&gt;=20,"20-29",IF(HR_Employee_Attrition[[#This Row],[Age]]&gt;=18,"18-20"))))))</f>
        <v>30-39</v>
      </c>
      <c r="AK395" t="str" cm="1">
        <f t="array" ref="AK395">_xlfn.IFS(HR_Employee_Attrition[[#This Row],[YearsAtCompany]]&lt;=2,"0-2",HR_Employee_Attrition[[#This Row],[YearsAtCompany]]&lt;=5,"3-5",HR_Employee_Attrition[[#This Row],[YearsAtCompany]]&lt;=10,"6-10",HR_Employee_Attrition[[#This Row],[YearsAtCompany]]&gt;10,"10+")</f>
        <v>3-5</v>
      </c>
      <c r="AL395" t="str" cm="1">
        <f t="array" ref="AL39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395">
        <f>IF(HR_Employee_Attrition[[#This Row],[Attrition]]="Yes",1,0)</f>
        <v>0</v>
      </c>
    </row>
    <row r="396" spans="1:39"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IF(HR_Employee_Attrition[[#This Row],[Age]]&gt;60,"60+",IF(HR_Employee_Attrition[[#This Row],[Age]]&gt;=50,"50-59",IF(HR_Employee_Attrition[[#This Row],[Age]]&gt;=40,"40-49",IF(HR_Employee_Attrition[[#This Row],[Age]]&gt;=30,"30-39",IF(HR_Employee_Attrition[[#This Row],[Age]]&gt;=20,"20-29",IF(HR_Employee_Attrition[[#This Row],[Age]]&gt;=18,"18-20"))))))</f>
        <v>30-39</v>
      </c>
      <c r="AK396" t="str" cm="1">
        <f t="array" ref="AK396">_xlfn.IFS(HR_Employee_Attrition[[#This Row],[YearsAtCompany]]&lt;=2,"0-2",HR_Employee_Attrition[[#This Row],[YearsAtCompany]]&lt;=5,"3-5",HR_Employee_Attrition[[#This Row],[YearsAtCompany]]&lt;=10,"6-10",HR_Employee_Attrition[[#This Row],[YearsAtCompany]]&gt;10,"10+")</f>
        <v>10+</v>
      </c>
      <c r="AL396" t="str" cm="1">
        <f t="array" ref="AL39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96">
        <f>IF(HR_Employee_Attrition[[#This Row],[Attrition]]="Yes",1,0)</f>
        <v>0</v>
      </c>
    </row>
    <row r="397" spans="1:39"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IF(HR_Employee_Attrition[[#This Row],[Age]]&gt;60,"60+",IF(HR_Employee_Attrition[[#This Row],[Age]]&gt;=50,"50-59",IF(HR_Employee_Attrition[[#This Row],[Age]]&gt;=40,"40-49",IF(HR_Employee_Attrition[[#This Row],[Age]]&gt;=30,"30-39",IF(HR_Employee_Attrition[[#This Row],[Age]]&gt;=20,"20-29",IF(HR_Employee_Attrition[[#This Row],[Age]]&gt;=18,"18-20"))))))</f>
        <v>40-49</v>
      </c>
      <c r="AK397" t="str" cm="1">
        <f t="array" ref="AK397">_xlfn.IFS(HR_Employee_Attrition[[#This Row],[YearsAtCompany]]&lt;=2,"0-2",HR_Employee_Attrition[[#This Row],[YearsAtCompany]]&lt;=5,"3-5",HR_Employee_Attrition[[#This Row],[YearsAtCompany]]&lt;=10,"6-10",HR_Employee_Attrition[[#This Row],[YearsAtCompany]]&gt;10,"10+")</f>
        <v>3-5</v>
      </c>
      <c r="AL397" t="str" cm="1">
        <f t="array" ref="AL39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97">
        <f>IF(HR_Employee_Attrition[[#This Row],[Attrition]]="Yes",1,0)</f>
        <v>0</v>
      </c>
    </row>
    <row r="398" spans="1:39"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IF(HR_Employee_Attrition[[#This Row],[Age]]&gt;60,"60+",IF(HR_Employee_Attrition[[#This Row],[Age]]&gt;=50,"50-59",IF(HR_Employee_Attrition[[#This Row],[Age]]&gt;=40,"40-49",IF(HR_Employee_Attrition[[#This Row],[Age]]&gt;=30,"30-39",IF(HR_Employee_Attrition[[#This Row],[Age]]&gt;=20,"20-29",IF(HR_Employee_Attrition[[#This Row],[Age]]&gt;=18,"18-20"))))))</f>
        <v>40-49</v>
      </c>
      <c r="AK398" t="str" cm="1">
        <f t="array" ref="AK398">_xlfn.IFS(HR_Employee_Attrition[[#This Row],[YearsAtCompany]]&lt;=2,"0-2",HR_Employee_Attrition[[#This Row],[YearsAtCompany]]&lt;=5,"3-5",HR_Employee_Attrition[[#This Row],[YearsAtCompany]]&lt;=10,"6-10",HR_Employee_Attrition[[#This Row],[YearsAtCompany]]&gt;10,"10+")</f>
        <v>3-5</v>
      </c>
      <c r="AL398" t="str" cm="1">
        <f t="array" ref="AL39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98">
        <f>IF(HR_Employee_Attrition[[#This Row],[Attrition]]="Yes",1,0)</f>
        <v>0</v>
      </c>
    </row>
    <row r="399" spans="1:39"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IF(HR_Employee_Attrition[[#This Row],[Age]]&gt;60,"60+",IF(HR_Employee_Attrition[[#This Row],[Age]]&gt;=50,"50-59",IF(HR_Employee_Attrition[[#This Row],[Age]]&gt;=40,"40-49",IF(HR_Employee_Attrition[[#This Row],[Age]]&gt;=30,"30-39",IF(HR_Employee_Attrition[[#This Row],[Age]]&gt;=20,"20-29",IF(HR_Employee_Attrition[[#This Row],[Age]]&gt;=18,"18-20"))))))</f>
        <v>20-29</v>
      </c>
      <c r="AK399" t="str" cm="1">
        <f t="array" ref="AK399">_xlfn.IFS(HR_Employee_Attrition[[#This Row],[YearsAtCompany]]&lt;=2,"0-2",HR_Employee_Attrition[[#This Row],[YearsAtCompany]]&lt;=5,"3-5",HR_Employee_Attrition[[#This Row],[YearsAtCompany]]&lt;=10,"6-10",HR_Employee_Attrition[[#This Row],[YearsAtCompany]]&gt;10,"10+")</f>
        <v>3-5</v>
      </c>
      <c r="AL399" t="str" cm="1">
        <f t="array" ref="AL39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399">
        <f>IF(HR_Employee_Attrition[[#This Row],[Attrition]]="Yes",1,0)</f>
        <v>0</v>
      </c>
    </row>
    <row r="400" spans="1:39"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IF(HR_Employee_Attrition[[#This Row],[Age]]&gt;60,"60+",IF(HR_Employee_Attrition[[#This Row],[Age]]&gt;=50,"50-59",IF(HR_Employee_Attrition[[#This Row],[Age]]&gt;=40,"40-49",IF(HR_Employee_Attrition[[#This Row],[Age]]&gt;=30,"30-39",IF(HR_Employee_Attrition[[#This Row],[Age]]&gt;=20,"20-29",IF(HR_Employee_Attrition[[#This Row],[Age]]&gt;=18,"18-20"))))))</f>
        <v>30-39</v>
      </c>
      <c r="AK400" t="str" cm="1">
        <f t="array" ref="AK400">_xlfn.IFS(HR_Employee_Attrition[[#This Row],[YearsAtCompany]]&lt;=2,"0-2",HR_Employee_Attrition[[#This Row],[YearsAtCompany]]&lt;=5,"3-5",HR_Employee_Attrition[[#This Row],[YearsAtCompany]]&lt;=10,"6-10",HR_Employee_Attrition[[#This Row],[YearsAtCompany]]&gt;10,"10+")</f>
        <v>10+</v>
      </c>
      <c r="AL400" t="str" cm="1">
        <f t="array" ref="AL40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00">
        <f>IF(HR_Employee_Attrition[[#This Row],[Attrition]]="Yes",1,0)</f>
        <v>0</v>
      </c>
    </row>
    <row r="401" spans="1:39"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IF(HR_Employee_Attrition[[#This Row],[Age]]&gt;60,"60+",IF(HR_Employee_Attrition[[#This Row],[Age]]&gt;=50,"50-59",IF(HR_Employee_Attrition[[#This Row],[Age]]&gt;=40,"40-49",IF(HR_Employee_Attrition[[#This Row],[Age]]&gt;=30,"30-39",IF(HR_Employee_Attrition[[#This Row],[Age]]&gt;=20,"20-29",IF(HR_Employee_Attrition[[#This Row],[Age]]&gt;=18,"18-20"))))))</f>
        <v>30-39</v>
      </c>
      <c r="AK401" t="str" cm="1">
        <f t="array" ref="AK401">_xlfn.IFS(HR_Employee_Attrition[[#This Row],[YearsAtCompany]]&lt;=2,"0-2",HR_Employee_Attrition[[#This Row],[YearsAtCompany]]&lt;=5,"3-5",HR_Employee_Attrition[[#This Row],[YearsAtCompany]]&lt;=10,"6-10",HR_Employee_Attrition[[#This Row],[YearsAtCompany]]&gt;10,"10+")</f>
        <v>3-5</v>
      </c>
      <c r="AL401" t="str" cm="1">
        <f t="array" ref="AL40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01">
        <f>IF(HR_Employee_Attrition[[#This Row],[Attrition]]="Yes",1,0)</f>
        <v>0</v>
      </c>
    </row>
    <row r="402" spans="1:39"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IF(HR_Employee_Attrition[[#This Row],[Age]]&gt;60,"60+",IF(HR_Employee_Attrition[[#This Row],[Age]]&gt;=50,"50-59",IF(HR_Employee_Attrition[[#This Row],[Age]]&gt;=40,"40-49",IF(HR_Employee_Attrition[[#This Row],[Age]]&gt;=30,"30-39",IF(HR_Employee_Attrition[[#This Row],[Age]]&gt;=20,"20-29",IF(HR_Employee_Attrition[[#This Row],[Age]]&gt;=18,"18-20"))))))</f>
        <v>30-39</v>
      </c>
      <c r="AK402" t="str" cm="1">
        <f t="array" ref="AK402">_xlfn.IFS(HR_Employee_Attrition[[#This Row],[YearsAtCompany]]&lt;=2,"0-2",HR_Employee_Attrition[[#This Row],[YearsAtCompany]]&lt;=5,"3-5",HR_Employee_Attrition[[#This Row],[YearsAtCompany]]&lt;=10,"6-10",HR_Employee_Attrition[[#This Row],[YearsAtCompany]]&gt;10,"10+")</f>
        <v>10+</v>
      </c>
      <c r="AL402" t="str" cm="1">
        <f t="array" ref="AL40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02">
        <f>IF(HR_Employee_Attrition[[#This Row],[Attrition]]="Yes",1,0)</f>
        <v>0</v>
      </c>
    </row>
    <row r="403" spans="1:39"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IF(HR_Employee_Attrition[[#This Row],[Age]]&gt;60,"60+",IF(HR_Employee_Attrition[[#This Row],[Age]]&gt;=50,"50-59",IF(HR_Employee_Attrition[[#This Row],[Age]]&gt;=40,"40-49",IF(HR_Employee_Attrition[[#This Row],[Age]]&gt;=30,"30-39",IF(HR_Employee_Attrition[[#This Row],[Age]]&gt;=20,"20-29",IF(HR_Employee_Attrition[[#This Row],[Age]]&gt;=18,"18-20"))))))</f>
        <v>50-59</v>
      </c>
      <c r="AK403" t="str" cm="1">
        <f t="array" ref="AK403">_xlfn.IFS(HR_Employee_Attrition[[#This Row],[YearsAtCompany]]&lt;=2,"0-2",HR_Employee_Attrition[[#This Row],[YearsAtCompany]]&lt;=5,"3-5",HR_Employee_Attrition[[#This Row],[YearsAtCompany]]&lt;=10,"6-10",HR_Employee_Attrition[[#This Row],[YearsAtCompany]]&gt;10,"10+")</f>
        <v>6-10</v>
      </c>
      <c r="AL403" t="str" cm="1">
        <f t="array" ref="AL40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403">
        <f>IF(HR_Employee_Attrition[[#This Row],[Attrition]]="Yes",1,0)</f>
        <v>0</v>
      </c>
    </row>
    <row r="404" spans="1:39"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IF(HR_Employee_Attrition[[#This Row],[Age]]&gt;60,"60+",IF(HR_Employee_Attrition[[#This Row],[Age]]&gt;=50,"50-59",IF(HR_Employee_Attrition[[#This Row],[Age]]&gt;=40,"40-49",IF(HR_Employee_Attrition[[#This Row],[Age]]&gt;=30,"30-39",IF(HR_Employee_Attrition[[#This Row],[Age]]&gt;=20,"20-29",IF(HR_Employee_Attrition[[#This Row],[Age]]&gt;=18,"18-20"))))))</f>
        <v>30-39</v>
      </c>
      <c r="AK404" t="str" cm="1">
        <f t="array" ref="AK404">_xlfn.IFS(HR_Employee_Attrition[[#This Row],[YearsAtCompany]]&lt;=2,"0-2",HR_Employee_Attrition[[#This Row],[YearsAtCompany]]&lt;=5,"3-5",HR_Employee_Attrition[[#This Row],[YearsAtCompany]]&lt;=10,"6-10",HR_Employee_Attrition[[#This Row],[YearsAtCompany]]&gt;10,"10+")</f>
        <v>3-5</v>
      </c>
      <c r="AL404" t="str" cm="1">
        <f t="array" ref="AL40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04">
        <f>IF(HR_Employee_Attrition[[#This Row],[Attrition]]="Yes",1,0)</f>
        <v>0</v>
      </c>
    </row>
    <row r="405" spans="1:39"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IF(HR_Employee_Attrition[[#This Row],[Age]]&gt;60,"60+",IF(HR_Employee_Attrition[[#This Row],[Age]]&gt;=50,"50-59",IF(HR_Employee_Attrition[[#This Row],[Age]]&gt;=40,"40-49",IF(HR_Employee_Attrition[[#This Row],[Age]]&gt;=30,"30-39",IF(HR_Employee_Attrition[[#This Row],[Age]]&gt;=20,"20-29",IF(HR_Employee_Attrition[[#This Row],[Age]]&gt;=18,"18-20"))))))</f>
        <v>40-49</v>
      </c>
      <c r="AK405" t="str" cm="1">
        <f t="array" ref="AK405">_xlfn.IFS(HR_Employee_Attrition[[#This Row],[YearsAtCompany]]&lt;=2,"0-2",HR_Employee_Attrition[[#This Row],[YearsAtCompany]]&lt;=5,"3-5",HR_Employee_Attrition[[#This Row],[YearsAtCompany]]&lt;=10,"6-10",HR_Employee_Attrition[[#This Row],[YearsAtCompany]]&gt;10,"10+")</f>
        <v>6-10</v>
      </c>
      <c r="AL405" t="str" cm="1">
        <f t="array" ref="AL40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05">
        <f>IF(HR_Employee_Attrition[[#This Row],[Attrition]]="Yes",1,0)</f>
        <v>0</v>
      </c>
    </row>
    <row r="406" spans="1:39"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IF(HR_Employee_Attrition[[#This Row],[Age]]&gt;60,"60+",IF(HR_Employee_Attrition[[#This Row],[Age]]&gt;=50,"50-59",IF(HR_Employee_Attrition[[#This Row],[Age]]&gt;=40,"40-49",IF(HR_Employee_Attrition[[#This Row],[Age]]&gt;=30,"30-39",IF(HR_Employee_Attrition[[#This Row],[Age]]&gt;=20,"20-29",IF(HR_Employee_Attrition[[#This Row],[Age]]&gt;=18,"18-20"))))))</f>
        <v>20-29</v>
      </c>
      <c r="AK406" t="str" cm="1">
        <f t="array" ref="AK406">_xlfn.IFS(HR_Employee_Attrition[[#This Row],[YearsAtCompany]]&lt;=2,"0-2",HR_Employee_Attrition[[#This Row],[YearsAtCompany]]&lt;=5,"3-5",HR_Employee_Attrition[[#This Row],[YearsAtCompany]]&lt;=10,"6-10",HR_Employee_Attrition[[#This Row],[YearsAtCompany]]&gt;10,"10+")</f>
        <v>6-10</v>
      </c>
      <c r="AL406" t="str" cm="1">
        <f t="array" ref="AL40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06">
        <f>IF(HR_Employee_Attrition[[#This Row],[Attrition]]="Yes",1,0)</f>
        <v>0</v>
      </c>
    </row>
    <row r="407" spans="1:39"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IF(HR_Employee_Attrition[[#This Row],[Age]]&gt;60,"60+",IF(HR_Employee_Attrition[[#This Row],[Age]]&gt;=50,"50-59",IF(HR_Employee_Attrition[[#This Row],[Age]]&gt;=40,"40-49",IF(HR_Employee_Attrition[[#This Row],[Age]]&gt;=30,"30-39",IF(HR_Employee_Attrition[[#This Row],[Age]]&gt;=20,"20-29",IF(HR_Employee_Attrition[[#This Row],[Age]]&gt;=18,"18-20"))))))</f>
        <v>20-29</v>
      </c>
      <c r="AK407" t="str" cm="1">
        <f t="array" ref="AK407">_xlfn.IFS(HR_Employee_Attrition[[#This Row],[YearsAtCompany]]&lt;=2,"0-2",HR_Employee_Attrition[[#This Row],[YearsAtCompany]]&lt;=5,"3-5",HR_Employee_Attrition[[#This Row],[YearsAtCompany]]&lt;=10,"6-10",HR_Employee_Attrition[[#This Row],[YearsAtCompany]]&gt;10,"10+")</f>
        <v>0-2</v>
      </c>
      <c r="AL407" t="str" cm="1">
        <f t="array" ref="AL40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07">
        <f>IF(HR_Employee_Attrition[[#This Row],[Attrition]]="Yes",1,0)</f>
        <v>1</v>
      </c>
    </row>
    <row r="408" spans="1:39"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IF(HR_Employee_Attrition[[#This Row],[Age]]&gt;60,"60+",IF(HR_Employee_Attrition[[#This Row],[Age]]&gt;=50,"50-59",IF(HR_Employee_Attrition[[#This Row],[Age]]&gt;=40,"40-49",IF(HR_Employee_Attrition[[#This Row],[Age]]&gt;=30,"30-39",IF(HR_Employee_Attrition[[#This Row],[Age]]&gt;=20,"20-29",IF(HR_Employee_Attrition[[#This Row],[Age]]&gt;=18,"18-20"))))))</f>
        <v>50-59</v>
      </c>
      <c r="AK408" t="str" cm="1">
        <f t="array" ref="AK408">_xlfn.IFS(HR_Employee_Attrition[[#This Row],[YearsAtCompany]]&lt;=2,"0-2",HR_Employee_Attrition[[#This Row],[YearsAtCompany]]&lt;=5,"3-5",HR_Employee_Attrition[[#This Row],[YearsAtCompany]]&lt;=10,"6-10",HR_Employee_Attrition[[#This Row],[YearsAtCompany]]&gt;10,"10+")</f>
        <v>3-5</v>
      </c>
      <c r="AL408" t="str" cm="1">
        <f t="array" ref="AL40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08">
        <f>IF(HR_Employee_Attrition[[#This Row],[Attrition]]="Yes",1,0)</f>
        <v>0</v>
      </c>
    </row>
    <row r="409" spans="1:39"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IF(HR_Employee_Attrition[[#This Row],[Age]]&gt;60,"60+",IF(HR_Employee_Attrition[[#This Row],[Age]]&gt;=50,"50-59",IF(HR_Employee_Attrition[[#This Row],[Age]]&gt;=40,"40-49",IF(HR_Employee_Attrition[[#This Row],[Age]]&gt;=30,"30-39",IF(HR_Employee_Attrition[[#This Row],[Age]]&gt;=20,"20-29",IF(HR_Employee_Attrition[[#This Row],[Age]]&gt;=18,"18-20"))))))</f>
        <v>40-49</v>
      </c>
      <c r="AK409" t="str" cm="1">
        <f t="array" ref="AK409">_xlfn.IFS(HR_Employee_Attrition[[#This Row],[YearsAtCompany]]&lt;=2,"0-2",HR_Employee_Attrition[[#This Row],[YearsAtCompany]]&lt;=5,"3-5",HR_Employee_Attrition[[#This Row],[YearsAtCompany]]&lt;=10,"6-10",HR_Employee_Attrition[[#This Row],[YearsAtCompany]]&gt;10,"10+")</f>
        <v>0-2</v>
      </c>
      <c r="AL409" t="str" cm="1">
        <f t="array" ref="AL40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09">
        <f>IF(HR_Employee_Attrition[[#This Row],[Attrition]]="Yes",1,0)</f>
        <v>0</v>
      </c>
    </row>
    <row r="410" spans="1:39"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IF(HR_Employee_Attrition[[#This Row],[Age]]&gt;60,"60+",IF(HR_Employee_Attrition[[#This Row],[Age]]&gt;=50,"50-59",IF(HR_Employee_Attrition[[#This Row],[Age]]&gt;=40,"40-49",IF(HR_Employee_Attrition[[#This Row],[Age]]&gt;=30,"30-39",IF(HR_Employee_Attrition[[#This Row],[Age]]&gt;=20,"20-29",IF(HR_Employee_Attrition[[#This Row],[Age]]&gt;=18,"18-20"))))))</f>
        <v>50-59</v>
      </c>
      <c r="AK410" t="str" cm="1">
        <f t="array" ref="AK410">_xlfn.IFS(HR_Employee_Attrition[[#This Row],[YearsAtCompany]]&lt;=2,"0-2",HR_Employee_Attrition[[#This Row],[YearsAtCompany]]&lt;=5,"3-5",HR_Employee_Attrition[[#This Row],[YearsAtCompany]]&lt;=10,"6-10",HR_Employee_Attrition[[#This Row],[YearsAtCompany]]&gt;10,"10+")</f>
        <v>3-5</v>
      </c>
      <c r="AL410" t="str" cm="1">
        <f t="array" ref="AL4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10">
        <f>IF(HR_Employee_Attrition[[#This Row],[Attrition]]="Yes",1,0)</f>
        <v>0</v>
      </c>
    </row>
    <row r="411" spans="1:39"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IF(HR_Employee_Attrition[[#This Row],[Age]]&gt;60,"60+",IF(HR_Employee_Attrition[[#This Row],[Age]]&gt;=50,"50-59",IF(HR_Employee_Attrition[[#This Row],[Age]]&gt;=40,"40-49",IF(HR_Employee_Attrition[[#This Row],[Age]]&gt;=30,"30-39",IF(HR_Employee_Attrition[[#This Row],[Age]]&gt;=20,"20-29",IF(HR_Employee_Attrition[[#This Row],[Age]]&gt;=18,"18-20"))))))</f>
        <v>40-49</v>
      </c>
      <c r="AK411" t="str" cm="1">
        <f t="array" ref="AK411">_xlfn.IFS(HR_Employee_Attrition[[#This Row],[YearsAtCompany]]&lt;=2,"0-2",HR_Employee_Attrition[[#This Row],[YearsAtCompany]]&lt;=5,"3-5",HR_Employee_Attrition[[#This Row],[YearsAtCompany]]&lt;=10,"6-10",HR_Employee_Attrition[[#This Row],[YearsAtCompany]]&gt;10,"10+")</f>
        <v>3-5</v>
      </c>
      <c r="AL411" t="str" cm="1">
        <f t="array" ref="AL4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11">
        <f>IF(HR_Employee_Attrition[[#This Row],[Attrition]]="Yes",1,0)</f>
        <v>0</v>
      </c>
    </row>
    <row r="412" spans="1:39"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IF(HR_Employee_Attrition[[#This Row],[Age]]&gt;60,"60+",IF(HR_Employee_Attrition[[#This Row],[Age]]&gt;=50,"50-59",IF(HR_Employee_Attrition[[#This Row],[Age]]&gt;=40,"40-49",IF(HR_Employee_Attrition[[#This Row],[Age]]&gt;=30,"30-39",IF(HR_Employee_Attrition[[#This Row],[Age]]&gt;=20,"20-29",IF(HR_Employee_Attrition[[#This Row],[Age]]&gt;=18,"18-20"))))))</f>
        <v>30-39</v>
      </c>
      <c r="AK412" t="str" cm="1">
        <f t="array" ref="AK412">_xlfn.IFS(HR_Employee_Attrition[[#This Row],[YearsAtCompany]]&lt;=2,"0-2",HR_Employee_Attrition[[#This Row],[YearsAtCompany]]&lt;=5,"3-5",HR_Employee_Attrition[[#This Row],[YearsAtCompany]]&lt;=10,"6-10",HR_Employee_Attrition[[#This Row],[YearsAtCompany]]&gt;10,"10+")</f>
        <v>3-5</v>
      </c>
      <c r="AL412" t="str" cm="1">
        <f t="array" ref="AL4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12">
        <f>IF(HR_Employee_Attrition[[#This Row],[Attrition]]="Yes",1,0)</f>
        <v>0</v>
      </c>
    </row>
    <row r="413" spans="1:39"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IF(HR_Employee_Attrition[[#This Row],[Age]]&gt;60,"60+",IF(HR_Employee_Attrition[[#This Row],[Age]]&gt;=50,"50-59",IF(HR_Employee_Attrition[[#This Row],[Age]]&gt;=40,"40-49",IF(HR_Employee_Attrition[[#This Row],[Age]]&gt;=30,"30-39",IF(HR_Employee_Attrition[[#This Row],[Age]]&gt;=20,"20-29",IF(HR_Employee_Attrition[[#This Row],[Age]]&gt;=18,"18-20"))))))</f>
        <v>50-59</v>
      </c>
      <c r="AK413" t="str" cm="1">
        <f t="array" ref="AK413">_xlfn.IFS(HR_Employee_Attrition[[#This Row],[YearsAtCompany]]&lt;=2,"0-2",HR_Employee_Attrition[[#This Row],[YearsAtCompany]]&lt;=5,"3-5",HR_Employee_Attrition[[#This Row],[YearsAtCompany]]&lt;=10,"6-10",HR_Employee_Attrition[[#This Row],[YearsAtCompany]]&gt;10,"10+")</f>
        <v>10+</v>
      </c>
      <c r="AL413" t="str" cm="1">
        <f t="array" ref="AL4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13">
        <f>IF(HR_Employee_Attrition[[#This Row],[Attrition]]="Yes",1,0)</f>
        <v>0</v>
      </c>
    </row>
    <row r="414" spans="1:39"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IF(HR_Employee_Attrition[[#This Row],[Age]]&gt;60,"60+",IF(HR_Employee_Attrition[[#This Row],[Age]]&gt;=50,"50-59",IF(HR_Employee_Attrition[[#This Row],[Age]]&gt;=40,"40-49",IF(HR_Employee_Attrition[[#This Row],[Age]]&gt;=30,"30-39",IF(HR_Employee_Attrition[[#This Row],[Age]]&gt;=20,"20-29",IF(HR_Employee_Attrition[[#This Row],[Age]]&gt;=18,"18-20"))))))</f>
        <v>40-49</v>
      </c>
      <c r="AK414" t="str" cm="1">
        <f t="array" ref="AK414">_xlfn.IFS(HR_Employee_Attrition[[#This Row],[YearsAtCompany]]&lt;=2,"0-2",HR_Employee_Attrition[[#This Row],[YearsAtCompany]]&lt;=5,"3-5",HR_Employee_Attrition[[#This Row],[YearsAtCompany]]&lt;=10,"6-10",HR_Employee_Attrition[[#This Row],[YearsAtCompany]]&gt;10,"10+")</f>
        <v>6-10</v>
      </c>
      <c r="AL414" t="str" cm="1">
        <f t="array" ref="AL4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14">
        <f>IF(HR_Employee_Attrition[[#This Row],[Attrition]]="Yes",1,0)</f>
        <v>0</v>
      </c>
    </row>
    <row r="415" spans="1:39"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IF(HR_Employee_Attrition[[#This Row],[Age]]&gt;60,"60+",IF(HR_Employee_Attrition[[#This Row],[Age]]&gt;=50,"50-59",IF(HR_Employee_Attrition[[#This Row],[Age]]&gt;=40,"40-49",IF(HR_Employee_Attrition[[#This Row],[Age]]&gt;=30,"30-39",IF(HR_Employee_Attrition[[#This Row],[Age]]&gt;=20,"20-29",IF(HR_Employee_Attrition[[#This Row],[Age]]&gt;=18,"18-20"))))))</f>
        <v>40-49</v>
      </c>
      <c r="AK415" t="str" cm="1">
        <f t="array" ref="AK415">_xlfn.IFS(HR_Employee_Attrition[[#This Row],[YearsAtCompany]]&lt;=2,"0-2",HR_Employee_Attrition[[#This Row],[YearsAtCompany]]&lt;=5,"3-5",HR_Employee_Attrition[[#This Row],[YearsAtCompany]]&lt;=10,"6-10",HR_Employee_Attrition[[#This Row],[YearsAtCompany]]&gt;10,"10+")</f>
        <v>6-10</v>
      </c>
      <c r="AL415" t="str" cm="1">
        <f t="array" ref="AL4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15">
        <f>IF(HR_Employee_Attrition[[#This Row],[Attrition]]="Yes",1,0)</f>
        <v>0</v>
      </c>
    </row>
    <row r="416" spans="1:39"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IF(HR_Employee_Attrition[[#This Row],[Age]]&gt;60,"60+",IF(HR_Employee_Attrition[[#This Row],[Age]]&gt;=50,"50-59",IF(HR_Employee_Attrition[[#This Row],[Age]]&gt;=40,"40-49",IF(HR_Employee_Attrition[[#This Row],[Age]]&gt;=30,"30-39",IF(HR_Employee_Attrition[[#This Row],[Age]]&gt;=20,"20-29",IF(HR_Employee_Attrition[[#This Row],[Age]]&gt;=18,"18-20"))))))</f>
        <v>20-29</v>
      </c>
      <c r="AK416" t="str" cm="1">
        <f t="array" ref="AK416">_xlfn.IFS(HR_Employee_Attrition[[#This Row],[YearsAtCompany]]&lt;=2,"0-2",HR_Employee_Attrition[[#This Row],[YearsAtCompany]]&lt;=5,"3-5",HR_Employee_Attrition[[#This Row],[YearsAtCompany]]&lt;=10,"6-10",HR_Employee_Attrition[[#This Row],[YearsAtCompany]]&gt;10,"10+")</f>
        <v>3-5</v>
      </c>
      <c r="AL416" t="str" cm="1">
        <f t="array" ref="AL4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16">
        <f>IF(HR_Employee_Attrition[[#This Row],[Attrition]]="Yes",1,0)</f>
        <v>1</v>
      </c>
    </row>
    <row r="417" spans="1:39"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IF(HR_Employee_Attrition[[#This Row],[Age]]&gt;60,"60+",IF(HR_Employee_Attrition[[#This Row],[Age]]&gt;=50,"50-59",IF(HR_Employee_Attrition[[#This Row],[Age]]&gt;=40,"40-49",IF(HR_Employee_Attrition[[#This Row],[Age]]&gt;=30,"30-39",IF(HR_Employee_Attrition[[#This Row],[Age]]&gt;=20,"20-29",IF(HR_Employee_Attrition[[#This Row],[Age]]&gt;=18,"18-20"))))))</f>
        <v>30-39</v>
      </c>
      <c r="AK417" t="str" cm="1">
        <f t="array" ref="AK417">_xlfn.IFS(HR_Employee_Attrition[[#This Row],[YearsAtCompany]]&lt;=2,"0-2",HR_Employee_Attrition[[#This Row],[YearsAtCompany]]&lt;=5,"3-5",HR_Employee_Attrition[[#This Row],[YearsAtCompany]]&lt;=10,"6-10",HR_Employee_Attrition[[#This Row],[YearsAtCompany]]&gt;10,"10+")</f>
        <v>0-2</v>
      </c>
      <c r="AL417" t="str" cm="1">
        <f t="array" ref="AL4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17">
        <f>IF(HR_Employee_Attrition[[#This Row],[Attrition]]="Yes",1,0)</f>
        <v>1</v>
      </c>
    </row>
    <row r="418" spans="1:39"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IF(HR_Employee_Attrition[[#This Row],[Age]]&gt;60,"60+",IF(HR_Employee_Attrition[[#This Row],[Age]]&gt;=50,"50-59",IF(HR_Employee_Attrition[[#This Row],[Age]]&gt;=40,"40-49",IF(HR_Employee_Attrition[[#This Row],[Age]]&gt;=30,"30-39",IF(HR_Employee_Attrition[[#This Row],[Age]]&gt;=20,"20-29",IF(HR_Employee_Attrition[[#This Row],[Age]]&gt;=18,"18-20"))))))</f>
        <v>30-39</v>
      </c>
      <c r="AK418" t="str" cm="1">
        <f t="array" ref="AK418">_xlfn.IFS(HR_Employee_Attrition[[#This Row],[YearsAtCompany]]&lt;=2,"0-2",HR_Employee_Attrition[[#This Row],[YearsAtCompany]]&lt;=5,"3-5",HR_Employee_Attrition[[#This Row],[YearsAtCompany]]&lt;=10,"6-10",HR_Employee_Attrition[[#This Row],[YearsAtCompany]]&gt;10,"10+")</f>
        <v>0-2</v>
      </c>
      <c r="AL418" t="str" cm="1">
        <f t="array" ref="AL4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18">
        <f>IF(HR_Employee_Attrition[[#This Row],[Attrition]]="Yes",1,0)</f>
        <v>0</v>
      </c>
    </row>
    <row r="419" spans="1:39"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IF(HR_Employee_Attrition[[#This Row],[Age]]&gt;60,"60+",IF(HR_Employee_Attrition[[#This Row],[Age]]&gt;=50,"50-59",IF(HR_Employee_Attrition[[#This Row],[Age]]&gt;=40,"40-49",IF(HR_Employee_Attrition[[#This Row],[Age]]&gt;=30,"30-39",IF(HR_Employee_Attrition[[#This Row],[Age]]&gt;=20,"20-29",IF(HR_Employee_Attrition[[#This Row],[Age]]&gt;=18,"18-20"))))))</f>
        <v>40-49</v>
      </c>
      <c r="AK419" t="str" cm="1">
        <f t="array" ref="AK419">_xlfn.IFS(HR_Employee_Attrition[[#This Row],[YearsAtCompany]]&lt;=2,"0-2",HR_Employee_Attrition[[#This Row],[YearsAtCompany]]&lt;=5,"3-5",HR_Employee_Attrition[[#This Row],[YearsAtCompany]]&lt;=10,"6-10",HR_Employee_Attrition[[#This Row],[YearsAtCompany]]&gt;10,"10+")</f>
        <v>10+</v>
      </c>
      <c r="AL419" t="str" cm="1">
        <f t="array" ref="AL4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19">
        <f>IF(HR_Employee_Attrition[[#This Row],[Attrition]]="Yes",1,0)</f>
        <v>0</v>
      </c>
    </row>
    <row r="420" spans="1:39"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IF(HR_Employee_Attrition[[#This Row],[Age]]&gt;60,"60+",IF(HR_Employee_Attrition[[#This Row],[Age]]&gt;=50,"50-59",IF(HR_Employee_Attrition[[#This Row],[Age]]&gt;=40,"40-49",IF(HR_Employee_Attrition[[#This Row],[Age]]&gt;=30,"30-39",IF(HR_Employee_Attrition[[#This Row],[Age]]&gt;=20,"20-29",IF(HR_Employee_Attrition[[#This Row],[Age]]&gt;=18,"18-20"))))))</f>
        <v>20-29</v>
      </c>
      <c r="AK420" t="str" cm="1">
        <f t="array" ref="AK420">_xlfn.IFS(HR_Employee_Attrition[[#This Row],[YearsAtCompany]]&lt;=2,"0-2",HR_Employee_Attrition[[#This Row],[YearsAtCompany]]&lt;=5,"3-5",HR_Employee_Attrition[[#This Row],[YearsAtCompany]]&lt;=10,"6-10",HR_Employee_Attrition[[#This Row],[YearsAtCompany]]&gt;10,"10+")</f>
        <v>3-5</v>
      </c>
      <c r="AL420" t="str" cm="1">
        <f t="array" ref="AL4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20">
        <f>IF(HR_Employee_Attrition[[#This Row],[Attrition]]="Yes",1,0)</f>
        <v>0</v>
      </c>
    </row>
    <row r="421" spans="1:39"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IF(HR_Employee_Attrition[[#This Row],[Age]]&gt;60,"60+",IF(HR_Employee_Attrition[[#This Row],[Age]]&gt;=50,"50-59",IF(HR_Employee_Attrition[[#This Row],[Age]]&gt;=40,"40-49",IF(HR_Employee_Attrition[[#This Row],[Age]]&gt;=30,"30-39",IF(HR_Employee_Attrition[[#This Row],[Age]]&gt;=20,"20-29",IF(HR_Employee_Attrition[[#This Row],[Age]]&gt;=18,"18-20"))))))</f>
        <v>30-39</v>
      </c>
      <c r="AK421" t="str" cm="1">
        <f t="array" ref="AK421">_xlfn.IFS(HR_Employee_Attrition[[#This Row],[YearsAtCompany]]&lt;=2,"0-2",HR_Employee_Attrition[[#This Row],[YearsAtCompany]]&lt;=5,"3-5",HR_Employee_Attrition[[#This Row],[YearsAtCompany]]&lt;=10,"6-10",HR_Employee_Attrition[[#This Row],[YearsAtCompany]]&gt;10,"10+")</f>
        <v>3-5</v>
      </c>
      <c r="AL421" t="str" cm="1">
        <f t="array" ref="AL4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21">
        <f>IF(HR_Employee_Attrition[[#This Row],[Attrition]]="Yes",1,0)</f>
        <v>0</v>
      </c>
    </row>
    <row r="422" spans="1:39"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IF(HR_Employee_Attrition[[#This Row],[Age]]&gt;60,"60+",IF(HR_Employee_Attrition[[#This Row],[Age]]&gt;=50,"50-59",IF(HR_Employee_Attrition[[#This Row],[Age]]&gt;=40,"40-49",IF(HR_Employee_Attrition[[#This Row],[Age]]&gt;=30,"30-39",IF(HR_Employee_Attrition[[#This Row],[Age]]&gt;=20,"20-29",IF(HR_Employee_Attrition[[#This Row],[Age]]&gt;=18,"18-20"))))))</f>
        <v>20-29</v>
      </c>
      <c r="AK422" t="str" cm="1">
        <f t="array" ref="AK422">_xlfn.IFS(HR_Employee_Attrition[[#This Row],[YearsAtCompany]]&lt;=2,"0-2",HR_Employee_Attrition[[#This Row],[YearsAtCompany]]&lt;=5,"3-5",HR_Employee_Attrition[[#This Row],[YearsAtCompany]]&lt;=10,"6-10",HR_Employee_Attrition[[#This Row],[YearsAtCompany]]&gt;10,"10+")</f>
        <v>6-10</v>
      </c>
      <c r="AL422" t="str" cm="1">
        <f t="array" ref="AL4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422">
        <f>IF(HR_Employee_Attrition[[#This Row],[Attrition]]="Yes",1,0)</f>
        <v>0</v>
      </c>
    </row>
    <row r="423" spans="1:39"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IF(HR_Employee_Attrition[[#This Row],[Age]]&gt;60,"60+",IF(HR_Employee_Attrition[[#This Row],[Age]]&gt;=50,"50-59",IF(HR_Employee_Attrition[[#This Row],[Age]]&gt;=40,"40-49",IF(HR_Employee_Attrition[[#This Row],[Age]]&gt;=30,"30-39",IF(HR_Employee_Attrition[[#This Row],[Age]]&gt;=20,"20-29",IF(HR_Employee_Attrition[[#This Row],[Age]]&gt;=18,"18-20"))))))</f>
        <v>20-29</v>
      </c>
      <c r="AK423" t="str" cm="1">
        <f t="array" ref="AK423">_xlfn.IFS(HR_Employee_Attrition[[#This Row],[YearsAtCompany]]&lt;=2,"0-2",HR_Employee_Attrition[[#This Row],[YearsAtCompany]]&lt;=5,"3-5",HR_Employee_Attrition[[#This Row],[YearsAtCompany]]&lt;=10,"6-10",HR_Employee_Attrition[[#This Row],[YearsAtCompany]]&gt;10,"10+")</f>
        <v>0-2</v>
      </c>
      <c r="AL423" t="str" cm="1">
        <f t="array" ref="AL4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23">
        <f>IF(HR_Employee_Attrition[[#This Row],[Attrition]]="Yes",1,0)</f>
        <v>1</v>
      </c>
    </row>
    <row r="424" spans="1:39"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IF(HR_Employee_Attrition[[#This Row],[Age]]&gt;60,"60+",IF(HR_Employee_Attrition[[#This Row],[Age]]&gt;=50,"50-59",IF(HR_Employee_Attrition[[#This Row],[Age]]&gt;=40,"40-49",IF(HR_Employee_Attrition[[#This Row],[Age]]&gt;=30,"30-39",IF(HR_Employee_Attrition[[#This Row],[Age]]&gt;=20,"20-29",IF(HR_Employee_Attrition[[#This Row],[Age]]&gt;=18,"18-20"))))))</f>
        <v>18-20</v>
      </c>
      <c r="AK424" t="str" cm="1">
        <f t="array" ref="AK424">_xlfn.IFS(HR_Employee_Attrition[[#This Row],[YearsAtCompany]]&lt;=2,"0-2",HR_Employee_Attrition[[#This Row],[YearsAtCompany]]&lt;=5,"3-5",HR_Employee_Attrition[[#This Row],[YearsAtCompany]]&lt;=10,"6-10",HR_Employee_Attrition[[#This Row],[YearsAtCompany]]&gt;10,"10+")</f>
        <v>0-2</v>
      </c>
      <c r="AL424" t="str" cm="1">
        <f t="array" ref="AL4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24">
        <f>IF(HR_Employee_Attrition[[#This Row],[Attrition]]="Yes",1,0)</f>
        <v>1</v>
      </c>
    </row>
    <row r="425" spans="1:39"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IF(HR_Employee_Attrition[[#This Row],[Age]]&gt;60,"60+",IF(HR_Employee_Attrition[[#This Row],[Age]]&gt;=50,"50-59",IF(HR_Employee_Attrition[[#This Row],[Age]]&gt;=40,"40-49",IF(HR_Employee_Attrition[[#This Row],[Age]]&gt;=30,"30-39",IF(HR_Employee_Attrition[[#This Row],[Age]]&gt;=20,"20-29",IF(HR_Employee_Attrition[[#This Row],[Age]]&gt;=18,"18-20"))))))</f>
        <v>30-39</v>
      </c>
      <c r="AK425" t="str" cm="1">
        <f t="array" ref="AK425">_xlfn.IFS(HR_Employee_Attrition[[#This Row],[YearsAtCompany]]&lt;=2,"0-2",HR_Employee_Attrition[[#This Row],[YearsAtCompany]]&lt;=5,"3-5",HR_Employee_Attrition[[#This Row],[YearsAtCompany]]&lt;=10,"6-10",HR_Employee_Attrition[[#This Row],[YearsAtCompany]]&gt;10,"10+")</f>
        <v>6-10</v>
      </c>
      <c r="AL425" t="str" cm="1">
        <f t="array" ref="AL4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25">
        <f>IF(HR_Employee_Attrition[[#This Row],[Attrition]]="Yes",1,0)</f>
        <v>0</v>
      </c>
    </row>
    <row r="426" spans="1:39"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IF(HR_Employee_Attrition[[#This Row],[Age]]&gt;60,"60+",IF(HR_Employee_Attrition[[#This Row],[Age]]&gt;=50,"50-59",IF(HR_Employee_Attrition[[#This Row],[Age]]&gt;=40,"40-49",IF(HR_Employee_Attrition[[#This Row],[Age]]&gt;=30,"30-39",IF(HR_Employee_Attrition[[#This Row],[Age]]&gt;=20,"20-29",IF(HR_Employee_Attrition[[#This Row],[Age]]&gt;=18,"18-20"))))))</f>
        <v>50-59</v>
      </c>
      <c r="AK426" t="str" cm="1">
        <f t="array" ref="AK426">_xlfn.IFS(HR_Employee_Attrition[[#This Row],[YearsAtCompany]]&lt;=2,"0-2",HR_Employee_Attrition[[#This Row],[YearsAtCompany]]&lt;=5,"3-5",HR_Employee_Attrition[[#This Row],[YearsAtCompany]]&lt;=10,"6-10",HR_Employee_Attrition[[#This Row],[YearsAtCompany]]&gt;10,"10+")</f>
        <v>0-2</v>
      </c>
      <c r="AL426" t="str" cm="1">
        <f t="array" ref="AL4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426">
        <f>IF(HR_Employee_Attrition[[#This Row],[Attrition]]="Yes",1,0)</f>
        <v>0</v>
      </c>
    </row>
    <row r="427" spans="1:39"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IF(HR_Employee_Attrition[[#This Row],[Age]]&gt;60,"60+",IF(HR_Employee_Attrition[[#This Row],[Age]]&gt;=50,"50-59",IF(HR_Employee_Attrition[[#This Row],[Age]]&gt;=40,"40-49",IF(HR_Employee_Attrition[[#This Row],[Age]]&gt;=30,"30-39",IF(HR_Employee_Attrition[[#This Row],[Age]]&gt;=20,"20-29",IF(HR_Employee_Attrition[[#This Row],[Age]]&gt;=18,"18-20"))))))</f>
        <v>50-59</v>
      </c>
      <c r="AK427" t="str" cm="1">
        <f t="array" ref="AK427">_xlfn.IFS(HR_Employee_Attrition[[#This Row],[YearsAtCompany]]&lt;=2,"0-2",HR_Employee_Attrition[[#This Row],[YearsAtCompany]]&lt;=5,"3-5",HR_Employee_Attrition[[#This Row],[YearsAtCompany]]&lt;=10,"6-10",HR_Employee_Attrition[[#This Row],[YearsAtCompany]]&gt;10,"10+")</f>
        <v>10+</v>
      </c>
      <c r="AL427" t="str" cm="1">
        <f t="array" ref="AL4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27">
        <f>IF(HR_Employee_Attrition[[#This Row],[Attrition]]="Yes",1,0)</f>
        <v>0</v>
      </c>
    </row>
    <row r="428" spans="1:39"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IF(HR_Employee_Attrition[[#This Row],[Age]]&gt;60,"60+",IF(HR_Employee_Attrition[[#This Row],[Age]]&gt;=50,"50-59",IF(HR_Employee_Attrition[[#This Row],[Age]]&gt;=40,"40-49",IF(HR_Employee_Attrition[[#This Row],[Age]]&gt;=30,"30-39",IF(HR_Employee_Attrition[[#This Row],[Age]]&gt;=20,"20-29",IF(HR_Employee_Attrition[[#This Row],[Age]]&gt;=18,"18-20"))))))</f>
        <v>30-39</v>
      </c>
      <c r="AK428" t="str" cm="1">
        <f t="array" ref="AK428">_xlfn.IFS(HR_Employee_Attrition[[#This Row],[YearsAtCompany]]&lt;=2,"0-2",HR_Employee_Attrition[[#This Row],[YearsAtCompany]]&lt;=5,"3-5",HR_Employee_Attrition[[#This Row],[YearsAtCompany]]&lt;=10,"6-10",HR_Employee_Attrition[[#This Row],[YearsAtCompany]]&gt;10,"10+")</f>
        <v>10+</v>
      </c>
      <c r="AL428" t="str" cm="1">
        <f t="array" ref="AL4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28">
        <f>IF(HR_Employee_Attrition[[#This Row],[Attrition]]="Yes",1,0)</f>
        <v>0</v>
      </c>
    </row>
    <row r="429" spans="1:39"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IF(HR_Employee_Attrition[[#This Row],[Age]]&gt;60,"60+",IF(HR_Employee_Attrition[[#This Row],[Age]]&gt;=50,"50-59",IF(HR_Employee_Attrition[[#This Row],[Age]]&gt;=40,"40-49",IF(HR_Employee_Attrition[[#This Row],[Age]]&gt;=30,"30-39",IF(HR_Employee_Attrition[[#This Row],[Age]]&gt;=20,"20-29",IF(HR_Employee_Attrition[[#This Row],[Age]]&gt;=18,"18-20"))))))</f>
        <v>50-59</v>
      </c>
      <c r="AK429" t="str" cm="1">
        <f t="array" ref="AK429">_xlfn.IFS(HR_Employee_Attrition[[#This Row],[YearsAtCompany]]&lt;=2,"0-2",HR_Employee_Attrition[[#This Row],[YearsAtCompany]]&lt;=5,"3-5",HR_Employee_Attrition[[#This Row],[YearsAtCompany]]&lt;=10,"6-10",HR_Employee_Attrition[[#This Row],[YearsAtCompany]]&gt;10,"10+")</f>
        <v>10+</v>
      </c>
      <c r="AL429" t="str" cm="1">
        <f t="array" ref="AL4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429">
        <f>IF(HR_Employee_Attrition[[#This Row],[Attrition]]="Yes",1,0)</f>
        <v>0</v>
      </c>
    </row>
    <row r="430" spans="1:39"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IF(HR_Employee_Attrition[[#This Row],[Age]]&gt;60,"60+",IF(HR_Employee_Attrition[[#This Row],[Age]]&gt;=50,"50-59",IF(HR_Employee_Attrition[[#This Row],[Age]]&gt;=40,"40-49",IF(HR_Employee_Attrition[[#This Row],[Age]]&gt;=30,"30-39",IF(HR_Employee_Attrition[[#This Row],[Age]]&gt;=20,"20-29",IF(HR_Employee_Attrition[[#This Row],[Age]]&gt;=18,"18-20"))))))</f>
        <v>40-49</v>
      </c>
      <c r="AK430" t="str" cm="1">
        <f t="array" ref="AK430">_xlfn.IFS(HR_Employee_Attrition[[#This Row],[YearsAtCompany]]&lt;=2,"0-2",HR_Employee_Attrition[[#This Row],[YearsAtCompany]]&lt;=5,"3-5",HR_Employee_Attrition[[#This Row],[YearsAtCompany]]&lt;=10,"6-10",HR_Employee_Attrition[[#This Row],[YearsAtCompany]]&gt;10,"10+")</f>
        <v>3-5</v>
      </c>
      <c r="AL430" t="str" cm="1">
        <f t="array" ref="AL4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30">
        <f>IF(HR_Employee_Attrition[[#This Row],[Attrition]]="Yes",1,0)</f>
        <v>0</v>
      </c>
    </row>
    <row r="431" spans="1:39"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IF(HR_Employee_Attrition[[#This Row],[Age]]&gt;60,"60+",IF(HR_Employee_Attrition[[#This Row],[Age]]&gt;=50,"50-59",IF(HR_Employee_Attrition[[#This Row],[Age]]&gt;=40,"40-49",IF(HR_Employee_Attrition[[#This Row],[Age]]&gt;=30,"30-39",IF(HR_Employee_Attrition[[#This Row],[Age]]&gt;=20,"20-29",IF(HR_Employee_Attrition[[#This Row],[Age]]&gt;=18,"18-20"))))))</f>
        <v>40-49</v>
      </c>
      <c r="AK431" t="str" cm="1">
        <f t="array" ref="AK431">_xlfn.IFS(HR_Employee_Attrition[[#This Row],[YearsAtCompany]]&lt;=2,"0-2",HR_Employee_Attrition[[#This Row],[YearsAtCompany]]&lt;=5,"3-5",HR_Employee_Attrition[[#This Row],[YearsAtCompany]]&lt;=10,"6-10",HR_Employee_Attrition[[#This Row],[YearsAtCompany]]&gt;10,"10+")</f>
        <v>3-5</v>
      </c>
      <c r="AL431" t="str" cm="1">
        <f t="array" ref="AL4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31">
        <f>IF(HR_Employee_Attrition[[#This Row],[Attrition]]="Yes",1,0)</f>
        <v>0</v>
      </c>
    </row>
    <row r="432" spans="1:39"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IF(HR_Employee_Attrition[[#This Row],[Age]]&gt;60,"60+",IF(HR_Employee_Attrition[[#This Row],[Age]]&gt;=50,"50-59",IF(HR_Employee_Attrition[[#This Row],[Age]]&gt;=40,"40-49",IF(HR_Employee_Attrition[[#This Row],[Age]]&gt;=30,"30-39",IF(HR_Employee_Attrition[[#This Row],[Age]]&gt;=20,"20-29",IF(HR_Employee_Attrition[[#This Row],[Age]]&gt;=18,"18-20"))))))</f>
        <v>30-39</v>
      </c>
      <c r="AK432" t="str" cm="1">
        <f t="array" ref="AK432">_xlfn.IFS(HR_Employee_Attrition[[#This Row],[YearsAtCompany]]&lt;=2,"0-2",HR_Employee_Attrition[[#This Row],[YearsAtCompany]]&lt;=5,"3-5",HR_Employee_Attrition[[#This Row],[YearsAtCompany]]&lt;=10,"6-10",HR_Employee_Attrition[[#This Row],[YearsAtCompany]]&gt;10,"10+")</f>
        <v>3-5</v>
      </c>
      <c r="AL432" t="str" cm="1">
        <f t="array" ref="AL4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32">
        <f>IF(HR_Employee_Attrition[[#This Row],[Attrition]]="Yes",1,0)</f>
        <v>0</v>
      </c>
    </row>
    <row r="433" spans="1:39"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IF(HR_Employee_Attrition[[#This Row],[Age]]&gt;60,"60+",IF(HR_Employee_Attrition[[#This Row],[Age]]&gt;=50,"50-59",IF(HR_Employee_Attrition[[#This Row],[Age]]&gt;=40,"40-49",IF(HR_Employee_Attrition[[#This Row],[Age]]&gt;=30,"30-39",IF(HR_Employee_Attrition[[#This Row],[Age]]&gt;=20,"20-29",IF(HR_Employee_Attrition[[#This Row],[Age]]&gt;=18,"18-20"))))))</f>
        <v>50-59</v>
      </c>
      <c r="AK433" t="str" cm="1">
        <f t="array" ref="AK433">_xlfn.IFS(HR_Employee_Attrition[[#This Row],[YearsAtCompany]]&lt;=2,"0-2",HR_Employee_Attrition[[#This Row],[YearsAtCompany]]&lt;=5,"3-5",HR_Employee_Attrition[[#This Row],[YearsAtCompany]]&lt;=10,"6-10",HR_Employee_Attrition[[#This Row],[YearsAtCompany]]&gt;10,"10+")</f>
        <v>0-2</v>
      </c>
      <c r="AL433" t="str" cm="1">
        <f t="array" ref="AL4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33">
        <f>IF(HR_Employee_Attrition[[#This Row],[Attrition]]="Yes",1,0)</f>
        <v>0</v>
      </c>
    </row>
    <row r="434" spans="1:39"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IF(HR_Employee_Attrition[[#This Row],[Age]]&gt;60,"60+",IF(HR_Employee_Attrition[[#This Row],[Age]]&gt;=50,"50-59",IF(HR_Employee_Attrition[[#This Row],[Age]]&gt;=40,"40-49",IF(HR_Employee_Attrition[[#This Row],[Age]]&gt;=30,"30-39",IF(HR_Employee_Attrition[[#This Row],[Age]]&gt;=20,"20-29",IF(HR_Employee_Attrition[[#This Row],[Age]]&gt;=18,"18-20"))))))</f>
        <v>30-39</v>
      </c>
      <c r="AK434" t="str" cm="1">
        <f t="array" ref="AK434">_xlfn.IFS(HR_Employee_Attrition[[#This Row],[YearsAtCompany]]&lt;=2,"0-2",HR_Employee_Attrition[[#This Row],[YearsAtCompany]]&lt;=5,"3-5",HR_Employee_Attrition[[#This Row],[YearsAtCompany]]&lt;=10,"6-10",HR_Employee_Attrition[[#This Row],[YearsAtCompany]]&gt;10,"10+")</f>
        <v>6-10</v>
      </c>
      <c r="AL434" t="str" cm="1">
        <f t="array" ref="AL4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34">
        <f>IF(HR_Employee_Attrition[[#This Row],[Attrition]]="Yes",1,0)</f>
        <v>0</v>
      </c>
    </row>
    <row r="435" spans="1:39"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IF(HR_Employee_Attrition[[#This Row],[Age]]&gt;60,"60+",IF(HR_Employee_Attrition[[#This Row],[Age]]&gt;=50,"50-59",IF(HR_Employee_Attrition[[#This Row],[Age]]&gt;=40,"40-49",IF(HR_Employee_Attrition[[#This Row],[Age]]&gt;=30,"30-39",IF(HR_Employee_Attrition[[#This Row],[Age]]&gt;=20,"20-29",IF(HR_Employee_Attrition[[#This Row],[Age]]&gt;=18,"18-20"))))))</f>
        <v>40-49</v>
      </c>
      <c r="AK435" t="str" cm="1">
        <f t="array" ref="AK435">_xlfn.IFS(HR_Employee_Attrition[[#This Row],[YearsAtCompany]]&lt;=2,"0-2",HR_Employee_Attrition[[#This Row],[YearsAtCompany]]&lt;=5,"3-5",HR_Employee_Attrition[[#This Row],[YearsAtCompany]]&lt;=10,"6-10",HR_Employee_Attrition[[#This Row],[YearsAtCompany]]&gt;10,"10+")</f>
        <v>3-5</v>
      </c>
      <c r="AL435" t="str" cm="1">
        <f t="array" ref="AL4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35">
        <f>IF(HR_Employee_Attrition[[#This Row],[Attrition]]="Yes",1,0)</f>
        <v>0</v>
      </c>
    </row>
    <row r="436" spans="1:39"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IF(HR_Employee_Attrition[[#This Row],[Age]]&gt;60,"60+",IF(HR_Employee_Attrition[[#This Row],[Age]]&gt;=50,"50-59",IF(HR_Employee_Attrition[[#This Row],[Age]]&gt;=40,"40-49",IF(HR_Employee_Attrition[[#This Row],[Age]]&gt;=30,"30-39",IF(HR_Employee_Attrition[[#This Row],[Age]]&gt;=20,"20-29",IF(HR_Employee_Attrition[[#This Row],[Age]]&gt;=18,"18-20"))))))</f>
        <v>30-39</v>
      </c>
      <c r="AK436" t="str" cm="1">
        <f t="array" ref="AK436">_xlfn.IFS(HR_Employee_Attrition[[#This Row],[YearsAtCompany]]&lt;=2,"0-2",HR_Employee_Attrition[[#This Row],[YearsAtCompany]]&lt;=5,"3-5",HR_Employee_Attrition[[#This Row],[YearsAtCompany]]&lt;=10,"6-10",HR_Employee_Attrition[[#This Row],[YearsAtCompany]]&gt;10,"10+")</f>
        <v>10+</v>
      </c>
      <c r="AL436" t="str" cm="1">
        <f t="array" ref="AL4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436">
        <f>IF(HR_Employee_Attrition[[#This Row],[Attrition]]="Yes",1,0)</f>
        <v>0</v>
      </c>
    </row>
    <row r="437" spans="1:39"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IF(HR_Employee_Attrition[[#This Row],[Age]]&gt;60,"60+",IF(HR_Employee_Attrition[[#This Row],[Age]]&gt;=50,"50-59",IF(HR_Employee_Attrition[[#This Row],[Age]]&gt;=40,"40-49",IF(HR_Employee_Attrition[[#This Row],[Age]]&gt;=30,"30-39",IF(HR_Employee_Attrition[[#This Row],[Age]]&gt;=20,"20-29",IF(HR_Employee_Attrition[[#This Row],[Age]]&gt;=18,"18-20"))))))</f>
        <v>30-39</v>
      </c>
      <c r="AK437" t="str" cm="1">
        <f t="array" ref="AK437">_xlfn.IFS(HR_Employee_Attrition[[#This Row],[YearsAtCompany]]&lt;=2,"0-2",HR_Employee_Attrition[[#This Row],[YearsAtCompany]]&lt;=5,"3-5",HR_Employee_Attrition[[#This Row],[YearsAtCompany]]&lt;=10,"6-10",HR_Employee_Attrition[[#This Row],[YearsAtCompany]]&gt;10,"10+")</f>
        <v>6-10</v>
      </c>
      <c r="AL437" t="str" cm="1">
        <f t="array" ref="AL4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437">
        <f>IF(HR_Employee_Attrition[[#This Row],[Attrition]]="Yes",1,0)</f>
        <v>1</v>
      </c>
    </row>
    <row r="438" spans="1:39"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IF(HR_Employee_Attrition[[#This Row],[Age]]&gt;60,"60+",IF(HR_Employee_Attrition[[#This Row],[Age]]&gt;=50,"50-59",IF(HR_Employee_Attrition[[#This Row],[Age]]&gt;=40,"40-49",IF(HR_Employee_Attrition[[#This Row],[Age]]&gt;=30,"30-39",IF(HR_Employee_Attrition[[#This Row],[Age]]&gt;=20,"20-29",IF(HR_Employee_Attrition[[#This Row],[Age]]&gt;=18,"18-20"))))))</f>
        <v>30-39</v>
      </c>
      <c r="AK438" t="str" cm="1">
        <f t="array" ref="AK438">_xlfn.IFS(HR_Employee_Attrition[[#This Row],[YearsAtCompany]]&lt;=2,"0-2",HR_Employee_Attrition[[#This Row],[YearsAtCompany]]&lt;=5,"3-5",HR_Employee_Attrition[[#This Row],[YearsAtCompany]]&lt;=10,"6-10",HR_Employee_Attrition[[#This Row],[YearsAtCompany]]&gt;10,"10+")</f>
        <v>3-5</v>
      </c>
      <c r="AL438" t="str" cm="1">
        <f t="array" ref="AL4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38">
        <f>IF(HR_Employee_Attrition[[#This Row],[Attrition]]="Yes",1,0)</f>
        <v>1</v>
      </c>
    </row>
    <row r="439" spans="1:39"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IF(HR_Employee_Attrition[[#This Row],[Age]]&gt;60,"60+",IF(HR_Employee_Attrition[[#This Row],[Age]]&gt;=50,"50-59",IF(HR_Employee_Attrition[[#This Row],[Age]]&gt;=40,"40-49",IF(HR_Employee_Attrition[[#This Row],[Age]]&gt;=30,"30-39",IF(HR_Employee_Attrition[[#This Row],[Age]]&gt;=20,"20-29",IF(HR_Employee_Attrition[[#This Row],[Age]]&gt;=18,"18-20"))))))</f>
        <v>30-39</v>
      </c>
      <c r="AK439" t="str" cm="1">
        <f t="array" ref="AK439">_xlfn.IFS(HR_Employee_Attrition[[#This Row],[YearsAtCompany]]&lt;=2,"0-2",HR_Employee_Attrition[[#This Row],[YearsAtCompany]]&lt;=5,"3-5",HR_Employee_Attrition[[#This Row],[YearsAtCompany]]&lt;=10,"6-10",HR_Employee_Attrition[[#This Row],[YearsAtCompany]]&gt;10,"10+")</f>
        <v>3-5</v>
      </c>
      <c r="AL439" t="str" cm="1">
        <f t="array" ref="AL4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39">
        <f>IF(HR_Employee_Attrition[[#This Row],[Attrition]]="Yes",1,0)</f>
        <v>0</v>
      </c>
    </row>
    <row r="440" spans="1:39"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IF(HR_Employee_Attrition[[#This Row],[Age]]&gt;60,"60+",IF(HR_Employee_Attrition[[#This Row],[Age]]&gt;=50,"50-59",IF(HR_Employee_Attrition[[#This Row],[Age]]&gt;=40,"40-49",IF(HR_Employee_Attrition[[#This Row],[Age]]&gt;=30,"30-39",IF(HR_Employee_Attrition[[#This Row],[Age]]&gt;=20,"20-29",IF(HR_Employee_Attrition[[#This Row],[Age]]&gt;=18,"18-20"))))))</f>
        <v>30-39</v>
      </c>
      <c r="AK440" t="str" cm="1">
        <f t="array" ref="AK440">_xlfn.IFS(HR_Employee_Attrition[[#This Row],[YearsAtCompany]]&lt;=2,"0-2",HR_Employee_Attrition[[#This Row],[YearsAtCompany]]&lt;=5,"3-5",HR_Employee_Attrition[[#This Row],[YearsAtCompany]]&lt;=10,"6-10",HR_Employee_Attrition[[#This Row],[YearsAtCompany]]&gt;10,"10+")</f>
        <v>6-10</v>
      </c>
      <c r="AL440" t="str" cm="1">
        <f t="array" ref="AL4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40">
        <f>IF(HR_Employee_Attrition[[#This Row],[Attrition]]="Yes",1,0)</f>
        <v>0</v>
      </c>
    </row>
    <row r="441" spans="1:39"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IF(HR_Employee_Attrition[[#This Row],[Age]]&gt;60,"60+",IF(HR_Employee_Attrition[[#This Row],[Age]]&gt;=50,"50-59",IF(HR_Employee_Attrition[[#This Row],[Age]]&gt;=40,"40-49",IF(HR_Employee_Attrition[[#This Row],[Age]]&gt;=30,"30-39",IF(HR_Employee_Attrition[[#This Row],[Age]]&gt;=20,"20-29",IF(HR_Employee_Attrition[[#This Row],[Age]]&gt;=18,"18-20"))))))</f>
        <v>30-39</v>
      </c>
      <c r="AK441" t="str" cm="1">
        <f t="array" ref="AK441">_xlfn.IFS(HR_Employee_Attrition[[#This Row],[YearsAtCompany]]&lt;=2,"0-2",HR_Employee_Attrition[[#This Row],[YearsAtCompany]]&lt;=5,"3-5",HR_Employee_Attrition[[#This Row],[YearsAtCompany]]&lt;=10,"6-10",HR_Employee_Attrition[[#This Row],[YearsAtCompany]]&gt;10,"10+")</f>
        <v>0-2</v>
      </c>
      <c r="AL441" t="str" cm="1">
        <f t="array" ref="AL4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41">
        <f>IF(HR_Employee_Attrition[[#This Row],[Attrition]]="Yes",1,0)</f>
        <v>1</v>
      </c>
    </row>
    <row r="442" spans="1:39"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IF(HR_Employee_Attrition[[#This Row],[Age]]&gt;60,"60+",IF(HR_Employee_Attrition[[#This Row],[Age]]&gt;=50,"50-59",IF(HR_Employee_Attrition[[#This Row],[Age]]&gt;=40,"40-49",IF(HR_Employee_Attrition[[#This Row],[Age]]&gt;=30,"30-39",IF(HR_Employee_Attrition[[#This Row],[Age]]&gt;=20,"20-29",IF(HR_Employee_Attrition[[#This Row],[Age]]&gt;=18,"18-20"))))))</f>
        <v>30-39</v>
      </c>
      <c r="AK442" t="str" cm="1">
        <f t="array" ref="AK442">_xlfn.IFS(HR_Employee_Attrition[[#This Row],[YearsAtCompany]]&lt;=2,"0-2",HR_Employee_Attrition[[#This Row],[YearsAtCompany]]&lt;=5,"3-5",HR_Employee_Attrition[[#This Row],[YearsAtCompany]]&lt;=10,"6-10",HR_Employee_Attrition[[#This Row],[YearsAtCompany]]&gt;10,"10+")</f>
        <v>3-5</v>
      </c>
      <c r="AL442" t="str" cm="1">
        <f t="array" ref="AL4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42">
        <f>IF(HR_Employee_Attrition[[#This Row],[Attrition]]="Yes",1,0)</f>
        <v>1</v>
      </c>
    </row>
    <row r="443" spans="1:39"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IF(HR_Employee_Attrition[[#This Row],[Age]]&gt;60,"60+",IF(HR_Employee_Attrition[[#This Row],[Age]]&gt;=50,"50-59",IF(HR_Employee_Attrition[[#This Row],[Age]]&gt;=40,"40-49",IF(HR_Employee_Attrition[[#This Row],[Age]]&gt;=30,"30-39",IF(HR_Employee_Attrition[[#This Row],[Age]]&gt;=20,"20-29",IF(HR_Employee_Attrition[[#This Row],[Age]]&gt;=18,"18-20"))))))</f>
        <v>40-49</v>
      </c>
      <c r="AK443" t="str" cm="1">
        <f t="array" ref="AK443">_xlfn.IFS(HR_Employee_Attrition[[#This Row],[YearsAtCompany]]&lt;=2,"0-2",HR_Employee_Attrition[[#This Row],[YearsAtCompany]]&lt;=5,"3-5",HR_Employee_Attrition[[#This Row],[YearsAtCompany]]&lt;=10,"6-10",HR_Employee_Attrition[[#This Row],[YearsAtCompany]]&gt;10,"10+")</f>
        <v>0-2</v>
      </c>
      <c r="AL443" t="str" cm="1">
        <f t="array" ref="AL4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43">
        <f>IF(HR_Employee_Attrition[[#This Row],[Attrition]]="Yes",1,0)</f>
        <v>0</v>
      </c>
    </row>
    <row r="444" spans="1:39"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IF(HR_Employee_Attrition[[#This Row],[Age]]&gt;60,"60+",IF(HR_Employee_Attrition[[#This Row],[Age]]&gt;=50,"50-59",IF(HR_Employee_Attrition[[#This Row],[Age]]&gt;=40,"40-49",IF(HR_Employee_Attrition[[#This Row],[Age]]&gt;=30,"30-39",IF(HR_Employee_Attrition[[#This Row],[Age]]&gt;=20,"20-29",IF(HR_Employee_Attrition[[#This Row],[Age]]&gt;=18,"18-20"))))))</f>
        <v>30-39</v>
      </c>
      <c r="AK444" t="str" cm="1">
        <f t="array" ref="AK444">_xlfn.IFS(HR_Employee_Attrition[[#This Row],[YearsAtCompany]]&lt;=2,"0-2",HR_Employee_Attrition[[#This Row],[YearsAtCompany]]&lt;=5,"3-5",HR_Employee_Attrition[[#This Row],[YearsAtCompany]]&lt;=10,"6-10",HR_Employee_Attrition[[#This Row],[YearsAtCompany]]&gt;10,"10+")</f>
        <v>6-10</v>
      </c>
      <c r="AL444" t="str" cm="1">
        <f t="array" ref="AL4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44">
        <f>IF(HR_Employee_Attrition[[#This Row],[Attrition]]="Yes",1,0)</f>
        <v>0</v>
      </c>
    </row>
    <row r="445" spans="1:39"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IF(HR_Employee_Attrition[[#This Row],[Age]]&gt;60,"60+",IF(HR_Employee_Attrition[[#This Row],[Age]]&gt;=50,"50-59",IF(HR_Employee_Attrition[[#This Row],[Age]]&gt;=40,"40-49",IF(HR_Employee_Attrition[[#This Row],[Age]]&gt;=30,"30-39",IF(HR_Employee_Attrition[[#This Row],[Age]]&gt;=20,"20-29",IF(HR_Employee_Attrition[[#This Row],[Age]]&gt;=18,"18-20"))))))</f>
        <v>20-29</v>
      </c>
      <c r="AK445" t="str" cm="1">
        <f t="array" ref="AK445">_xlfn.IFS(HR_Employee_Attrition[[#This Row],[YearsAtCompany]]&lt;=2,"0-2",HR_Employee_Attrition[[#This Row],[YearsAtCompany]]&lt;=5,"3-5",HR_Employee_Attrition[[#This Row],[YearsAtCompany]]&lt;=10,"6-10",HR_Employee_Attrition[[#This Row],[YearsAtCompany]]&gt;10,"10+")</f>
        <v>0-2</v>
      </c>
      <c r="AL445" t="str" cm="1">
        <f t="array" ref="AL4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45">
        <f>IF(HR_Employee_Attrition[[#This Row],[Attrition]]="Yes",1,0)</f>
        <v>1</v>
      </c>
    </row>
    <row r="446" spans="1:39"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IF(HR_Employee_Attrition[[#This Row],[Age]]&gt;60,"60+",IF(HR_Employee_Attrition[[#This Row],[Age]]&gt;=50,"50-59",IF(HR_Employee_Attrition[[#This Row],[Age]]&gt;=40,"40-49",IF(HR_Employee_Attrition[[#This Row],[Age]]&gt;=30,"30-39",IF(HR_Employee_Attrition[[#This Row],[Age]]&gt;=20,"20-29",IF(HR_Employee_Attrition[[#This Row],[Age]]&gt;=18,"18-20"))))))</f>
        <v>40-49</v>
      </c>
      <c r="AK446" t="str" cm="1">
        <f t="array" ref="AK446">_xlfn.IFS(HR_Employee_Attrition[[#This Row],[YearsAtCompany]]&lt;=2,"0-2",HR_Employee_Attrition[[#This Row],[YearsAtCompany]]&lt;=5,"3-5",HR_Employee_Attrition[[#This Row],[YearsAtCompany]]&lt;=10,"6-10",HR_Employee_Attrition[[#This Row],[YearsAtCompany]]&gt;10,"10+")</f>
        <v>6-10</v>
      </c>
      <c r="AL446" t="str" cm="1">
        <f t="array" ref="AL4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46">
        <f>IF(HR_Employee_Attrition[[#This Row],[Attrition]]="Yes",1,0)</f>
        <v>0</v>
      </c>
    </row>
    <row r="447" spans="1:39"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IF(HR_Employee_Attrition[[#This Row],[Age]]&gt;60,"60+",IF(HR_Employee_Attrition[[#This Row],[Age]]&gt;=50,"50-59",IF(HR_Employee_Attrition[[#This Row],[Age]]&gt;=40,"40-49",IF(HR_Employee_Attrition[[#This Row],[Age]]&gt;=30,"30-39",IF(HR_Employee_Attrition[[#This Row],[Age]]&gt;=20,"20-29",IF(HR_Employee_Attrition[[#This Row],[Age]]&gt;=18,"18-20"))))))</f>
        <v>50-59</v>
      </c>
      <c r="AK447" t="str" cm="1">
        <f t="array" ref="AK447">_xlfn.IFS(HR_Employee_Attrition[[#This Row],[YearsAtCompany]]&lt;=2,"0-2",HR_Employee_Attrition[[#This Row],[YearsAtCompany]]&lt;=5,"3-5",HR_Employee_Attrition[[#This Row],[YearsAtCompany]]&lt;=10,"6-10",HR_Employee_Attrition[[#This Row],[YearsAtCompany]]&gt;10,"10+")</f>
        <v>6-10</v>
      </c>
      <c r="AL447" t="str" cm="1">
        <f t="array" ref="AL4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47">
        <f>IF(HR_Employee_Attrition[[#This Row],[Attrition]]="Yes",1,0)</f>
        <v>0</v>
      </c>
    </row>
    <row r="448" spans="1:39"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IF(HR_Employee_Attrition[[#This Row],[Age]]&gt;60,"60+",IF(HR_Employee_Attrition[[#This Row],[Age]]&gt;=50,"50-59",IF(HR_Employee_Attrition[[#This Row],[Age]]&gt;=40,"40-49",IF(HR_Employee_Attrition[[#This Row],[Age]]&gt;=30,"30-39",IF(HR_Employee_Attrition[[#This Row],[Age]]&gt;=20,"20-29",IF(HR_Employee_Attrition[[#This Row],[Age]]&gt;=18,"18-20"))))))</f>
        <v>40-49</v>
      </c>
      <c r="AK448" t="str" cm="1">
        <f t="array" ref="AK448">_xlfn.IFS(HR_Employee_Attrition[[#This Row],[YearsAtCompany]]&lt;=2,"0-2",HR_Employee_Attrition[[#This Row],[YearsAtCompany]]&lt;=5,"3-5",HR_Employee_Attrition[[#This Row],[YearsAtCompany]]&lt;=10,"6-10",HR_Employee_Attrition[[#This Row],[YearsAtCompany]]&gt;10,"10+")</f>
        <v>10+</v>
      </c>
      <c r="AL448" t="str" cm="1">
        <f t="array" ref="AL4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48">
        <f>IF(HR_Employee_Attrition[[#This Row],[Attrition]]="Yes",1,0)</f>
        <v>0</v>
      </c>
    </row>
    <row r="449" spans="1:39"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IF(HR_Employee_Attrition[[#This Row],[Age]]&gt;60,"60+",IF(HR_Employee_Attrition[[#This Row],[Age]]&gt;=50,"50-59",IF(HR_Employee_Attrition[[#This Row],[Age]]&gt;=40,"40-49",IF(HR_Employee_Attrition[[#This Row],[Age]]&gt;=30,"30-39",IF(HR_Employee_Attrition[[#This Row],[Age]]&gt;=20,"20-29",IF(HR_Employee_Attrition[[#This Row],[Age]]&gt;=18,"18-20"))))))</f>
        <v>30-39</v>
      </c>
      <c r="AK449" t="str" cm="1">
        <f t="array" ref="AK449">_xlfn.IFS(HR_Employee_Attrition[[#This Row],[YearsAtCompany]]&lt;=2,"0-2",HR_Employee_Attrition[[#This Row],[YearsAtCompany]]&lt;=5,"3-5",HR_Employee_Attrition[[#This Row],[YearsAtCompany]]&lt;=10,"6-10",HR_Employee_Attrition[[#This Row],[YearsAtCompany]]&gt;10,"10+")</f>
        <v>10+</v>
      </c>
      <c r="AL449" t="str" cm="1">
        <f t="array" ref="AL4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49">
        <f>IF(HR_Employee_Attrition[[#This Row],[Attrition]]="Yes",1,0)</f>
        <v>0</v>
      </c>
    </row>
    <row r="450" spans="1:39"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IF(HR_Employee_Attrition[[#This Row],[Age]]&gt;60,"60+",IF(HR_Employee_Attrition[[#This Row],[Age]]&gt;=50,"50-59",IF(HR_Employee_Attrition[[#This Row],[Age]]&gt;=40,"40-49",IF(HR_Employee_Attrition[[#This Row],[Age]]&gt;=30,"30-39",IF(HR_Employee_Attrition[[#This Row],[Age]]&gt;=20,"20-29",IF(HR_Employee_Attrition[[#This Row],[Age]]&gt;=18,"18-20"))))))</f>
        <v>40-49</v>
      </c>
      <c r="AK450" t="str" cm="1">
        <f t="array" ref="AK450">_xlfn.IFS(HR_Employee_Attrition[[#This Row],[YearsAtCompany]]&lt;=2,"0-2",HR_Employee_Attrition[[#This Row],[YearsAtCompany]]&lt;=5,"3-5",HR_Employee_Attrition[[#This Row],[YearsAtCompany]]&lt;=10,"6-10",HR_Employee_Attrition[[#This Row],[YearsAtCompany]]&gt;10,"10+")</f>
        <v>10+</v>
      </c>
      <c r="AL450" t="str" cm="1">
        <f t="array" ref="AL4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450">
        <f>IF(HR_Employee_Attrition[[#This Row],[Attrition]]="Yes",1,0)</f>
        <v>0</v>
      </c>
    </row>
    <row r="451" spans="1:39"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IF(HR_Employee_Attrition[[#This Row],[Age]]&gt;60,"60+",IF(HR_Employee_Attrition[[#This Row],[Age]]&gt;=50,"50-59",IF(HR_Employee_Attrition[[#This Row],[Age]]&gt;=40,"40-49",IF(HR_Employee_Attrition[[#This Row],[Age]]&gt;=30,"30-39",IF(HR_Employee_Attrition[[#This Row],[Age]]&gt;=20,"20-29",IF(HR_Employee_Attrition[[#This Row],[Age]]&gt;=18,"18-20"))))))</f>
        <v>30-39</v>
      </c>
      <c r="AK451" t="str" cm="1">
        <f t="array" ref="AK451">_xlfn.IFS(HR_Employee_Attrition[[#This Row],[YearsAtCompany]]&lt;=2,"0-2",HR_Employee_Attrition[[#This Row],[YearsAtCompany]]&lt;=5,"3-5",HR_Employee_Attrition[[#This Row],[YearsAtCompany]]&lt;=10,"6-10",HR_Employee_Attrition[[#This Row],[YearsAtCompany]]&gt;10,"10+")</f>
        <v>6-10</v>
      </c>
      <c r="AL451" t="str" cm="1">
        <f t="array" ref="AL4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51">
        <f>IF(HR_Employee_Attrition[[#This Row],[Attrition]]="Yes",1,0)</f>
        <v>0</v>
      </c>
    </row>
    <row r="452" spans="1:39"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IF(HR_Employee_Attrition[[#This Row],[Age]]&gt;60,"60+",IF(HR_Employee_Attrition[[#This Row],[Age]]&gt;=50,"50-59",IF(HR_Employee_Attrition[[#This Row],[Age]]&gt;=40,"40-49",IF(HR_Employee_Attrition[[#This Row],[Age]]&gt;=30,"30-39",IF(HR_Employee_Attrition[[#This Row],[Age]]&gt;=20,"20-29",IF(HR_Employee_Attrition[[#This Row],[Age]]&gt;=18,"18-20"))))))</f>
        <v>30-39</v>
      </c>
      <c r="AK452" t="str" cm="1">
        <f t="array" ref="AK452">_xlfn.IFS(HR_Employee_Attrition[[#This Row],[YearsAtCompany]]&lt;=2,"0-2",HR_Employee_Attrition[[#This Row],[YearsAtCompany]]&lt;=5,"3-5",HR_Employee_Attrition[[#This Row],[YearsAtCompany]]&lt;=10,"6-10",HR_Employee_Attrition[[#This Row],[YearsAtCompany]]&gt;10,"10+")</f>
        <v>6-10</v>
      </c>
      <c r="AL452" t="str" cm="1">
        <f t="array" ref="AL4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52">
        <f>IF(HR_Employee_Attrition[[#This Row],[Attrition]]="Yes",1,0)</f>
        <v>0</v>
      </c>
    </row>
    <row r="453" spans="1:39"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IF(HR_Employee_Attrition[[#This Row],[Age]]&gt;60,"60+",IF(HR_Employee_Attrition[[#This Row],[Age]]&gt;=50,"50-59",IF(HR_Employee_Attrition[[#This Row],[Age]]&gt;=40,"40-49",IF(HR_Employee_Attrition[[#This Row],[Age]]&gt;=30,"30-39",IF(HR_Employee_Attrition[[#This Row],[Age]]&gt;=20,"20-29",IF(HR_Employee_Attrition[[#This Row],[Age]]&gt;=18,"18-20"))))))</f>
        <v>40-49</v>
      </c>
      <c r="AK453" t="str" cm="1">
        <f t="array" ref="AK453">_xlfn.IFS(HR_Employee_Attrition[[#This Row],[YearsAtCompany]]&lt;=2,"0-2",HR_Employee_Attrition[[#This Row],[YearsAtCompany]]&lt;=5,"3-5",HR_Employee_Attrition[[#This Row],[YearsAtCompany]]&lt;=10,"6-10",HR_Employee_Attrition[[#This Row],[YearsAtCompany]]&gt;10,"10+")</f>
        <v>6-10</v>
      </c>
      <c r="AL453" t="str" cm="1">
        <f t="array" ref="AL4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53">
        <f>IF(HR_Employee_Attrition[[#This Row],[Attrition]]="Yes",1,0)</f>
        <v>0</v>
      </c>
    </row>
    <row r="454" spans="1:39"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IF(HR_Employee_Attrition[[#This Row],[Age]]&gt;60,"60+",IF(HR_Employee_Attrition[[#This Row],[Age]]&gt;=50,"50-59",IF(HR_Employee_Attrition[[#This Row],[Age]]&gt;=40,"40-49",IF(HR_Employee_Attrition[[#This Row],[Age]]&gt;=30,"30-39",IF(HR_Employee_Attrition[[#This Row],[Age]]&gt;=20,"20-29",IF(HR_Employee_Attrition[[#This Row],[Age]]&gt;=18,"18-20"))))))</f>
        <v>40-49</v>
      </c>
      <c r="AK454" t="str" cm="1">
        <f t="array" ref="AK454">_xlfn.IFS(HR_Employee_Attrition[[#This Row],[YearsAtCompany]]&lt;=2,"0-2",HR_Employee_Attrition[[#This Row],[YearsAtCompany]]&lt;=5,"3-5",HR_Employee_Attrition[[#This Row],[YearsAtCompany]]&lt;=10,"6-10",HR_Employee_Attrition[[#This Row],[YearsAtCompany]]&gt;10,"10+")</f>
        <v>6-10</v>
      </c>
      <c r="AL454" t="str" cm="1">
        <f t="array" ref="AL4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54">
        <f>IF(HR_Employee_Attrition[[#This Row],[Attrition]]="Yes",1,0)</f>
        <v>0</v>
      </c>
    </row>
    <row r="455" spans="1:39"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IF(HR_Employee_Attrition[[#This Row],[Age]]&gt;60,"60+",IF(HR_Employee_Attrition[[#This Row],[Age]]&gt;=50,"50-59",IF(HR_Employee_Attrition[[#This Row],[Age]]&gt;=40,"40-49",IF(HR_Employee_Attrition[[#This Row],[Age]]&gt;=30,"30-39",IF(HR_Employee_Attrition[[#This Row],[Age]]&gt;=20,"20-29",IF(HR_Employee_Attrition[[#This Row],[Age]]&gt;=18,"18-20"))))))</f>
        <v>20-29</v>
      </c>
      <c r="AK455" t="str" cm="1">
        <f t="array" ref="AK455">_xlfn.IFS(HR_Employee_Attrition[[#This Row],[YearsAtCompany]]&lt;=2,"0-2",HR_Employee_Attrition[[#This Row],[YearsAtCompany]]&lt;=5,"3-5",HR_Employee_Attrition[[#This Row],[YearsAtCompany]]&lt;=10,"6-10",HR_Employee_Attrition[[#This Row],[YearsAtCompany]]&gt;10,"10+")</f>
        <v>6-10</v>
      </c>
      <c r="AL455" t="str" cm="1">
        <f t="array" ref="AL4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55">
        <f>IF(HR_Employee_Attrition[[#This Row],[Attrition]]="Yes",1,0)</f>
        <v>1</v>
      </c>
    </row>
    <row r="456" spans="1:39"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IF(HR_Employee_Attrition[[#This Row],[Age]]&gt;60,"60+",IF(HR_Employee_Attrition[[#This Row],[Age]]&gt;=50,"50-59",IF(HR_Employee_Attrition[[#This Row],[Age]]&gt;=40,"40-49",IF(HR_Employee_Attrition[[#This Row],[Age]]&gt;=30,"30-39",IF(HR_Employee_Attrition[[#This Row],[Age]]&gt;=20,"20-29",IF(HR_Employee_Attrition[[#This Row],[Age]]&gt;=18,"18-20"))))))</f>
        <v>20-29</v>
      </c>
      <c r="AK456" t="str" cm="1">
        <f t="array" ref="AK456">_xlfn.IFS(HR_Employee_Attrition[[#This Row],[YearsAtCompany]]&lt;=2,"0-2",HR_Employee_Attrition[[#This Row],[YearsAtCompany]]&lt;=5,"3-5",HR_Employee_Attrition[[#This Row],[YearsAtCompany]]&lt;=10,"6-10",HR_Employee_Attrition[[#This Row],[YearsAtCompany]]&gt;10,"10+")</f>
        <v>3-5</v>
      </c>
      <c r="AL456" t="str" cm="1">
        <f t="array" ref="AL4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56">
        <f>IF(HR_Employee_Attrition[[#This Row],[Attrition]]="Yes",1,0)</f>
        <v>0</v>
      </c>
    </row>
    <row r="457" spans="1:39"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IF(HR_Employee_Attrition[[#This Row],[Age]]&gt;60,"60+",IF(HR_Employee_Attrition[[#This Row],[Age]]&gt;=50,"50-59",IF(HR_Employee_Attrition[[#This Row],[Age]]&gt;=40,"40-49",IF(HR_Employee_Attrition[[#This Row],[Age]]&gt;=30,"30-39",IF(HR_Employee_Attrition[[#This Row],[Age]]&gt;=20,"20-29",IF(HR_Employee_Attrition[[#This Row],[Age]]&gt;=18,"18-20"))))))</f>
        <v>30-39</v>
      </c>
      <c r="AK457" t="str" cm="1">
        <f t="array" ref="AK457">_xlfn.IFS(HR_Employee_Attrition[[#This Row],[YearsAtCompany]]&lt;=2,"0-2",HR_Employee_Attrition[[#This Row],[YearsAtCompany]]&lt;=5,"3-5",HR_Employee_Attrition[[#This Row],[YearsAtCompany]]&lt;=10,"6-10",HR_Employee_Attrition[[#This Row],[YearsAtCompany]]&gt;10,"10+")</f>
        <v>6-10</v>
      </c>
      <c r="AL457" t="str" cm="1">
        <f t="array" ref="AL4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57">
        <f>IF(HR_Employee_Attrition[[#This Row],[Attrition]]="Yes",1,0)</f>
        <v>0</v>
      </c>
    </row>
    <row r="458" spans="1:39"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IF(HR_Employee_Attrition[[#This Row],[Age]]&gt;60,"60+",IF(HR_Employee_Attrition[[#This Row],[Age]]&gt;=50,"50-59",IF(HR_Employee_Attrition[[#This Row],[Age]]&gt;=40,"40-49",IF(HR_Employee_Attrition[[#This Row],[Age]]&gt;=30,"30-39",IF(HR_Employee_Attrition[[#This Row],[Age]]&gt;=20,"20-29",IF(HR_Employee_Attrition[[#This Row],[Age]]&gt;=18,"18-20"))))))</f>
        <v>30-39</v>
      </c>
      <c r="AK458" t="str" cm="1">
        <f t="array" ref="AK458">_xlfn.IFS(HR_Employee_Attrition[[#This Row],[YearsAtCompany]]&lt;=2,"0-2",HR_Employee_Attrition[[#This Row],[YearsAtCompany]]&lt;=5,"3-5",HR_Employee_Attrition[[#This Row],[YearsAtCompany]]&lt;=10,"6-10",HR_Employee_Attrition[[#This Row],[YearsAtCompany]]&gt;10,"10+")</f>
        <v>3-5</v>
      </c>
      <c r="AL458" t="str" cm="1">
        <f t="array" ref="AL4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458">
        <f>IF(HR_Employee_Attrition[[#This Row],[Attrition]]="Yes",1,0)</f>
        <v>0</v>
      </c>
    </row>
    <row r="459" spans="1:39"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IF(HR_Employee_Attrition[[#This Row],[Age]]&gt;60,"60+",IF(HR_Employee_Attrition[[#This Row],[Age]]&gt;=50,"50-59",IF(HR_Employee_Attrition[[#This Row],[Age]]&gt;=40,"40-49",IF(HR_Employee_Attrition[[#This Row],[Age]]&gt;=30,"30-39",IF(HR_Employee_Attrition[[#This Row],[Age]]&gt;=20,"20-29",IF(HR_Employee_Attrition[[#This Row],[Age]]&gt;=18,"18-20"))))))</f>
        <v>18-20</v>
      </c>
      <c r="AK459" t="str" cm="1">
        <f t="array" ref="AK459">_xlfn.IFS(HR_Employee_Attrition[[#This Row],[YearsAtCompany]]&lt;=2,"0-2",HR_Employee_Attrition[[#This Row],[YearsAtCompany]]&lt;=5,"3-5",HR_Employee_Attrition[[#This Row],[YearsAtCompany]]&lt;=10,"6-10",HR_Employee_Attrition[[#This Row],[YearsAtCompany]]&gt;10,"10+")</f>
        <v>0-2</v>
      </c>
      <c r="AL459" t="str" cm="1">
        <f t="array" ref="AL4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59">
        <f>IF(HR_Employee_Attrition[[#This Row],[Attrition]]="Yes",1,0)</f>
        <v>1</v>
      </c>
    </row>
    <row r="460" spans="1:39"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IF(HR_Employee_Attrition[[#This Row],[Age]]&gt;60,"60+",IF(HR_Employee_Attrition[[#This Row],[Age]]&gt;=50,"50-59",IF(HR_Employee_Attrition[[#This Row],[Age]]&gt;=40,"40-49",IF(HR_Employee_Attrition[[#This Row],[Age]]&gt;=30,"30-39",IF(HR_Employee_Attrition[[#This Row],[Age]]&gt;=20,"20-29",IF(HR_Employee_Attrition[[#This Row],[Age]]&gt;=18,"18-20"))))))</f>
        <v>40-49</v>
      </c>
      <c r="AK460" t="str" cm="1">
        <f t="array" ref="AK460">_xlfn.IFS(HR_Employee_Attrition[[#This Row],[YearsAtCompany]]&lt;=2,"0-2",HR_Employee_Attrition[[#This Row],[YearsAtCompany]]&lt;=5,"3-5",HR_Employee_Attrition[[#This Row],[YearsAtCompany]]&lt;=10,"6-10",HR_Employee_Attrition[[#This Row],[YearsAtCompany]]&gt;10,"10+")</f>
        <v>0-2</v>
      </c>
      <c r="AL460" t="str" cm="1">
        <f t="array" ref="AL4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460">
        <f>IF(HR_Employee_Attrition[[#This Row],[Attrition]]="Yes",1,0)</f>
        <v>0</v>
      </c>
    </row>
    <row r="461" spans="1:39"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IF(HR_Employee_Attrition[[#This Row],[Age]]&gt;60,"60+",IF(HR_Employee_Attrition[[#This Row],[Age]]&gt;=50,"50-59",IF(HR_Employee_Attrition[[#This Row],[Age]]&gt;=40,"40-49",IF(HR_Employee_Attrition[[#This Row],[Age]]&gt;=30,"30-39",IF(HR_Employee_Attrition[[#This Row],[Age]]&gt;=20,"20-29",IF(HR_Employee_Attrition[[#This Row],[Age]]&gt;=18,"18-20"))))))</f>
        <v>40-49</v>
      </c>
      <c r="AK461" t="str" cm="1">
        <f t="array" ref="AK461">_xlfn.IFS(HR_Employee_Attrition[[#This Row],[YearsAtCompany]]&lt;=2,"0-2",HR_Employee_Attrition[[#This Row],[YearsAtCompany]]&lt;=5,"3-5",HR_Employee_Attrition[[#This Row],[YearsAtCompany]]&lt;=10,"6-10",HR_Employee_Attrition[[#This Row],[YearsAtCompany]]&gt;10,"10+")</f>
        <v>6-10</v>
      </c>
      <c r="AL461" t="str" cm="1">
        <f t="array" ref="AL4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61">
        <f>IF(HR_Employee_Attrition[[#This Row],[Attrition]]="Yes",1,0)</f>
        <v>0</v>
      </c>
    </row>
    <row r="462" spans="1:39"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IF(HR_Employee_Attrition[[#This Row],[Age]]&gt;60,"60+",IF(HR_Employee_Attrition[[#This Row],[Age]]&gt;=50,"50-59",IF(HR_Employee_Attrition[[#This Row],[Age]]&gt;=40,"40-49",IF(HR_Employee_Attrition[[#This Row],[Age]]&gt;=30,"30-39",IF(HR_Employee_Attrition[[#This Row],[Age]]&gt;=20,"20-29",IF(HR_Employee_Attrition[[#This Row],[Age]]&gt;=18,"18-20"))))))</f>
        <v>20-29</v>
      </c>
      <c r="AK462" t="str" cm="1">
        <f t="array" ref="AK462">_xlfn.IFS(HR_Employee_Attrition[[#This Row],[YearsAtCompany]]&lt;=2,"0-2",HR_Employee_Attrition[[#This Row],[YearsAtCompany]]&lt;=5,"3-5",HR_Employee_Attrition[[#This Row],[YearsAtCompany]]&lt;=10,"6-10",HR_Employee_Attrition[[#This Row],[YearsAtCompany]]&gt;10,"10+")</f>
        <v>0-2</v>
      </c>
      <c r="AL462" t="str" cm="1">
        <f t="array" ref="AL4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62">
        <f>IF(HR_Employee_Attrition[[#This Row],[Attrition]]="Yes",1,0)</f>
        <v>0</v>
      </c>
    </row>
    <row r="463" spans="1:39"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IF(HR_Employee_Attrition[[#This Row],[Age]]&gt;60,"60+",IF(HR_Employee_Attrition[[#This Row],[Age]]&gt;=50,"50-59",IF(HR_Employee_Attrition[[#This Row],[Age]]&gt;=40,"40-49",IF(HR_Employee_Attrition[[#This Row],[Age]]&gt;=30,"30-39",IF(HR_Employee_Attrition[[#This Row],[Age]]&gt;=20,"20-29",IF(HR_Employee_Attrition[[#This Row],[Age]]&gt;=18,"18-20"))))))</f>
        <v>30-39</v>
      </c>
      <c r="AK463" t="str" cm="1">
        <f t="array" ref="AK463">_xlfn.IFS(HR_Employee_Attrition[[#This Row],[YearsAtCompany]]&lt;=2,"0-2",HR_Employee_Attrition[[#This Row],[YearsAtCompany]]&lt;=5,"3-5",HR_Employee_Attrition[[#This Row],[YearsAtCompany]]&lt;=10,"6-10",HR_Employee_Attrition[[#This Row],[YearsAtCompany]]&gt;10,"10+")</f>
        <v>3-5</v>
      </c>
      <c r="AL463" t="str" cm="1">
        <f t="array" ref="AL4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63">
        <f>IF(HR_Employee_Attrition[[#This Row],[Attrition]]="Yes",1,0)</f>
        <v>0</v>
      </c>
    </row>
    <row r="464" spans="1:39"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IF(HR_Employee_Attrition[[#This Row],[Age]]&gt;60,"60+",IF(HR_Employee_Attrition[[#This Row],[Age]]&gt;=50,"50-59",IF(HR_Employee_Attrition[[#This Row],[Age]]&gt;=40,"40-49",IF(HR_Employee_Attrition[[#This Row],[Age]]&gt;=30,"30-39",IF(HR_Employee_Attrition[[#This Row],[Age]]&gt;=20,"20-29",IF(HR_Employee_Attrition[[#This Row],[Age]]&gt;=18,"18-20"))))))</f>
        <v>30-39</v>
      </c>
      <c r="AK464" t="str" cm="1">
        <f t="array" ref="AK464">_xlfn.IFS(HR_Employee_Attrition[[#This Row],[YearsAtCompany]]&lt;=2,"0-2",HR_Employee_Attrition[[#This Row],[YearsAtCompany]]&lt;=5,"3-5",HR_Employee_Attrition[[#This Row],[YearsAtCompany]]&lt;=10,"6-10",HR_Employee_Attrition[[#This Row],[YearsAtCompany]]&gt;10,"10+")</f>
        <v>6-10</v>
      </c>
      <c r="AL464" t="str" cm="1">
        <f t="array" ref="AL4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64">
        <f>IF(HR_Employee_Attrition[[#This Row],[Attrition]]="Yes",1,0)</f>
        <v>0</v>
      </c>
    </row>
    <row r="465" spans="1:39"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IF(HR_Employee_Attrition[[#This Row],[Age]]&gt;60,"60+",IF(HR_Employee_Attrition[[#This Row],[Age]]&gt;=50,"50-59",IF(HR_Employee_Attrition[[#This Row],[Age]]&gt;=40,"40-49",IF(HR_Employee_Attrition[[#This Row],[Age]]&gt;=30,"30-39",IF(HR_Employee_Attrition[[#This Row],[Age]]&gt;=20,"20-29",IF(HR_Employee_Attrition[[#This Row],[Age]]&gt;=18,"18-20"))))))</f>
        <v>20-29</v>
      </c>
      <c r="AK465" t="str" cm="1">
        <f t="array" ref="AK465">_xlfn.IFS(HR_Employee_Attrition[[#This Row],[YearsAtCompany]]&lt;=2,"0-2",HR_Employee_Attrition[[#This Row],[YearsAtCompany]]&lt;=5,"3-5",HR_Employee_Attrition[[#This Row],[YearsAtCompany]]&lt;=10,"6-10",HR_Employee_Attrition[[#This Row],[YearsAtCompany]]&gt;10,"10+")</f>
        <v>0-2</v>
      </c>
      <c r="AL465" t="str" cm="1">
        <f t="array" ref="AL4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65">
        <f>IF(HR_Employee_Attrition[[#This Row],[Attrition]]="Yes",1,0)</f>
        <v>1</v>
      </c>
    </row>
    <row r="466" spans="1:39"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IF(HR_Employee_Attrition[[#This Row],[Age]]&gt;60,"60+",IF(HR_Employee_Attrition[[#This Row],[Age]]&gt;=50,"50-59",IF(HR_Employee_Attrition[[#This Row],[Age]]&gt;=40,"40-49",IF(HR_Employee_Attrition[[#This Row],[Age]]&gt;=30,"30-39",IF(HR_Employee_Attrition[[#This Row],[Age]]&gt;=20,"20-29",IF(HR_Employee_Attrition[[#This Row],[Age]]&gt;=18,"18-20"))))))</f>
        <v>30-39</v>
      </c>
      <c r="AK466" t="str" cm="1">
        <f t="array" ref="AK466">_xlfn.IFS(HR_Employee_Attrition[[#This Row],[YearsAtCompany]]&lt;=2,"0-2",HR_Employee_Attrition[[#This Row],[YearsAtCompany]]&lt;=5,"3-5",HR_Employee_Attrition[[#This Row],[YearsAtCompany]]&lt;=10,"6-10",HR_Employee_Attrition[[#This Row],[YearsAtCompany]]&gt;10,"10+")</f>
        <v>6-10</v>
      </c>
      <c r="AL466" t="str" cm="1">
        <f t="array" ref="AL4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66">
        <f>IF(HR_Employee_Attrition[[#This Row],[Attrition]]="Yes",1,0)</f>
        <v>0</v>
      </c>
    </row>
    <row r="467" spans="1:39"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IF(HR_Employee_Attrition[[#This Row],[Age]]&gt;60,"60+",IF(HR_Employee_Attrition[[#This Row],[Age]]&gt;=50,"50-59",IF(HR_Employee_Attrition[[#This Row],[Age]]&gt;=40,"40-49",IF(HR_Employee_Attrition[[#This Row],[Age]]&gt;=30,"30-39",IF(HR_Employee_Attrition[[#This Row],[Age]]&gt;=20,"20-29",IF(HR_Employee_Attrition[[#This Row],[Age]]&gt;=18,"18-20"))))))</f>
        <v>40-49</v>
      </c>
      <c r="AK467" t="str" cm="1">
        <f t="array" ref="AK467">_xlfn.IFS(HR_Employee_Attrition[[#This Row],[YearsAtCompany]]&lt;=2,"0-2",HR_Employee_Attrition[[#This Row],[YearsAtCompany]]&lt;=5,"3-5",HR_Employee_Attrition[[#This Row],[YearsAtCompany]]&lt;=10,"6-10",HR_Employee_Attrition[[#This Row],[YearsAtCompany]]&gt;10,"10+")</f>
        <v>0-2</v>
      </c>
      <c r="AL467" t="str" cm="1">
        <f t="array" ref="AL4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467">
        <f>IF(HR_Employee_Attrition[[#This Row],[Attrition]]="Yes",1,0)</f>
        <v>0</v>
      </c>
    </row>
    <row r="468" spans="1:39"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IF(HR_Employee_Attrition[[#This Row],[Age]]&gt;60,"60+",IF(HR_Employee_Attrition[[#This Row],[Age]]&gt;=50,"50-59",IF(HR_Employee_Attrition[[#This Row],[Age]]&gt;=40,"40-49",IF(HR_Employee_Attrition[[#This Row],[Age]]&gt;=30,"30-39",IF(HR_Employee_Attrition[[#This Row],[Age]]&gt;=20,"20-29",IF(HR_Employee_Attrition[[#This Row],[Age]]&gt;=18,"18-20"))))))</f>
        <v>40-49</v>
      </c>
      <c r="AK468" t="str" cm="1">
        <f t="array" ref="AK468">_xlfn.IFS(HR_Employee_Attrition[[#This Row],[YearsAtCompany]]&lt;=2,"0-2",HR_Employee_Attrition[[#This Row],[YearsAtCompany]]&lt;=5,"3-5",HR_Employee_Attrition[[#This Row],[YearsAtCompany]]&lt;=10,"6-10",HR_Employee_Attrition[[#This Row],[YearsAtCompany]]&gt;10,"10+")</f>
        <v>10+</v>
      </c>
      <c r="AL468" t="str" cm="1">
        <f t="array" ref="AL4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68">
        <f>IF(HR_Employee_Attrition[[#This Row],[Attrition]]="Yes",1,0)</f>
        <v>0</v>
      </c>
    </row>
    <row r="469" spans="1:39"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IF(HR_Employee_Attrition[[#This Row],[Age]]&gt;60,"60+",IF(HR_Employee_Attrition[[#This Row],[Age]]&gt;=50,"50-59",IF(HR_Employee_Attrition[[#This Row],[Age]]&gt;=40,"40-49",IF(HR_Employee_Attrition[[#This Row],[Age]]&gt;=30,"30-39",IF(HR_Employee_Attrition[[#This Row],[Age]]&gt;=20,"20-29",IF(HR_Employee_Attrition[[#This Row],[Age]]&gt;=18,"18-20"))))))</f>
        <v>30-39</v>
      </c>
      <c r="AK469" t="str" cm="1">
        <f t="array" ref="AK469">_xlfn.IFS(HR_Employee_Attrition[[#This Row],[YearsAtCompany]]&lt;=2,"0-2",HR_Employee_Attrition[[#This Row],[YearsAtCompany]]&lt;=5,"3-5",HR_Employee_Attrition[[#This Row],[YearsAtCompany]]&lt;=10,"6-10",HR_Employee_Attrition[[#This Row],[YearsAtCompany]]&gt;10,"10+")</f>
        <v>6-10</v>
      </c>
      <c r="AL469" t="str" cm="1">
        <f t="array" ref="AL4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69">
        <f>IF(HR_Employee_Attrition[[#This Row],[Attrition]]="Yes",1,0)</f>
        <v>0</v>
      </c>
    </row>
    <row r="470" spans="1:39"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IF(HR_Employee_Attrition[[#This Row],[Age]]&gt;60,"60+",IF(HR_Employee_Attrition[[#This Row],[Age]]&gt;=50,"50-59",IF(HR_Employee_Attrition[[#This Row],[Age]]&gt;=40,"40-49",IF(HR_Employee_Attrition[[#This Row],[Age]]&gt;=30,"30-39",IF(HR_Employee_Attrition[[#This Row],[Age]]&gt;=20,"20-29",IF(HR_Employee_Attrition[[#This Row],[Age]]&gt;=18,"18-20"))))))</f>
        <v>50-59</v>
      </c>
      <c r="AK470" t="str" cm="1">
        <f t="array" ref="AK470">_xlfn.IFS(HR_Employee_Attrition[[#This Row],[YearsAtCompany]]&lt;=2,"0-2",HR_Employee_Attrition[[#This Row],[YearsAtCompany]]&lt;=5,"3-5",HR_Employee_Attrition[[#This Row],[YearsAtCompany]]&lt;=10,"6-10",HR_Employee_Attrition[[#This Row],[YearsAtCompany]]&gt;10,"10+")</f>
        <v>6-10</v>
      </c>
      <c r="AL470" t="str" cm="1">
        <f t="array" ref="AL4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70">
        <f>IF(HR_Employee_Attrition[[#This Row],[Attrition]]="Yes",1,0)</f>
        <v>0</v>
      </c>
    </row>
    <row r="471" spans="1:39"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IF(HR_Employee_Attrition[[#This Row],[Age]]&gt;60,"60+",IF(HR_Employee_Attrition[[#This Row],[Age]]&gt;=50,"50-59",IF(HR_Employee_Attrition[[#This Row],[Age]]&gt;=40,"40-49",IF(HR_Employee_Attrition[[#This Row],[Age]]&gt;=30,"30-39",IF(HR_Employee_Attrition[[#This Row],[Age]]&gt;=20,"20-29",IF(HR_Employee_Attrition[[#This Row],[Age]]&gt;=18,"18-20"))))))</f>
        <v>30-39</v>
      </c>
      <c r="AK471" t="str" cm="1">
        <f t="array" ref="AK471">_xlfn.IFS(HR_Employee_Attrition[[#This Row],[YearsAtCompany]]&lt;=2,"0-2",HR_Employee_Attrition[[#This Row],[YearsAtCompany]]&lt;=5,"3-5",HR_Employee_Attrition[[#This Row],[YearsAtCompany]]&lt;=10,"6-10",HR_Employee_Attrition[[#This Row],[YearsAtCompany]]&gt;10,"10+")</f>
        <v>3-5</v>
      </c>
      <c r="AL471" t="str" cm="1">
        <f t="array" ref="AL4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71">
        <f>IF(HR_Employee_Attrition[[#This Row],[Attrition]]="Yes",1,0)</f>
        <v>1</v>
      </c>
    </row>
    <row r="472" spans="1:39"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IF(HR_Employee_Attrition[[#This Row],[Age]]&gt;60,"60+",IF(HR_Employee_Attrition[[#This Row],[Age]]&gt;=50,"50-59",IF(HR_Employee_Attrition[[#This Row],[Age]]&gt;=40,"40-49",IF(HR_Employee_Attrition[[#This Row],[Age]]&gt;=30,"30-39",IF(HR_Employee_Attrition[[#This Row],[Age]]&gt;=20,"20-29",IF(HR_Employee_Attrition[[#This Row],[Age]]&gt;=18,"18-20"))))))</f>
        <v>20-29</v>
      </c>
      <c r="AK472" t="str" cm="1">
        <f t="array" ref="AK472">_xlfn.IFS(HR_Employee_Attrition[[#This Row],[YearsAtCompany]]&lt;=2,"0-2",HR_Employee_Attrition[[#This Row],[YearsAtCompany]]&lt;=5,"3-5",HR_Employee_Attrition[[#This Row],[YearsAtCompany]]&lt;=10,"6-10",HR_Employee_Attrition[[#This Row],[YearsAtCompany]]&gt;10,"10+")</f>
        <v>0-2</v>
      </c>
      <c r="AL472" t="str" cm="1">
        <f t="array" ref="AL47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72">
        <f>IF(HR_Employee_Attrition[[#This Row],[Attrition]]="Yes",1,0)</f>
        <v>0</v>
      </c>
    </row>
    <row r="473" spans="1:39"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IF(HR_Employee_Attrition[[#This Row],[Age]]&gt;60,"60+",IF(HR_Employee_Attrition[[#This Row],[Age]]&gt;=50,"50-59",IF(HR_Employee_Attrition[[#This Row],[Age]]&gt;=40,"40-49",IF(HR_Employee_Attrition[[#This Row],[Age]]&gt;=30,"30-39",IF(HR_Employee_Attrition[[#This Row],[Age]]&gt;=20,"20-29",IF(HR_Employee_Attrition[[#This Row],[Age]]&gt;=18,"18-20"))))))</f>
        <v>30-39</v>
      </c>
      <c r="AK473" t="str" cm="1">
        <f t="array" ref="AK473">_xlfn.IFS(HR_Employee_Attrition[[#This Row],[YearsAtCompany]]&lt;=2,"0-2",HR_Employee_Attrition[[#This Row],[YearsAtCompany]]&lt;=5,"3-5",HR_Employee_Attrition[[#This Row],[YearsAtCompany]]&lt;=10,"6-10",HR_Employee_Attrition[[#This Row],[YearsAtCompany]]&gt;10,"10+")</f>
        <v>0-2</v>
      </c>
      <c r="AL473" t="str" cm="1">
        <f t="array" ref="AL47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73">
        <f>IF(HR_Employee_Attrition[[#This Row],[Attrition]]="Yes",1,0)</f>
        <v>0</v>
      </c>
    </row>
    <row r="474" spans="1:39"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IF(HR_Employee_Attrition[[#This Row],[Age]]&gt;60,"60+",IF(HR_Employee_Attrition[[#This Row],[Age]]&gt;=50,"50-59",IF(HR_Employee_Attrition[[#This Row],[Age]]&gt;=40,"40-49",IF(HR_Employee_Attrition[[#This Row],[Age]]&gt;=30,"30-39",IF(HR_Employee_Attrition[[#This Row],[Age]]&gt;=20,"20-29",IF(HR_Employee_Attrition[[#This Row],[Age]]&gt;=18,"18-20"))))))</f>
        <v>30-39</v>
      </c>
      <c r="AK474" t="str" cm="1">
        <f t="array" ref="AK474">_xlfn.IFS(HR_Employee_Attrition[[#This Row],[YearsAtCompany]]&lt;=2,"0-2",HR_Employee_Attrition[[#This Row],[YearsAtCompany]]&lt;=5,"3-5",HR_Employee_Attrition[[#This Row],[YearsAtCompany]]&lt;=10,"6-10",HR_Employee_Attrition[[#This Row],[YearsAtCompany]]&gt;10,"10+")</f>
        <v>6-10</v>
      </c>
      <c r="AL474" t="str" cm="1">
        <f t="array" ref="AL47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74">
        <f>IF(HR_Employee_Attrition[[#This Row],[Attrition]]="Yes",1,0)</f>
        <v>0</v>
      </c>
    </row>
    <row r="475" spans="1:39"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IF(HR_Employee_Attrition[[#This Row],[Age]]&gt;60,"60+",IF(HR_Employee_Attrition[[#This Row],[Age]]&gt;=50,"50-59",IF(HR_Employee_Attrition[[#This Row],[Age]]&gt;=40,"40-49",IF(HR_Employee_Attrition[[#This Row],[Age]]&gt;=30,"30-39",IF(HR_Employee_Attrition[[#This Row],[Age]]&gt;=20,"20-29",IF(HR_Employee_Attrition[[#This Row],[Age]]&gt;=18,"18-20"))))))</f>
        <v>40-49</v>
      </c>
      <c r="AK475" t="str" cm="1">
        <f t="array" ref="AK475">_xlfn.IFS(HR_Employee_Attrition[[#This Row],[YearsAtCompany]]&lt;=2,"0-2",HR_Employee_Attrition[[#This Row],[YearsAtCompany]]&lt;=5,"3-5",HR_Employee_Attrition[[#This Row],[YearsAtCompany]]&lt;=10,"6-10",HR_Employee_Attrition[[#This Row],[YearsAtCompany]]&gt;10,"10+")</f>
        <v>10+</v>
      </c>
      <c r="AL475" t="str" cm="1">
        <f t="array" ref="AL47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75">
        <f>IF(HR_Employee_Attrition[[#This Row],[Attrition]]="Yes",1,0)</f>
        <v>0</v>
      </c>
    </row>
    <row r="476" spans="1:39"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IF(HR_Employee_Attrition[[#This Row],[Age]]&gt;60,"60+",IF(HR_Employee_Attrition[[#This Row],[Age]]&gt;=50,"50-59",IF(HR_Employee_Attrition[[#This Row],[Age]]&gt;=40,"40-49",IF(HR_Employee_Attrition[[#This Row],[Age]]&gt;=30,"30-39",IF(HR_Employee_Attrition[[#This Row],[Age]]&gt;=20,"20-29",IF(HR_Employee_Attrition[[#This Row],[Age]]&gt;=18,"18-20"))))))</f>
        <v>20-29</v>
      </c>
      <c r="AK476" t="str" cm="1">
        <f t="array" ref="AK476">_xlfn.IFS(HR_Employee_Attrition[[#This Row],[YearsAtCompany]]&lt;=2,"0-2",HR_Employee_Attrition[[#This Row],[YearsAtCompany]]&lt;=5,"3-5",HR_Employee_Attrition[[#This Row],[YearsAtCompany]]&lt;=10,"6-10",HR_Employee_Attrition[[#This Row],[YearsAtCompany]]&gt;10,"10+")</f>
        <v>6-10</v>
      </c>
      <c r="AL476" t="str" cm="1">
        <f t="array" ref="AL47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76">
        <f>IF(HR_Employee_Attrition[[#This Row],[Attrition]]="Yes",1,0)</f>
        <v>0</v>
      </c>
    </row>
    <row r="477" spans="1:39"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IF(HR_Employee_Attrition[[#This Row],[Age]]&gt;60,"60+",IF(HR_Employee_Attrition[[#This Row],[Age]]&gt;=50,"50-59",IF(HR_Employee_Attrition[[#This Row],[Age]]&gt;=40,"40-49",IF(HR_Employee_Attrition[[#This Row],[Age]]&gt;=30,"30-39",IF(HR_Employee_Attrition[[#This Row],[Age]]&gt;=20,"20-29",IF(HR_Employee_Attrition[[#This Row],[Age]]&gt;=18,"18-20"))))))</f>
        <v>20-29</v>
      </c>
      <c r="AK477" t="str" cm="1">
        <f t="array" ref="AK477">_xlfn.IFS(HR_Employee_Attrition[[#This Row],[YearsAtCompany]]&lt;=2,"0-2",HR_Employee_Attrition[[#This Row],[YearsAtCompany]]&lt;=5,"3-5",HR_Employee_Attrition[[#This Row],[YearsAtCompany]]&lt;=10,"6-10",HR_Employee_Attrition[[#This Row],[YearsAtCompany]]&gt;10,"10+")</f>
        <v>3-5</v>
      </c>
      <c r="AL477" t="str" cm="1">
        <f t="array" ref="AL47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77">
        <f>IF(HR_Employee_Attrition[[#This Row],[Attrition]]="Yes",1,0)</f>
        <v>0</v>
      </c>
    </row>
    <row r="478" spans="1:39"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IF(HR_Employee_Attrition[[#This Row],[Age]]&gt;60,"60+",IF(HR_Employee_Attrition[[#This Row],[Age]]&gt;=50,"50-59",IF(HR_Employee_Attrition[[#This Row],[Age]]&gt;=40,"40-49",IF(HR_Employee_Attrition[[#This Row],[Age]]&gt;=30,"30-39",IF(HR_Employee_Attrition[[#This Row],[Age]]&gt;=20,"20-29",IF(HR_Employee_Attrition[[#This Row],[Age]]&gt;=18,"18-20"))))))</f>
        <v>20-29</v>
      </c>
      <c r="AK478" t="str" cm="1">
        <f t="array" ref="AK478">_xlfn.IFS(HR_Employee_Attrition[[#This Row],[YearsAtCompany]]&lt;=2,"0-2",HR_Employee_Attrition[[#This Row],[YearsAtCompany]]&lt;=5,"3-5",HR_Employee_Attrition[[#This Row],[YearsAtCompany]]&lt;=10,"6-10",HR_Employee_Attrition[[#This Row],[YearsAtCompany]]&gt;10,"10+")</f>
        <v>0-2</v>
      </c>
      <c r="AL478" t="str" cm="1">
        <f t="array" ref="AL47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78">
        <f>IF(HR_Employee_Attrition[[#This Row],[Attrition]]="Yes",1,0)</f>
        <v>0</v>
      </c>
    </row>
    <row r="479" spans="1:39"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IF(HR_Employee_Attrition[[#This Row],[Age]]&gt;60,"60+",IF(HR_Employee_Attrition[[#This Row],[Age]]&gt;=50,"50-59",IF(HR_Employee_Attrition[[#This Row],[Age]]&gt;=40,"40-49",IF(HR_Employee_Attrition[[#This Row],[Age]]&gt;=30,"30-39",IF(HR_Employee_Attrition[[#This Row],[Age]]&gt;=20,"20-29",IF(HR_Employee_Attrition[[#This Row],[Age]]&gt;=18,"18-20"))))))</f>
        <v>50-59</v>
      </c>
      <c r="AK479" t="str" cm="1">
        <f t="array" ref="AK479">_xlfn.IFS(HR_Employee_Attrition[[#This Row],[YearsAtCompany]]&lt;=2,"0-2",HR_Employee_Attrition[[#This Row],[YearsAtCompany]]&lt;=5,"3-5",HR_Employee_Attrition[[#This Row],[YearsAtCompany]]&lt;=10,"6-10",HR_Employee_Attrition[[#This Row],[YearsAtCompany]]&gt;10,"10+")</f>
        <v>10+</v>
      </c>
      <c r="AL479" t="str" cm="1">
        <f t="array" ref="AL47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79">
        <f>IF(HR_Employee_Attrition[[#This Row],[Attrition]]="Yes",1,0)</f>
        <v>0</v>
      </c>
    </row>
    <row r="480" spans="1:39"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IF(HR_Employee_Attrition[[#This Row],[Age]]&gt;60,"60+",IF(HR_Employee_Attrition[[#This Row],[Age]]&gt;=50,"50-59",IF(HR_Employee_Attrition[[#This Row],[Age]]&gt;=40,"40-49",IF(HR_Employee_Attrition[[#This Row],[Age]]&gt;=30,"30-39",IF(HR_Employee_Attrition[[#This Row],[Age]]&gt;=20,"20-29",IF(HR_Employee_Attrition[[#This Row],[Age]]&gt;=18,"18-20"))))))</f>
        <v>20-29</v>
      </c>
      <c r="AK480" t="str" cm="1">
        <f t="array" ref="AK480">_xlfn.IFS(HR_Employee_Attrition[[#This Row],[YearsAtCompany]]&lt;=2,"0-2",HR_Employee_Attrition[[#This Row],[YearsAtCompany]]&lt;=5,"3-5",HR_Employee_Attrition[[#This Row],[YearsAtCompany]]&lt;=10,"6-10",HR_Employee_Attrition[[#This Row],[YearsAtCompany]]&gt;10,"10+")</f>
        <v>6-10</v>
      </c>
      <c r="AL480" t="str" cm="1">
        <f t="array" ref="AL48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80">
        <f>IF(HR_Employee_Attrition[[#This Row],[Attrition]]="Yes",1,0)</f>
        <v>0</v>
      </c>
    </row>
    <row r="481" spans="1:39"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IF(HR_Employee_Attrition[[#This Row],[Age]]&gt;60,"60+",IF(HR_Employee_Attrition[[#This Row],[Age]]&gt;=50,"50-59",IF(HR_Employee_Attrition[[#This Row],[Age]]&gt;=40,"40-49",IF(HR_Employee_Attrition[[#This Row],[Age]]&gt;=30,"30-39",IF(HR_Employee_Attrition[[#This Row],[Age]]&gt;=20,"20-29",IF(HR_Employee_Attrition[[#This Row],[Age]]&gt;=18,"18-20"))))))</f>
        <v>20-29</v>
      </c>
      <c r="AK481" t="str" cm="1">
        <f t="array" ref="AK481">_xlfn.IFS(HR_Employee_Attrition[[#This Row],[YearsAtCompany]]&lt;=2,"0-2",HR_Employee_Attrition[[#This Row],[YearsAtCompany]]&lt;=5,"3-5",HR_Employee_Attrition[[#This Row],[YearsAtCompany]]&lt;=10,"6-10",HR_Employee_Attrition[[#This Row],[YearsAtCompany]]&gt;10,"10+")</f>
        <v>6-10</v>
      </c>
      <c r="AL481" t="str" cm="1">
        <f t="array" ref="AL48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81">
        <f>IF(HR_Employee_Attrition[[#This Row],[Attrition]]="Yes",1,0)</f>
        <v>1</v>
      </c>
    </row>
    <row r="482" spans="1:39"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IF(HR_Employee_Attrition[[#This Row],[Age]]&gt;60,"60+",IF(HR_Employee_Attrition[[#This Row],[Age]]&gt;=50,"50-59",IF(HR_Employee_Attrition[[#This Row],[Age]]&gt;=40,"40-49",IF(HR_Employee_Attrition[[#This Row],[Age]]&gt;=30,"30-39",IF(HR_Employee_Attrition[[#This Row],[Age]]&gt;=20,"20-29",IF(HR_Employee_Attrition[[#This Row],[Age]]&gt;=18,"18-20"))))))</f>
        <v>30-39</v>
      </c>
      <c r="AK482" t="str" cm="1">
        <f t="array" ref="AK482">_xlfn.IFS(HR_Employee_Attrition[[#This Row],[YearsAtCompany]]&lt;=2,"0-2",HR_Employee_Attrition[[#This Row],[YearsAtCompany]]&lt;=5,"3-5",HR_Employee_Attrition[[#This Row],[YearsAtCompany]]&lt;=10,"6-10",HR_Employee_Attrition[[#This Row],[YearsAtCompany]]&gt;10,"10+")</f>
        <v>0-2</v>
      </c>
      <c r="AL482" t="str" cm="1">
        <f t="array" ref="AL48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82">
        <f>IF(HR_Employee_Attrition[[#This Row],[Attrition]]="Yes",1,0)</f>
        <v>1</v>
      </c>
    </row>
    <row r="483" spans="1:39"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IF(HR_Employee_Attrition[[#This Row],[Age]]&gt;60,"60+",IF(HR_Employee_Attrition[[#This Row],[Age]]&gt;=50,"50-59",IF(HR_Employee_Attrition[[#This Row],[Age]]&gt;=40,"40-49",IF(HR_Employee_Attrition[[#This Row],[Age]]&gt;=30,"30-39",IF(HR_Employee_Attrition[[#This Row],[Age]]&gt;=20,"20-29",IF(HR_Employee_Attrition[[#This Row],[Age]]&gt;=18,"18-20"))))))</f>
        <v>30-39</v>
      </c>
      <c r="AK483" t="str" cm="1">
        <f t="array" ref="AK483">_xlfn.IFS(HR_Employee_Attrition[[#This Row],[YearsAtCompany]]&lt;=2,"0-2",HR_Employee_Attrition[[#This Row],[YearsAtCompany]]&lt;=5,"3-5",HR_Employee_Attrition[[#This Row],[YearsAtCompany]]&lt;=10,"6-10",HR_Employee_Attrition[[#This Row],[YearsAtCompany]]&gt;10,"10+")</f>
        <v>6-10</v>
      </c>
      <c r="AL483" t="str" cm="1">
        <f t="array" ref="AL48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83">
        <f>IF(HR_Employee_Attrition[[#This Row],[Attrition]]="Yes",1,0)</f>
        <v>0</v>
      </c>
    </row>
    <row r="484" spans="1:39"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IF(HR_Employee_Attrition[[#This Row],[Age]]&gt;60,"60+",IF(HR_Employee_Attrition[[#This Row],[Age]]&gt;=50,"50-59",IF(HR_Employee_Attrition[[#This Row],[Age]]&gt;=40,"40-49",IF(HR_Employee_Attrition[[#This Row],[Age]]&gt;=30,"30-39",IF(HR_Employee_Attrition[[#This Row],[Age]]&gt;=20,"20-29",IF(HR_Employee_Attrition[[#This Row],[Age]]&gt;=18,"18-20"))))))</f>
        <v>30-39</v>
      </c>
      <c r="AK484" t="str" cm="1">
        <f t="array" ref="AK484">_xlfn.IFS(HR_Employee_Attrition[[#This Row],[YearsAtCompany]]&lt;=2,"0-2",HR_Employee_Attrition[[#This Row],[YearsAtCompany]]&lt;=5,"3-5",HR_Employee_Attrition[[#This Row],[YearsAtCompany]]&lt;=10,"6-10",HR_Employee_Attrition[[#This Row],[YearsAtCompany]]&gt;10,"10+")</f>
        <v>3-5</v>
      </c>
      <c r="AL484" t="str" cm="1">
        <f t="array" ref="AL48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84">
        <f>IF(HR_Employee_Attrition[[#This Row],[Attrition]]="Yes",1,0)</f>
        <v>1</v>
      </c>
    </row>
    <row r="485" spans="1:39"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IF(HR_Employee_Attrition[[#This Row],[Age]]&gt;60,"60+",IF(HR_Employee_Attrition[[#This Row],[Age]]&gt;=50,"50-59",IF(HR_Employee_Attrition[[#This Row],[Age]]&gt;=40,"40-49",IF(HR_Employee_Attrition[[#This Row],[Age]]&gt;=30,"30-39",IF(HR_Employee_Attrition[[#This Row],[Age]]&gt;=20,"20-29",IF(HR_Employee_Attrition[[#This Row],[Age]]&gt;=18,"18-20"))))))</f>
        <v>30-39</v>
      </c>
      <c r="AK485" t="str" cm="1">
        <f t="array" ref="AK485">_xlfn.IFS(HR_Employee_Attrition[[#This Row],[YearsAtCompany]]&lt;=2,"0-2",HR_Employee_Attrition[[#This Row],[YearsAtCompany]]&lt;=5,"3-5",HR_Employee_Attrition[[#This Row],[YearsAtCompany]]&lt;=10,"6-10",HR_Employee_Attrition[[#This Row],[YearsAtCompany]]&gt;10,"10+")</f>
        <v>3-5</v>
      </c>
      <c r="AL485" t="str" cm="1">
        <f t="array" ref="AL48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85">
        <f>IF(HR_Employee_Attrition[[#This Row],[Attrition]]="Yes",1,0)</f>
        <v>0</v>
      </c>
    </row>
    <row r="486" spans="1:39"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IF(HR_Employee_Attrition[[#This Row],[Age]]&gt;60,"60+",IF(HR_Employee_Attrition[[#This Row],[Age]]&gt;=50,"50-59",IF(HR_Employee_Attrition[[#This Row],[Age]]&gt;=40,"40-49",IF(HR_Employee_Attrition[[#This Row],[Age]]&gt;=30,"30-39",IF(HR_Employee_Attrition[[#This Row],[Age]]&gt;=20,"20-29",IF(HR_Employee_Attrition[[#This Row],[Age]]&gt;=18,"18-20"))))))</f>
        <v>30-39</v>
      </c>
      <c r="AK486" t="str" cm="1">
        <f t="array" ref="AK486">_xlfn.IFS(HR_Employee_Attrition[[#This Row],[YearsAtCompany]]&lt;=2,"0-2",HR_Employee_Attrition[[#This Row],[YearsAtCompany]]&lt;=5,"3-5",HR_Employee_Attrition[[#This Row],[YearsAtCompany]]&lt;=10,"6-10",HR_Employee_Attrition[[#This Row],[YearsAtCompany]]&gt;10,"10+")</f>
        <v>6-10</v>
      </c>
      <c r="AL486" t="str" cm="1">
        <f t="array" ref="AL48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86">
        <f>IF(HR_Employee_Attrition[[#This Row],[Attrition]]="Yes",1,0)</f>
        <v>0</v>
      </c>
    </row>
    <row r="487" spans="1:39"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IF(HR_Employee_Attrition[[#This Row],[Age]]&gt;60,"60+",IF(HR_Employee_Attrition[[#This Row],[Age]]&gt;=50,"50-59",IF(HR_Employee_Attrition[[#This Row],[Age]]&gt;=40,"40-49",IF(HR_Employee_Attrition[[#This Row],[Age]]&gt;=30,"30-39",IF(HR_Employee_Attrition[[#This Row],[Age]]&gt;=20,"20-29",IF(HR_Employee_Attrition[[#This Row],[Age]]&gt;=18,"18-20"))))))</f>
        <v>20-29</v>
      </c>
      <c r="AK487" t="str" cm="1">
        <f t="array" ref="AK487">_xlfn.IFS(HR_Employee_Attrition[[#This Row],[YearsAtCompany]]&lt;=2,"0-2",HR_Employee_Attrition[[#This Row],[YearsAtCompany]]&lt;=5,"3-5",HR_Employee_Attrition[[#This Row],[YearsAtCompany]]&lt;=10,"6-10",HR_Employee_Attrition[[#This Row],[YearsAtCompany]]&gt;10,"10+")</f>
        <v>3-5</v>
      </c>
      <c r="AL487" t="str" cm="1">
        <f t="array" ref="AL48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87">
        <f>IF(HR_Employee_Attrition[[#This Row],[Attrition]]="Yes",1,0)</f>
        <v>0</v>
      </c>
    </row>
    <row r="488" spans="1:39"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IF(HR_Employee_Attrition[[#This Row],[Age]]&gt;60,"60+",IF(HR_Employee_Attrition[[#This Row],[Age]]&gt;=50,"50-59",IF(HR_Employee_Attrition[[#This Row],[Age]]&gt;=40,"40-49",IF(HR_Employee_Attrition[[#This Row],[Age]]&gt;=30,"30-39",IF(HR_Employee_Attrition[[#This Row],[Age]]&gt;=20,"20-29",IF(HR_Employee_Attrition[[#This Row],[Age]]&gt;=18,"18-20"))))))</f>
        <v>30-39</v>
      </c>
      <c r="AK488" t="str" cm="1">
        <f t="array" ref="AK488">_xlfn.IFS(HR_Employee_Attrition[[#This Row],[YearsAtCompany]]&lt;=2,"0-2",HR_Employee_Attrition[[#This Row],[YearsAtCompany]]&lt;=5,"3-5",HR_Employee_Attrition[[#This Row],[YearsAtCompany]]&lt;=10,"6-10",HR_Employee_Attrition[[#This Row],[YearsAtCompany]]&gt;10,"10+")</f>
        <v>3-5</v>
      </c>
      <c r="AL488" t="str" cm="1">
        <f t="array" ref="AL48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88">
        <f>IF(HR_Employee_Attrition[[#This Row],[Attrition]]="Yes",1,0)</f>
        <v>0</v>
      </c>
    </row>
    <row r="489" spans="1:39"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IF(HR_Employee_Attrition[[#This Row],[Age]]&gt;60,"60+",IF(HR_Employee_Attrition[[#This Row],[Age]]&gt;=50,"50-59",IF(HR_Employee_Attrition[[#This Row],[Age]]&gt;=40,"40-49",IF(HR_Employee_Attrition[[#This Row],[Age]]&gt;=30,"30-39",IF(HR_Employee_Attrition[[#This Row],[Age]]&gt;=20,"20-29",IF(HR_Employee_Attrition[[#This Row],[Age]]&gt;=18,"18-20"))))))</f>
        <v>20-29</v>
      </c>
      <c r="AK489" t="str" cm="1">
        <f t="array" ref="AK489">_xlfn.IFS(HR_Employee_Attrition[[#This Row],[YearsAtCompany]]&lt;=2,"0-2",HR_Employee_Attrition[[#This Row],[YearsAtCompany]]&lt;=5,"3-5",HR_Employee_Attrition[[#This Row],[YearsAtCompany]]&lt;=10,"6-10",HR_Employee_Attrition[[#This Row],[YearsAtCompany]]&gt;10,"10+")</f>
        <v>0-2</v>
      </c>
      <c r="AL489" t="str" cm="1">
        <f t="array" ref="AL48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89">
        <f>IF(HR_Employee_Attrition[[#This Row],[Attrition]]="Yes",1,0)</f>
        <v>0</v>
      </c>
    </row>
    <row r="490" spans="1:39"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IF(HR_Employee_Attrition[[#This Row],[Age]]&gt;60,"60+",IF(HR_Employee_Attrition[[#This Row],[Age]]&gt;=50,"50-59",IF(HR_Employee_Attrition[[#This Row],[Age]]&gt;=40,"40-49",IF(HR_Employee_Attrition[[#This Row],[Age]]&gt;=30,"30-39",IF(HR_Employee_Attrition[[#This Row],[Age]]&gt;=20,"20-29",IF(HR_Employee_Attrition[[#This Row],[Age]]&gt;=18,"18-20"))))))</f>
        <v>40-49</v>
      </c>
      <c r="AK490" t="str" cm="1">
        <f t="array" ref="AK490">_xlfn.IFS(HR_Employee_Attrition[[#This Row],[YearsAtCompany]]&lt;=2,"0-2",HR_Employee_Attrition[[#This Row],[YearsAtCompany]]&lt;=5,"3-5",HR_Employee_Attrition[[#This Row],[YearsAtCompany]]&lt;=10,"6-10",HR_Employee_Attrition[[#This Row],[YearsAtCompany]]&gt;10,"10+")</f>
        <v>6-10</v>
      </c>
      <c r="AL490" t="str" cm="1">
        <f t="array" ref="AL49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90">
        <f>IF(HR_Employee_Attrition[[#This Row],[Attrition]]="Yes",1,0)</f>
        <v>0</v>
      </c>
    </row>
    <row r="491" spans="1:39"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IF(HR_Employee_Attrition[[#This Row],[Age]]&gt;60,"60+",IF(HR_Employee_Attrition[[#This Row],[Age]]&gt;=50,"50-59",IF(HR_Employee_Attrition[[#This Row],[Age]]&gt;=40,"40-49",IF(HR_Employee_Attrition[[#This Row],[Age]]&gt;=30,"30-39",IF(HR_Employee_Attrition[[#This Row],[Age]]&gt;=20,"20-29",IF(HR_Employee_Attrition[[#This Row],[Age]]&gt;=18,"18-20"))))))</f>
        <v>40-49</v>
      </c>
      <c r="AK491" t="str" cm="1">
        <f t="array" ref="AK491">_xlfn.IFS(HR_Employee_Attrition[[#This Row],[YearsAtCompany]]&lt;=2,"0-2",HR_Employee_Attrition[[#This Row],[YearsAtCompany]]&lt;=5,"3-5",HR_Employee_Attrition[[#This Row],[YearsAtCompany]]&lt;=10,"6-10",HR_Employee_Attrition[[#This Row],[YearsAtCompany]]&gt;10,"10+")</f>
        <v>0-2</v>
      </c>
      <c r="AL491" t="str" cm="1">
        <f t="array" ref="AL49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91">
        <f>IF(HR_Employee_Attrition[[#This Row],[Attrition]]="Yes",1,0)</f>
        <v>0</v>
      </c>
    </row>
    <row r="492" spans="1:39"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IF(HR_Employee_Attrition[[#This Row],[Age]]&gt;60,"60+",IF(HR_Employee_Attrition[[#This Row],[Age]]&gt;=50,"50-59",IF(HR_Employee_Attrition[[#This Row],[Age]]&gt;=40,"40-49",IF(HR_Employee_Attrition[[#This Row],[Age]]&gt;=30,"30-39",IF(HR_Employee_Attrition[[#This Row],[Age]]&gt;=20,"20-29",IF(HR_Employee_Attrition[[#This Row],[Age]]&gt;=18,"18-20"))))))</f>
        <v>30-39</v>
      </c>
      <c r="AK492" t="str" cm="1">
        <f t="array" ref="AK492">_xlfn.IFS(HR_Employee_Attrition[[#This Row],[YearsAtCompany]]&lt;=2,"0-2",HR_Employee_Attrition[[#This Row],[YearsAtCompany]]&lt;=5,"3-5",HR_Employee_Attrition[[#This Row],[YearsAtCompany]]&lt;=10,"6-10",HR_Employee_Attrition[[#This Row],[YearsAtCompany]]&gt;10,"10+")</f>
        <v>0-2</v>
      </c>
      <c r="AL492" t="str" cm="1">
        <f t="array" ref="AL49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92">
        <f>IF(HR_Employee_Attrition[[#This Row],[Attrition]]="Yes",1,0)</f>
        <v>0</v>
      </c>
    </row>
    <row r="493" spans="1:39"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IF(HR_Employee_Attrition[[#This Row],[Age]]&gt;60,"60+",IF(HR_Employee_Attrition[[#This Row],[Age]]&gt;=50,"50-59",IF(HR_Employee_Attrition[[#This Row],[Age]]&gt;=40,"40-49",IF(HR_Employee_Attrition[[#This Row],[Age]]&gt;=30,"30-39",IF(HR_Employee_Attrition[[#This Row],[Age]]&gt;=20,"20-29",IF(HR_Employee_Attrition[[#This Row],[Age]]&gt;=18,"18-20"))))))</f>
        <v>40-49</v>
      </c>
      <c r="AK493" t="str" cm="1">
        <f t="array" ref="AK493">_xlfn.IFS(HR_Employee_Attrition[[#This Row],[YearsAtCompany]]&lt;=2,"0-2",HR_Employee_Attrition[[#This Row],[YearsAtCompany]]&lt;=5,"3-5",HR_Employee_Attrition[[#This Row],[YearsAtCompany]]&lt;=10,"6-10",HR_Employee_Attrition[[#This Row],[YearsAtCompany]]&gt;10,"10+")</f>
        <v>6-10</v>
      </c>
      <c r="AL493" t="str" cm="1">
        <f t="array" ref="AL49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93">
        <f>IF(HR_Employee_Attrition[[#This Row],[Attrition]]="Yes",1,0)</f>
        <v>0</v>
      </c>
    </row>
    <row r="494" spans="1:39"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IF(HR_Employee_Attrition[[#This Row],[Age]]&gt;60,"60+",IF(HR_Employee_Attrition[[#This Row],[Age]]&gt;=50,"50-59",IF(HR_Employee_Attrition[[#This Row],[Age]]&gt;=40,"40-49",IF(HR_Employee_Attrition[[#This Row],[Age]]&gt;=30,"30-39",IF(HR_Employee_Attrition[[#This Row],[Age]]&gt;=20,"20-29",IF(HR_Employee_Attrition[[#This Row],[Age]]&gt;=18,"18-20"))))))</f>
        <v>40-49</v>
      </c>
      <c r="AK494" t="str" cm="1">
        <f t="array" ref="AK494">_xlfn.IFS(HR_Employee_Attrition[[#This Row],[YearsAtCompany]]&lt;=2,"0-2",HR_Employee_Attrition[[#This Row],[YearsAtCompany]]&lt;=5,"3-5",HR_Employee_Attrition[[#This Row],[YearsAtCompany]]&lt;=10,"6-10",HR_Employee_Attrition[[#This Row],[YearsAtCompany]]&gt;10,"10+")</f>
        <v>3-5</v>
      </c>
      <c r="AL494" t="str" cm="1">
        <f t="array" ref="AL49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94">
        <f>IF(HR_Employee_Attrition[[#This Row],[Attrition]]="Yes",1,0)</f>
        <v>0</v>
      </c>
    </row>
    <row r="495" spans="1:39"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IF(HR_Employee_Attrition[[#This Row],[Age]]&gt;60,"60+",IF(HR_Employee_Attrition[[#This Row],[Age]]&gt;=50,"50-59",IF(HR_Employee_Attrition[[#This Row],[Age]]&gt;=40,"40-49",IF(HR_Employee_Attrition[[#This Row],[Age]]&gt;=30,"30-39",IF(HR_Employee_Attrition[[#This Row],[Age]]&gt;=20,"20-29",IF(HR_Employee_Attrition[[#This Row],[Age]]&gt;=18,"18-20"))))))</f>
        <v>40-49</v>
      </c>
      <c r="AK495" t="str" cm="1">
        <f t="array" ref="AK495">_xlfn.IFS(HR_Employee_Attrition[[#This Row],[YearsAtCompany]]&lt;=2,"0-2",HR_Employee_Attrition[[#This Row],[YearsAtCompany]]&lt;=5,"3-5",HR_Employee_Attrition[[#This Row],[YearsAtCompany]]&lt;=10,"6-10",HR_Employee_Attrition[[#This Row],[YearsAtCompany]]&gt;10,"10+")</f>
        <v>0-2</v>
      </c>
      <c r="AL495" t="str" cm="1">
        <f t="array" ref="AL49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495">
        <f>IF(HR_Employee_Attrition[[#This Row],[Attrition]]="Yes",1,0)</f>
        <v>0</v>
      </c>
    </row>
    <row r="496" spans="1:39"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IF(HR_Employee_Attrition[[#This Row],[Age]]&gt;60,"60+",IF(HR_Employee_Attrition[[#This Row],[Age]]&gt;=50,"50-59",IF(HR_Employee_Attrition[[#This Row],[Age]]&gt;=40,"40-49",IF(HR_Employee_Attrition[[#This Row],[Age]]&gt;=30,"30-39",IF(HR_Employee_Attrition[[#This Row],[Age]]&gt;=20,"20-29",IF(HR_Employee_Attrition[[#This Row],[Age]]&gt;=18,"18-20"))))))</f>
        <v>30-39</v>
      </c>
      <c r="AK496" t="str" cm="1">
        <f t="array" ref="AK496">_xlfn.IFS(HR_Employee_Attrition[[#This Row],[YearsAtCompany]]&lt;=2,"0-2",HR_Employee_Attrition[[#This Row],[YearsAtCompany]]&lt;=5,"3-5",HR_Employee_Attrition[[#This Row],[YearsAtCompany]]&lt;=10,"6-10",HR_Employee_Attrition[[#This Row],[YearsAtCompany]]&gt;10,"10+")</f>
        <v>6-10</v>
      </c>
      <c r="AL496" t="str" cm="1">
        <f t="array" ref="AL49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96">
        <f>IF(HR_Employee_Attrition[[#This Row],[Attrition]]="Yes",1,0)</f>
        <v>0</v>
      </c>
    </row>
    <row r="497" spans="1:39"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IF(HR_Employee_Attrition[[#This Row],[Age]]&gt;60,"60+",IF(HR_Employee_Attrition[[#This Row],[Age]]&gt;=50,"50-59",IF(HR_Employee_Attrition[[#This Row],[Age]]&gt;=40,"40-49",IF(HR_Employee_Attrition[[#This Row],[Age]]&gt;=30,"30-39",IF(HR_Employee_Attrition[[#This Row],[Age]]&gt;=20,"20-29",IF(HR_Employee_Attrition[[#This Row],[Age]]&gt;=18,"18-20"))))))</f>
        <v>20-29</v>
      </c>
      <c r="AK497" t="str" cm="1">
        <f t="array" ref="AK497">_xlfn.IFS(HR_Employee_Attrition[[#This Row],[YearsAtCompany]]&lt;=2,"0-2",HR_Employee_Attrition[[#This Row],[YearsAtCompany]]&lt;=5,"3-5",HR_Employee_Attrition[[#This Row],[YearsAtCompany]]&lt;=10,"6-10",HR_Employee_Attrition[[#This Row],[YearsAtCompany]]&gt;10,"10+")</f>
        <v>3-5</v>
      </c>
      <c r="AL497" t="str" cm="1">
        <f t="array" ref="AL49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97">
        <f>IF(HR_Employee_Attrition[[#This Row],[Attrition]]="Yes",1,0)</f>
        <v>1</v>
      </c>
    </row>
    <row r="498" spans="1:39"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IF(HR_Employee_Attrition[[#This Row],[Age]]&gt;60,"60+",IF(HR_Employee_Attrition[[#This Row],[Age]]&gt;=50,"50-59",IF(HR_Employee_Attrition[[#This Row],[Age]]&gt;=40,"40-49",IF(HR_Employee_Attrition[[#This Row],[Age]]&gt;=30,"30-39",IF(HR_Employee_Attrition[[#This Row],[Age]]&gt;=20,"20-29",IF(HR_Employee_Attrition[[#This Row],[Age]]&gt;=18,"18-20"))))))</f>
        <v>20-29</v>
      </c>
      <c r="AK498" t="str" cm="1">
        <f t="array" ref="AK498">_xlfn.IFS(HR_Employee_Attrition[[#This Row],[YearsAtCompany]]&lt;=2,"0-2",HR_Employee_Attrition[[#This Row],[YearsAtCompany]]&lt;=5,"3-5",HR_Employee_Attrition[[#This Row],[YearsAtCompany]]&lt;=10,"6-10",HR_Employee_Attrition[[#This Row],[YearsAtCompany]]&gt;10,"10+")</f>
        <v>3-5</v>
      </c>
      <c r="AL498" t="str" cm="1">
        <f t="array" ref="AL49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498">
        <f>IF(HR_Employee_Attrition[[#This Row],[Attrition]]="Yes",1,0)</f>
        <v>0</v>
      </c>
    </row>
    <row r="499" spans="1:39"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IF(HR_Employee_Attrition[[#This Row],[Age]]&gt;60,"60+",IF(HR_Employee_Attrition[[#This Row],[Age]]&gt;=50,"50-59",IF(HR_Employee_Attrition[[#This Row],[Age]]&gt;=40,"40-49",IF(HR_Employee_Attrition[[#This Row],[Age]]&gt;=30,"30-39",IF(HR_Employee_Attrition[[#This Row],[Age]]&gt;=20,"20-29",IF(HR_Employee_Attrition[[#This Row],[Age]]&gt;=18,"18-20"))))))</f>
        <v>40-49</v>
      </c>
      <c r="AK499" t="str" cm="1">
        <f t="array" ref="AK499">_xlfn.IFS(HR_Employee_Attrition[[#This Row],[YearsAtCompany]]&lt;=2,"0-2",HR_Employee_Attrition[[#This Row],[YearsAtCompany]]&lt;=5,"3-5",HR_Employee_Attrition[[#This Row],[YearsAtCompany]]&lt;=10,"6-10",HR_Employee_Attrition[[#This Row],[YearsAtCompany]]&gt;10,"10+")</f>
        <v>0-2</v>
      </c>
      <c r="AL499" t="str" cm="1">
        <f t="array" ref="AL49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499">
        <f>IF(HR_Employee_Attrition[[#This Row],[Attrition]]="Yes",1,0)</f>
        <v>0</v>
      </c>
    </row>
    <row r="500" spans="1:39"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IF(HR_Employee_Attrition[[#This Row],[Age]]&gt;60,"60+",IF(HR_Employee_Attrition[[#This Row],[Age]]&gt;=50,"50-59",IF(HR_Employee_Attrition[[#This Row],[Age]]&gt;=40,"40-49",IF(HR_Employee_Attrition[[#This Row],[Age]]&gt;=30,"30-39",IF(HR_Employee_Attrition[[#This Row],[Age]]&gt;=20,"20-29",IF(HR_Employee_Attrition[[#This Row],[Age]]&gt;=18,"18-20"))))))</f>
        <v>20-29</v>
      </c>
      <c r="AK500" t="str" cm="1">
        <f t="array" ref="AK500">_xlfn.IFS(HR_Employee_Attrition[[#This Row],[YearsAtCompany]]&lt;=2,"0-2",HR_Employee_Attrition[[#This Row],[YearsAtCompany]]&lt;=5,"3-5",HR_Employee_Attrition[[#This Row],[YearsAtCompany]]&lt;=10,"6-10",HR_Employee_Attrition[[#This Row],[YearsAtCompany]]&gt;10,"10+")</f>
        <v>0-2</v>
      </c>
      <c r="AL500" t="str" cm="1">
        <f t="array" ref="AL50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00">
        <f>IF(HR_Employee_Attrition[[#This Row],[Attrition]]="Yes",1,0)</f>
        <v>0</v>
      </c>
    </row>
    <row r="501" spans="1:39"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IF(HR_Employee_Attrition[[#This Row],[Age]]&gt;60,"60+",IF(HR_Employee_Attrition[[#This Row],[Age]]&gt;=50,"50-59",IF(HR_Employee_Attrition[[#This Row],[Age]]&gt;=40,"40-49",IF(HR_Employee_Attrition[[#This Row],[Age]]&gt;=30,"30-39",IF(HR_Employee_Attrition[[#This Row],[Age]]&gt;=20,"20-29",IF(HR_Employee_Attrition[[#This Row],[Age]]&gt;=18,"18-20"))))))</f>
        <v>30-39</v>
      </c>
      <c r="AK501" t="str" cm="1">
        <f t="array" ref="AK501">_xlfn.IFS(HR_Employee_Attrition[[#This Row],[YearsAtCompany]]&lt;=2,"0-2",HR_Employee_Attrition[[#This Row],[YearsAtCompany]]&lt;=5,"3-5",HR_Employee_Attrition[[#This Row],[YearsAtCompany]]&lt;=10,"6-10",HR_Employee_Attrition[[#This Row],[YearsAtCompany]]&gt;10,"10+")</f>
        <v>3-5</v>
      </c>
      <c r="AL501" t="str" cm="1">
        <f t="array" ref="AL50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01">
        <f>IF(HR_Employee_Attrition[[#This Row],[Attrition]]="Yes",1,0)</f>
        <v>0</v>
      </c>
    </row>
    <row r="502" spans="1:39"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IF(HR_Employee_Attrition[[#This Row],[Age]]&gt;60,"60+",IF(HR_Employee_Attrition[[#This Row],[Age]]&gt;=50,"50-59",IF(HR_Employee_Attrition[[#This Row],[Age]]&gt;=40,"40-49",IF(HR_Employee_Attrition[[#This Row],[Age]]&gt;=30,"30-39",IF(HR_Employee_Attrition[[#This Row],[Age]]&gt;=20,"20-29",IF(HR_Employee_Attrition[[#This Row],[Age]]&gt;=18,"18-20"))))))</f>
        <v>30-39</v>
      </c>
      <c r="AK502" t="str" cm="1">
        <f t="array" ref="AK502">_xlfn.IFS(HR_Employee_Attrition[[#This Row],[YearsAtCompany]]&lt;=2,"0-2",HR_Employee_Attrition[[#This Row],[YearsAtCompany]]&lt;=5,"3-5",HR_Employee_Attrition[[#This Row],[YearsAtCompany]]&lt;=10,"6-10",HR_Employee_Attrition[[#This Row],[YearsAtCompany]]&gt;10,"10+")</f>
        <v>6-10</v>
      </c>
      <c r="AL502" t="str" cm="1">
        <f t="array" ref="AL50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02">
        <f>IF(HR_Employee_Attrition[[#This Row],[Attrition]]="Yes",1,0)</f>
        <v>0</v>
      </c>
    </row>
    <row r="503" spans="1:39"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IF(HR_Employee_Attrition[[#This Row],[Age]]&gt;60,"60+",IF(HR_Employee_Attrition[[#This Row],[Age]]&gt;=50,"50-59",IF(HR_Employee_Attrition[[#This Row],[Age]]&gt;=40,"40-49",IF(HR_Employee_Attrition[[#This Row],[Age]]&gt;=30,"30-39",IF(HR_Employee_Attrition[[#This Row],[Age]]&gt;=20,"20-29",IF(HR_Employee_Attrition[[#This Row],[Age]]&gt;=18,"18-20"))))))</f>
        <v>30-39</v>
      </c>
      <c r="AK503" t="str" cm="1">
        <f t="array" ref="AK503">_xlfn.IFS(HR_Employee_Attrition[[#This Row],[YearsAtCompany]]&lt;=2,"0-2",HR_Employee_Attrition[[#This Row],[YearsAtCompany]]&lt;=5,"3-5",HR_Employee_Attrition[[#This Row],[YearsAtCompany]]&lt;=10,"6-10",HR_Employee_Attrition[[#This Row],[YearsAtCompany]]&gt;10,"10+")</f>
        <v>0-2</v>
      </c>
      <c r="AL503" t="str" cm="1">
        <f t="array" ref="AL50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03">
        <f>IF(HR_Employee_Attrition[[#This Row],[Attrition]]="Yes",1,0)</f>
        <v>0</v>
      </c>
    </row>
    <row r="504" spans="1:39"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IF(HR_Employee_Attrition[[#This Row],[Age]]&gt;60,"60+",IF(HR_Employee_Attrition[[#This Row],[Age]]&gt;=50,"50-59",IF(HR_Employee_Attrition[[#This Row],[Age]]&gt;=40,"40-49",IF(HR_Employee_Attrition[[#This Row],[Age]]&gt;=30,"30-39",IF(HR_Employee_Attrition[[#This Row],[Age]]&gt;=20,"20-29",IF(HR_Employee_Attrition[[#This Row],[Age]]&gt;=18,"18-20"))))))</f>
        <v>50-59</v>
      </c>
      <c r="AK504" t="str" cm="1">
        <f t="array" ref="AK504">_xlfn.IFS(HR_Employee_Attrition[[#This Row],[YearsAtCompany]]&lt;=2,"0-2",HR_Employee_Attrition[[#This Row],[YearsAtCompany]]&lt;=5,"3-5",HR_Employee_Attrition[[#This Row],[YearsAtCompany]]&lt;=10,"6-10",HR_Employee_Attrition[[#This Row],[YearsAtCompany]]&gt;10,"10+")</f>
        <v>10+</v>
      </c>
      <c r="AL504" t="str" cm="1">
        <f t="array" ref="AL50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04">
        <f>IF(HR_Employee_Attrition[[#This Row],[Attrition]]="Yes",1,0)</f>
        <v>0</v>
      </c>
    </row>
    <row r="505" spans="1:39"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IF(HR_Employee_Attrition[[#This Row],[Age]]&gt;60,"60+",IF(HR_Employee_Attrition[[#This Row],[Age]]&gt;=50,"50-59",IF(HR_Employee_Attrition[[#This Row],[Age]]&gt;=40,"40-49",IF(HR_Employee_Attrition[[#This Row],[Age]]&gt;=30,"30-39",IF(HR_Employee_Attrition[[#This Row],[Age]]&gt;=20,"20-29",IF(HR_Employee_Attrition[[#This Row],[Age]]&gt;=18,"18-20"))))))</f>
        <v>30-39</v>
      </c>
      <c r="AK505" t="str" cm="1">
        <f t="array" ref="AK505">_xlfn.IFS(HR_Employee_Attrition[[#This Row],[YearsAtCompany]]&lt;=2,"0-2",HR_Employee_Attrition[[#This Row],[YearsAtCompany]]&lt;=5,"3-5",HR_Employee_Attrition[[#This Row],[YearsAtCompany]]&lt;=10,"6-10",HR_Employee_Attrition[[#This Row],[YearsAtCompany]]&gt;10,"10+")</f>
        <v>6-10</v>
      </c>
      <c r="AL505" t="str" cm="1">
        <f t="array" ref="AL50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05">
        <f>IF(HR_Employee_Attrition[[#This Row],[Attrition]]="Yes",1,0)</f>
        <v>0</v>
      </c>
    </row>
    <row r="506" spans="1:39"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IF(HR_Employee_Attrition[[#This Row],[Age]]&gt;60,"60+",IF(HR_Employee_Attrition[[#This Row],[Age]]&gt;=50,"50-59",IF(HR_Employee_Attrition[[#This Row],[Age]]&gt;=40,"40-49",IF(HR_Employee_Attrition[[#This Row],[Age]]&gt;=30,"30-39",IF(HR_Employee_Attrition[[#This Row],[Age]]&gt;=20,"20-29",IF(HR_Employee_Attrition[[#This Row],[Age]]&gt;=18,"18-20"))))))</f>
        <v>40-49</v>
      </c>
      <c r="AK506" t="str" cm="1">
        <f t="array" ref="AK506">_xlfn.IFS(HR_Employee_Attrition[[#This Row],[YearsAtCompany]]&lt;=2,"0-2",HR_Employee_Attrition[[#This Row],[YearsAtCompany]]&lt;=5,"3-5",HR_Employee_Attrition[[#This Row],[YearsAtCompany]]&lt;=10,"6-10",HR_Employee_Attrition[[#This Row],[YearsAtCompany]]&gt;10,"10+")</f>
        <v>0-2</v>
      </c>
      <c r="AL506" t="str" cm="1">
        <f t="array" ref="AL50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06">
        <f>IF(HR_Employee_Attrition[[#This Row],[Attrition]]="Yes",1,0)</f>
        <v>1</v>
      </c>
    </row>
    <row r="507" spans="1:39"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IF(HR_Employee_Attrition[[#This Row],[Age]]&gt;60,"60+",IF(HR_Employee_Attrition[[#This Row],[Age]]&gt;=50,"50-59",IF(HR_Employee_Attrition[[#This Row],[Age]]&gt;=40,"40-49",IF(HR_Employee_Attrition[[#This Row],[Age]]&gt;=30,"30-39",IF(HR_Employee_Attrition[[#This Row],[Age]]&gt;=20,"20-29",IF(HR_Employee_Attrition[[#This Row],[Age]]&gt;=18,"18-20"))))))</f>
        <v>20-29</v>
      </c>
      <c r="AK507" t="str" cm="1">
        <f t="array" ref="AK507">_xlfn.IFS(HR_Employee_Attrition[[#This Row],[YearsAtCompany]]&lt;=2,"0-2",HR_Employee_Attrition[[#This Row],[YearsAtCompany]]&lt;=5,"3-5",HR_Employee_Attrition[[#This Row],[YearsAtCompany]]&lt;=10,"6-10",HR_Employee_Attrition[[#This Row],[YearsAtCompany]]&gt;10,"10+")</f>
        <v>3-5</v>
      </c>
      <c r="AL507" t="str" cm="1">
        <f t="array" ref="AL50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07">
        <f>IF(HR_Employee_Attrition[[#This Row],[Attrition]]="Yes",1,0)</f>
        <v>0</v>
      </c>
    </row>
    <row r="508" spans="1:39"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IF(HR_Employee_Attrition[[#This Row],[Age]]&gt;60,"60+",IF(HR_Employee_Attrition[[#This Row],[Age]]&gt;=50,"50-59",IF(HR_Employee_Attrition[[#This Row],[Age]]&gt;=40,"40-49",IF(HR_Employee_Attrition[[#This Row],[Age]]&gt;=30,"30-39",IF(HR_Employee_Attrition[[#This Row],[Age]]&gt;=20,"20-29",IF(HR_Employee_Attrition[[#This Row],[Age]]&gt;=18,"18-20"))))))</f>
        <v>30-39</v>
      </c>
      <c r="AK508" t="str" cm="1">
        <f t="array" ref="AK508">_xlfn.IFS(HR_Employee_Attrition[[#This Row],[YearsAtCompany]]&lt;=2,"0-2",HR_Employee_Attrition[[#This Row],[YearsAtCompany]]&lt;=5,"3-5",HR_Employee_Attrition[[#This Row],[YearsAtCompany]]&lt;=10,"6-10",HR_Employee_Attrition[[#This Row],[YearsAtCompany]]&gt;10,"10+")</f>
        <v>6-10</v>
      </c>
      <c r="AL508" t="str" cm="1">
        <f t="array" ref="AL50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08">
        <f>IF(HR_Employee_Attrition[[#This Row],[Attrition]]="Yes",1,0)</f>
        <v>0</v>
      </c>
    </row>
    <row r="509" spans="1:39"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IF(HR_Employee_Attrition[[#This Row],[Age]]&gt;60,"60+",IF(HR_Employee_Attrition[[#This Row],[Age]]&gt;=50,"50-59",IF(HR_Employee_Attrition[[#This Row],[Age]]&gt;=40,"40-49",IF(HR_Employee_Attrition[[#This Row],[Age]]&gt;=30,"30-39",IF(HR_Employee_Attrition[[#This Row],[Age]]&gt;=20,"20-29",IF(HR_Employee_Attrition[[#This Row],[Age]]&gt;=18,"18-20"))))))</f>
        <v>20-29</v>
      </c>
      <c r="AK509" t="str" cm="1">
        <f t="array" ref="AK509">_xlfn.IFS(HR_Employee_Attrition[[#This Row],[YearsAtCompany]]&lt;=2,"0-2",HR_Employee_Attrition[[#This Row],[YearsAtCompany]]&lt;=5,"3-5",HR_Employee_Attrition[[#This Row],[YearsAtCompany]]&lt;=10,"6-10",HR_Employee_Attrition[[#This Row],[YearsAtCompany]]&gt;10,"10+")</f>
        <v>6-10</v>
      </c>
      <c r="AL509" t="str" cm="1">
        <f t="array" ref="AL50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09">
        <f>IF(HR_Employee_Attrition[[#This Row],[Attrition]]="Yes",1,0)</f>
        <v>0</v>
      </c>
    </row>
    <row r="510" spans="1:39"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IF(HR_Employee_Attrition[[#This Row],[Age]]&gt;60,"60+",IF(HR_Employee_Attrition[[#This Row],[Age]]&gt;=50,"50-59",IF(HR_Employee_Attrition[[#This Row],[Age]]&gt;=40,"40-49",IF(HR_Employee_Attrition[[#This Row],[Age]]&gt;=30,"30-39",IF(HR_Employee_Attrition[[#This Row],[Age]]&gt;=20,"20-29",IF(HR_Employee_Attrition[[#This Row],[Age]]&gt;=18,"18-20"))))))</f>
        <v>30-39</v>
      </c>
      <c r="AK510" t="str" cm="1">
        <f t="array" ref="AK510">_xlfn.IFS(HR_Employee_Attrition[[#This Row],[YearsAtCompany]]&lt;=2,"0-2",HR_Employee_Attrition[[#This Row],[YearsAtCompany]]&lt;=5,"3-5",HR_Employee_Attrition[[#This Row],[YearsAtCompany]]&lt;=10,"6-10",HR_Employee_Attrition[[#This Row],[YearsAtCompany]]&gt;10,"10+")</f>
        <v>10+</v>
      </c>
      <c r="AL510" t="str" cm="1">
        <f t="array" ref="AL5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10">
        <f>IF(HR_Employee_Attrition[[#This Row],[Attrition]]="Yes",1,0)</f>
        <v>0</v>
      </c>
    </row>
    <row r="511" spans="1:39"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IF(HR_Employee_Attrition[[#This Row],[Age]]&gt;60,"60+",IF(HR_Employee_Attrition[[#This Row],[Age]]&gt;=50,"50-59",IF(HR_Employee_Attrition[[#This Row],[Age]]&gt;=40,"40-49",IF(HR_Employee_Attrition[[#This Row],[Age]]&gt;=30,"30-39",IF(HR_Employee_Attrition[[#This Row],[Age]]&gt;=20,"20-29",IF(HR_Employee_Attrition[[#This Row],[Age]]&gt;=18,"18-20"))))))</f>
        <v>30-39</v>
      </c>
      <c r="AK511" t="str" cm="1">
        <f t="array" ref="AK511">_xlfn.IFS(HR_Employee_Attrition[[#This Row],[YearsAtCompany]]&lt;=2,"0-2",HR_Employee_Attrition[[#This Row],[YearsAtCompany]]&lt;=5,"3-5",HR_Employee_Attrition[[#This Row],[YearsAtCompany]]&lt;=10,"6-10",HR_Employee_Attrition[[#This Row],[YearsAtCompany]]&gt;10,"10+")</f>
        <v>10+</v>
      </c>
      <c r="AL511" t="str" cm="1">
        <f t="array" ref="AL5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11">
        <f>IF(HR_Employee_Attrition[[#This Row],[Attrition]]="Yes",1,0)</f>
        <v>0</v>
      </c>
    </row>
    <row r="512" spans="1:39"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IF(HR_Employee_Attrition[[#This Row],[Age]]&gt;60,"60+",IF(HR_Employee_Attrition[[#This Row],[Age]]&gt;=50,"50-59",IF(HR_Employee_Attrition[[#This Row],[Age]]&gt;=40,"40-49",IF(HR_Employee_Attrition[[#This Row],[Age]]&gt;=30,"30-39",IF(HR_Employee_Attrition[[#This Row],[Age]]&gt;=20,"20-29",IF(HR_Employee_Attrition[[#This Row],[Age]]&gt;=18,"18-20"))))))</f>
        <v>50-59</v>
      </c>
      <c r="AK512" t="str" cm="1">
        <f t="array" ref="AK512">_xlfn.IFS(HR_Employee_Attrition[[#This Row],[YearsAtCompany]]&lt;=2,"0-2",HR_Employee_Attrition[[#This Row],[YearsAtCompany]]&lt;=5,"3-5",HR_Employee_Attrition[[#This Row],[YearsAtCompany]]&lt;=10,"6-10",HR_Employee_Attrition[[#This Row],[YearsAtCompany]]&gt;10,"10+")</f>
        <v>6-10</v>
      </c>
      <c r="AL512" t="str" cm="1">
        <f t="array" ref="AL5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512">
        <f>IF(HR_Employee_Attrition[[#This Row],[Attrition]]="Yes",1,0)</f>
        <v>0</v>
      </c>
    </row>
    <row r="513" spans="1:39"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IF(HR_Employee_Attrition[[#This Row],[Age]]&gt;60,"60+",IF(HR_Employee_Attrition[[#This Row],[Age]]&gt;=50,"50-59",IF(HR_Employee_Attrition[[#This Row],[Age]]&gt;=40,"40-49",IF(HR_Employee_Attrition[[#This Row],[Age]]&gt;=30,"30-39",IF(HR_Employee_Attrition[[#This Row],[Age]]&gt;=20,"20-29",IF(HR_Employee_Attrition[[#This Row],[Age]]&gt;=18,"18-20"))))))</f>
        <v>30-39</v>
      </c>
      <c r="AK513" t="str" cm="1">
        <f t="array" ref="AK513">_xlfn.IFS(HR_Employee_Attrition[[#This Row],[YearsAtCompany]]&lt;=2,"0-2",HR_Employee_Attrition[[#This Row],[YearsAtCompany]]&lt;=5,"3-5",HR_Employee_Attrition[[#This Row],[YearsAtCompany]]&lt;=10,"6-10",HR_Employee_Attrition[[#This Row],[YearsAtCompany]]&gt;10,"10+")</f>
        <v>3-5</v>
      </c>
      <c r="AL513" t="str" cm="1">
        <f t="array" ref="AL5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13">
        <f>IF(HR_Employee_Attrition[[#This Row],[Attrition]]="Yes",1,0)</f>
        <v>0</v>
      </c>
    </row>
    <row r="514" spans="1:39"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IF(HR_Employee_Attrition[[#This Row],[Age]]&gt;60,"60+",IF(HR_Employee_Attrition[[#This Row],[Age]]&gt;=50,"50-59",IF(HR_Employee_Attrition[[#This Row],[Age]]&gt;=40,"40-49",IF(HR_Employee_Attrition[[#This Row],[Age]]&gt;=30,"30-39",IF(HR_Employee_Attrition[[#This Row],[Age]]&gt;=20,"20-29",IF(HR_Employee_Attrition[[#This Row],[Age]]&gt;=18,"18-20"))))))</f>
        <v>20-29</v>
      </c>
      <c r="AK514" t="str" cm="1">
        <f t="array" ref="AK514">_xlfn.IFS(HR_Employee_Attrition[[#This Row],[YearsAtCompany]]&lt;=2,"0-2",HR_Employee_Attrition[[#This Row],[YearsAtCompany]]&lt;=5,"3-5",HR_Employee_Attrition[[#This Row],[YearsAtCompany]]&lt;=10,"6-10",HR_Employee_Attrition[[#This Row],[YearsAtCompany]]&gt;10,"10+")</f>
        <v>3-5</v>
      </c>
      <c r="AL514" t="str" cm="1">
        <f t="array" ref="AL5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14">
        <f>IF(HR_Employee_Attrition[[#This Row],[Attrition]]="Yes",1,0)</f>
        <v>0</v>
      </c>
    </row>
    <row r="515" spans="1:39"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IF(HR_Employee_Attrition[[#This Row],[Age]]&gt;60,"60+",IF(HR_Employee_Attrition[[#This Row],[Age]]&gt;=50,"50-59",IF(HR_Employee_Attrition[[#This Row],[Age]]&gt;=40,"40-49",IF(HR_Employee_Attrition[[#This Row],[Age]]&gt;=30,"30-39",IF(HR_Employee_Attrition[[#This Row],[Age]]&gt;=20,"20-29",IF(HR_Employee_Attrition[[#This Row],[Age]]&gt;=18,"18-20"))))))</f>
        <v>20-29</v>
      </c>
      <c r="AK515" t="str" cm="1">
        <f t="array" ref="AK515">_xlfn.IFS(HR_Employee_Attrition[[#This Row],[YearsAtCompany]]&lt;=2,"0-2",HR_Employee_Attrition[[#This Row],[YearsAtCompany]]&lt;=5,"3-5",HR_Employee_Attrition[[#This Row],[YearsAtCompany]]&lt;=10,"6-10",HR_Employee_Attrition[[#This Row],[YearsAtCompany]]&gt;10,"10+")</f>
        <v>0-2</v>
      </c>
      <c r="AL515" t="str" cm="1">
        <f t="array" ref="AL5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15">
        <f>IF(HR_Employee_Attrition[[#This Row],[Attrition]]="Yes",1,0)</f>
        <v>1</v>
      </c>
    </row>
    <row r="516" spans="1:39"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IF(HR_Employee_Attrition[[#This Row],[Age]]&gt;60,"60+",IF(HR_Employee_Attrition[[#This Row],[Age]]&gt;=50,"50-59",IF(HR_Employee_Attrition[[#This Row],[Age]]&gt;=40,"40-49",IF(HR_Employee_Attrition[[#This Row],[Age]]&gt;=30,"30-39",IF(HR_Employee_Attrition[[#This Row],[Age]]&gt;=20,"20-29",IF(HR_Employee_Attrition[[#This Row],[Age]]&gt;=18,"18-20"))))))</f>
        <v>30-39</v>
      </c>
      <c r="AK516" t="str" cm="1">
        <f t="array" ref="AK516">_xlfn.IFS(HR_Employee_Attrition[[#This Row],[YearsAtCompany]]&lt;=2,"0-2",HR_Employee_Attrition[[#This Row],[YearsAtCompany]]&lt;=5,"3-5",HR_Employee_Attrition[[#This Row],[YearsAtCompany]]&lt;=10,"6-10",HR_Employee_Attrition[[#This Row],[YearsAtCompany]]&gt;10,"10+")</f>
        <v>6-10</v>
      </c>
      <c r="AL516" t="str" cm="1">
        <f t="array" ref="AL5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16">
        <f>IF(HR_Employee_Attrition[[#This Row],[Attrition]]="Yes",1,0)</f>
        <v>1</v>
      </c>
    </row>
    <row r="517" spans="1:39"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IF(HR_Employee_Attrition[[#This Row],[Age]]&gt;60,"60+",IF(HR_Employee_Attrition[[#This Row],[Age]]&gt;=50,"50-59",IF(HR_Employee_Attrition[[#This Row],[Age]]&gt;=40,"40-49",IF(HR_Employee_Attrition[[#This Row],[Age]]&gt;=30,"30-39",IF(HR_Employee_Attrition[[#This Row],[Age]]&gt;=20,"20-29",IF(HR_Employee_Attrition[[#This Row],[Age]]&gt;=18,"18-20"))))))</f>
        <v>30-39</v>
      </c>
      <c r="AK517" t="str" cm="1">
        <f t="array" ref="AK517">_xlfn.IFS(HR_Employee_Attrition[[#This Row],[YearsAtCompany]]&lt;=2,"0-2",HR_Employee_Attrition[[#This Row],[YearsAtCompany]]&lt;=5,"3-5",HR_Employee_Attrition[[#This Row],[YearsAtCompany]]&lt;=10,"6-10",HR_Employee_Attrition[[#This Row],[YearsAtCompany]]&gt;10,"10+")</f>
        <v>0-2</v>
      </c>
      <c r="AL517" t="str" cm="1">
        <f t="array" ref="AL5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17">
        <f>IF(HR_Employee_Attrition[[#This Row],[Attrition]]="Yes",1,0)</f>
        <v>0</v>
      </c>
    </row>
    <row r="518" spans="1:39"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IF(HR_Employee_Attrition[[#This Row],[Age]]&gt;60,"60+",IF(HR_Employee_Attrition[[#This Row],[Age]]&gt;=50,"50-59",IF(HR_Employee_Attrition[[#This Row],[Age]]&gt;=40,"40-49",IF(HR_Employee_Attrition[[#This Row],[Age]]&gt;=30,"30-39",IF(HR_Employee_Attrition[[#This Row],[Age]]&gt;=20,"20-29",IF(HR_Employee_Attrition[[#This Row],[Age]]&gt;=18,"18-20"))))))</f>
        <v>20-29</v>
      </c>
      <c r="AK518" t="str" cm="1">
        <f t="array" ref="AK518">_xlfn.IFS(HR_Employee_Attrition[[#This Row],[YearsAtCompany]]&lt;=2,"0-2",HR_Employee_Attrition[[#This Row],[YearsAtCompany]]&lt;=5,"3-5",HR_Employee_Attrition[[#This Row],[YearsAtCompany]]&lt;=10,"6-10",HR_Employee_Attrition[[#This Row],[YearsAtCompany]]&gt;10,"10+")</f>
        <v>3-5</v>
      </c>
      <c r="AL518" t="str" cm="1">
        <f t="array" ref="AL5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18">
        <f>IF(HR_Employee_Attrition[[#This Row],[Attrition]]="Yes",1,0)</f>
        <v>0</v>
      </c>
    </row>
    <row r="519" spans="1:39"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IF(HR_Employee_Attrition[[#This Row],[Age]]&gt;60,"60+",IF(HR_Employee_Attrition[[#This Row],[Age]]&gt;=50,"50-59",IF(HR_Employee_Attrition[[#This Row],[Age]]&gt;=40,"40-49",IF(HR_Employee_Attrition[[#This Row],[Age]]&gt;=30,"30-39",IF(HR_Employee_Attrition[[#This Row],[Age]]&gt;=20,"20-29",IF(HR_Employee_Attrition[[#This Row],[Age]]&gt;=18,"18-20"))))))</f>
        <v>20-29</v>
      </c>
      <c r="AK519" t="str" cm="1">
        <f t="array" ref="AK519">_xlfn.IFS(HR_Employee_Attrition[[#This Row],[YearsAtCompany]]&lt;=2,"0-2",HR_Employee_Attrition[[#This Row],[YearsAtCompany]]&lt;=5,"3-5",HR_Employee_Attrition[[#This Row],[YearsAtCompany]]&lt;=10,"6-10",HR_Employee_Attrition[[#This Row],[YearsAtCompany]]&gt;10,"10+")</f>
        <v>3-5</v>
      </c>
      <c r="AL519" t="str" cm="1">
        <f t="array" ref="AL5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19">
        <f>IF(HR_Employee_Attrition[[#This Row],[Attrition]]="Yes",1,0)</f>
        <v>0</v>
      </c>
    </row>
    <row r="520" spans="1:39"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IF(HR_Employee_Attrition[[#This Row],[Age]]&gt;60,"60+",IF(HR_Employee_Attrition[[#This Row],[Age]]&gt;=50,"50-59",IF(HR_Employee_Attrition[[#This Row],[Age]]&gt;=40,"40-49",IF(HR_Employee_Attrition[[#This Row],[Age]]&gt;=30,"30-39",IF(HR_Employee_Attrition[[#This Row],[Age]]&gt;=20,"20-29",IF(HR_Employee_Attrition[[#This Row],[Age]]&gt;=18,"18-20"))))))</f>
        <v>30-39</v>
      </c>
      <c r="AK520" t="str" cm="1">
        <f t="array" ref="AK520">_xlfn.IFS(HR_Employee_Attrition[[#This Row],[YearsAtCompany]]&lt;=2,"0-2",HR_Employee_Attrition[[#This Row],[YearsAtCompany]]&lt;=5,"3-5",HR_Employee_Attrition[[#This Row],[YearsAtCompany]]&lt;=10,"6-10",HR_Employee_Attrition[[#This Row],[YearsAtCompany]]&gt;10,"10+")</f>
        <v>6-10</v>
      </c>
      <c r="AL520" t="str" cm="1">
        <f t="array" ref="AL5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20">
        <f>IF(HR_Employee_Attrition[[#This Row],[Attrition]]="Yes",1,0)</f>
        <v>0</v>
      </c>
    </row>
    <row r="521" spans="1:39"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IF(HR_Employee_Attrition[[#This Row],[Age]]&gt;60,"60+",IF(HR_Employee_Attrition[[#This Row],[Age]]&gt;=50,"50-59",IF(HR_Employee_Attrition[[#This Row],[Age]]&gt;=40,"40-49",IF(HR_Employee_Attrition[[#This Row],[Age]]&gt;=30,"30-39",IF(HR_Employee_Attrition[[#This Row],[Age]]&gt;=20,"20-29",IF(HR_Employee_Attrition[[#This Row],[Age]]&gt;=18,"18-20"))))))</f>
        <v>20-29</v>
      </c>
      <c r="AK521" t="str" cm="1">
        <f t="array" ref="AK521">_xlfn.IFS(HR_Employee_Attrition[[#This Row],[YearsAtCompany]]&lt;=2,"0-2",HR_Employee_Attrition[[#This Row],[YearsAtCompany]]&lt;=5,"3-5",HR_Employee_Attrition[[#This Row],[YearsAtCompany]]&lt;=10,"6-10",HR_Employee_Attrition[[#This Row],[YearsAtCompany]]&gt;10,"10+")</f>
        <v>6-10</v>
      </c>
      <c r="AL521" t="str" cm="1">
        <f t="array" ref="AL5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21">
        <f>IF(HR_Employee_Attrition[[#This Row],[Attrition]]="Yes",1,0)</f>
        <v>0</v>
      </c>
    </row>
    <row r="522" spans="1:39"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IF(HR_Employee_Attrition[[#This Row],[Age]]&gt;60,"60+",IF(HR_Employee_Attrition[[#This Row],[Age]]&gt;=50,"50-59",IF(HR_Employee_Attrition[[#This Row],[Age]]&gt;=40,"40-49",IF(HR_Employee_Attrition[[#This Row],[Age]]&gt;=30,"30-39",IF(HR_Employee_Attrition[[#This Row],[Age]]&gt;=20,"20-29",IF(HR_Employee_Attrition[[#This Row],[Age]]&gt;=18,"18-20"))))))</f>
        <v>40-49</v>
      </c>
      <c r="AK522" t="str" cm="1">
        <f t="array" ref="AK522">_xlfn.IFS(HR_Employee_Attrition[[#This Row],[YearsAtCompany]]&lt;=2,"0-2",HR_Employee_Attrition[[#This Row],[YearsAtCompany]]&lt;=5,"3-5",HR_Employee_Attrition[[#This Row],[YearsAtCompany]]&lt;=10,"6-10",HR_Employee_Attrition[[#This Row],[YearsAtCompany]]&gt;10,"10+")</f>
        <v>0-2</v>
      </c>
      <c r="AL522" t="str" cm="1">
        <f t="array" ref="AL5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22">
        <f>IF(HR_Employee_Attrition[[#This Row],[Attrition]]="Yes",1,0)</f>
        <v>0</v>
      </c>
    </row>
    <row r="523" spans="1:39"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IF(HR_Employee_Attrition[[#This Row],[Age]]&gt;60,"60+",IF(HR_Employee_Attrition[[#This Row],[Age]]&gt;=50,"50-59",IF(HR_Employee_Attrition[[#This Row],[Age]]&gt;=40,"40-49",IF(HR_Employee_Attrition[[#This Row],[Age]]&gt;=30,"30-39",IF(HR_Employee_Attrition[[#This Row],[Age]]&gt;=20,"20-29",IF(HR_Employee_Attrition[[#This Row],[Age]]&gt;=18,"18-20"))))))</f>
        <v>20-29</v>
      </c>
      <c r="AK523" t="str" cm="1">
        <f t="array" ref="AK523">_xlfn.IFS(HR_Employee_Attrition[[#This Row],[YearsAtCompany]]&lt;=2,"0-2",HR_Employee_Attrition[[#This Row],[YearsAtCompany]]&lt;=5,"3-5",HR_Employee_Attrition[[#This Row],[YearsAtCompany]]&lt;=10,"6-10",HR_Employee_Attrition[[#This Row],[YearsAtCompany]]&gt;10,"10+")</f>
        <v>6-10</v>
      </c>
      <c r="AL523" t="str" cm="1">
        <f t="array" ref="AL5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23">
        <f>IF(HR_Employee_Attrition[[#This Row],[Attrition]]="Yes",1,0)</f>
        <v>0</v>
      </c>
    </row>
    <row r="524" spans="1:39"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IF(HR_Employee_Attrition[[#This Row],[Age]]&gt;60,"60+",IF(HR_Employee_Attrition[[#This Row],[Age]]&gt;=50,"50-59",IF(HR_Employee_Attrition[[#This Row],[Age]]&gt;=40,"40-49",IF(HR_Employee_Attrition[[#This Row],[Age]]&gt;=30,"30-39",IF(HR_Employee_Attrition[[#This Row],[Age]]&gt;=20,"20-29",IF(HR_Employee_Attrition[[#This Row],[Age]]&gt;=18,"18-20"))))))</f>
        <v>30-39</v>
      </c>
      <c r="AK524" t="str" cm="1">
        <f t="array" ref="AK524">_xlfn.IFS(HR_Employee_Attrition[[#This Row],[YearsAtCompany]]&lt;=2,"0-2",HR_Employee_Attrition[[#This Row],[YearsAtCompany]]&lt;=5,"3-5",HR_Employee_Attrition[[#This Row],[YearsAtCompany]]&lt;=10,"6-10",HR_Employee_Attrition[[#This Row],[YearsAtCompany]]&gt;10,"10+")</f>
        <v>0-2</v>
      </c>
      <c r="AL524" t="str" cm="1">
        <f t="array" ref="AL5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24">
        <f>IF(HR_Employee_Attrition[[#This Row],[Attrition]]="Yes",1,0)</f>
        <v>0</v>
      </c>
    </row>
    <row r="525" spans="1:39"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IF(HR_Employee_Attrition[[#This Row],[Age]]&gt;60,"60+",IF(HR_Employee_Attrition[[#This Row],[Age]]&gt;=50,"50-59",IF(HR_Employee_Attrition[[#This Row],[Age]]&gt;=40,"40-49",IF(HR_Employee_Attrition[[#This Row],[Age]]&gt;=30,"30-39",IF(HR_Employee_Attrition[[#This Row],[Age]]&gt;=20,"20-29",IF(HR_Employee_Attrition[[#This Row],[Age]]&gt;=18,"18-20"))))))</f>
        <v>50-59</v>
      </c>
      <c r="AK525" t="str" cm="1">
        <f t="array" ref="AK525">_xlfn.IFS(HR_Employee_Attrition[[#This Row],[YearsAtCompany]]&lt;=2,"0-2",HR_Employee_Attrition[[#This Row],[YearsAtCompany]]&lt;=5,"3-5",HR_Employee_Attrition[[#This Row],[YearsAtCompany]]&lt;=10,"6-10",HR_Employee_Attrition[[#This Row],[YearsAtCompany]]&gt;10,"10+")</f>
        <v>10+</v>
      </c>
      <c r="AL525" t="str" cm="1">
        <f t="array" ref="AL5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25">
        <f>IF(HR_Employee_Attrition[[#This Row],[Attrition]]="Yes",1,0)</f>
        <v>0</v>
      </c>
    </row>
    <row r="526" spans="1:39"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IF(HR_Employee_Attrition[[#This Row],[Age]]&gt;60,"60+",IF(HR_Employee_Attrition[[#This Row],[Age]]&gt;=50,"50-59",IF(HR_Employee_Attrition[[#This Row],[Age]]&gt;=40,"40-49",IF(HR_Employee_Attrition[[#This Row],[Age]]&gt;=30,"30-39",IF(HR_Employee_Attrition[[#This Row],[Age]]&gt;=20,"20-29",IF(HR_Employee_Attrition[[#This Row],[Age]]&gt;=18,"18-20"))))))</f>
        <v>30-39</v>
      </c>
      <c r="AK526" t="str" cm="1">
        <f t="array" ref="AK526">_xlfn.IFS(HR_Employee_Attrition[[#This Row],[YearsAtCompany]]&lt;=2,"0-2",HR_Employee_Attrition[[#This Row],[YearsAtCompany]]&lt;=5,"3-5",HR_Employee_Attrition[[#This Row],[YearsAtCompany]]&lt;=10,"6-10",HR_Employee_Attrition[[#This Row],[YearsAtCompany]]&gt;10,"10+")</f>
        <v>6-10</v>
      </c>
      <c r="AL526" t="str" cm="1">
        <f t="array" ref="AL5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26">
        <f>IF(HR_Employee_Attrition[[#This Row],[Attrition]]="Yes",1,0)</f>
        <v>0</v>
      </c>
    </row>
    <row r="527" spans="1:39"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IF(HR_Employee_Attrition[[#This Row],[Age]]&gt;60,"60+",IF(HR_Employee_Attrition[[#This Row],[Age]]&gt;=50,"50-59",IF(HR_Employee_Attrition[[#This Row],[Age]]&gt;=40,"40-49",IF(HR_Employee_Attrition[[#This Row],[Age]]&gt;=30,"30-39",IF(HR_Employee_Attrition[[#This Row],[Age]]&gt;=20,"20-29",IF(HR_Employee_Attrition[[#This Row],[Age]]&gt;=18,"18-20"))))))</f>
        <v>20-29</v>
      </c>
      <c r="AK527" t="str" cm="1">
        <f t="array" ref="AK527">_xlfn.IFS(HR_Employee_Attrition[[#This Row],[YearsAtCompany]]&lt;=2,"0-2",HR_Employee_Attrition[[#This Row],[YearsAtCompany]]&lt;=5,"3-5",HR_Employee_Attrition[[#This Row],[YearsAtCompany]]&lt;=10,"6-10",HR_Employee_Attrition[[#This Row],[YearsAtCompany]]&gt;10,"10+")</f>
        <v>0-2</v>
      </c>
      <c r="AL527" t="str" cm="1">
        <f t="array" ref="AL5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27">
        <f>IF(HR_Employee_Attrition[[#This Row],[Attrition]]="Yes",1,0)</f>
        <v>1</v>
      </c>
    </row>
    <row r="528" spans="1:39"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IF(HR_Employee_Attrition[[#This Row],[Age]]&gt;60,"60+",IF(HR_Employee_Attrition[[#This Row],[Age]]&gt;=50,"50-59",IF(HR_Employee_Attrition[[#This Row],[Age]]&gt;=40,"40-49",IF(HR_Employee_Attrition[[#This Row],[Age]]&gt;=30,"30-39",IF(HR_Employee_Attrition[[#This Row],[Age]]&gt;=20,"20-29",IF(HR_Employee_Attrition[[#This Row],[Age]]&gt;=18,"18-20"))))))</f>
        <v>30-39</v>
      </c>
      <c r="AK528" t="str" cm="1">
        <f t="array" ref="AK528">_xlfn.IFS(HR_Employee_Attrition[[#This Row],[YearsAtCompany]]&lt;=2,"0-2",HR_Employee_Attrition[[#This Row],[YearsAtCompany]]&lt;=5,"3-5",HR_Employee_Attrition[[#This Row],[YearsAtCompany]]&lt;=10,"6-10",HR_Employee_Attrition[[#This Row],[YearsAtCompany]]&gt;10,"10+")</f>
        <v>10+</v>
      </c>
      <c r="AL528" t="str" cm="1">
        <f t="array" ref="AL5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28">
        <f>IF(HR_Employee_Attrition[[#This Row],[Attrition]]="Yes",1,0)</f>
        <v>0</v>
      </c>
    </row>
    <row r="529" spans="1:39"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IF(HR_Employee_Attrition[[#This Row],[Age]]&gt;60,"60+",IF(HR_Employee_Attrition[[#This Row],[Age]]&gt;=50,"50-59",IF(HR_Employee_Attrition[[#This Row],[Age]]&gt;=40,"40-49",IF(HR_Employee_Attrition[[#This Row],[Age]]&gt;=30,"30-39",IF(HR_Employee_Attrition[[#This Row],[Age]]&gt;=20,"20-29",IF(HR_Employee_Attrition[[#This Row],[Age]]&gt;=18,"18-20"))))))</f>
        <v>30-39</v>
      </c>
      <c r="AK529" t="str" cm="1">
        <f t="array" ref="AK529">_xlfn.IFS(HR_Employee_Attrition[[#This Row],[YearsAtCompany]]&lt;=2,"0-2",HR_Employee_Attrition[[#This Row],[YearsAtCompany]]&lt;=5,"3-5",HR_Employee_Attrition[[#This Row],[YearsAtCompany]]&lt;=10,"6-10",HR_Employee_Attrition[[#This Row],[YearsAtCompany]]&gt;10,"10+")</f>
        <v>6-10</v>
      </c>
      <c r="AL529" t="str" cm="1">
        <f t="array" ref="AL5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29">
        <f>IF(HR_Employee_Attrition[[#This Row],[Attrition]]="Yes",1,0)</f>
        <v>0</v>
      </c>
    </row>
    <row r="530" spans="1:39"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IF(HR_Employee_Attrition[[#This Row],[Age]]&gt;60,"60+",IF(HR_Employee_Attrition[[#This Row],[Age]]&gt;=50,"50-59",IF(HR_Employee_Attrition[[#This Row],[Age]]&gt;=40,"40-49",IF(HR_Employee_Attrition[[#This Row],[Age]]&gt;=30,"30-39",IF(HR_Employee_Attrition[[#This Row],[Age]]&gt;=20,"20-29",IF(HR_Employee_Attrition[[#This Row],[Age]]&gt;=18,"18-20"))))))</f>
        <v>50-59</v>
      </c>
      <c r="AK530" t="str" cm="1">
        <f t="array" ref="AK530">_xlfn.IFS(HR_Employee_Attrition[[#This Row],[YearsAtCompany]]&lt;=2,"0-2",HR_Employee_Attrition[[#This Row],[YearsAtCompany]]&lt;=5,"3-5",HR_Employee_Attrition[[#This Row],[YearsAtCompany]]&lt;=10,"6-10",HR_Employee_Attrition[[#This Row],[YearsAtCompany]]&gt;10,"10+")</f>
        <v>3-5</v>
      </c>
      <c r="AL530" t="str" cm="1">
        <f t="array" ref="AL5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30">
        <f>IF(HR_Employee_Attrition[[#This Row],[Attrition]]="Yes",1,0)</f>
        <v>1</v>
      </c>
    </row>
    <row r="531" spans="1:39"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IF(HR_Employee_Attrition[[#This Row],[Age]]&gt;60,"60+",IF(HR_Employee_Attrition[[#This Row],[Age]]&gt;=50,"50-59",IF(HR_Employee_Attrition[[#This Row],[Age]]&gt;=40,"40-49",IF(HR_Employee_Attrition[[#This Row],[Age]]&gt;=30,"30-39",IF(HR_Employee_Attrition[[#This Row],[Age]]&gt;=20,"20-29",IF(HR_Employee_Attrition[[#This Row],[Age]]&gt;=18,"18-20"))))))</f>
        <v>30-39</v>
      </c>
      <c r="AK531" t="str" cm="1">
        <f t="array" ref="AK531">_xlfn.IFS(HR_Employee_Attrition[[#This Row],[YearsAtCompany]]&lt;=2,"0-2",HR_Employee_Attrition[[#This Row],[YearsAtCompany]]&lt;=5,"3-5",HR_Employee_Attrition[[#This Row],[YearsAtCompany]]&lt;=10,"6-10",HR_Employee_Attrition[[#This Row],[YearsAtCompany]]&gt;10,"10+")</f>
        <v>6-10</v>
      </c>
      <c r="AL531" t="str" cm="1">
        <f t="array" ref="AL5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31">
        <f>IF(HR_Employee_Attrition[[#This Row],[Attrition]]="Yes",1,0)</f>
        <v>0</v>
      </c>
    </row>
    <row r="532" spans="1:39"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IF(HR_Employee_Attrition[[#This Row],[Age]]&gt;60,"60+",IF(HR_Employee_Attrition[[#This Row],[Age]]&gt;=50,"50-59",IF(HR_Employee_Attrition[[#This Row],[Age]]&gt;=40,"40-49",IF(HR_Employee_Attrition[[#This Row],[Age]]&gt;=30,"30-39",IF(HR_Employee_Attrition[[#This Row],[Age]]&gt;=20,"20-29",IF(HR_Employee_Attrition[[#This Row],[Age]]&gt;=18,"18-20"))))))</f>
        <v>20-29</v>
      </c>
      <c r="AK532" t="str" cm="1">
        <f t="array" ref="AK532">_xlfn.IFS(HR_Employee_Attrition[[#This Row],[YearsAtCompany]]&lt;=2,"0-2",HR_Employee_Attrition[[#This Row],[YearsAtCompany]]&lt;=5,"3-5",HR_Employee_Attrition[[#This Row],[YearsAtCompany]]&lt;=10,"6-10",HR_Employee_Attrition[[#This Row],[YearsAtCompany]]&gt;10,"10+")</f>
        <v>6-10</v>
      </c>
      <c r="AL532" t="str" cm="1">
        <f t="array" ref="AL5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32">
        <f>IF(HR_Employee_Attrition[[#This Row],[Attrition]]="Yes",1,0)</f>
        <v>0</v>
      </c>
    </row>
    <row r="533" spans="1:39"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IF(HR_Employee_Attrition[[#This Row],[Age]]&gt;60,"60+",IF(HR_Employee_Attrition[[#This Row],[Age]]&gt;=50,"50-59",IF(HR_Employee_Attrition[[#This Row],[Age]]&gt;=40,"40-49",IF(HR_Employee_Attrition[[#This Row],[Age]]&gt;=30,"30-39",IF(HR_Employee_Attrition[[#This Row],[Age]]&gt;=20,"20-29",IF(HR_Employee_Attrition[[#This Row],[Age]]&gt;=18,"18-20"))))))</f>
        <v>30-39</v>
      </c>
      <c r="AK533" t="str" cm="1">
        <f t="array" ref="AK533">_xlfn.IFS(HR_Employee_Attrition[[#This Row],[YearsAtCompany]]&lt;=2,"0-2",HR_Employee_Attrition[[#This Row],[YearsAtCompany]]&lt;=5,"3-5",HR_Employee_Attrition[[#This Row],[YearsAtCompany]]&lt;=10,"6-10",HR_Employee_Attrition[[#This Row],[YearsAtCompany]]&gt;10,"10+")</f>
        <v>6-10</v>
      </c>
      <c r="AL533" t="str" cm="1">
        <f t="array" ref="AL5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533">
        <f>IF(HR_Employee_Attrition[[#This Row],[Attrition]]="Yes",1,0)</f>
        <v>0</v>
      </c>
    </row>
    <row r="534" spans="1:39"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IF(HR_Employee_Attrition[[#This Row],[Age]]&gt;60,"60+",IF(HR_Employee_Attrition[[#This Row],[Age]]&gt;=50,"50-59",IF(HR_Employee_Attrition[[#This Row],[Age]]&gt;=40,"40-49",IF(HR_Employee_Attrition[[#This Row],[Age]]&gt;=30,"30-39",IF(HR_Employee_Attrition[[#This Row],[Age]]&gt;=20,"20-29",IF(HR_Employee_Attrition[[#This Row],[Age]]&gt;=18,"18-20"))))))</f>
        <v>40-49</v>
      </c>
      <c r="AK534" t="str" cm="1">
        <f t="array" ref="AK534">_xlfn.IFS(HR_Employee_Attrition[[#This Row],[YearsAtCompany]]&lt;=2,"0-2",HR_Employee_Attrition[[#This Row],[YearsAtCompany]]&lt;=5,"3-5",HR_Employee_Attrition[[#This Row],[YearsAtCompany]]&lt;=10,"6-10",HR_Employee_Attrition[[#This Row],[YearsAtCompany]]&gt;10,"10+")</f>
        <v>6-10</v>
      </c>
      <c r="AL534" t="str" cm="1">
        <f t="array" ref="AL5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34">
        <f>IF(HR_Employee_Attrition[[#This Row],[Attrition]]="Yes",1,0)</f>
        <v>0</v>
      </c>
    </row>
    <row r="535" spans="1:39"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IF(HR_Employee_Attrition[[#This Row],[Age]]&gt;60,"60+",IF(HR_Employee_Attrition[[#This Row],[Age]]&gt;=50,"50-59",IF(HR_Employee_Attrition[[#This Row],[Age]]&gt;=40,"40-49",IF(HR_Employee_Attrition[[#This Row],[Age]]&gt;=30,"30-39",IF(HR_Employee_Attrition[[#This Row],[Age]]&gt;=20,"20-29",IF(HR_Employee_Attrition[[#This Row],[Age]]&gt;=18,"18-20"))))))</f>
        <v>40-49</v>
      </c>
      <c r="AK535" t="str" cm="1">
        <f t="array" ref="AK535">_xlfn.IFS(HR_Employee_Attrition[[#This Row],[YearsAtCompany]]&lt;=2,"0-2",HR_Employee_Attrition[[#This Row],[YearsAtCompany]]&lt;=5,"3-5",HR_Employee_Attrition[[#This Row],[YearsAtCompany]]&lt;=10,"6-10",HR_Employee_Attrition[[#This Row],[YearsAtCompany]]&gt;10,"10+")</f>
        <v>10+</v>
      </c>
      <c r="AL535" t="str" cm="1">
        <f t="array" ref="AL5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535">
        <f>IF(HR_Employee_Attrition[[#This Row],[Attrition]]="Yes",1,0)</f>
        <v>0</v>
      </c>
    </row>
    <row r="536" spans="1:39"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IF(HR_Employee_Attrition[[#This Row],[Age]]&gt;60,"60+",IF(HR_Employee_Attrition[[#This Row],[Age]]&gt;=50,"50-59",IF(HR_Employee_Attrition[[#This Row],[Age]]&gt;=40,"40-49",IF(HR_Employee_Attrition[[#This Row],[Age]]&gt;=30,"30-39",IF(HR_Employee_Attrition[[#This Row],[Age]]&gt;=20,"20-29",IF(HR_Employee_Attrition[[#This Row],[Age]]&gt;=18,"18-20"))))))</f>
        <v>50-59</v>
      </c>
      <c r="AK536" t="str" cm="1">
        <f t="array" ref="AK536">_xlfn.IFS(HR_Employee_Attrition[[#This Row],[YearsAtCompany]]&lt;=2,"0-2",HR_Employee_Attrition[[#This Row],[YearsAtCompany]]&lt;=5,"3-5",HR_Employee_Attrition[[#This Row],[YearsAtCompany]]&lt;=10,"6-10",HR_Employee_Attrition[[#This Row],[YearsAtCompany]]&gt;10,"10+")</f>
        <v>3-5</v>
      </c>
      <c r="AL536" t="str" cm="1">
        <f t="array" ref="AL5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536">
        <f>IF(HR_Employee_Attrition[[#This Row],[Attrition]]="Yes",1,0)</f>
        <v>0</v>
      </c>
    </row>
    <row r="537" spans="1:39"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IF(HR_Employee_Attrition[[#This Row],[Age]]&gt;60,"60+",IF(HR_Employee_Attrition[[#This Row],[Age]]&gt;=50,"50-59",IF(HR_Employee_Attrition[[#This Row],[Age]]&gt;=40,"40-49",IF(HR_Employee_Attrition[[#This Row],[Age]]&gt;=30,"30-39",IF(HR_Employee_Attrition[[#This Row],[Age]]&gt;=20,"20-29",IF(HR_Employee_Attrition[[#This Row],[Age]]&gt;=18,"18-20"))))))</f>
        <v>40-49</v>
      </c>
      <c r="AK537" t="str" cm="1">
        <f t="array" ref="AK537">_xlfn.IFS(HR_Employee_Attrition[[#This Row],[YearsAtCompany]]&lt;=2,"0-2",HR_Employee_Attrition[[#This Row],[YearsAtCompany]]&lt;=5,"3-5",HR_Employee_Attrition[[#This Row],[YearsAtCompany]]&lt;=10,"6-10",HR_Employee_Attrition[[#This Row],[YearsAtCompany]]&gt;10,"10+")</f>
        <v>10+</v>
      </c>
      <c r="AL537" t="str" cm="1">
        <f t="array" ref="AL5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537">
        <f>IF(HR_Employee_Attrition[[#This Row],[Attrition]]="Yes",1,0)</f>
        <v>0</v>
      </c>
    </row>
    <row r="538" spans="1:39"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IF(HR_Employee_Attrition[[#This Row],[Age]]&gt;60,"60+",IF(HR_Employee_Attrition[[#This Row],[Age]]&gt;=50,"50-59",IF(HR_Employee_Attrition[[#This Row],[Age]]&gt;=40,"40-49",IF(HR_Employee_Attrition[[#This Row],[Age]]&gt;=30,"30-39",IF(HR_Employee_Attrition[[#This Row],[Age]]&gt;=20,"20-29",IF(HR_Employee_Attrition[[#This Row],[Age]]&gt;=18,"18-20"))))))</f>
        <v>50-59</v>
      </c>
      <c r="AK538" t="str" cm="1">
        <f t="array" ref="AK538">_xlfn.IFS(HR_Employee_Attrition[[#This Row],[YearsAtCompany]]&lt;=2,"0-2",HR_Employee_Attrition[[#This Row],[YearsAtCompany]]&lt;=5,"3-5",HR_Employee_Attrition[[#This Row],[YearsAtCompany]]&lt;=10,"6-10",HR_Employee_Attrition[[#This Row],[YearsAtCompany]]&gt;10,"10+")</f>
        <v>0-2</v>
      </c>
      <c r="AL538" t="str" cm="1">
        <f t="array" ref="AL5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38">
        <f>IF(HR_Employee_Attrition[[#This Row],[Attrition]]="Yes",1,0)</f>
        <v>0</v>
      </c>
    </row>
    <row r="539" spans="1:39"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IF(HR_Employee_Attrition[[#This Row],[Age]]&gt;60,"60+",IF(HR_Employee_Attrition[[#This Row],[Age]]&gt;=50,"50-59",IF(HR_Employee_Attrition[[#This Row],[Age]]&gt;=40,"40-49",IF(HR_Employee_Attrition[[#This Row],[Age]]&gt;=30,"30-39",IF(HR_Employee_Attrition[[#This Row],[Age]]&gt;=20,"20-29",IF(HR_Employee_Attrition[[#This Row],[Age]]&gt;=18,"18-20"))))))</f>
        <v>20-29</v>
      </c>
      <c r="AK539" t="str" cm="1">
        <f t="array" ref="AK539">_xlfn.IFS(HR_Employee_Attrition[[#This Row],[YearsAtCompany]]&lt;=2,"0-2",HR_Employee_Attrition[[#This Row],[YearsAtCompany]]&lt;=5,"3-5",HR_Employee_Attrition[[#This Row],[YearsAtCompany]]&lt;=10,"6-10",HR_Employee_Attrition[[#This Row],[YearsAtCompany]]&gt;10,"10+")</f>
        <v>6-10</v>
      </c>
      <c r="AL539" t="str" cm="1">
        <f t="array" ref="AL5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39">
        <f>IF(HR_Employee_Attrition[[#This Row],[Attrition]]="Yes",1,0)</f>
        <v>0</v>
      </c>
    </row>
    <row r="540" spans="1:39"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IF(HR_Employee_Attrition[[#This Row],[Age]]&gt;60,"60+",IF(HR_Employee_Attrition[[#This Row],[Age]]&gt;=50,"50-59",IF(HR_Employee_Attrition[[#This Row],[Age]]&gt;=40,"40-49",IF(HR_Employee_Attrition[[#This Row],[Age]]&gt;=30,"30-39",IF(HR_Employee_Attrition[[#This Row],[Age]]&gt;=20,"20-29",IF(HR_Employee_Attrition[[#This Row],[Age]]&gt;=18,"18-20"))))))</f>
        <v>40-49</v>
      </c>
      <c r="AK540" t="str" cm="1">
        <f t="array" ref="AK540">_xlfn.IFS(HR_Employee_Attrition[[#This Row],[YearsAtCompany]]&lt;=2,"0-2",HR_Employee_Attrition[[#This Row],[YearsAtCompany]]&lt;=5,"3-5",HR_Employee_Attrition[[#This Row],[YearsAtCompany]]&lt;=10,"6-10",HR_Employee_Attrition[[#This Row],[YearsAtCompany]]&gt;10,"10+")</f>
        <v>10+</v>
      </c>
      <c r="AL540" t="str" cm="1">
        <f t="array" ref="AL5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540">
        <f>IF(HR_Employee_Attrition[[#This Row],[Attrition]]="Yes",1,0)</f>
        <v>0</v>
      </c>
    </row>
    <row r="541" spans="1:39"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IF(HR_Employee_Attrition[[#This Row],[Age]]&gt;60,"60+",IF(HR_Employee_Attrition[[#This Row],[Age]]&gt;=50,"50-59",IF(HR_Employee_Attrition[[#This Row],[Age]]&gt;=40,"40-49",IF(HR_Employee_Attrition[[#This Row],[Age]]&gt;=30,"30-39",IF(HR_Employee_Attrition[[#This Row],[Age]]&gt;=20,"20-29",IF(HR_Employee_Attrition[[#This Row],[Age]]&gt;=18,"18-20"))))))</f>
        <v>50-59</v>
      </c>
      <c r="AK541" t="str" cm="1">
        <f t="array" ref="AK541">_xlfn.IFS(HR_Employee_Attrition[[#This Row],[YearsAtCompany]]&lt;=2,"0-2",HR_Employee_Attrition[[#This Row],[YearsAtCompany]]&lt;=5,"3-5",HR_Employee_Attrition[[#This Row],[YearsAtCompany]]&lt;=10,"6-10",HR_Employee_Attrition[[#This Row],[YearsAtCompany]]&gt;10,"10+")</f>
        <v>0-2</v>
      </c>
      <c r="AL541" t="str" cm="1">
        <f t="array" ref="AL5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41">
        <f>IF(HR_Employee_Attrition[[#This Row],[Attrition]]="Yes",1,0)</f>
        <v>0</v>
      </c>
    </row>
    <row r="542" spans="1:39"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IF(HR_Employee_Attrition[[#This Row],[Age]]&gt;60,"60+",IF(HR_Employee_Attrition[[#This Row],[Age]]&gt;=50,"50-59",IF(HR_Employee_Attrition[[#This Row],[Age]]&gt;=40,"40-49",IF(HR_Employee_Attrition[[#This Row],[Age]]&gt;=30,"30-39",IF(HR_Employee_Attrition[[#This Row],[Age]]&gt;=20,"20-29",IF(HR_Employee_Attrition[[#This Row],[Age]]&gt;=18,"18-20"))))))</f>
        <v>20-29</v>
      </c>
      <c r="AK542" t="str" cm="1">
        <f t="array" ref="AK542">_xlfn.IFS(HR_Employee_Attrition[[#This Row],[YearsAtCompany]]&lt;=2,"0-2",HR_Employee_Attrition[[#This Row],[YearsAtCompany]]&lt;=5,"3-5",HR_Employee_Attrition[[#This Row],[YearsAtCompany]]&lt;=10,"6-10",HR_Employee_Attrition[[#This Row],[YearsAtCompany]]&gt;10,"10+")</f>
        <v>6-10</v>
      </c>
      <c r="AL542" t="str" cm="1">
        <f t="array" ref="AL5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42">
        <f>IF(HR_Employee_Attrition[[#This Row],[Attrition]]="Yes",1,0)</f>
        <v>1</v>
      </c>
    </row>
    <row r="543" spans="1:39"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IF(HR_Employee_Attrition[[#This Row],[Age]]&gt;60,"60+",IF(HR_Employee_Attrition[[#This Row],[Age]]&gt;=50,"50-59",IF(HR_Employee_Attrition[[#This Row],[Age]]&gt;=40,"40-49",IF(HR_Employee_Attrition[[#This Row],[Age]]&gt;=30,"30-39",IF(HR_Employee_Attrition[[#This Row],[Age]]&gt;=20,"20-29",IF(HR_Employee_Attrition[[#This Row],[Age]]&gt;=18,"18-20"))))))</f>
        <v>30-39</v>
      </c>
      <c r="AK543" t="str" cm="1">
        <f t="array" ref="AK543">_xlfn.IFS(HR_Employee_Attrition[[#This Row],[YearsAtCompany]]&lt;=2,"0-2",HR_Employee_Attrition[[#This Row],[YearsAtCompany]]&lt;=5,"3-5",HR_Employee_Attrition[[#This Row],[YearsAtCompany]]&lt;=10,"6-10",HR_Employee_Attrition[[#This Row],[YearsAtCompany]]&gt;10,"10+")</f>
        <v>6-10</v>
      </c>
      <c r="AL543" t="str" cm="1">
        <f t="array" ref="AL5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543">
        <f>IF(HR_Employee_Attrition[[#This Row],[Attrition]]="Yes",1,0)</f>
        <v>0</v>
      </c>
    </row>
    <row r="544" spans="1:39"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IF(HR_Employee_Attrition[[#This Row],[Age]]&gt;60,"60+",IF(HR_Employee_Attrition[[#This Row],[Age]]&gt;=50,"50-59",IF(HR_Employee_Attrition[[#This Row],[Age]]&gt;=40,"40-49",IF(HR_Employee_Attrition[[#This Row],[Age]]&gt;=30,"30-39",IF(HR_Employee_Attrition[[#This Row],[Age]]&gt;=20,"20-29",IF(HR_Employee_Attrition[[#This Row],[Age]]&gt;=18,"18-20"))))))</f>
        <v>30-39</v>
      </c>
      <c r="AK544" t="str" cm="1">
        <f t="array" ref="AK544">_xlfn.IFS(HR_Employee_Attrition[[#This Row],[YearsAtCompany]]&lt;=2,"0-2",HR_Employee_Attrition[[#This Row],[YearsAtCompany]]&lt;=5,"3-5",HR_Employee_Attrition[[#This Row],[YearsAtCompany]]&lt;=10,"6-10",HR_Employee_Attrition[[#This Row],[YearsAtCompany]]&gt;10,"10+")</f>
        <v>0-2</v>
      </c>
      <c r="AL544" t="str" cm="1">
        <f t="array" ref="AL5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44">
        <f>IF(HR_Employee_Attrition[[#This Row],[Attrition]]="Yes",1,0)</f>
        <v>0</v>
      </c>
    </row>
    <row r="545" spans="1:39"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IF(HR_Employee_Attrition[[#This Row],[Age]]&gt;60,"60+",IF(HR_Employee_Attrition[[#This Row],[Age]]&gt;=50,"50-59",IF(HR_Employee_Attrition[[#This Row],[Age]]&gt;=40,"40-49",IF(HR_Employee_Attrition[[#This Row],[Age]]&gt;=30,"30-39",IF(HR_Employee_Attrition[[#This Row],[Age]]&gt;=20,"20-29",IF(HR_Employee_Attrition[[#This Row],[Age]]&gt;=18,"18-20"))))))</f>
        <v>40-49</v>
      </c>
      <c r="AK545" t="str" cm="1">
        <f t="array" ref="AK545">_xlfn.IFS(HR_Employee_Attrition[[#This Row],[YearsAtCompany]]&lt;=2,"0-2",HR_Employee_Attrition[[#This Row],[YearsAtCompany]]&lt;=5,"3-5",HR_Employee_Attrition[[#This Row],[YearsAtCompany]]&lt;=10,"6-10",HR_Employee_Attrition[[#This Row],[YearsAtCompany]]&gt;10,"10+")</f>
        <v>3-5</v>
      </c>
      <c r="AL545" t="str" cm="1">
        <f t="array" ref="AL5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45">
        <f>IF(HR_Employee_Attrition[[#This Row],[Attrition]]="Yes",1,0)</f>
        <v>0</v>
      </c>
    </row>
    <row r="546" spans="1:39"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IF(HR_Employee_Attrition[[#This Row],[Age]]&gt;60,"60+",IF(HR_Employee_Attrition[[#This Row],[Age]]&gt;=50,"50-59",IF(HR_Employee_Attrition[[#This Row],[Age]]&gt;=40,"40-49",IF(HR_Employee_Attrition[[#This Row],[Age]]&gt;=30,"30-39",IF(HR_Employee_Attrition[[#This Row],[Age]]&gt;=20,"20-29",IF(HR_Employee_Attrition[[#This Row],[Age]]&gt;=18,"18-20"))))))</f>
        <v>40-49</v>
      </c>
      <c r="AK546" t="str" cm="1">
        <f t="array" ref="AK546">_xlfn.IFS(HR_Employee_Attrition[[#This Row],[YearsAtCompany]]&lt;=2,"0-2",HR_Employee_Attrition[[#This Row],[YearsAtCompany]]&lt;=5,"3-5",HR_Employee_Attrition[[#This Row],[YearsAtCompany]]&lt;=10,"6-10",HR_Employee_Attrition[[#This Row],[YearsAtCompany]]&gt;10,"10+")</f>
        <v>10+</v>
      </c>
      <c r="AL546" t="str" cm="1">
        <f t="array" ref="AL5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546">
        <f>IF(HR_Employee_Attrition[[#This Row],[Attrition]]="Yes",1,0)</f>
        <v>0</v>
      </c>
    </row>
    <row r="547" spans="1:39"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IF(HR_Employee_Attrition[[#This Row],[Age]]&gt;60,"60+",IF(HR_Employee_Attrition[[#This Row],[Age]]&gt;=50,"50-59",IF(HR_Employee_Attrition[[#This Row],[Age]]&gt;=40,"40-49",IF(HR_Employee_Attrition[[#This Row],[Age]]&gt;=30,"30-39",IF(HR_Employee_Attrition[[#This Row],[Age]]&gt;=20,"20-29",IF(HR_Employee_Attrition[[#This Row],[Age]]&gt;=18,"18-20"))))))</f>
        <v>30-39</v>
      </c>
      <c r="AK547" t="str" cm="1">
        <f t="array" ref="AK547">_xlfn.IFS(HR_Employee_Attrition[[#This Row],[YearsAtCompany]]&lt;=2,"0-2",HR_Employee_Attrition[[#This Row],[YearsAtCompany]]&lt;=5,"3-5",HR_Employee_Attrition[[#This Row],[YearsAtCompany]]&lt;=10,"6-10",HR_Employee_Attrition[[#This Row],[YearsAtCompany]]&gt;10,"10+")</f>
        <v>6-10</v>
      </c>
      <c r="AL547" t="str" cm="1">
        <f t="array" ref="AL5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47">
        <f>IF(HR_Employee_Attrition[[#This Row],[Attrition]]="Yes",1,0)</f>
        <v>0</v>
      </c>
    </row>
    <row r="548" spans="1:39"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IF(HR_Employee_Attrition[[#This Row],[Age]]&gt;60,"60+",IF(HR_Employee_Attrition[[#This Row],[Age]]&gt;=50,"50-59",IF(HR_Employee_Attrition[[#This Row],[Age]]&gt;=40,"40-49",IF(HR_Employee_Attrition[[#This Row],[Age]]&gt;=30,"30-39",IF(HR_Employee_Attrition[[#This Row],[Age]]&gt;=20,"20-29",IF(HR_Employee_Attrition[[#This Row],[Age]]&gt;=18,"18-20"))))))</f>
        <v>20-29</v>
      </c>
      <c r="AK548" t="str" cm="1">
        <f t="array" ref="AK548">_xlfn.IFS(HR_Employee_Attrition[[#This Row],[YearsAtCompany]]&lt;=2,"0-2",HR_Employee_Attrition[[#This Row],[YearsAtCompany]]&lt;=5,"3-5",HR_Employee_Attrition[[#This Row],[YearsAtCompany]]&lt;=10,"6-10",HR_Employee_Attrition[[#This Row],[YearsAtCompany]]&gt;10,"10+")</f>
        <v>0-2</v>
      </c>
      <c r="AL548" t="str" cm="1">
        <f t="array" ref="AL5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48">
        <f>IF(HR_Employee_Attrition[[#This Row],[Attrition]]="Yes",1,0)</f>
        <v>0</v>
      </c>
    </row>
    <row r="549" spans="1:39"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IF(HR_Employee_Attrition[[#This Row],[Age]]&gt;60,"60+",IF(HR_Employee_Attrition[[#This Row],[Age]]&gt;=50,"50-59",IF(HR_Employee_Attrition[[#This Row],[Age]]&gt;=40,"40-49",IF(HR_Employee_Attrition[[#This Row],[Age]]&gt;=30,"30-39",IF(HR_Employee_Attrition[[#This Row],[Age]]&gt;=20,"20-29",IF(HR_Employee_Attrition[[#This Row],[Age]]&gt;=18,"18-20"))))))</f>
        <v>40-49</v>
      </c>
      <c r="AK549" t="str" cm="1">
        <f t="array" ref="AK549">_xlfn.IFS(HR_Employee_Attrition[[#This Row],[YearsAtCompany]]&lt;=2,"0-2",HR_Employee_Attrition[[#This Row],[YearsAtCompany]]&lt;=5,"3-5",HR_Employee_Attrition[[#This Row],[YearsAtCompany]]&lt;=10,"6-10",HR_Employee_Attrition[[#This Row],[YearsAtCompany]]&gt;10,"10+")</f>
        <v>0-2</v>
      </c>
      <c r="AL549" t="str" cm="1">
        <f t="array" ref="AL5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49">
        <f>IF(HR_Employee_Attrition[[#This Row],[Attrition]]="Yes",1,0)</f>
        <v>1</v>
      </c>
    </row>
    <row r="550" spans="1:39"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IF(HR_Employee_Attrition[[#This Row],[Age]]&gt;60,"60+",IF(HR_Employee_Attrition[[#This Row],[Age]]&gt;=50,"50-59",IF(HR_Employee_Attrition[[#This Row],[Age]]&gt;=40,"40-49",IF(HR_Employee_Attrition[[#This Row],[Age]]&gt;=30,"30-39",IF(HR_Employee_Attrition[[#This Row],[Age]]&gt;=20,"20-29",IF(HR_Employee_Attrition[[#This Row],[Age]]&gt;=18,"18-20"))))))</f>
        <v>40-49</v>
      </c>
      <c r="AK550" t="str" cm="1">
        <f t="array" ref="AK550">_xlfn.IFS(HR_Employee_Attrition[[#This Row],[YearsAtCompany]]&lt;=2,"0-2",HR_Employee_Attrition[[#This Row],[YearsAtCompany]]&lt;=5,"3-5",HR_Employee_Attrition[[#This Row],[YearsAtCompany]]&lt;=10,"6-10",HR_Employee_Attrition[[#This Row],[YearsAtCompany]]&gt;10,"10+")</f>
        <v>0-2</v>
      </c>
      <c r="AL550" t="str" cm="1">
        <f t="array" ref="AL5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50">
        <f>IF(HR_Employee_Attrition[[#This Row],[Attrition]]="Yes",1,0)</f>
        <v>0</v>
      </c>
    </row>
    <row r="551" spans="1:39"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IF(HR_Employee_Attrition[[#This Row],[Age]]&gt;60,"60+",IF(HR_Employee_Attrition[[#This Row],[Age]]&gt;=50,"50-59",IF(HR_Employee_Attrition[[#This Row],[Age]]&gt;=40,"40-49",IF(HR_Employee_Attrition[[#This Row],[Age]]&gt;=30,"30-39",IF(HR_Employee_Attrition[[#This Row],[Age]]&gt;=20,"20-29",IF(HR_Employee_Attrition[[#This Row],[Age]]&gt;=18,"18-20"))))))</f>
        <v>30-39</v>
      </c>
      <c r="AK551" t="str" cm="1">
        <f t="array" ref="AK551">_xlfn.IFS(HR_Employee_Attrition[[#This Row],[YearsAtCompany]]&lt;=2,"0-2",HR_Employee_Attrition[[#This Row],[YearsAtCompany]]&lt;=5,"3-5",HR_Employee_Attrition[[#This Row],[YearsAtCompany]]&lt;=10,"6-10",HR_Employee_Attrition[[#This Row],[YearsAtCompany]]&gt;10,"10+")</f>
        <v>3-5</v>
      </c>
      <c r="AL551" t="str" cm="1">
        <f t="array" ref="AL5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51">
        <f>IF(HR_Employee_Attrition[[#This Row],[Attrition]]="Yes",1,0)</f>
        <v>0</v>
      </c>
    </row>
    <row r="552" spans="1:39"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IF(HR_Employee_Attrition[[#This Row],[Age]]&gt;60,"60+",IF(HR_Employee_Attrition[[#This Row],[Age]]&gt;=50,"50-59",IF(HR_Employee_Attrition[[#This Row],[Age]]&gt;=40,"40-49",IF(HR_Employee_Attrition[[#This Row],[Age]]&gt;=30,"30-39",IF(HR_Employee_Attrition[[#This Row],[Age]]&gt;=20,"20-29",IF(HR_Employee_Attrition[[#This Row],[Age]]&gt;=18,"18-20"))))))</f>
        <v>20-29</v>
      </c>
      <c r="AK552" t="str" cm="1">
        <f t="array" ref="AK552">_xlfn.IFS(HR_Employee_Attrition[[#This Row],[YearsAtCompany]]&lt;=2,"0-2",HR_Employee_Attrition[[#This Row],[YearsAtCompany]]&lt;=5,"3-5",HR_Employee_Attrition[[#This Row],[YearsAtCompany]]&lt;=10,"6-10",HR_Employee_Attrition[[#This Row],[YearsAtCompany]]&gt;10,"10+")</f>
        <v>3-5</v>
      </c>
      <c r="AL552" t="str" cm="1">
        <f t="array" ref="AL5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52">
        <f>IF(HR_Employee_Attrition[[#This Row],[Attrition]]="Yes",1,0)</f>
        <v>0</v>
      </c>
    </row>
    <row r="553" spans="1:39"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IF(HR_Employee_Attrition[[#This Row],[Age]]&gt;60,"60+",IF(HR_Employee_Attrition[[#This Row],[Age]]&gt;=50,"50-59",IF(HR_Employee_Attrition[[#This Row],[Age]]&gt;=40,"40-49",IF(HR_Employee_Attrition[[#This Row],[Age]]&gt;=30,"30-39",IF(HR_Employee_Attrition[[#This Row],[Age]]&gt;=20,"20-29",IF(HR_Employee_Attrition[[#This Row],[Age]]&gt;=18,"18-20"))))))</f>
        <v>30-39</v>
      </c>
      <c r="AK553" t="str" cm="1">
        <f t="array" ref="AK553">_xlfn.IFS(HR_Employee_Attrition[[#This Row],[YearsAtCompany]]&lt;=2,"0-2",HR_Employee_Attrition[[#This Row],[YearsAtCompany]]&lt;=5,"3-5",HR_Employee_Attrition[[#This Row],[YearsAtCompany]]&lt;=10,"6-10",HR_Employee_Attrition[[#This Row],[YearsAtCompany]]&gt;10,"10+")</f>
        <v>6-10</v>
      </c>
      <c r="AL553" t="str" cm="1">
        <f t="array" ref="AL5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53">
        <f>IF(HR_Employee_Attrition[[#This Row],[Attrition]]="Yes",1,0)</f>
        <v>0</v>
      </c>
    </row>
    <row r="554" spans="1:39"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IF(HR_Employee_Attrition[[#This Row],[Age]]&gt;60,"60+",IF(HR_Employee_Attrition[[#This Row],[Age]]&gt;=50,"50-59",IF(HR_Employee_Attrition[[#This Row],[Age]]&gt;=40,"40-49",IF(HR_Employee_Attrition[[#This Row],[Age]]&gt;=30,"30-39",IF(HR_Employee_Attrition[[#This Row],[Age]]&gt;=20,"20-29",IF(HR_Employee_Attrition[[#This Row],[Age]]&gt;=18,"18-20"))))))</f>
        <v>50-59</v>
      </c>
      <c r="AK554" t="str" cm="1">
        <f t="array" ref="AK554">_xlfn.IFS(HR_Employee_Attrition[[#This Row],[YearsAtCompany]]&lt;=2,"0-2",HR_Employee_Attrition[[#This Row],[YearsAtCompany]]&lt;=5,"3-5",HR_Employee_Attrition[[#This Row],[YearsAtCompany]]&lt;=10,"6-10",HR_Employee_Attrition[[#This Row],[YearsAtCompany]]&gt;10,"10+")</f>
        <v>6-10</v>
      </c>
      <c r="AL554" t="str" cm="1">
        <f t="array" ref="AL5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554">
        <f>IF(HR_Employee_Attrition[[#This Row],[Attrition]]="Yes",1,0)</f>
        <v>0</v>
      </c>
    </row>
    <row r="555" spans="1:39"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IF(HR_Employee_Attrition[[#This Row],[Age]]&gt;60,"60+",IF(HR_Employee_Attrition[[#This Row],[Age]]&gt;=50,"50-59",IF(HR_Employee_Attrition[[#This Row],[Age]]&gt;=40,"40-49",IF(HR_Employee_Attrition[[#This Row],[Age]]&gt;=30,"30-39",IF(HR_Employee_Attrition[[#This Row],[Age]]&gt;=20,"20-29",IF(HR_Employee_Attrition[[#This Row],[Age]]&gt;=18,"18-20"))))))</f>
        <v>40-49</v>
      </c>
      <c r="AK555" t="str" cm="1">
        <f t="array" ref="AK555">_xlfn.IFS(HR_Employee_Attrition[[#This Row],[YearsAtCompany]]&lt;=2,"0-2",HR_Employee_Attrition[[#This Row],[YearsAtCompany]]&lt;=5,"3-5",HR_Employee_Attrition[[#This Row],[YearsAtCompany]]&lt;=10,"6-10",HR_Employee_Attrition[[#This Row],[YearsAtCompany]]&gt;10,"10+")</f>
        <v>3-5</v>
      </c>
      <c r="AL555" t="str" cm="1">
        <f t="array" ref="AL5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55">
        <f>IF(HR_Employee_Attrition[[#This Row],[Attrition]]="Yes",1,0)</f>
        <v>0</v>
      </c>
    </row>
    <row r="556" spans="1:39"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IF(HR_Employee_Attrition[[#This Row],[Age]]&gt;60,"60+",IF(HR_Employee_Attrition[[#This Row],[Age]]&gt;=50,"50-59",IF(HR_Employee_Attrition[[#This Row],[Age]]&gt;=40,"40-49",IF(HR_Employee_Attrition[[#This Row],[Age]]&gt;=30,"30-39",IF(HR_Employee_Attrition[[#This Row],[Age]]&gt;=20,"20-29",IF(HR_Employee_Attrition[[#This Row],[Age]]&gt;=18,"18-20"))))))</f>
        <v>20-29</v>
      </c>
      <c r="AK556" t="str" cm="1">
        <f t="array" ref="AK556">_xlfn.IFS(HR_Employee_Attrition[[#This Row],[YearsAtCompany]]&lt;=2,"0-2",HR_Employee_Attrition[[#This Row],[YearsAtCompany]]&lt;=5,"3-5",HR_Employee_Attrition[[#This Row],[YearsAtCompany]]&lt;=10,"6-10",HR_Employee_Attrition[[#This Row],[YearsAtCompany]]&gt;10,"10+")</f>
        <v>6-10</v>
      </c>
      <c r="AL556" t="str" cm="1">
        <f t="array" ref="AL5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56">
        <f>IF(HR_Employee_Attrition[[#This Row],[Attrition]]="Yes",1,0)</f>
        <v>0</v>
      </c>
    </row>
    <row r="557" spans="1:39"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IF(HR_Employee_Attrition[[#This Row],[Age]]&gt;60,"60+",IF(HR_Employee_Attrition[[#This Row],[Age]]&gt;=50,"50-59",IF(HR_Employee_Attrition[[#This Row],[Age]]&gt;=40,"40-49",IF(HR_Employee_Attrition[[#This Row],[Age]]&gt;=30,"30-39",IF(HR_Employee_Attrition[[#This Row],[Age]]&gt;=20,"20-29",IF(HR_Employee_Attrition[[#This Row],[Age]]&gt;=18,"18-20"))))))</f>
        <v>20-29</v>
      </c>
      <c r="AK557" t="str" cm="1">
        <f t="array" ref="AK557">_xlfn.IFS(HR_Employee_Attrition[[#This Row],[YearsAtCompany]]&lt;=2,"0-2",HR_Employee_Attrition[[#This Row],[YearsAtCompany]]&lt;=5,"3-5",HR_Employee_Attrition[[#This Row],[YearsAtCompany]]&lt;=10,"6-10",HR_Employee_Attrition[[#This Row],[YearsAtCompany]]&gt;10,"10+")</f>
        <v>0-2</v>
      </c>
      <c r="AL557" t="str" cm="1">
        <f t="array" ref="AL5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57">
        <f>IF(HR_Employee_Attrition[[#This Row],[Attrition]]="Yes",1,0)</f>
        <v>0</v>
      </c>
    </row>
    <row r="558" spans="1:39"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IF(HR_Employee_Attrition[[#This Row],[Age]]&gt;60,"60+",IF(HR_Employee_Attrition[[#This Row],[Age]]&gt;=50,"50-59",IF(HR_Employee_Attrition[[#This Row],[Age]]&gt;=40,"40-49",IF(HR_Employee_Attrition[[#This Row],[Age]]&gt;=30,"30-39",IF(HR_Employee_Attrition[[#This Row],[Age]]&gt;=20,"20-29",IF(HR_Employee_Attrition[[#This Row],[Age]]&gt;=18,"18-20"))))))</f>
        <v>50-59</v>
      </c>
      <c r="AK558" t="str" cm="1">
        <f t="array" ref="AK558">_xlfn.IFS(HR_Employee_Attrition[[#This Row],[YearsAtCompany]]&lt;=2,"0-2",HR_Employee_Attrition[[#This Row],[YearsAtCompany]]&lt;=5,"3-5",HR_Employee_Attrition[[#This Row],[YearsAtCompany]]&lt;=10,"6-10",HR_Employee_Attrition[[#This Row],[YearsAtCompany]]&gt;10,"10+")</f>
        <v>0-2</v>
      </c>
      <c r="AL558" t="str" cm="1">
        <f t="array" ref="AL5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58">
        <f>IF(HR_Employee_Attrition[[#This Row],[Attrition]]="Yes",1,0)</f>
        <v>0</v>
      </c>
    </row>
    <row r="559" spans="1:39"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IF(HR_Employee_Attrition[[#This Row],[Age]]&gt;60,"60+",IF(HR_Employee_Attrition[[#This Row],[Age]]&gt;=50,"50-59",IF(HR_Employee_Attrition[[#This Row],[Age]]&gt;=40,"40-49",IF(HR_Employee_Attrition[[#This Row],[Age]]&gt;=30,"30-39",IF(HR_Employee_Attrition[[#This Row],[Age]]&gt;=20,"20-29",IF(HR_Employee_Attrition[[#This Row],[Age]]&gt;=18,"18-20"))))))</f>
        <v>30-39</v>
      </c>
      <c r="AK559" t="str" cm="1">
        <f t="array" ref="AK559">_xlfn.IFS(HR_Employee_Attrition[[#This Row],[YearsAtCompany]]&lt;=2,"0-2",HR_Employee_Attrition[[#This Row],[YearsAtCompany]]&lt;=5,"3-5",HR_Employee_Attrition[[#This Row],[YearsAtCompany]]&lt;=10,"6-10",HR_Employee_Attrition[[#This Row],[YearsAtCompany]]&gt;10,"10+")</f>
        <v>0-2</v>
      </c>
      <c r="AL559" t="str" cm="1">
        <f t="array" ref="AL5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59">
        <f>IF(HR_Employee_Attrition[[#This Row],[Attrition]]="Yes",1,0)</f>
        <v>0</v>
      </c>
    </row>
    <row r="560" spans="1:39"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IF(HR_Employee_Attrition[[#This Row],[Age]]&gt;60,"60+",IF(HR_Employee_Attrition[[#This Row],[Age]]&gt;=50,"50-59",IF(HR_Employee_Attrition[[#This Row],[Age]]&gt;=40,"40-49",IF(HR_Employee_Attrition[[#This Row],[Age]]&gt;=30,"30-39",IF(HR_Employee_Attrition[[#This Row],[Age]]&gt;=20,"20-29",IF(HR_Employee_Attrition[[#This Row],[Age]]&gt;=18,"18-20"))))))</f>
        <v>30-39</v>
      </c>
      <c r="AK560" t="str" cm="1">
        <f t="array" ref="AK560">_xlfn.IFS(HR_Employee_Attrition[[#This Row],[YearsAtCompany]]&lt;=2,"0-2",HR_Employee_Attrition[[#This Row],[YearsAtCompany]]&lt;=5,"3-5",HR_Employee_Attrition[[#This Row],[YearsAtCompany]]&lt;=10,"6-10",HR_Employee_Attrition[[#This Row],[YearsAtCompany]]&gt;10,"10+")</f>
        <v>6-10</v>
      </c>
      <c r="AL560" t="str" cm="1">
        <f t="array" ref="AL5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60">
        <f>IF(HR_Employee_Attrition[[#This Row],[Attrition]]="Yes",1,0)</f>
        <v>0</v>
      </c>
    </row>
    <row r="561" spans="1:39"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IF(HR_Employee_Attrition[[#This Row],[Age]]&gt;60,"60+",IF(HR_Employee_Attrition[[#This Row],[Age]]&gt;=50,"50-59",IF(HR_Employee_Attrition[[#This Row],[Age]]&gt;=40,"40-49",IF(HR_Employee_Attrition[[#This Row],[Age]]&gt;=30,"30-39",IF(HR_Employee_Attrition[[#This Row],[Age]]&gt;=20,"20-29",IF(HR_Employee_Attrition[[#This Row],[Age]]&gt;=18,"18-20"))))))</f>
        <v>30-39</v>
      </c>
      <c r="AK561" t="str" cm="1">
        <f t="array" ref="AK561">_xlfn.IFS(HR_Employee_Attrition[[#This Row],[YearsAtCompany]]&lt;=2,"0-2",HR_Employee_Attrition[[#This Row],[YearsAtCompany]]&lt;=5,"3-5",HR_Employee_Attrition[[#This Row],[YearsAtCompany]]&lt;=10,"6-10",HR_Employee_Attrition[[#This Row],[YearsAtCompany]]&gt;10,"10+")</f>
        <v>0-2</v>
      </c>
      <c r="AL561" t="str" cm="1">
        <f t="array" ref="AL5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61">
        <f>IF(HR_Employee_Attrition[[#This Row],[Attrition]]="Yes",1,0)</f>
        <v>0</v>
      </c>
    </row>
    <row r="562" spans="1:39"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IF(HR_Employee_Attrition[[#This Row],[Age]]&gt;60,"60+",IF(HR_Employee_Attrition[[#This Row],[Age]]&gt;=50,"50-59",IF(HR_Employee_Attrition[[#This Row],[Age]]&gt;=40,"40-49",IF(HR_Employee_Attrition[[#This Row],[Age]]&gt;=30,"30-39",IF(HR_Employee_Attrition[[#This Row],[Age]]&gt;=20,"20-29",IF(HR_Employee_Attrition[[#This Row],[Age]]&gt;=18,"18-20"))))))</f>
        <v>30-39</v>
      </c>
      <c r="AK562" t="str" cm="1">
        <f t="array" ref="AK562">_xlfn.IFS(HR_Employee_Attrition[[#This Row],[YearsAtCompany]]&lt;=2,"0-2",HR_Employee_Attrition[[#This Row],[YearsAtCompany]]&lt;=5,"3-5",HR_Employee_Attrition[[#This Row],[YearsAtCompany]]&lt;=10,"6-10",HR_Employee_Attrition[[#This Row],[YearsAtCompany]]&gt;10,"10+")</f>
        <v>0-2</v>
      </c>
      <c r="AL562" t="str" cm="1">
        <f t="array" ref="AL5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62">
        <f>IF(HR_Employee_Attrition[[#This Row],[Attrition]]="Yes",1,0)</f>
        <v>0</v>
      </c>
    </row>
    <row r="563" spans="1:39"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IF(HR_Employee_Attrition[[#This Row],[Age]]&gt;60,"60+",IF(HR_Employee_Attrition[[#This Row],[Age]]&gt;=50,"50-59",IF(HR_Employee_Attrition[[#This Row],[Age]]&gt;=40,"40-49",IF(HR_Employee_Attrition[[#This Row],[Age]]&gt;=30,"30-39",IF(HR_Employee_Attrition[[#This Row],[Age]]&gt;=20,"20-29",IF(HR_Employee_Attrition[[#This Row],[Age]]&gt;=18,"18-20"))))))</f>
        <v>50-59</v>
      </c>
      <c r="AK563" t="str" cm="1">
        <f t="array" ref="AK563">_xlfn.IFS(HR_Employee_Attrition[[#This Row],[YearsAtCompany]]&lt;=2,"0-2",HR_Employee_Attrition[[#This Row],[YearsAtCompany]]&lt;=5,"3-5",HR_Employee_Attrition[[#This Row],[YearsAtCompany]]&lt;=10,"6-10",HR_Employee_Attrition[[#This Row],[YearsAtCompany]]&gt;10,"10+")</f>
        <v>10+</v>
      </c>
      <c r="AL563" t="str" cm="1">
        <f t="array" ref="AL5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563">
        <f>IF(HR_Employee_Attrition[[#This Row],[Attrition]]="Yes",1,0)</f>
        <v>0</v>
      </c>
    </row>
    <row r="564" spans="1:39"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IF(HR_Employee_Attrition[[#This Row],[Age]]&gt;60,"60+",IF(HR_Employee_Attrition[[#This Row],[Age]]&gt;=50,"50-59",IF(HR_Employee_Attrition[[#This Row],[Age]]&gt;=40,"40-49",IF(HR_Employee_Attrition[[#This Row],[Age]]&gt;=30,"30-39",IF(HR_Employee_Attrition[[#This Row],[Age]]&gt;=20,"20-29",IF(HR_Employee_Attrition[[#This Row],[Age]]&gt;=18,"18-20"))))))</f>
        <v>30-39</v>
      </c>
      <c r="AK564" t="str" cm="1">
        <f t="array" ref="AK564">_xlfn.IFS(HR_Employee_Attrition[[#This Row],[YearsAtCompany]]&lt;=2,"0-2",HR_Employee_Attrition[[#This Row],[YearsAtCompany]]&lt;=5,"3-5",HR_Employee_Attrition[[#This Row],[YearsAtCompany]]&lt;=10,"6-10",HR_Employee_Attrition[[#This Row],[YearsAtCompany]]&gt;10,"10+")</f>
        <v>6-10</v>
      </c>
      <c r="AL564" t="str" cm="1">
        <f t="array" ref="AL5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64">
        <f>IF(HR_Employee_Attrition[[#This Row],[Attrition]]="Yes",1,0)</f>
        <v>1</v>
      </c>
    </row>
    <row r="565" spans="1:39"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IF(HR_Employee_Attrition[[#This Row],[Age]]&gt;60,"60+",IF(HR_Employee_Attrition[[#This Row],[Age]]&gt;=50,"50-59",IF(HR_Employee_Attrition[[#This Row],[Age]]&gt;=40,"40-49",IF(HR_Employee_Attrition[[#This Row],[Age]]&gt;=30,"30-39",IF(HR_Employee_Attrition[[#This Row],[Age]]&gt;=20,"20-29",IF(HR_Employee_Attrition[[#This Row],[Age]]&gt;=18,"18-20"))))))</f>
        <v>20-29</v>
      </c>
      <c r="AK565" t="str" cm="1">
        <f t="array" ref="AK565">_xlfn.IFS(HR_Employee_Attrition[[#This Row],[YearsAtCompany]]&lt;=2,"0-2",HR_Employee_Attrition[[#This Row],[YearsAtCompany]]&lt;=5,"3-5",HR_Employee_Attrition[[#This Row],[YearsAtCompany]]&lt;=10,"6-10",HR_Employee_Attrition[[#This Row],[YearsAtCompany]]&gt;10,"10+")</f>
        <v>6-10</v>
      </c>
      <c r="AL565" t="str" cm="1">
        <f t="array" ref="AL5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65">
        <f>IF(HR_Employee_Attrition[[#This Row],[Attrition]]="Yes",1,0)</f>
        <v>0</v>
      </c>
    </row>
    <row r="566" spans="1:39"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IF(HR_Employee_Attrition[[#This Row],[Age]]&gt;60,"60+",IF(HR_Employee_Attrition[[#This Row],[Age]]&gt;=50,"50-59",IF(HR_Employee_Attrition[[#This Row],[Age]]&gt;=40,"40-49",IF(HR_Employee_Attrition[[#This Row],[Age]]&gt;=30,"30-39",IF(HR_Employee_Attrition[[#This Row],[Age]]&gt;=20,"20-29",IF(HR_Employee_Attrition[[#This Row],[Age]]&gt;=18,"18-20"))))))</f>
        <v>40-49</v>
      </c>
      <c r="AK566" t="str" cm="1">
        <f t="array" ref="AK566">_xlfn.IFS(HR_Employee_Attrition[[#This Row],[YearsAtCompany]]&lt;=2,"0-2",HR_Employee_Attrition[[#This Row],[YearsAtCompany]]&lt;=5,"3-5",HR_Employee_Attrition[[#This Row],[YearsAtCompany]]&lt;=10,"6-10",HR_Employee_Attrition[[#This Row],[YearsAtCompany]]&gt;10,"10+")</f>
        <v>6-10</v>
      </c>
      <c r="AL566" t="str" cm="1">
        <f t="array" ref="AL5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66">
        <f>IF(HR_Employee_Attrition[[#This Row],[Attrition]]="Yes",1,0)</f>
        <v>0</v>
      </c>
    </row>
    <row r="567" spans="1:39"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IF(HR_Employee_Attrition[[#This Row],[Age]]&gt;60,"60+",IF(HR_Employee_Attrition[[#This Row],[Age]]&gt;=50,"50-59",IF(HR_Employee_Attrition[[#This Row],[Age]]&gt;=40,"40-49",IF(HR_Employee_Attrition[[#This Row],[Age]]&gt;=30,"30-39",IF(HR_Employee_Attrition[[#This Row],[Age]]&gt;=20,"20-29",IF(HR_Employee_Attrition[[#This Row],[Age]]&gt;=18,"18-20"))))))</f>
        <v>20-29</v>
      </c>
      <c r="AK567" t="str" cm="1">
        <f t="array" ref="AK567">_xlfn.IFS(HR_Employee_Attrition[[#This Row],[YearsAtCompany]]&lt;=2,"0-2",HR_Employee_Attrition[[#This Row],[YearsAtCompany]]&lt;=5,"3-5",HR_Employee_Attrition[[#This Row],[YearsAtCompany]]&lt;=10,"6-10",HR_Employee_Attrition[[#This Row],[YearsAtCompany]]&gt;10,"10+")</f>
        <v>0-2</v>
      </c>
      <c r="AL567" t="str" cm="1">
        <f t="array" ref="AL5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67">
        <f>IF(HR_Employee_Attrition[[#This Row],[Attrition]]="Yes",1,0)</f>
        <v>0</v>
      </c>
    </row>
    <row r="568" spans="1:39"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IF(HR_Employee_Attrition[[#This Row],[Age]]&gt;60,"60+",IF(HR_Employee_Attrition[[#This Row],[Age]]&gt;=50,"50-59",IF(HR_Employee_Attrition[[#This Row],[Age]]&gt;=40,"40-49",IF(HR_Employee_Attrition[[#This Row],[Age]]&gt;=30,"30-39",IF(HR_Employee_Attrition[[#This Row],[Age]]&gt;=20,"20-29",IF(HR_Employee_Attrition[[#This Row],[Age]]&gt;=18,"18-20"))))))</f>
        <v>40-49</v>
      </c>
      <c r="AK568" t="str" cm="1">
        <f t="array" ref="AK568">_xlfn.IFS(HR_Employee_Attrition[[#This Row],[YearsAtCompany]]&lt;=2,"0-2",HR_Employee_Attrition[[#This Row],[YearsAtCompany]]&lt;=5,"3-5",HR_Employee_Attrition[[#This Row],[YearsAtCompany]]&lt;=10,"6-10",HR_Employee_Attrition[[#This Row],[YearsAtCompany]]&gt;10,"10+")</f>
        <v>3-5</v>
      </c>
      <c r="AL568" t="str" cm="1">
        <f t="array" ref="AL5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68">
        <f>IF(HR_Employee_Attrition[[#This Row],[Attrition]]="Yes",1,0)</f>
        <v>1</v>
      </c>
    </row>
    <row r="569" spans="1:39"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IF(HR_Employee_Attrition[[#This Row],[Age]]&gt;60,"60+",IF(HR_Employee_Attrition[[#This Row],[Age]]&gt;=50,"50-59",IF(HR_Employee_Attrition[[#This Row],[Age]]&gt;=40,"40-49",IF(HR_Employee_Attrition[[#This Row],[Age]]&gt;=30,"30-39",IF(HR_Employee_Attrition[[#This Row],[Age]]&gt;=20,"20-29",IF(HR_Employee_Attrition[[#This Row],[Age]]&gt;=18,"18-20"))))))</f>
        <v>30-39</v>
      </c>
      <c r="AK569" t="str" cm="1">
        <f t="array" ref="AK569">_xlfn.IFS(HR_Employee_Attrition[[#This Row],[YearsAtCompany]]&lt;=2,"0-2",HR_Employee_Attrition[[#This Row],[YearsAtCompany]]&lt;=5,"3-5",HR_Employee_Attrition[[#This Row],[YearsAtCompany]]&lt;=10,"6-10",HR_Employee_Attrition[[#This Row],[YearsAtCompany]]&gt;10,"10+")</f>
        <v>6-10</v>
      </c>
      <c r="AL569" t="str" cm="1">
        <f t="array" ref="AL5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69">
        <f>IF(HR_Employee_Attrition[[#This Row],[Attrition]]="Yes",1,0)</f>
        <v>0</v>
      </c>
    </row>
    <row r="570" spans="1:39"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IF(HR_Employee_Attrition[[#This Row],[Age]]&gt;60,"60+",IF(HR_Employee_Attrition[[#This Row],[Age]]&gt;=50,"50-59",IF(HR_Employee_Attrition[[#This Row],[Age]]&gt;=40,"40-49",IF(HR_Employee_Attrition[[#This Row],[Age]]&gt;=30,"30-39",IF(HR_Employee_Attrition[[#This Row],[Age]]&gt;=20,"20-29",IF(HR_Employee_Attrition[[#This Row],[Age]]&gt;=18,"18-20"))))))</f>
        <v>50-59</v>
      </c>
      <c r="AK570" t="str" cm="1">
        <f t="array" ref="AK570">_xlfn.IFS(HR_Employee_Attrition[[#This Row],[YearsAtCompany]]&lt;=2,"0-2",HR_Employee_Attrition[[#This Row],[YearsAtCompany]]&lt;=5,"3-5",HR_Employee_Attrition[[#This Row],[YearsAtCompany]]&lt;=10,"6-10",HR_Employee_Attrition[[#This Row],[YearsAtCompany]]&gt;10,"10+")</f>
        <v>3-5</v>
      </c>
      <c r="AL570" t="str" cm="1">
        <f t="array" ref="AL5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570">
        <f>IF(HR_Employee_Attrition[[#This Row],[Attrition]]="Yes",1,0)</f>
        <v>1</v>
      </c>
    </row>
    <row r="571" spans="1:39"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IF(HR_Employee_Attrition[[#This Row],[Age]]&gt;60,"60+",IF(HR_Employee_Attrition[[#This Row],[Age]]&gt;=50,"50-59",IF(HR_Employee_Attrition[[#This Row],[Age]]&gt;=40,"40-49",IF(HR_Employee_Attrition[[#This Row],[Age]]&gt;=30,"30-39",IF(HR_Employee_Attrition[[#This Row],[Age]]&gt;=20,"20-29",IF(HR_Employee_Attrition[[#This Row],[Age]]&gt;=18,"18-20"))))))</f>
        <v>30-39</v>
      </c>
      <c r="AK571" t="str" cm="1">
        <f t="array" ref="AK571">_xlfn.IFS(HR_Employee_Attrition[[#This Row],[YearsAtCompany]]&lt;=2,"0-2",HR_Employee_Attrition[[#This Row],[YearsAtCompany]]&lt;=5,"3-5",HR_Employee_Attrition[[#This Row],[YearsAtCompany]]&lt;=10,"6-10",HR_Employee_Attrition[[#This Row],[YearsAtCompany]]&gt;10,"10+")</f>
        <v>6-10</v>
      </c>
      <c r="AL571" t="str" cm="1">
        <f t="array" ref="AL5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71">
        <f>IF(HR_Employee_Attrition[[#This Row],[Attrition]]="Yes",1,0)</f>
        <v>0</v>
      </c>
    </row>
    <row r="572" spans="1:39"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IF(HR_Employee_Attrition[[#This Row],[Age]]&gt;60,"60+",IF(HR_Employee_Attrition[[#This Row],[Age]]&gt;=50,"50-59",IF(HR_Employee_Attrition[[#This Row],[Age]]&gt;=40,"40-49",IF(HR_Employee_Attrition[[#This Row],[Age]]&gt;=30,"30-39",IF(HR_Employee_Attrition[[#This Row],[Age]]&gt;=20,"20-29",IF(HR_Employee_Attrition[[#This Row],[Age]]&gt;=18,"18-20"))))))</f>
        <v>50-59</v>
      </c>
      <c r="AK572" t="str" cm="1">
        <f t="array" ref="AK572">_xlfn.IFS(HR_Employee_Attrition[[#This Row],[YearsAtCompany]]&lt;=2,"0-2",HR_Employee_Attrition[[#This Row],[YearsAtCompany]]&lt;=5,"3-5",HR_Employee_Attrition[[#This Row],[YearsAtCompany]]&lt;=10,"6-10",HR_Employee_Attrition[[#This Row],[YearsAtCompany]]&gt;10,"10+")</f>
        <v>3-5</v>
      </c>
      <c r="AL572" t="str" cm="1">
        <f t="array" ref="AL57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72">
        <f>IF(HR_Employee_Attrition[[#This Row],[Attrition]]="Yes",1,0)</f>
        <v>0</v>
      </c>
    </row>
    <row r="573" spans="1:39"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IF(HR_Employee_Attrition[[#This Row],[Age]]&gt;60,"60+",IF(HR_Employee_Attrition[[#This Row],[Age]]&gt;=50,"50-59",IF(HR_Employee_Attrition[[#This Row],[Age]]&gt;=40,"40-49",IF(HR_Employee_Attrition[[#This Row],[Age]]&gt;=30,"30-39",IF(HR_Employee_Attrition[[#This Row],[Age]]&gt;=20,"20-29",IF(HR_Employee_Attrition[[#This Row],[Age]]&gt;=18,"18-20"))))))</f>
        <v>20-29</v>
      </c>
      <c r="AK573" t="str" cm="1">
        <f t="array" ref="AK573">_xlfn.IFS(HR_Employee_Attrition[[#This Row],[YearsAtCompany]]&lt;=2,"0-2",HR_Employee_Attrition[[#This Row],[YearsAtCompany]]&lt;=5,"3-5",HR_Employee_Attrition[[#This Row],[YearsAtCompany]]&lt;=10,"6-10",HR_Employee_Attrition[[#This Row],[YearsAtCompany]]&gt;10,"10+")</f>
        <v>0-2</v>
      </c>
      <c r="AL573" t="str" cm="1">
        <f t="array" ref="AL57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73">
        <f>IF(HR_Employee_Attrition[[#This Row],[Attrition]]="Yes",1,0)</f>
        <v>0</v>
      </c>
    </row>
    <row r="574" spans="1:39"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IF(HR_Employee_Attrition[[#This Row],[Age]]&gt;60,"60+",IF(HR_Employee_Attrition[[#This Row],[Age]]&gt;=50,"50-59",IF(HR_Employee_Attrition[[#This Row],[Age]]&gt;=40,"40-49",IF(HR_Employee_Attrition[[#This Row],[Age]]&gt;=30,"30-39",IF(HR_Employee_Attrition[[#This Row],[Age]]&gt;=20,"20-29",IF(HR_Employee_Attrition[[#This Row],[Age]]&gt;=18,"18-20"))))))</f>
        <v>20-29</v>
      </c>
      <c r="AK574" t="str" cm="1">
        <f t="array" ref="AK574">_xlfn.IFS(HR_Employee_Attrition[[#This Row],[YearsAtCompany]]&lt;=2,"0-2",HR_Employee_Attrition[[#This Row],[YearsAtCompany]]&lt;=5,"3-5",HR_Employee_Attrition[[#This Row],[YearsAtCompany]]&lt;=10,"6-10",HR_Employee_Attrition[[#This Row],[YearsAtCompany]]&gt;10,"10+")</f>
        <v>6-10</v>
      </c>
      <c r="AL574" t="str" cm="1">
        <f t="array" ref="AL57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74">
        <f>IF(HR_Employee_Attrition[[#This Row],[Attrition]]="Yes",1,0)</f>
        <v>0</v>
      </c>
    </row>
    <row r="575" spans="1:39"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IF(HR_Employee_Attrition[[#This Row],[Age]]&gt;60,"60+",IF(HR_Employee_Attrition[[#This Row],[Age]]&gt;=50,"50-59",IF(HR_Employee_Attrition[[#This Row],[Age]]&gt;=40,"40-49",IF(HR_Employee_Attrition[[#This Row],[Age]]&gt;=30,"30-39",IF(HR_Employee_Attrition[[#This Row],[Age]]&gt;=20,"20-29",IF(HR_Employee_Attrition[[#This Row],[Age]]&gt;=18,"18-20"))))))</f>
        <v>20-29</v>
      </c>
      <c r="AK575" t="str" cm="1">
        <f t="array" ref="AK575">_xlfn.IFS(HR_Employee_Attrition[[#This Row],[YearsAtCompany]]&lt;=2,"0-2",HR_Employee_Attrition[[#This Row],[YearsAtCompany]]&lt;=5,"3-5",HR_Employee_Attrition[[#This Row],[YearsAtCompany]]&lt;=10,"6-10",HR_Employee_Attrition[[#This Row],[YearsAtCompany]]&gt;10,"10+")</f>
        <v>3-5</v>
      </c>
      <c r="AL575" t="str" cm="1">
        <f t="array" ref="AL57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75">
        <f>IF(HR_Employee_Attrition[[#This Row],[Attrition]]="Yes",1,0)</f>
        <v>1</v>
      </c>
    </row>
    <row r="576" spans="1:39"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IF(HR_Employee_Attrition[[#This Row],[Age]]&gt;60,"60+",IF(HR_Employee_Attrition[[#This Row],[Age]]&gt;=50,"50-59",IF(HR_Employee_Attrition[[#This Row],[Age]]&gt;=40,"40-49",IF(HR_Employee_Attrition[[#This Row],[Age]]&gt;=30,"30-39",IF(HR_Employee_Attrition[[#This Row],[Age]]&gt;=20,"20-29",IF(HR_Employee_Attrition[[#This Row],[Age]]&gt;=18,"18-20"))))))</f>
        <v>30-39</v>
      </c>
      <c r="AK576" t="str" cm="1">
        <f t="array" ref="AK576">_xlfn.IFS(HR_Employee_Attrition[[#This Row],[YearsAtCompany]]&lt;=2,"0-2",HR_Employee_Attrition[[#This Row],[YearsAtCompany]]&lt;=5,"3-5",HR_Employee_Attrition[[#This Row],[YearsAtCompany]]&lt;=10,"6-10",HR_Employee_Attrition[[#This Row],[YearsAtCompany]]&gt;10,"10+")</f>
        <v>3-5</v>
      </c>
      <c r="AL576" t="str" cm="1">
        <f t="array" ref="AL57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76">
        <f>IF(HR_Employee_Attrition[[#This Row],[Attrition]]="Yes",1,0)</f>
        <v>0</v>
      </c>
    </row>
    <row r="577" spans="1:39"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IF(HR_Employee_Attrition[[#This Row],[Age]]&gt;60,"60+",IF(HR_Employee_Attrition[[#This Row],[Age]]&gt;=50,"50-59",IF(HR_Employee_Attrition[[#This Row],[Age]]&gt;=40,"40-49",IF(HR_Employee_Attrition[[#This Row],[Age]]&gt;=30,"30-39",IF(HR_Employee_Attrition[[#This Row],[Age]]&gt;=20,"20-29",IF(HR_Employee_Attrition[[#This Row],[Age]]&gt;=18,"18-20"))))))</f>
        <v>50-59</v>
      </c>
      <c r="AK577" t="str" cm="1">
        <f t="array" ref="AK577">_xlfn.IFS(HR_Employee_Attrition[[#This Row],[YearsAtCompany]]&lt;=2,"0-2",HR_Employee_Attrition[[#This Row],[YearsAtCompany]]&lt;=5,"3-5",HR_Employee_Attrition[[#This Row],[YearsAtCompany]]&lt;=10,"6-10",HR_Employee_Attrition[[#This Row],[YearsAtCompany]]&gt;10,"10+")</f>
        <v>3-5</v>
      </c>
      <c r="AL577" t="str" cm="1">
        <f t="array" ref="AL57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77">
        <f>IF(HR_Employee_Attrition[[#This Row],[Attrition]]="Yes",1,0)</f>
        <v>0</v>
      </c>
    </row>
    <row r="578" spans="1:39"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IF(HR_Employee_Attrition[[#This Row],[Age]]&gt;60,"60+",IF(HR_Employee_Attrition[[#This Row],[Age]]&gt;=50,"50-59",IF(HR_Employee_Attrition[[#This Row],[Age]]&gt;=40,"40-49",IF(HR_Employee_Attrition[[#This Row],[Age]]&gt;=30,"30-39",IF(HR_Employee_Attrition[[#This Row],[Age]]&gt;=20,"20-29",IF(HR_Employee_Attrition[[#This Row],[Age]]&gt;=18,"18-20"))))))</f>
        <v>20-29</v>
      </c>
      <c r="AK578" t="str" cm="1">
        <f t="array" ref="AK578">_xlfn.IFS(HR_Employee_Attrition[[#This Row],[YearsAtCompany]]&lt;=2,"0-2",HR_Employee_Attrition[[#This Row],[YearsAtCompany]]&lt;=5,"3-5",HR_Employee_Attrition[[#This Row],[YearsAtCompany]]&lt;=10,"6-10",HR_Employee_Attrition[[#This Row],[YearsAtCompany]]&gt;10,"10+")</f>
        <v>3-5</v>
      </c>
      <c r="AL578" t="str" cm="1">
        <f t="array" ref="AL57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78">
        <f>IF(HR_Employee_Attrition[[#This Row],[Attrition]]="Yes",1,0)</f>
        <v>0</v>
      </c>
    </row>
    <row r="579" spans="1:39"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IF(HR_Employee_Attrition[[#This Row],[Age]]&gt;60,"60+",IF(HR_Employee_Attrition[[#This Row],[Age]]&gt;=50,"50-59",IF(HR_Employee_Attrition[[#This Row],[Age]]&gt;=40,"40-49",IF(HR_Employee_Attrition[[#This Row],[Age]]&gt;=30,"30-39",IF(HR_Employee_Attrition[[#This Row],[Age]]&gt;=20,"20-29",IF(HR_Employee_Attrition[[#This Row],[Age]]&gt;=18,"18-20"))))))</f>
        <v>30-39</v>
      </c>
      <c r="AK579" t="str" cm="1">
        <f t="array" ref="AK579">_xlfn.IFS(HR_Employee_Attrition[[#This Row],[YearsAtCompany]]&lt;=2,"0-2",HR_Employee_Attrition[[#This Row],[YearsAtCompany]]&lt;=5,"3-5",HR_Employee_Attrition[[#This Row],[YearsAtCompany]]&lt;=10,"6-10",HR_Employee_Attrition[[#This Row],[YearsAtCompany]]&gt;10,"10+")</f>
        <v>3-5</v>
      </c>
      <c r="AL579" t="str" cm="1">
        <f t="array" ref="AL57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79">
        <f>IF(HR_Employee_Attrition[[#This Row],[Attrition]]="Yes",1,0)</f>
        <v>0</v>
      </c>
    </row>
    <row r="580" spans="1:39"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IF(HR_Employee_Attrition[[#This Row],[Age]]&gt;60,"60+",IF(HR_Employee_Attrition[[#This Row],[Age]]&gt;=50,"50-59",IF(HR_Employee_Attrition[[#This Row],[Age]]&gt;=40,"40-49",IF(HR_Employee_Attrition[[#This Row],[Age]]&gt;=30,"30-39",IF(HR_Employee_Attrition[[#This Row],[Age]]&gt;=20,"20-29",IF(HR_Employee_Attrition[[#This Row],[Age]]&gt;=18,"18-20"))))))</f>
        <v>30-39</v>
      </c>
      <c r="AK580" t="str" cm="1">
        <f t="array" ref="AK580">_xlfn.IFS(HR_Employee_Attrition[[#This Row],[YearsAtCompany]]&lt;=2,"0-2",HR_Employee_Attrition[[#This Row],[YearsAtCompany]]&lt;=5,"3-5",HR_Employee_Attrition[[#This Row],[YearsAtCompany]]&lt;=10,"6-10",HR_Employee_Attrition[[#This Row],[YearsAtCompany]]&gt;10,"10+")</f>
        <v>10+</v>
      </c>
      <c r="AL580" t="str" cm="1">
        <f t="array" ref="AL58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80">
        <f>IF(HR_Employee_Attrition[[#This Row],[Attrition]]="Yes",1,0)</f>
        <v>0</v>
      </c>
    </row>
    <row r="581" spans="1:39"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IF(HR_Employee_Attrition[[#This Row],[Age]]&gt;60,"60+",IF(HR_Employee_Attrition[[#This Row],[Age]]&gt;=50,"50-59",IF(HR_Employee_Attrition[[#This Row],[Age]]&gt;=40,"40-49",IF(HR_Employee_Attrition[[#This Row],[Age]]&gt;=30,"30-39",IF(HR_Employee_Attrition[[#This Row],[Age]]&gt;=20,"20-29",IF(HR_Employee_Attrition[[#This Row],[Age]]&gt;=18,"18-20"))))))</f>
        <v>30-39</v>
      </c>
      <c r="AK581" t="str" cm="1">
        <f t="array" ref="AK581">_xlfn.IFS(HR_Employee_Attrition[[#This Row],[YearsAtCompany]]&lt;=2,"0-2",HR_Employee_Attrition[[#This Row],[YearsAtCompany]]&lt;=5,"3-5",HR_Employee_Attrition[[#This Row],[YearsAtCompany]]&lt;=10,"6-10",HR_Employee_Attrition[[#This Row],[YearsAtCompany]]&gt;10,"10+")</f>
        <v>6-10</v>
      </c>
      <c r="AL581" t="str" cm="1">
        <f t="array" ref="AL58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81">
        <f>IF(HR_Employee_Attrition[[#This Row],[Attrition]]="Yes",1,0)</f>
        <v>0</v>
      </c>
    </row>
    <row r="582" spans="1:39"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IF(HR_Employee_Attrition[[#This Row],[Age]]&gt;60,"60+",IF(HR_Employee_Attrition[[#This Row],[Age]]&gt;=50,"50-59",IF(HR_Employee_Attrition[[#This Row],[Age]]&gt;=40,"40-49",IF(HR_Employee_Attrition[[#This Row],[Age]]&gt;=30,"30-39",IF(HR_Employee_Attrition[[#This Row],[Age]]&gt;=20,"20-29",IF(HR_Employee_Attrition[[#This Row],[Age]]&gt;=18,"18-20"))))))</f>
        <v>30-39</v>
      </c>
      <c r="AK582" t="str" cm="1">
        <f t="array" ref="AK582">_xlfn.IFS(HR_Employee_Attrition[[#This Row],[YearsAtCompany]]&lt;=2,"0-2",HR_Employee_Attrition[[#This Row],[YearsAtCompany]]&lt;=5,"3-5",HR_Employee_Attrition[[#This Row],[YearsAtCompany]]&lt;=10,"6-10",HR_Employee_Attrition[[#This Row],[YearsAtCompany]]&gt;10,"10+")</f>
        <v>3-5</v>
      </c>
      <c r="AL582" t="str" cm="1">
        <f t="array" ref="AL58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82">
        <f>IF(HR_Employee_Attrition[[#This Row],[Attrition]]="Yes",1,0)</f>
        <v>0</v>
      </c>
    </row>
    <row r="583" spans="1:39"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IF(HR_Employee_Attrition[[#This Row],[Age]]&gt;60,"60+",IF(HR_Employee_Attrition[[#This Row],[Age]]&gt;=50,"50-59",IF(HR_Employee_Attrition[[#This Row],[Age]]&gt;=40,"40-49",IF(HR_Employee_Attrition[[#This Row],[Age]]&gt;=30,"30-39",IF(HR_Employee_Attrition[[#This Row],[Age]]&gt;=20,"20-29",IF(HR_Employee_Attrition[[#This Row],[Age]]&gt;=18,"18-20"))))))</f>
        <v>30-39</v>
      </c>
      <c r="AK583" t="str" cm="1">
        <f t="array" ref="AK583">_xlfn.IFS(HR_Employee_Attrition[[#This Row],[YearsAtCompany]]&lt;=2,"0-2",HR_Employee_Attrition[[#This Row],[YearsAtCompany]]&lt;=5,"3-5",HR_Employee_Attrition[[#This Row],[YearsAtCompany]]&lt;=10,"6-10",HR_Employee_Attrition[[#This Row],[YearsAtCompany]]&gt;10,"10+")</f>
        <v>0-2</v>
      </c>
      <c r="AL583" t="str" cm="1">
        <f t="array" ref="AL58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83">
        <f>IF(HR_Employee_Attrition[[#This Row],[Attrition]]="Yes",1,0)</f>
        <v>0</v>
      </c>
    </row>
    <row r="584" spans="1:39"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IF(HR_Employee_Attrition[[#This Row],[Age]]&gt;60,"60+",IF(HR_Employee_Attrition[[#This Row],[Age]]&gt;=50,"50-59",IF(HR_Employee_Attrition[[#This Row],[Age]]&gt;=40,"40-49",IF(HR_Employee_Attrition[[#This Row],[Age]]&gt;=30,"30-39",IF(HR_Employee_Attrition[[#This Row],[Age]]&gt;=20,"20-29",IF(HR_Employee_Attrition[[#This Row],[Age]]&gt;=18,"18-20"))))))</f>
        <v>40-49</v>
      </c>
      <c r="AK584" t="str" cm="1">
        <f t="array" ref="AK584">_xlfn.IFS(HR_Employee_Attrition[[#This Row],[YearsAtCompany]]&lt;=2,"0-2",HR_Employee_Attrition[[#This Row],[YearsAtCompany]]&lt;=5,"3-5",HR_Employee_Attrition[[#This Row],[YearsAtCompany]]&lt;=10,"6-10",HR_Employee_Attrition[[#This Row],[YearsAtCompany]]&gt;10,"10+")</f>
        <v>6-10</v>
      </c>
      <c r="AL584" t="str" cm="1">
        <f t="array" ref="AL58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84">
        <f>IF(HR_Employee_Attrition[[#This Row],[Attrition]]="Yes",1,0)</f>
        <v>0</v>
      </c>
    </row>
    <row r="585" spans="1:39"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IF(HR_Employee_Attrition[[#This Row],[Age]]&gt;60,"60+",IF(HR_Employee_Attrition[[#This Row],[Age]]&gt;=50,"50-59",IF(HR_Employee_Attrition[[#This Row],[Age]]&gt;=40,"40-49",IF(HR_Employee_Attrition[[#This Row],[Age]]&gt;=30,"30-39",IF(HR_Employee_Attrition[[#This Row],[Age]]&gt;=20,"20-29",IF(HR_Employee_Attrition[[#This Row],[Age]]&gt;=18,"18-20"))))))</f>
        <v>30-39</v>
      </c>
      <c r="AK585" t="str" cm="1">
        <f t="array" ref="AK585">_xlfn.IFS(HR_Employee_Attrition[[#This Row],[YearsAtCompany]]&lt;=2,"0-2",HR_Employee_Attrition[[#This Row],[YearsAtCompany]]&lt;=5,"3-5",HR_Employee_Attrition[[#This Row],[YearsAtCompany]]&lt;=10,"6-10",HR_Employee_Attrition[[#This Row],[YearsAtCompany]]&gt;10,"10+")</f>
        <v>3-5</v>
      </c>
      <c r="AL585" t="str" cm="1">
        <f t="array" ref="AL58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85">
        <f>IF(HR_Employee_Attrition[[#This Row],[Attrition]]="Yes",1,0)</f>
        <v>0</v>
      </c>
    </row>
    <row r="586" spans="1:39"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IF(HR_Employee_Attrition[[#This Row],[Age]]&gt;60,"60+",IF(HR_Employee_Attrition[[#This Row],[Age]]&gt;=50,"50-59",IF(HR_Employee_Attrition[[#This Row],[Age]]&gt;=40,"40-49",IF(HR_Employee_Attrition[[#This Row],[Age]]&gt;=30,"30-39",IF(HR_Employee_Attrition[[#This Row],[Age]]&gt;=20,"20-29",IF(HR_Employee_Attrition[[#This Row],[Age]]&gt;=18,"18-20"))))))</f>
        <v>40-49</v>
      </c>
      <c r="AK586" t="str" cm="1">
        <f t="array" ref="AK586">_xlfn.IFS(HR_Employee_Attrition[[#This Row],[YearsAtCompany]]&lt;=2,"0-2",HR_Employee_Attrition[[#This Row],[YearsAtCompany]]&lt;=5,"3-5",HR_Employee_Attrition[[#This Row],[YearsAtCompany]]&lt;=10,"6-10",HR_Employee_Attrition[[#This Row],[YearsAtCompany]]&gt;10,"10+")</f>
        <v>10+</v>
      </c>
      <c r="AL586" t="str" cm="1">
        <f t="array" ref="AL58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586">
        <f>IF(HR_Employee_Attrition[[#This Row],[Attrition]]="Yes",1,0)</f>
        <v>0</v>
      </c>
    </row>
    <row r="587" spans="1:39"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IF(HR_Employee_Attrition[[#This Row],[Age]]&gt;60,"60+",IF(HR_Employee_Attrition[[#This Row],[Age]]&gt;=50,"50-59",IF(HR_Employee_Attrition[[#This Row],[Age]]&gt;=40,"40-49",IF(HR_Employee_Attrition[[#This Row],[Age]]&gt;=30,"30-39",IF(HR_Employee_Attrition[[#This Row],[Age]]&gt;=20,"20-29",IF(HR_Employee_Attrition[[#This Row],[Age]]&gt;=18,"18-20"))))))</f>
        <v>20-29</v>
      </c>
      <c r="AK587" t="str" cm="1">
        <f t="array" ref="AK587">_xlfn.IFS(HR_Employee_Attrition[[#This Row],[YearsAtCompany]]&lt;=2,"0-2",HR_Employee_Attrition[[#This Row],[YearsAtCompany]]&lt;=5,"3-5",HR_Employee_Attrition[[#This Row],[YearsAtCompany]]&lt;=10,"6-10",HR_Employee_Attrition[[#This Row],[YearsAtCompany]]&gt;10,"10+")</f>
        <v>0-2</v>
      </c>
      <c r="AL587" t="str" cm="1">
        <f t="array" ref="AL58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87">
        <f>IF(HR_Employee_Attrition[[#This Row],[Attrition]]="Yes",1,0)</f>
        <v>1</v>
      </c>
    </row>
    <row r="588" spans="1:39"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IF(HR_Employee_Attrition[[#This Row],[Age]]&gt;60,"60+",IF(HR_Employee_Attrition[[#This Row],[Age]]&gt;=50,"50-59",IF(HR_Employee_Attrition[[#This Row],[Age]]&gt;=40,"40-49",IF(HR_Employee_Attrition[[#This Row],[Age]]&gt;=30,"30-39",IF(HR_Employee_Attrition[[#This Row],[Age]]&gt;=20,"20-29",IF(HR_Employee_Attrition[[#This Row],[Age]]&gt;=18,"18-20"))))))</f>
        <v>20-29</v>
      </c>
      <c r="AK588" t="str" cm="1">
        <f t="array" ref="AK588">_xlfn.IFS(HR_Employee_Attrition[[#This Row],[YearsAtCompany]]&lt;=2,"0-2",HR_Employee_Attrition[[#This Row],[YearsAtCompany]]&lt;=5,"3-5",HR_Employee_Attrition[[#This Row],[YearsAtCompany]]&lt;=10,"6-10",HR_Employee_Attrition[[#This Row],[YearsAtCompany]]&gt;10,"10+")</f>
        <v>0-2</v>
      </c>
      <c r="AL588" t="str" cm="1">
        <f t="array" ref="AL58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88">
        <f>IF(HR_Employee_Attrition[[#This Row],[Attrition]]="Yes",1,0)</f>
        <v>0</v>
      </c>
    </row>
    <row r="589" spans="1:39"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IF(HR_Employee_Attrition[[#This Row],[Age]]&gt;60,"60+",IF(HR_Employee_Attrition[[#This Row],[Age]]&gt;=50,"50-59",IF(HR_Employee_Attrition[[#This Row],[Age]]&gt;=40,"40-49",IF(HR_Employee_Attrition[[#This Row],[Age]]&gt;=30,"30-39",IF(HR_Employee_Attrition[[#This Row],[Age]]&gt;=20,"20-29",IF(HR_Employee_Attrition[[#This Row],[Age]]&gt;=18,"18-20"))))))</f>
        <v>50-59</v>
      </c>
      <c r="AK589" t="str" cm="1">
        <f t="array" ref="AK589">_xlfn.IFS(HR_Employee_Attrition[[#This Row],[YearsAtCompany]]&lt;=2,"0-2",HR_Employee_Attrition[[#This Row],[YearsAtCompany]]&lt;=5,"3-5",HR_Employee_Attrition[[#This Row],[YearsAtCompany]]&lt;=10,"6-10",HR_Employee_Attrition[[#This Row],[YearsAtCompany]]&gt;10,"10+")</f>
        <v>3-5</v>
      </c>
      <c r="AL589" t="str" cm="1">
        <f t="array" ref="AL58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89">
        <f>IF(HR_Employee_Attrition[[#This Row],[Attrition]]="Yes",1,0)</f>
        <v>0</v>
      </c>
    </row>
    <row r="590" spans="1:39"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IF(HR_Employee_Attrition[[#This Row],[Age]]&gt;60,"60+",IF(HR_Employee_Attrition[[#This Row],[Age]]&gt;=50,"50-59",IF(HR_Employee_Attrition[[#This Row],[Age]]&gt;=40,"40-49",IF(HR_Employee_Attrition[[#This Row],[Age]]&gt;=30,"30-39",IF(HR_Employee_Attrition[[#This Row],[Age]]&gt;=20,"20-29",IF(HR_Employee_Attrition[[#This Row],[Age]]&gt;=18,"18-20"))))))</f>
        <v>50-59</v>
      </c>
      <c r="AK590" t="str" cm="1">
        <f t="array" ref="AK590">_xlfn.IFS(HR_Employee_Attrition[[#This Row],[YearsAtCompany]]&lt;=2,"0-2",HR_Employee_Attrition[[#This Row],[YearsAtCompany]]&lt;=5,"3-5",HR_Employee_Attrition[[#This Row],[YearsAtCompany]]&lt;=10,"6-10",HR_Employee_Attrition[[#This Row],[YearsAtCompany]]&gt;10,"10+")</f>
        <v>3-5</v>
      </c>
      <c r="AL590" t="str" cm="1">
        <f t="array" ref="AL59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590">
        <f>IF(HR_Employee_Attrition[[#This Row],[Attrition]]="Yes",1,0)</f>
        <v>0</v>
      </c>
    </row>
    <row r="591" spans="1:39"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IF(HR_Employee_Attrition[[#This Row],[Age]]&gt;60,"60+",IF(HR_Employee_Attrition[[#This Row],[Age]]&gt;=50,"50-59",IF(HR_Employee_Attrition[[#This Row],[Age]]&gt;=40,"40-49",IF(HR_Employee_Attrition[[#This Row],[Age]]&gt;=30,"30-39",IF(HR_Employee_Attrition[[#This Row],[Age]]&gt;=20,"20-29",IF(HR_Employee_Attrition[[#This Row],[Age]]&gt;=18,"18-20"))))))</f>
        <v>20-29</v>
      </c>
      <c r="AK591" t="str" cm="1">
        <f t="array" ref="AK591">_xlfn.IFS(HR_Employee_Attrition[[#This Row],[YearsAtCompany]]&lt;=2,"0-2",HR_Employee_Attrition[[#This Row],[YearsAtCompany]]&lt;=5,"3-5",HR_Employee_Attrition[[#This Row],[YearsAtCompany]]&lt;=10,"6-10",HR_Employee_Attrition[[#This Row],[YearsAtCompany]]&gt;10,"10+")</f>
        <v>0-2</v>
      </c>
      <c r="AL591" t="str" cm="1">
        <f t="array" ref="AL59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91">
        <f>IF(HR_Employee_Attrition[[#This Row],[Attrition]]="Yes",1,0)</f>
        <v>1</v>
      </c>
    </row>
    <row r="592" spans="1:39"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IF(HR_Employee_Attrition[[#This Row],[Age]]&gt;60,"60+",IF(HR_Employee_Attrition[[#This Row],[Age]]&gt;=50,"50-59",IF(HR_Employee_Attrition[[#This Row],[Age]]&gt;=40,"40-49",IF(HR_Employee_Attrition[[#This Row],[Age]]&gt;=30,"30-39",IF(HR_Employee_Attrition[[#This Row],[Age]]&gt;=20,"20-29",IF(HR_Employee_Attrition[[#This Row],[Age]]&gt;=18,"18-20"))))))</f>
        <v>30-39</v>
      </c>
      <c r="AK592" t="str" cm="1">
        <f t="array" ref="AK592">_xlfn.IFS(HR_Employee_Attrition[[#This Row],[YearsAtCompany]]&lt;=2,"0-2",HR_Employee_Attrition[[#This Row],[YearsAtCompany]]&lt;=5,"3-5",HR_Employee_Attrition[[#This Row],[YearsAtCompany]]&lt;=10,"6-10",HR_Employee_Attrition[[#This Row],[YearsAtCompany]]&gt;10,"10+")</f>
        <v>10+</v>
      </c>
      <c r="AL592" t="str" cm="1">
        <f t="array" ref="AL59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592">
        <f>IF(HR_Employee_Attrition[[#This Row],[Attrition]]="Yes",1,0)</f>
        <v>0</v>
      </c>
    </row>
    <row r="593" spans="1:39"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IF(HR_Employee_Attrition[[#This Row],[Age]]&gt;60,"60+",IF(HR_Employee_Attrition[[#This Row],[Age]]&gt;=50,"50-59",IF(HR_Employee_Attrition[[#This Row],[Age]]&gt;=40,"40-49",IF(HR_Employee_Attrition[[#This Row],[Age]]&gt;=30,"30-39",IF(HR_Employee_Attrition[[#This Row],[Age]]&gt;=20,"20-29",IF(HR_Employee_Attrition[[#This Row],[Age]]&gt;=18,"18-20"))))))</f>
        <v>30-39</v>
      </c>
      <c r="AK593" t="str" cm="1">
        <f t="array" ref="AK593">_xlfn.IFS(HR_Employee_Attrition[[#This Row],[YearsAtCompany]]&lt;=2,"0-2",HR_Employee_Attrition[[#This Row],[YearsAtCompany]]&lt;=5,"3-5",HR_Employee_Attrition[[#This Row],[YearsAtCompany]]&lt;=10,"6-10",HR_Employee_Attrition[[#This Row],[YearsAtCompany]]&gt;10,"10+")</f>
        <v>3-5</v>
      </c>
      <c r="AL593" t="str" cm="1">
        <f t="array" ref="AL59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93">
        <f>IF(HR_Employee_Attrition[[#This Row],[Attrition]]="Yes",1,0)</f>
        <v>1</v>
      </c>
    </row>
    <row r="594" spans="1:39"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IF(HR_Employee_Attrition[[#This Row],[Age]]&gt;60,"60+",IF(HR_Employee_Attrition[[#This Row],[Age]]&gt;=50,"50-59",IF(HR_Employee_Attrition[[#This Row],[Age]]&gt;=40,"40-49",IF(HR_Employee_Attrition[[#This Row],[Age]]&gt;=30,"30-39",IF(HR_Employee_Attrition[[#This Row],[Age]]&gt;=20,"20-29",IF(HR_Employee_Attrition[[#This Row],[Age]]&gt;=18,"18-20"))))))</f>
        <v>40-49</v>
      </c>
      <c r="AK594" t="str" cm="1">
        <f t="array" ref="AK594">_xlfn.IFS(HR_Employee_Attrition[[#This Row],[YearsAtCompany]]&lt;=2,"0-2",HR_Employee_Attrition[[#This Row],[YearsAtCompany]]&lt;=5,"3-5",HR_Employee_Attrition[[#This Row],[YearsAtCompany]]&lt;=10,"6-10",HR_Employee_Attrition[[#This Row],[YearsAtCompany]]&gt;10,"10+")</f>
        <v>10+</v>
      </c>
      <c r="AL594" t="str" cm="1">
        <f t="array" ref="AL59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594">
        <f>IF(HR_Employee_Attrition[[#This Row],[Attrition]]="Yes",1,0)</f>
        <v>0</v>
      </c>
    </row>
    <row r="595" spans="1:39"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IF(HR_Employee_Attrition[[#This Row],[Age]]&gt;60,"60+",IF(HR_Employee_Attrition[[#This Row],[Age]]&gt;=50,"50-59",IF(HR_Employee_Attrition[[#This Row],[Age]]&gt;=40,"40-49",IF(HR_Employee_Attrition[[#This Row],[Age]]&gt;=30,"30-39",IF(HR_Employee_Attrition[[#This Row],[Age]]&gt;=20,"20-29",IF(HR_Employee_Attrition[[#This Row],[Age]]&gt;=18,"18-20"))))))</f>
        <v>30-39</v>
      </c>
      <c r="AK595" t="str" cm="1">
        <f t="array" ref="AK595">_xlfn.IFS(HR_Employee_Attrition[[#This Row],[YearsAtCompany]]&lt;=2,"0-2",HR_Employee_Attrition[[#This Row],[YearsAtCompany]]&lt;=5,"3-5",HR_Employee_Attrition[[#This Row],[YearsAtCompany]]&lt;=10,"6-10",HR_Employee_Attrition[[#This Row],[YearsAtCompany]]&gt;10,"10+")</f>
        <v>6-10</v>
      </c>
      <c r="AL595" t="str" cm="1">
        <f t="array" ref="AL59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95">
        <f>IF(HR_Employee_Attrition[[#This Row],[Attrition]]="Yes",1,0)</f>
        <v>0</v>
      </c>
    </row>
    <row r="596" spans="1:39"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IF(HR_Employee_Attrition[[#This Row],[Age]]&gt;60,"60+",IF(HR_Employee_Attrition[[#This Row],[Age]]&gt;=50,"50-59",IF(HR_Employee_Attrition[[#This Row],[Age]]&gt;=40,"40-49",IF(HR_Employee_Attrition[[#This Row],[Age]]&gt;=30,"30-39",IF(HR_Employee_Attrition[[#This Row],[Age]]&gt;=20,"20-29",IF(HR_Employee_Attrition[[#This Row],[Age]]&gt;=18,"18-20"))))))</f>
        <v>20-29</v>
      </c>
      <c r="AK596" t="str" cm="1">
        <f t="array" ref="AK596">_xlfn.IFS(HR_Employee_Attrition[[#This Row],[YearsAtCompany]]&lt;=2,"0-2",HR_Employee_Attrition[[#This Row],[YearsAtCompany]]&lt;=5,"3-5",HR_Employee_Attrition[[#This Row],[YearsAtCompany]]&lt;=10,"6-10",HR_Employee_Attrition[[#This Row],[YearsAtCompany]]&gt;10,"10+")</f>
        <v>6-10</v>
      </c>
      <c r="AL596" t="str" cm="1">
        <f t="array" ref="AL59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96">
        <f>IF(HR_Employee_Attrition[[#This Row],[Attrition]]="Yes",1,0)</f>
        <v>0</v>
      </c>
    </row>
    <row r="597" spans="1:39"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IF(HR_Employee_Attrition[[#This Row],[Age]]&gt;60,"60+",IF(HR_Employee_Attrition[[#This Row],[Age]]&gt;=50,"50-59",IF(HR_Employee_Attrition[[#This Row],[Age]]&gt;=40,"40-49",IF(HR_Employee_Attrition[[#This Row],[Age]]&gt;=30,"30-39",IF(HR_Employee_Attrition[[#This Row],[Age]]&gt;=20,"20-29",IF(HR_Employee_Attrition[[#This Row],[Age]]&gt;=18,"18-20"))))))</f>
        <v>50-59</v>
      </c>
      <c r="AK597" t="str" cm="1">
        <f t="array" ref="AK597">_xlfn.IFS(HR_Employee_Attrition[[#This Row],[YearsAtCompany]]&lt;=2,"0-2",HR_Employee_Attrition[[#This Row],[YearsAtCompany]]&lt;=5,"3-5",HR_Employee_Attrition[[#This Row],[YearsAtCompany]]&lt;=10,"6-10",HR_Employee_Attrition[[#This Row],[YearsAtCompany]]&gt;10,"10+")</f>
        <v>10+</v>
      </c>
      <c r="AL597" t="str" cm="1">
        <f t="array" ref="AL59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597">
        <f>IF(HR_Employee_Attrition[[#This Row],[Attrition]]="Yes",1,0)</f>
        <v>1</v>
      </c>
    </row>
    <row r="598" spans="1:39"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IF(HR_Employee_Attrition[[#This Row],[Age]]&gt;60,"60+",IF(HR_Employee_Attrition[[#This Row],[Age]]&gt;=50,"50-59",IF(HR_Employee_Attrition[[#This Row],[Age]]&gt;=40,"40-49",IF(HR_Employee_Attrition[[#This Row],[Age]]&gt;=30,"30-39",IF(HR_Employee_Attrition[[#This Row],[Age]]&gt;=20,"20-29",IF(HR_Employee_Attrition[[#This Row],[Age]]&gt;=18,"18-20"))))))</f>
        <v>30-39</v>
      </c>
      <c r="AK598" t="str" cm="1">
        <f t="array" ref="AK598">_xlfn.IFS(HR_Employee_Attrition[[#This Row],[YearsAtCompany]]&lt;=2,"0-2",HR_Employee_Attrition[[#This Row],[YearsAtCompany]]&lt;=5,"3-5",HR_Employee_Attrition[[#This Row],[YearsAtCompany]]&lt;=10,"6-10",HR_Employee_Attrition[[#This Row],[YearsAtCompany]]&gt;10,"10+")</f>
        <v>0-2</v>
      </c>
      <c r="AL598" t="str" cm="1">
        <f t="array" ref="AL59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598">
        <f>IF(HR_Employee_Attrition[[#This Row],[Attrition]]="Yes",1,0)</f>
        <v>0</v>
      </c>
    </row>
    <row r="599" spans="1:39"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IF(HR_Employee_Attrition[[#This Row],[Age]]&gt;60,"60+",IF(HR_Employee_Attrition[[#This Row],[Age]]&gt;=50,"50-59",IF(HR_Employee_Attrition[[#This Row],[Age]]&gt;=40,"40-49",IF(HR_Employee_Attrition[[#This Row],[Age]]&gt;=30,"30-39",IF(HR_Employee_Attrition[[#This Row],[Age]]&gt;=20,"20-29",IF(HR_Employee_Attrition[[#This Row],[Age]]&gt;=18,"18-20"))))))</f>
        <v>40-49</v>
      </c>
      <c r="AK599" t="str" cm="1">
        <f t="array" ref="AK599">_xlfn.IFS(HR_Employee_Attrition[[#This Row],[YearsAtCompany]]&lt;=2,"0-2",HR_Employee_Attrition[[#This Row],[YearsAtCompany]]&lt;=5,"3-5",HR_Employee_Attrition[[#This Row],[YearsAtCompany]]&lt;=10,"6-10",HR_Employee_Attrition[[#This Row],[YearsAtCompany]]&gt;10,"10+")</f>
        <v>3-5</v>
      </c>
      <c r="AL599" t="str" cm="1">
        <f t="array" ref="AL59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599">
        <f>IF(HR_Employee_Attrition[[#This Row],[Attrition]]="Yes",1,0)</f>
        <v>0</v>
      </c>
    </row>
    <row r="600" spans="1:39"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IF(HR_Employee_Attrition[[#This Row],[Age]]&gt;60,"60+",IF(HR_Employee_Attrition[[#This Row],[Age]]&gt;=50,"50-59",IF(HR_Employee_Attrition[[#This Row],[Age]]&gt;=40,"40-49",IF(HR_Employee_Attrition[[#This Row],[Age]]&gt;=30,"30-39",IF(HR_Employee_Attrition[[#This Row],[Age]]&gt;=20,"20-29",IF(HR_Employee_Attrition[[#This Row],[Age]]&gt;=18,"18-20"))))))</f>
        <v>20-29</v>
      </c>
      <c r="AK600" t="str" cm="1">
        <f t="array" ref="AK600">_xlfn.IFS(HR_Employee_Attrition[[#This Row],[YearsAtCompany]]&lt;=2,"0-2",HR_Employee_Attrition[[#This Row],[YearsAtCompany]]&lt;=5,"3-5",HR_Employee_Attrition[[#This Row],[YearsAtCompany]]&lt;=10,"6-10",HR_Employee_Attrition[[#This Row],[YearsAtCompany]]&gt;10,"10+")</f>
        <v>0-2</v>
      </c>
      <c r="AL600" t="str" cm="1">
        <f t="array" ref="AL60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00">
        <f>IF(HR_Employee_Attrition[[#This Row],[Attrition]]="Yes",1,0)</f>
        <v>1</v>
      </c>
    </row>
    <row r="601" spans="1:39"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IF(HR_Employee_Attrition[[#This Row],[Age]]&gt;60,"60+",IF(HR_Employee_Attrition[[#This Row],[Age]]&gt;=50,"50-59",IF(HR_Employee_Attrition[[#This Row],[Age]]&gt;=40,"40-49",IF(HR_Employee_Attrition[[#This Row],[Age]]&gt;=30,"30-39",IF(HR_Employee_Attrition[[#This Row],[Age]]&gt;=20,"20-29",IF(HR_Employee_Attrition[[#This Row],[Age]]&gt;=18,"18-20"))))))</f>
        <v>30-39</v>
      </c>
      <c r="AK601" t="str" cm="1">
        <f t="array" ref="AK601">_xlfn.IFS(HR_Employee_Attrition[[#This Row],[YearsAtCompany]]&lt;=2,"0-2",HR_Employee_Attrition[[#This Row],[YearsAtCompany]]&lt;=5,"3-5",HR_Employee_Attrition[[#This Row],[YearsAtCompany]]&lt;=10,"6-10",HR_Employee_Attrition[[#This Row],[YearsAtCompany]]&gt;10,"10+")</f>
        <v>3-5</v>
      </c>
      <c r="AL601" t="str" cm="1">
        <f t="array" ref="AL60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01">
        <f>IF(HR_Employee_Attrition[[#This Row],[Attrition]]="Yes",1,0)</f>
        <v>0</v>
      </c>
    </row>
    <row r="602" spans="1:39"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IF(HR_Employee_Attrition[[#This Row],[Age]]&gt;60,"60+",IF(HR_Employee_Attrition[[#This Row],[Age]]&gt;=50,"50-59",IF(HR_Employee_Attrition[[#This Row],[Age]]&gt;=40,"40-49",IF(HR_Employee_Attrition[[#This Row],[Age]]&gt;=30,"30-39",IF(HR_Employee_Attrition[[#This Row],[Age]]&gt;=20,"20-29",IF(HR_Employee_Attrition[[#This Row],[Age]]&gt;=18,"18-20"))))))</f>
        <v>30-39</v>
      </c>
      <c r="AK602" t="str" cm="1">
        <f t="array" ref="AK602">_xlfn.IFS(HR_Employee_Attrition[[#This Row],[YearsAtCompany]]&lt;=2,"0-2",HR_Employee_Attrition[[#This Row],[YearsAtCompany]]&lt;=5,"3-5",HR_Employee_Attrition[[#This Row],[YearsAtCompany]]&lt;=10,"6-10",HR_Employee_Attrition[[#This Row],[YearsAtCompany]]&gt;10,"10+")</f>
        <v>10+</v>
      </c>
      <c r="AL602" t="str" cm="1">
        <f t="array" ref="AL60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02">
        <f>IF(HR_Employee_Attrition[[#This Row],[Attrition]]="Yes",1,0)</f>
        <v>0</v>
      </c>
    </row>
    <row r="603" spans="1:39"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IF(HR_Employee_Attrition[[#This Row],[Age]]&gt;60,"60+",IF(HR_Employee_Attrition[[#This Row],[Age]]&gt;=50,"50-59",IF(HR_Employee_Attrition[[#This Row],[Age]]&gt;=40,"40-49",IF(HR_Employee_Attrition[[#This Row],[Age]]&gt;=30,"30-39",IF(HR_Employee_Attrition[[#This Row],[Age]]&gt;=20,"20-29",IF(HR_Employee_Attrition[[#This Row],[Age]]&gt;=18,"18-20"))))))</f>
        <v>40-49</v>
      </c>
      <c r="AK603" t="str" cm="1">
        <f t="array" ref="AK603">_xlfn.IFS(HR_Employee_Attrition[[#This Row],[YearsAtCompany]]&lt;=2,"0-2",HR_Employee_Attrition[[#This Row],[YearsAtCompany]]&lt;=5,"3-5",HR_Employee_Attrition[[#This Row],[YearsAtCompany]]&lt;=10,"6-10",HR_Employee_Attrition[[#This Row],[YearsAtCompany]]&gt;10,"10+")</f>
        <v>0-2</v>
      </c>
      <c r="AL603" t="str" cm="1">
        <f t="array" ref="AL60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03">
        <f>IF(HR_Employee_Attrition[[#This Row],[Attrition]]="Yes",1,0)</f>
        <v>0</v>
      </c>
    </row>
    <row r="604" spans="1:39"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IF(HR_Employee_Attrition[[#This Row],[Age]]&gt;60,"60+",IF(HR_Employee_Attrition[[#This Row],[Age]]&gt;=50,"50-59",IF(HR_Employee_Attrition[[#This Row],[Age]]&gt;=40,"40-49",IF(HR_Employee_Attrition[[#This Row],[Age]]&gt;=30,"30-39",IF(HR_Employee_Attrition[[#This Row],[Age]]&gt;=20,"20-29",IF(HR_Employee_Attrition[[#This Row],[Age]]&gt;=18,"18-20"))))))</f>
        <v>30-39</v>
      </c>
      <c r="AK604" t="str" cm="1">
        <f t="array" ref="AK604">_xlfn.IFS(HR_Employee_Attrition[[#This Row],[YearsAtCompany]]&lt;=2,"0-2",HR_Employee_Attrition[[#This Row],[YearsAtCompany]]&lt;=5,"3-5",HR_Employee_Attrition[[#This Row],[YearsAtCompany]]&lt;=10,"6-10",HR_Employee_Attrition[[#This Row],[YearsAtCompany]]&gt;10,"10+")</f>
        <v>0-2</v>
      </c>
      <c r="AL604" t="str" cm="1">
        <f t="array" ref="AL60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04">
        <f>IF(HR_Employee_Attrition[[#This Row],[Attrition]]="Yes",1,0)</f>
        <v>0</v>
      </c>
    </row>
    <row r="605" spans="1:39"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IF(HR_Employee_Attrition[[#This Row],[Age]]&gt;60,"60+",IF(HR_Employee_Attrition[[#This Row],[Age]]&gt;=50,"50-59",IF(HR_Employee_Attrition[[#This Row],[Age]]&gt;=40,"40-49",IF(HR_Employee_Attrition[[#This Row],[Age]]&gt;=30,"30-39",IF(HR_Employee_Attrition[[#This Row],[Age]]&gt;=20,"20-29",IF(HR_Employee_Attrition[[#This Row],[Age]]&gt;=18,"18-20"))))))</f>
        <v>40-49</v>
      </c>
      <c r="AK605" t="str" cm="1">
        <f t="array" ref="AK605">_xlfn.IFS(HR_Employee_Attrition[[#This Row],[YearsAtCompany]]&lt;=2,"0-2",HR_Employee_Attrition[[#This Row],[YearsAtCompany]]&lt;=5,"3-5",HR_Employee_Attrition[[#This Row],[YearsAtCompany]]&lt;=10,"6-10",HR_Employee_Attrition[[#This Row],[YearsAtCompany]]&gt;10,"10+")</f>
        <v>0-2</v>
      </c>
      <c r="AL605" t="str" cm="1">
        <f t="array" ref="AL60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05">
        <f>IF(HR_Employee_Attrition[[#This Row],[Attrition]]="Yes",1,0)</f>
        <v>0</v>
      </c>
    </row>
    <row r="606" spans="1:39"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IF(HR_Employee_Attrition[[#This Row],[Age]]&gt;60,"60+",IF(HR_Employee_Attrition[[#This Row],[Age]]&gt;=50,"50-59",IF(HR_Employee_Attrition[[#This Row],[Age]]&gt;=40,"40-49",IF(HR_Employee_Attrition[[#This Row],[Age]]&gt;=30,"30-39",IF(HR_Employee_Attrition[[#This Row],[Age]]&gt;=20,"20-29",IF(HR_Employee_Attrition[[#This Row],[Age]]&gt;=18,"18-20"))))))</f>
        <v>40-49</v>
      </c>
      <c r="AK606" t="str" cm="1">
        <f t="array" ref="AK606">_xlfn.IFS(HR_Employee_Attrition[[#This Row],[YearsAtCompany]]&lt;=2,"0-2",HR_Employee_Attrition[[#This Row],[YearsAtCompany]]&lt;=5,"3-5",HR_Employee_Attrition[[#This Row],[YearsAtCompany]]&lt;=10,"6-10",HR_Employee_Attrition[[#This Row],[YearsAtCompany]]&gt;10,"10+")</f>
        <v>6-10</v>
      </c>
      <c r="AL606" t="str" cm="1">
        <f t="array" ref="AL60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06">
        <f>IF(HR_Employee_Attrition[[#This Row],[Attrition]]="Yes",1,0)</f>
        <v>0</v>
      </c>
    </row>
    <row r="607" spans="1:39"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IF(HR_Employee_Attrition[[#This Row],[Age]]&gt;60,"60+",IF(HR_Employee_Attrition[[#This Row],[Age]]&gt;=50,"50-59",IF(HR_Employee_Attrition[[#This Row],[Age]]&gt;=40,"40-49",IF(HR_Employee_Attrition[[#This Row],[Age]]&gt;=30,"30-39",IF(HR_Employee_Attrition[[#This Row],[Age]]&gt;=20,"20-29",IF(HR_Employee_Attrition[[#This Row],[Age]]&gt;=18,"18-20"))))))</f>
        <v>30-39</v>
      </c>
      <c r="AK607" t="str" cm="1">
        <f t="array" ref="AK607">_xlfn.IFS(HR_Employee_Attrition[[#This Row],[YearsAtCompany]]&lt;=2,"0-2",HR_Employee_Attrition[[#This Row],[YearsAtCompany]]&lt;=5,"3-5",HR_Employee_Attrition[[#This Row],[YearsAtCompany]]&lt;=10,"6-10",HR_Employee_Attrition[[#This Row],[YearsAtCompany]]&gt;10,"10+")</f>
        <v>3-5</v>
      </c>
      <c r="AL607" t="str" cm="1">
        <f t="array" ref="AL60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07">
        <f>IF(HR_Employee_Attrition[[#This Row],[Attrition]]="Yes",1,0)</f>
        <v>0</v>
      </c>
    </row>
    <row r="608" spans="1:39"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IF(HR_Employee_Attrition[[#This Row],[Age]]&gt;60,"60+",IF(HR_Employee_Attrition[[#This Row],[Age]]&gt;=50,"50-59",IF(HR_Employee_Attrition[[#This Row],[Age]]&gt;=40,"40-49",IF(HR_Employee_Attrition[[#This Row],[Age]]&gt;=30,"30-39",IF(HR_Employee_Attrition[[#This Row],[Age]]&gt;=20,"20-29",IF(HR_Employee_Attrition[[#This Row],[Age]]&gt;=18,"18-20"))))))</f>
        <v>30-39</v>
      </c>
      <c r="AK608" t="str" cm="1">
        <f t="array" ref="AK608">_xlfn.IFS(HR_Employee_Attrition[[#This Row],[YearsAtCompany]]&lt;=2,"0-2",HR_Employee_Attrition[[#This Row],[YearsAtCompany]]&lt;=5,"3-5",HR_Employee_Attrition[[#This Row],[YearsAtCompany]]&lt;=10,"6-10",HR_Employee_Attrition[[#This Row],[YearsAtCompany]]&gt;10,"10+")</f>
        <v>3-5</v>
      </c>
      <c r="AL608" t="str" cm="1">
        <f t="array" ref="AL60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08">
        <f>IF(HR_Employee_Attrition[[#This Row],[Attrition]]="Yes",1,0)</f>
        <v>0</v>
      </c>
    </row>
    <row r="609" spans="1:39"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IF(HR_Employee_Attrition[[#This Row],[Age]]&gt;60,"60+",IF(HR_Employee_Attrition[[#This Row],[Age]]&gt;=50,"50-59",IF(HR_Employee_Attrition[[#This Row],[Age]]&gt;=40,"40-49",IF(HR_Employee_Attrition[[#This Row],[Age]]&gt;=30,"30-39",IF(HR_Employee_Attrition[[#This Row],[Age]]&gt;=20,"20-29",IF(HR_Employee_Attrition[[#This Row],[Age]]&gt;=18,"18-20"))))))</f>
        <v>40-49</v>
      </c>
      <c r="AK609" t="str" cm="1">
        <f t="array" ref="AK609">_xlfn.IFS(HR_Employee_Attrition[[#This Row],[YearsAtCompany]]&lt;=2,"0-2",HR_Employee_Attrition[[#This Row],[YearsAtCompany]]&lt;=5,"3-5",HR_Employee_Attrition[[#This Row],[YearsAtCompany]]&lt;=10,"6-10",HR_Employee_Attrition[[#This Row],[YearsAtCompany]]&gt;10,"10+")</f>
        <v>6-10</v>
      </c>
      <c r="AL609" t="str" cm="1">
        <f t="array" ref="AL60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09">
        <f>IF(HR_Employee_Attrition[[#This Row],[Attrition]]="Yes",1,0)</f>
        <v>1</v>
      </c>
    </row>
    <row r="610" spans="1:39"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IF(HR_Employee_Attrition[[#This Row],[Age]]&gt;60,"60+",IF(HR_Employee_Attrition[[#This Row],[Age]]&gt;=50,"50-59",IF(HR_Employee_Attrition[[#This Row],[Age]]&gt;=40,"40-49",IF(HR_Employee_Attrition[[#This Row],[Age]]&gt;=30,"30-39",IF(HR_Employee_Attrition[[#This Row],[Age]]&gt;=20,"20-29",IF(HR_Employee_Attrition[[#This Row],[Age]]&gt;=18,"18-20"))))))</f>
        <v>50-59</v>
      </c>
      <c r="AK610" t="str" cm="1">
        <f t="array" ref="AK610">_xlfn.IFS(HR_Employee_Attrition[[#This Row],[YearsAtCompany]]&lt;=2,"0-2",HR_Employee_Attrition[[#This Row],[YearsAtCompany]]&lt;=5,"3-5",HR_Employee_Attrition[[#This Row],[YearsAtCompany]]&lt;=10,"6-10",HR_Employee_Attrition[[#This Row],[YearsAtCompany]]&gt;10,"10+")</f>
        <v>6-10</v>
      </c>
      <c r="AL610" t="str" cm="1">
        <f t="array" ref="AL6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10">
        <f>IF(HR_Employee_Attrition[[#This Row],[Attrition]]="Yes",1,0)</f>
        <v>1</v>
      </c>
    </row>
    <row r="611" spans="1:39"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IF(HR_Employee_Attrition[[#This Row],[Age]]&gt;60,"60+",IF(HR_Employee_Attrition[[#This Row],[Age]]&gt;=50,"50-59",IF(HR_Employee_Attrition[[#This Row],[Age]]&gt;=40,"40-49",IF(HR_Employee_Attrition[[#This Row],[Age]]&gt;=30,"30-39",IF(HR_Employee_Attrition[[#This Row],[Age]]&gt;=20,"20-29",IF(HR_Employee_Attrition[[#This Row],[Age]]&gt;=18,"18-20"))))))</f>
        <v>40-49</v>
      </c>
      <c r="AK611" t="str" cm="1">
        <f t="array" ref="AK611">_xlfn.IFS(HR_Employee_Attrition[[#This Row],[YearsAtCompany]]&lt;=2,"0-2",HR_Employee_Attrition[[#This Row],[YearsAtCompany]]&lt;=5,"3-5",HR_Employee_Attrition[[#This Row],[YearsAtCompany]]&lt;=10,"6-10",HR_Employee_Attrition[[#This Row],[YearsAtCompany]]&gt;10,"10+")</f>
        <v>3-5</v>
      </c>
      <c r="AL611" t="str" cm="1">
        <f t="array" ref="AL6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611">
        <f>IF(HR_Employee_Attrition[[#This Row],[Attrition]]="Yes",1,0)</f>
        <v>0</v>
      </c>
    </row>
    <row r="612" spans="1:39"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IF(HR_Employee_Attrition[[#This Row],[Age]]&gt;60,"60+",IF(HR_Employee_Attrition[[#This Row],[Age]]&gt;=50,"50-59",IF(HR_Employee_Attrition[[#This Row],[Age]]&gt;=40,"40-49",IF(HR_Employee_Attrition[[#This Row],[Age]]&gt;=30,"30-39",IF(HR_Employee_Attrition[[#This Row],[Age]]&gt;=20,"20-29",IF(HR_Employee_Attrition[[#This Row],[Age]]&gt;=18,"18-20"))))))</f>
        <v>20-29</v>
      </c>
      <c r="AK612" t="str" cm="1">
        <f t="array" ref="AK612">_xlfn.IFS(HR_Employee_Attrition[[#This Row],[YearsAtCompany]]&lt;=2,"0-2",HR_Employee_Attrition[[#This Row],[YearsAtCompany]]&lt;=5,"3-5",HR_Employee_Attrition[[#This Row],[YearsAtCompany]]&lt;=10,"6-10",HR_Employee_Attrition[[#This Row],[YearsAtCompany]]&gt;10,"10+")</f>
        <v>6-10</v>
      </c>
      <c r="AL612" t="str" cm="1">
        <f t="array" ref="AL6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12">
        <f>IF(HR_Employee_Attrition[[#This Row],[Attrition]]="Yes",1,0)</f>
        <v>0</v>
      </c>
    </row>
    <row r="613" spans="1:39"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IF(HR_Employee_Attrition[[#This Row],[Age]]&gt;60,"60+",IF(HR_Employee_Attrition[[#This Row],[Age]]&gt;=50,"50-59",IF(HR_Employee_Attrition[[#This Row],[Age]]&gt;=40,"40-49",IF(HR_Employee_Attrition[[#This Row],[Age]]&gt;=30,"30-39",IF(HR_Employee_Attrition[[#This Row],[Age]]&gt;=20,"20-29",IF(HR_Employee_Attrition[[#This Row],[Age]]&gt;=18,"18-20"))))))</f>
        <v>30-39</v>
      </c>
      <c r="AK613" t="str" cm="1">
        <f t="array" ref="AK613">_xlfn.IFS(HR_Employee_Attrition[[#This Row],[YearsAtCompany]]&lt;=2,"0-2",HR_Employee_Attrition[[#This Row],[YearsAtCompany]]&lt;=5,"3-5",HR_Employee_Attrition[[#This Row],[YearsAtCompany]]&lt;=10,"6-10",HR_Employee_Attrition[[#This Row],[YearsAtCompany]]&gt;10,"10+")</f>
        <v>6-10</v>
      </c>
      <c r="AL613" t="str" cm="1">
        <f t="array" ref="AL6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13">
        <f>IF(HR_Employee_Attrition[[#This Row],[Attrition]]="Yes",1,0)</f>
        <v>0</v>
      </c>
    </row>
    <row r="614" spans="1:39"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IF(HR_Employee_Attrition[[#This Row],[Age]]&gt;60,"60+",IF(HR_Employee_Attrition[[#This Row],[Age]]&gt;=50,"50-59",IF(HR_Employee_Attrition[[#This Row],[Age]]&gt;=40,"40-49",IF(HR_Employee_Attrition[[#This Row],[Age]]&gt;=30,"30-39",IF(HR_Employee_Attrition[[#This Row],[Age]]&gt;=20,"20-29",IF(HR_Employee_Attrition[[#This Row],[Age]]&gt;=18,"18-20"))))))</f>
        <v>20-29</v>
      </c>
      <c r="AK614" t="str" cm="1">
        <f t="array" ref="AK614">_xlfn.IFS(HR_Employee_Attrition[[#This Row],[YearsAtCompany]]&lt;=2,"0-2",HR_Employee_Attrition[[#This Row],[YearsAtCompany]]&lt;=5,"3-5",HR_Employee_Attrition[[#This Row],[YearsAtCompany]]&lt;=10,"6-10",HR_Employee_Attrition[[#This Row],[YearsAtCompany]]&gt;10,"10+")</f>
        <v>6-10</v>
      </c>
      <c r="AL614" t="str" cm="1">
        <f t="array" ref="AL6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14">
        <f>IF(HR_Employee_Attrition[[#This Row],[Attrition]]="Yes",1,0)</f>
        <v>0</v>
      </c>
    </row>
    <row r="615" spans="1:39"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IF(HR_Employee_Attrition[[#This Row],[Age]]&gt;60,"60+",IF(HR_Employee_Attrition[[#This Row],[Age]]&gt;=50,"50-59",IF(HR_Employee_Attrition[[#This Row],[Age]]&gt;=40,"40-49",IF(HR_Employee_Attrition[[#This Row],[Age]]&gt;=30,"30-39",IF(HR_Employee_Attrition[[#This Row],[Age]]&gt;=20,"20-29",IF(HR_Employee_Attrition[[#This Row],[Age]]&gt;=18,"18-20"))))))</f>
        <v>30-39</v>
      </c>
      <c r="AK615" t="str" cm="1">
        <f t="array" ref="AK615">_xlfn.IFS(HR_Employee_Attrition[[#This Row],[YearsAtCompany]]&lt;=2,"0-2",HR_Employee_Attrition[[#This Row],[YearsAtCompany]]&lt;=5,"3-5",HR_Employee_Attrition[[#This Row],[YearsAtCompany]]&lt;=10,"6-10",HR_Employee_Attrition[[#This Row],[YearsAtCompany]]&gt;10,"10+")</f>
        <v>3-5</v>
      </c>
      <c r="AL615" t="str" cm="1">
        <f t="array" ref="AL6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15">
        <f>IF(HR_Employee_Attrition[[#This Row],[Attrition]]="Yes",1,0)</f>
        <v>0</v>
      </c>
    </row>
    <row r="616" spans="1:39"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IF(HR_Employee_Attrition[[#This Row],[Age]]&gt;60,"60+",IF(HR_Employee_Attrition[[#This Row],[Age]]&gt;=50,"50-59",IF(HR_Employee_Attrition[[#This Row],[Age]]&gt;=40,"40-49",IF(HR_Employee_Attrition[[#This Row],[Age]]&gt;=30,"30-39",IF(HR_Employee_Attrition[[#This Row],[Age]]&gt;=20,"20-29",IF(HR_Employee_Attrition[[#This Row],[Age]]&gt;=18,"18-20"))))))</f>
        <v>20-29</v>
      </c>
      <c r="AK616" t="str" cm="1">
        <f t="array" ref="AK616">_xlfn.IFS(HR_Employee_Attrition[[#This Row],[YearsAtCompany]]&lt;=2,"0-2",HR_Employee_Attrition[[#This Row],[YearsAtCompany]]&lt;=5,"3-5",HR_Employee_Attrition[[#This Row],[YearsAtCompany]]&lt;=10,"6-10",HR_Employee_Attrition[[#This Row],[YearsAtCompany]]&gt;10,"10+")</f>
        <v>6-10</v>
      </c>
      <c r="AL616" t="str" cm="1">
        <f t="array" ref="AL6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16">
        <f>IF(HR_Employee_Attrition[[#This Row],[Attrition]]="Yes",1,0)</f>
        <v>1</v>
      </c>
    </row>
    <row r="617" spans="1:39"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IF(HR_Employee_Attrition[[#This Row],[Age]]&gt;60,"60+",IF(HR_Employee_Attrition[[#This Row],[Age]]&gt;=50,"50-59",IF(HR_Employee_Attrition[[#This Row],[Age]]&gt;=40,"40-49",IF(HR_Employee_Attrition[[#This Row],[Age]]&gt;=30,"30-39",IF(HR_Employee_Attrition[[#This Row],[Age]]&gt;=20,"20-29",IF(HR_Employee_Attrition[[#This Row],[Age]]&gt;=18,"18-20"))))))</f>
        <v>20-29</v>
      </c>
      <c r="AK617" t="str" cm="1">
        <f t="array" ref="AK617">_xlfn.IFS(HR_Employee_Attrition[[#This Row],[YearsAtCompany]]&lt;=2,"0-2",HR_Employee_Attrition[[#This Row],[YearsAtCompany]]&lt;=5,"3-5",HR_Employee_Attrition[[#This Row],[YearsAtCompany]]&lt;=10,"6-10",HR_Employee_Attrition[[#This Row],[YearsAtCompany]]&gt;10,"10+")</f>
        <v>0-2</v>
      </c>
      <c r="AL617" t="str" cm="1">
        <f t="array" ref="AL6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17">
        <f>IF(HR_Employee_Attrition[[#This Row],[Attrition]]="Yes",1,0)</f>
        <v>0</v>
      </c>
    </row>
    <row r="618" spans="1:39"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IF(HR_Employee_Attrition[[#This Row],[Age]]&gt;60,"60+",IF(HR_Employee_Attrition[[#This Row],[Age]]&gt;=50,"50-59",IF(HR_Employee_Attrition[[#This Row],[Age]]&gt;=40,"40-49",IF(HR_Employee_Attrition[[#This Row],[Age]]&gt;=30,"30-39",IF(HR_Employee_Attrition[[#This Row],[Age]]&gt;=20,"20-29",IF(HR_Employee_Attrition[[#This Row],[Age]]&gt;=18,"18-20"))))))</f>
        <v>50-59</v>
      </c>
      <c r="AK618" t="str" cm="1">
        <f t="array" ref="AK618">_xlfn.IFS(HR_Employee_Attrition[[#This Row],[YearsAtCompany]]&lt;=2,"0-2",HR_Employee_Attrition[[#This Row],[YearsAtCompany]]&lt;=5,"3-5",HR_Employee_Attrition[[#This Row],[YearsAtCompany]]&lt;=10,"6-10",HR_Employee_Attrition[[#This Row],[YearsAtCompany]]&gt;10,"10+")</f>
        <v>10+</v>
      </c>
      <c r="AL618" t="str" cm="1">
        <f t="array" ref="AL6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618">
        <f>IF(HR_Employee_Attrition[[#This Row],[Attrition]]="Yes",1,0)</f>
        <v>0</v>
      </c>
    </row>
    <row r="619" spans="1:39"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IF(HR_Employee_Attrition[[#This Row],[Age]]&gt;60,"60+",IF(HR_Employee_Attrition[[#This Row],[Age]]&gt;=50,"50-59",IF(HR_Employee_Attrition[[#This Row],[Age]]&gt;=40,"40-49",IF(HR_Employee_Attrition[[#This Row],[Age]]&gt;=30,"30-39",IF(HR_Employee_Attrition[[#This Row],[Age]]&gt;=20,"20-29",IF(HR_Employee_Attrition[[#This Row],[Age]]&gt;=18,"18-20"))))))</f>
        <v>40-49</v>
      </c>
      <c r="AK619" t="str" cm="1">
        <f t="array" ref="AK619">_xlfn.IFS(HR_Employee_Attrition[[#This Row],[YearsAtCompany]]&lt;=2,"0-2",HR_Employee_Attrition[[#This Row],[YearsAtCompany]]&lt;=5,"3-5",HR_Employee_Attrition[[#This Row],[YearsAtCompany]]&lt;=10,"6-10",HR_Employee_Attrition[[#This Row],[YearsAtCompany]]&gt;10,"10+")</f>
        <v>3-5</v>
      </c>
      <c r="AL619" t="str" cm="1">
        <f t="array" ref="AL6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19">
        <f>IF(HR_Employee_Attrition[[#This Row],[Attrition]]="Yes",1,0)</f>
        <v>0</v>
      </c>
    </row>
    <row r="620" spans="1:39"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IF(HR_Employee_Attrition[[#This Row],[Age]]&gt;60,"60+",IF(HR_Employee_Attrition[[#This Row],[Age]]&gt;=50,"50-59",IF(HR_Employee_Attrition[[#This Row],[Age]]&gt;=40,"40-49",IF(HR_Employee_Attrition[[#This Row],[Age]]&gt;=30,"30-39",IF(HR_Employee_Attrition[[#This Row],[Age]]&gt;=20,"20-29",IF(HR_Employee_Attrition[[#This Row],[Age]]&gt;=18,"18-20"))))))</f>
        <v>20-29</v>
      </c>
      <c r="AK620" t="str" cm="1">
        <f t="array" ref="AK620">_xlfn.IFS(HR_Employee_Attrition[[#This Row],[YearsAtCompany]]&lt;=2,"0-2",HR_Employee_Attrition[[#This Row],[YearsAtCompany]]&lt;=5,"3-5",HR_Employee_Attrition[[#This Row],[YearsAtCompany]]&lt;=10,"6-10",HR_Employee_Attrition[[#This Row],[YearsAtCompany]]&gt;10,"10+")</f>
        <v>3-5</v>
      </c>
      <c r="AL620" t="str" cm="1">
        <f t="array" ref="AL6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20">
        <f>IF(HR_Employee_Attrition[[#This Row],[Attrition]]="Yes",1,0)</f>
        <v>0</v>
      </c>
    </row>
    <row r="621" spans="1:39"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IF(HR_Employee_Attrition[[#This Row],[Age]]&gt;60,"60+",IF(HR_Employee_Attrition[[#This Row],[Age]]&gt;=50,"50-59",IF(HR_Employee_Attrition[[#This Row],[Age]]&gt;=40,"40-49",IF(HR_Employee_Attrition[[#This Row],[Age]]&gt;=30,"30-39",IF(HR_Employee_Attrition[[#This Row],[Age]]&gt;=20,"20-29",IF(HR_Employee_Attrition[[#This Row],[Age]]&gt;=18,"18-20"))))))</f>
        <v>30-39</v>
      </c>
      <c r="AK621" t="str" cm="1">
        <f t="array" ref="AK621">_xlfn.IFS(HR_Employee_Attrition[[#This Row],[YearsAtCompany]]&lt;=2,"0-2",HR_Employee_Attrition[[#This Row],[YearsAtCompany]]&lt;=5,"3-5",HR_Employee_Attrition[[#This Row],[YearsAtCompany]]&lt;=10,"6-10",HR_Employee_Attrition[[#This Row],[YearsAtCompany]]&gt;10,"10+")</f>
        <v>6-10</v>
      </c>
      <c r="AL621" t="str" cm="1">
        <f t="array" ref="AL6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21">
        <f>IF(HR_Employee_Attrition[[#This Row],[Attrition]]="Yes",1,0)</f>
        <v>0</v>
      </c>
    </row>
    <row r="622" spans="1:39"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IF(HR_Employee_Attrition[[#This Row],[Age]]&gt;60,"60+",IF(HR_Employee_Attrition[[#This Row],[Age]]&gt;=50,"50-59",IF(HR_Employee_Attrition[[#This Row],[Age]]&gt;=40,"40-49",IF(HR_Employee_Attrition[[#This Row],[Age]]&gt;=30,"30-39",IF(HR_Employee_Attrition[[#This Row],[Age]]&gt;=20,"20-29",IF(HR_Employee_Attrition[[#This Row],[Age]]&gt;=18,"18-20"))))))</f>
        <v>30-39</v>
      </c>
      <c r="AK622" t="str" cm="1">
        <f t="array" ref="AK622">_xlfn.IFS(HR_Employee_Attrition[[#This Row],[YearsAtCompany]]&lt;=2,"0-2",HR_Employee_Attrition[[#This Row],[YearsAtCompany]]&lt;=5,"3-5",HR_Employee_Attrition[[#This Row],[YearsAtCompany]]&lt;=10,"6-10",HR_Employee_Attrition[[#This Row],[YearsAtCompany]]&gt;10,"10+")</f>
        <v>6-10</v>
      </c>
      <c r="AL622" t="str" cm="1">
        <f t="array" ref="AL6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22">
        <f>IF(HR_Employee_Attrition[[#This Row],[Attrition]]="Yes",1,0)</f>
        <v>0</v>
      </c>
    </row>
    <row r="623" spans="1:39"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IF(HR_Employee_Attrition[[#This Row],[Age]]&gt;60,"60+",IF(HR_Employee_Attrition[[#This Row],[Age]]&gt;=50,"50-59",IF(HR_Employee_Attrition[[#This Row],[Age]]&gt;=40,"40-49",IF(HR_Employee_Attrition[[#This Row],[Age]]&gt;=30,"30-39",IF(HR_Employee_Attrition[[#This Row],[Age]]&gt;=20,"20-29",IF(HR_Employee_Attrition[[#This Row],[Age]]&gt;=18,"18-20"))))))</f>
        <v>30-39</v>
      </c>
      <c r="AK623" t="str" cm="1">
        <f t="array" ref="AK623">_xlfn.IFS(HR_Employee_Attrition[[#This Row],[YearsAtCompany]]&lt;=2,"0-2",HR_Employee_Attrition[[#This Row],[YearsAtCompany]]&lt;=5,"3-5",HR_Employee_Attrition[[#This Row],[YearsAtCompany]]&lt;=10,"6-10",HR_Employee_Attrition[[#This Row],[YearsAtCompany]]&gt;10,"10+")</f>
        <v>10+</v>
      </c>
      <c r="AL623" t="str" cm="1">
        <f t="array" ref="AL6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23">
        <f>IF(HR_Employee_Attrition[[#This Row],[Attrition]]="Yes",1,0)</f>
        <v>0</v>
      </c>
    </row>
    <row r="624" spans="1:39"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IF(HR_Employee_Attrition[[#This Row],[Age]]&gt;60,"60+",IF(HR_Employee_Attrition[[#This Row],[Age]]&gt;=50,"50-59",IF(HR_Employee_Attrition[[#This Row],[Age]]&gt;=40,"40-49",IF(HR_Employee_Attrition[[#This Row],[Age]]&gt;=30,"30-39",IF(HR_Employee_Attrition[[#This Row],[Age]]&gt;=20,"20-29",IF(HR_Employee_Attrition[[#This Row],[Age]]&gt;=18,"18-20"))))))</f>
        <v>30-39</v>
      </c>
      <c r="AK624" t="str" cm="1">
        <f t="array" ref="AK624">_xlfn.IFS(HR_Employee_Attrition[[#This Row],[YearsAtCompany]]&lt;=2,"0-2",HR_Employee_Attrition[[#This Row],[YearsAtCompany]]&lt;=5,"3-5",HR_Employee_Attrition[[#This Row],[YearsAtCompany]]&lt;=10,"6-10",HR_Employee_Attrition[[#This Row],[YearsAtCompany]]&gt;10,"10+")</f>
        <v>3-5</v>
      </c>
      <c r="AL624" t="str" cm="1">
        <f t="array" ref="AL6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24">
        <f>IF(HR_Employee_Attrition[[#This Row],[Attrition]]="Yes",1,0)</f>
        <v>0</v>
      </c>
    </row>
    <row r="625" spans="1:39"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IF(HR_Employee_Attrition[[#This Row],[Age]]&gt;60,"60+",IF(HR_Employee_Attrition[[#This Row],[Age]]&gt;=50,"50-59",IF(HR_Employee_Attrition[[#This Row],[Age]]&gt;=40,"40-49",IF(HR_Employee_Attrition[[#This Row],[Age]]&gt;=30,"30-39",IF(HR_Employee_Attrition[[#This Row],[Age]]&gt;=20,"20-29",IF(HR_Employee_Attrition[[#This Row],[Age]]&gt;=18,"18-20"))))))</f>
        <v>30-39</v>
      </c>
      <c r="AK625" t="str" cm="1">
        <f t="array" ref="AK625">_xlfn.IFS(HR_Employee_Attrition[[#This Row],[YearsAtCompany]]&lt;=2,"0-2",HR_Employee_Attrition[[#This Row],[YearsAtCompany]]&lt;=5,"3-5",HR_Employee_Attrition[[#This Row],[YearsAtCompany]]&lt;=10,"6-10",HR_Employee_Attrition[[#This Row],[YearsAtCompany]]&gt;10,"10+")</f>
        <v>3-5</v>
      </c>
      <c r="AL625" t="str" cm="1">
        <f t="array" ref="AL6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25">
        <f>IF(HR_Employee_Attrition[[#This Row],[Attrition]]="Yes",1,0)</f>
        <v>0</v>
      </c>
    </row>
    <row r="626" spans="1:39"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IF(HR_Employee_Attrition[[#This Row],[Age]]&gt;60,"60+",IF(HR_Employee_Attrition[[#This Row],[Age]]&gt;=50,"50-59",IF(HR_Employee_Attrition[[#This Row],[Age]]&gt;=40,"40-49",IF(HR_Employee_Attrition[[#This Row],[Age]]&gt;=30,"30-39",IF(HR_Employee_Attrition[[#This Row],[Age]]&gt;=20,"20-29",IF(HR_Employee_Attrition[[#This Row],[Age]]&gt;=18,"18-20"))))))</f>
        <v>50-59</v>
      </c>
      <c r="AK626" t="str" cm="1">
        <f t="array" ref="AK626">_xlfn.IFS(HR_Employee_Attrition[[#This Row],[YearsAtCompany]]&lt;=2,"0-2",HR_Employee_Attrition[[#This Row],[YearsAtCompany]]&lt;=5,"3-5",HR_Employee_Attrition[[#This Row],[YearsAtCompany]]&lt;=10,"6-10",HR_Employee_Attrition[[#This Row],[YearsAtCompany]]&gt;10,"10+")</f>
        <v>3-5</v>
      </c>
      <c r="AL626" t="str" cm="1">
        <f t="array" ref="AL6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26">
        <f>IF(HR_Employee_Attrition[[#This Row],[Attrition]]="Yes",1,0)</f>
        <v>0</v>
      </c>
    </row>
    <row r="627" spans="1:39"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IF(HR_Employee_Attrition[[#This Row],[Age]]&gt;60,"60+",IF(HR_Employee_Attrition[[#This Row],[Age]]&gt;=50,"50-59",IF(HR_Employee_Attrition[[#This Row],[Age]]&gt;=40,"40-49",IF(HR_Employee_Attrition[[#This Row],[Age]]&gt;=30,"30-39",IF(HR_Employee_Attrition[[#This Row],[Age]]&gt;=20,"20-29",IF(HR_Employee_Attrition[[#This Row],[Age]]&gt;=18,"18-20"))))))</f>
        <v>40-49</v>
      </c>
      <c r="AK627" t="str" cm="1">
        <f t="array" ref="AK627">_xlfn.IFS(HR_Employee_Attrition[[#This Row],[YearsAtCompany]]&lt;=2,"0-2",HR_Employee_Attrition[[#This Row],[YearsAtCompany]]&lt;=5,"3-5",HR_Employee_Attrition[[#This Row],[YearsAtCompany]]&lt;=10,"6-10",HR_Employee_Attrition[[#This Row],[YearsAtCompany]]&gt;10,"10+")</f>
        <v>3-5</v>
      </c>
      <c r="AL627" t="str" cm="1">
        <f t="array" ref="AL6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27">
        <f>IF(HR_Employee_Attrition[[#This Row],[Attrition]]="Yes",1,0)</f>
        <v>0</v>
      </c>
    </row>
    <row r="628" spans="1:39"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IF(HR_Employee_Attrition[[#This Row],[Age]]&gt;60,"60+",IF(HR_Employee_Attrition[[#This Row],[Age]]&gt;=50,"50-59",IF(HR_Employee_Attrition[[#This Row],[Age]]&gt;=40,"40-49",IF(HR_Employee_Attrition[[#This Row],[Age]]&gt;=30,"30-39",IF(HR_Employee_Attrition[[#This Row],[Age]]&gt;=20,"20-29",IF(HR_Employee_Attrition[[#This Row],[Age]]&gt;=18,"18-20"))))))</f>
        <v>30-39</v>
      </c>
      <c r="AK628" t="str" cm="1">
        <f t="array" ref="AK628">_xlfn.IFS(HR_Employee_Attrition[[#This Row],[YearsAtCompany]]&lt;=2,"0-2",HR_Employee_Attrition[[#This Row],[YearsAtCompany]]&lt;=5,"3-5",HR_Employee_Attrition[[#This Row],[YearsAtCompany]]&lt;=10,"6-10",HR_Employee_Attrition[[#This Row],[YearsAtCompany]]&gt;10,"10+")</f>
        <v>3-5</v>
      </c>
      <c r="AL628" t="str" cm="1">
        <f t="array" ref="AL6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28">
        <f>IF(HR_Employee_Attrition[[#This Row],[Attrition]]="Yes",1,0)</f>
        <v>0</v>
      </c>
    </row>
    <row r="629" spans="1:39"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IF(HR_Employee_Attrition[[#This Row],[Age]]&gt;60,"60+",IF(HR_Employee_Attrition[[#This Row],[Age]]&gt;=50,"50-59",IF(HR_Employee_Attrition[[#This Row],[Age]]&gt;=40,"40-49",IF(HR_Employee_Attrition[[#This Row],[Age]]&gt;=30,"30-39",IF(HR_Employee_Attrition[[#This Row],[Age]]&gt;=20,"20-29",IF(HR_Employee_Attrition[[#This Row],[Age]]&gt;=18,"18-20"))))))</f>
        <v>50-59</v>
      </c>
      <c r="AK629" t="str" cm="1">
        <f t="array" ref="AK629">_xlfn.IFS(HR_Employee_Attrition[[#This Row],[YearsAtCompany]]&lt;=2,"0-2",HR_Employee_Attrition[[#This Row],[YearsAtCompany]]&lt;=5,"3-5",HR_Employee_Attrition[[#This Row],[YearsAtCompany]]&lt;=10,"6-10",HR_Employee_Attrition[[#This Row],[YearsAtCompany]]&gt;10,"10+")</f>
        <v>6-10</v>
      </c>
      <c r="AL629" t="str" cm="1">
        <f t="array" ref="AL6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29">
        <f>IF(HR_Employee_Attrition[[#This Row],[Attrition]]="Yes",1,0)</f>
        <v>0</v>
      </c>
    </row>
    <row r="630" spans="1:39"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IF(HR_Employee_Attrition[[#This Row],[Age]]&gt;60,"60+",IF(HR_Employee_Attrition[[#This Row],[Age]]&gt;=50,"50-59",IF(HR_Employee_Attrition[[#This Row],[Age]]&gt;=40,"40-49",IF(HR_Employee_Attrition[[#This Row],[Age]]&gt;=30,"30-39",IF(HR_Employee_Attrition[[#This Row],[Age]]&gt;=20,"20-29",IF(HR_Employee_Attrition[[#This Row],[Age]]&gt;=18,"18-20"))))))</f>
        <v>30-39</v>
      </c>
      <c r="AK630" t="str" cm="1">
        <f t="array" ref="AK630">_xlfn.IFS(HR_Employee_Attrition[[#This Row],[YearsAtCompany]]&lt;=2,"0-2",HR_Employee_Attrition[[#This Row],[YearsAtCompany]]&lt;=5,"3-5",HR_Employee_Attrition[[#This Row],[YearsAtCompany]]&lt;=10,"6-10",HR_Employee_Attrition[[#This Row],[YearsAtCompany]]&gt;10,"10+")</f>
        <v>0-2</v>
      </c>
      <c r="AL630" t="str" cm="1">
        <f t="array" ref="AL6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30">
        <f>IF(HR_Employee_Attrition[[#This Row],[Attrition]]="Yes",1,0)</f>
        <v>0</v>
      </c>
    </row>
    <row r="631" spans="1:39"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IF(HR_Employee_Attrition[[#This Row],[Age]]&gt;60,"60+",IF(HR_Employee_Attrition[[#This Row],[Age]]&gt;=50,"50-59",IF(HR_Employee_Attrition[[#This Row],[Age]]&gt;=40,"40-49",IF(HR_Employee_Attrition[[#This Row],[Age]]&gt;=30,"30-39",IF(HR_Employee_Attrition[[#This Row],[Age]]&gt;=20,"20-29",IF(HR_Employee_Attrition[[#This Row],[Age]]&gt;=18,"18-20"))))))</f>
        <v>20-29</v>
      </c>
      <c r="AK631" t="str" cm="1">
        <f t="array" ref="AK631">_xlfn.IFS(HR_Employee_Attrition[[#This Row],[YearsAtCompany]]&lt;=2,"0-2",HR_Employee_Attrition[[#This Row],[YearsAtCompany]]&lt;=5,"3-5",HR_Employee_Attrition[[#This Row],[YearsAtCompany]]&lt;=10,"6-10",HR_Employee_Attrition[[#This Row],[YearsAtCompany]]&gt;10,"10+")</f>
        <v>3-5</v>
      </c>
      <c r="AL631" t="str" cm="1">
        <f t="array" ref="AL6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31">
        <f>IF(HR_Employee_Attrition[[#This Row],[Attrition]]="Yes",1,0)</f>
        <v>0</v>
      </c>
    </row>
    <row r="632" spans="1:39"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IF(HR_Employee_Attrition[[#This Row],[Age]]&gt;60,"60+",IF(HR_Employee_Attrition[[#This Row],[Age]]&gt;=50,"50-59",IF(HR_Employee_Attrition[[#This Row],[Age]]&gt;=40,"40-49",IF(HR_Employee_Attrition[[#This Row],[Age]]&gt;=30,"30-39",IF(HR_Employee_Attrition[[#This Row],[Age]]&gt;=20,"20-29",IF(HR_Employee_Attrition[[#This Row],[Age]]&gt;=18,"18-20"))))))</f>
        <v>20-29</v>
      </c>
      <c r="AK632" t="str" cm="1">
        <f t="array" ref="AK632">_xlfn.IFS(HR_Employee_Attrition[[#This Row],[YearsAtCompany]]&lt;=2,"0-2",HR_Employee_Attrition[[#This Row],[YearsAtCompany]]&lt;=5,"3-5",HR_Employee_Attrition[[#This Row],[YearsAtCompany]]&lt;=10,"6-10",HR_Employee_Attrition[[#This Row],[YearsAtCompany]]&gt;10,"10+")</f>
        <v>0-2</v>
      </c>
      <c r="AL632" t="str" cm="1">
        <f t="array" ref="AL6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32">
        <f>IF(HR_Employee_Attrition[[#This Row],[Attrition]]="Yes",1,0)</f>
        <v>0</v>
      </c>
    </row>
    <row r="633" spans="1:39"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IF(HR_Employee_Attrition[[#This Row],[Age]]&gt;60,"60+",IF(HR_Employee_Attrition[[#This Row],[Age]]&gt;=50,"50-59",IF(HR_Employee_Attrition[[#This Row],[Age]]&gt;=40,"40-49",IF(HR_Employee_Attrition[[#This Row],[Age]]&gt;=30,"30-39",IF(HR_Employee_Attrition[[#This Row],[Age]]&gt;=20,"20-29",IF(HR_Employee_Attrition[[#This Row],[Age]]&gt;=18,"18-20"))))))</f>
        <v>40-49</v>
      </c>
      <c r="AK633" t="str" cm="1">
        <f t="array" ref="AK633">_xlfn.IFS(HR_Employee_Attrition[[#This Row],[YearsAtCompany]]&lt;=2,"0-2",HR_Employee_Attrition[[#This Row],[YearsAtCompany]]&lt;=5,"3-5",HR_Employee_Attrition[[#This Row],[YearsAtCompany]]&lt;=10,"6-10",HR_Employee_Attrition[[#This Row],[YearsAtCompany]]&gt;10,"10+")</f>
        <v>3-5</v>
      </c>
      <c r="AL633" t="str" cm="1">
        <f t="array" ref="AL6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33">
        <f>IF(HR_Employee_Attrition[[#This Row],[Attrition]]="Yes",1,0)</f>
        <v>0</v>
      </c>
    </row>
    <row r="634" spans="1:39"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IF(HR_Employee_Attrition[[#This Row],[Age]]&gt;60,"60+",IF(HR_Employee_Attrition[[#This Row],[Age]]&gt;=50,"50-59",IF(HR_Employee_Attrition[[#This Row],[Age]]&gt;=40,"40-49",IF(HR_Employee_Attrition[[#This Row],[Age]]&gt;=30,"30-39",IF(HR_Employee_Attrition[[#This Row],[Age]]&gt;=20,"20-29",IF(HR_Employee_Attrition[[#This Row],[Age]]&gt;=18,"18-20"))))))</f>
        <v>40-49</v>
      </c>
      <c r="AK634" t="str" cm="1">
        <f t="array" ref="AK634">_xlfn.IFS(HR_Employee_Attrition[[#This Row],[YearsAtCompany]]&lt;=2,"0-2",HR_Employee_Attrition[[#This Row],[YearsAtCompany]]&lt;=5,"3-5",HR_Employee_Attrition[[#This Row],[YearsAtCompany]]&lt;=10,"6-10",HR_Employee_Attrition[[#This Row],[YearsAtCompany]]&gt;10,"10+")</f>
        <v>0-2</v>
      </c>
      <c r="AL634" t="str" cm="1">
        <f t="array" ref="AL6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34">
        <f>IF(HR_Employee_Attrition[[#This Row],[Attrition]]="Yes",1,0)</f>
        <v>0</v>
      </c>
    </row>
    <row r="635" spans="1:39"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IF(HR_Employee_Attrition[[#This Row],[Age]]&gt;60,"60+",IF(HR_Employee_Attrition[[#This Row],[Age]]&gt;=50,"50-59",IF(HR_Employee_Attrition[[#This Row],[Age]]&gt;=40,"40-49",IF(HR_Employee_Attrition[[#This Row],[Age]]&gt;=30,"30-39",IF(HR_Employee_Attrition[[#This Row],[Age]]&gt;=20,"20-29",IF(HR_Employee_Attrition[[#This Row],[Age]]&gt;=18,"18-20"))))))</f>
        <v>30-39</v>
      </c>
      <c r="AK635" t="str" cm="1">
        <f t="array" ref="AK635">_xlfn.IFS(HR_Employee_Attrition[[#This Row],[YearsAtCompany]]&lt;=2,"0-2",HR_Employee_Attrition[[#This Row],[YearsAtCompany]]&lt;=5,"3-5",HR_Employee_Attrition[[#This Row],[YearsAtCompany]]&lt;=10,"6-10",HR_Employee_Attrition[[#This Row],[YearsAtCompany]]&gt;10,"10+")</f>
        <v>3-5</v>
      </c>
      <c r="AL635" t="str" cm="1">
        <f t="array" ref="AL6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35">
        <f>IF(HR_Employee_Attrition[[#This Row],[Attrition]]="Yes",1,0)</f>
        <v>0</v>
      </c>
    </row>
    <row r="636" spans="1:39"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IF(HR_Employee_Attrition[[#This Row],[Age]]&gt;60,"60+",IF(HR_Employee_Attrition[[#This Row],[Age]]&gt;=50,"50-59",IF(HR_Employee_Attrition[[#This Row],[Age]]&gt;=40,"40-49",IF(HR_Employee_Attrition[[#This Row],[Age]]&gt;=30,"30-39",IF(HR_Employee_Attrition[[#This Row],[Age]]&gt;=20,"20-29",IF(HR_Employee_Attrition[[#This Row],[Age]]&gt;=18,"18-20"))))))</f>
        <v>20-29</v>
      </c>
      <c r="AK636" t="str" cm="1">
        <f t="array" ref="AK636">_xlfn.IFS(HR_Employee_Attrition[[#This Row],[YearsAtCompany]]&lt;=2,"0-2",HR_Employee_Attrition[[#This Row],[YearsAtCompany]]&lt;=5,"3-5",HR_Employee_Attrition[[#This Row],[YearsAtCompany]]&lt;=10,"6-10",HR_Employee_Attrition[[#This Row],[YearsAtCompany]]&gt;10,"10+")</f>
        <v>3-5</v>
      </c>
      <c r="AL636" t="str" cm="1">
        <f t="array" ref="AL6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36">
        <f>IF(HR_Employee_Attrition[[#This Row],[Attrition]]="Yes",1,0)</f>
        <v>0</v>
      </c>
    </row>
    <row r="637" spans="1:39"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IF(HR_Employee_Attrition[[#This Row],[Age]]&gt;60,"60+",IF(HR_Employee_Attrition[[#This Row],[Age]]&gt;=50,"50-59",IF(HR_Employee_Attrition[[#This Row],[Age]]&gt;=40,"40-49",IF(HR_Employee_Attrition[[#This Row],[Age]]&gt;=30,"30-39",IF(HR_Employee_Attrition[[#This Row],[Age]]&gt;=20,"20-29",IF(HR_Employee_Attrition[[#This Row],[Age]]&gt;=18,"18-20"))))))</f>
        <v>30-39</v>
      </c>
      <c r="AK637" t="str" cm="1">
        <f t="array" ref="AK637">_xlfn.IFS(HR_Employee_Attrition[[#This Row],[YearsAtCompany]]&lt;=2,"0-2",HR_Employee_Attrition[[#This Row],[YearsAtCompany]]&lt;=5,"3-5",HR_Employee_Attrition[[#This Row],[YearsAtCompany]]&lt;=10,"6-10",HR_Employee_Attrition[[#This Row],[YearsAtCompany]]&gt;10,"10+")</f>
        <v>10+</v>
      </c>
      <c r="AL637" t="str" cm="1">
        <f t="array" ref="AL6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37">
        <f>IF(HR_Employee_Attrition[[#This Row],[Attrition]]="Yes",1,0)</f>
        <v>0</v>
      </c>
    </row>
    <row r="638" spans="1:39"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IF(HR_Employee_Attrition[[#This Row],[Age]]&gt;60,"60+",IF(HR_Employee_Attrition[[#This Row],[Age]]&gt;=50,"50-59",IF(HR_Employee_Attrition[[#This Row],[Age]]&gt;=40,"40-49",IF(HR_Employee_Attrition[[#This Row],[Age]]&gt;=30,"30-39",IF(HR_Employee_Attrition[[#This Row],[Age]]&gt;=20,"20-29",IF(HR_Employee_Attrition[[#This Row],[Age]]&gt;=18,"18-20"))))))</f>
        <v>30-39</v>
      </c>
      <c r="AK638" t="str" cm="1">
        <f t="array" ref="AK638">_xlfn.IFS(HR_Employee_Attrition[[#This Row],[YearsAtCompany]]&lt;=2,"0-2",HR_Employee_Attrition[[#This Row],[YearsAtCompany]]&lt;=5,"3-5",HR_Employee_Attrition[[#This Row],[YearsAtCompany]]&lt;=10,"6-10",HR_Employee_Attrition[[#This Row],[YearsAtCompany]]&gt;10,"10+")</f>
        <v>6-10</v>
      </c>
      <c r="AL638" t="str" cm="1">
        <f t="array" ref="AL6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38">
        <f>IF(HR_Employee_Attrition[[#This Row],[Attrition]]="Yes",1,0)</f>
        <v>1</v>
      </c>
    </row>
    <row r="639" spans="1:39"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IF(HR_Employee_Attrition[[#This Row],[Age]]&gt;60,"60+",IF(HR_Employee_Attrition[[#This Row],[Age]]&gt;=50,"50-59",IF(HR_Employee_Attrition[[#This Row],[Age]]&gt;=40,"40-49",IF(HR_Employee_Attrition[[#This Row],[Age]]&gt;=30,"30-39",IF(HR_Employee_Attrition[[#This Row],[Age]]&gt;=20,"20-29",IF(HR_Employee_Attrition[[#This Row],[Age]]&gt;=18,"18-20"))))))</f>
        <v>30-39</v>
      </c>
      <c r="AK639" t="str" cm="1">
        <f t="array" ref="AK639">_xlfn.IFS(HR_Employee_Attrition[[#This Row],[YearsAtCompany]]&lt;=2,"0-2",HR_Employee_Attrition[[#This Row],[YearsAtCompany]]&lt;=5,"3-5",HR_Employee_Attrition[[#This Row],[YearsAtCompany]]&lt;=10,"6-10",HR_Employee_Attrition[[#This Row],[YearsAtCompany]]&gt;10,"10+")</f>
        <v>3-5</v>
      </c>
      <c r="AL639" t="str" cm="1">
        <f t="array" ref="AL6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39">
        <f>IF(HR_Employee_Attrition[[#This Row],[Attrition]]="Yes",1,0)</f>
        <v>0</v>
      </c>
    </row>
    <row r="640" spans="1:39"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IF(HR_Employee_Attrition[[#This Row],[Age]]&gt;60,"60+",IF(HR_Employee_Attrition[[#This Row],[Age]]&gt;=50,"50-59",IF(HR_Employee_Attrition[[#This Row],[Age]]&gt;=40,"40-49",IF(HR_Employee_Attrition[[#This Row],[Age]]&gt;=30,"30-39",IF(HR_Employee_Attrition[[#This Row],[Age]]&gt;=20,"20-29",IF(HR_Employee_Attrition[[#This Row],[Age]]&gt;=18,"18-20"))))))</f>
        <v>20-29</v>
      </c>
      <c r="AK640" t="str" cm="1">
        <f t="array" ref="AK640">_xlfn.IFS(HR_Employee_Attrition[[#This Row],[YearsAtCompany]]&lt;=2,"0-2",HR_Employee_Attrition[[#This Row],[YearsAtCompany]]&lt;=5,"3-5",HR_Employee_Attrition[[#This Row],[YearsAtCompany]]&lt;=10,"6-10",HR_Employee_Attrition[[#This Row],[YearsAtCompany]]&gt;10,"10+")</f>
        <v>3-5</v>
      </c>
      <c r="AL640" t="str" cm="1">
        <f t="array" ref="AL6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40">
        <f>IF(HR_Employee_Attrition[[#This Row],[Attrition]]="Yes",1,0)</f>
        <v>0</v>
      </c>
    </row>
    <row r="641" spans="1:39"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IF(HR_Employee_Attrition[[#This Row],[Age]]&gt;60,"60+",IF(HR_Employee_Attrition[[#This Row],[Age]]&gt;=50,"50-59",IF(HR_Employee_Attrition[[#This Row],[Age]]&gt;=40,"40-49",IF(HR_Employee_Attrition[[#This Row],[Age]]&gt;=30,"30-39",IF(HR_Employee_Attrition[[#This Row],[Age]]&gt;=20,"20-29",IF(HR_Employee_Attrition[[#This Row],[Age]]&gt;=18,"18-20"))))))</f>
        <v>40-49</v>
      </c>
      <c r="AK641" t="str" cm="1">
        <f t="array" ref="AK641">_xlfn.IFS(HR_Employee_Attrition[[#This Row],[YearsAtCompany]]&lt;=2,"0-2",HR_Employee_Attrition[[#This Row],[YearsAtCompany]]&lt;=5,"3-5",HR_Employee_Attrition[[#This Row],[YearsAtCompany]]&lt;=10,"6-10",HR_Employee_Attrition[[#This Row],[YearsAtCompany]]&gt;10,"10+")</f>
        <v>3-5</v>
      </c>
      <c r="AL641" t="str" cm="1">
        <f t="array" ref="AL6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41">
        <f>IF(HR_Employee_Attrition[[#This Row],[Attrition]]="Yes",1,0)</f>
        <v>0</v>
      </c>
    </row>
    <row r="642" spans="1:39"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IF(HR_Employee_Attrition[[#This Row],[Age]]&gt;60,"60+",IF(HR_Employee_Attrition[[#This Row],[Age]]&gt;=50,"50-59",IF(HR_Employee_Attrition[[#This Row],[Age]]&gt;=40,"40-49",IF(HR_Employee_Attrition[[#This Row],[Age]]&gt;=30,"30-39",IF(HR_Employee_Attrition[[#This Row],[Age]]&gt;=20,"20-29",IF(HR_Employee_Attrition[[#This Row],[Age]]&gt;=18,"18-20"))))))</f>
        <v>20-29</v>
      </c>
      <c r="AK642" t="str" cm="1">
        <f t="array" ref="AK642">_xlfn.IFS(HR_Employee_Attrition[[#This Row],[YearsAtCompany]]&lt;=2,"0-2",HR_Employee_Attrition[[#This Row],[YearsAtCompany]]&lt;=5,"3-5",HR_Employee_Attrition[[#This Row],[YearsAtCompany]]&lt;=10,"6-10",HR_Employee_Attrition[[#This Row],[YearsAtCompany]]&gt;10,"10+")</f>
        <v>3-5</v>
      </c>
      <c r="AL642" t="str" cm="1">
        <f t="array" ref="AL6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42">
        <f>IF(HR_Employee_Attrition[[#This Row],[Attrition]]="Yes",1,0)</f>
        <v>0</v>
      </c>
    </row>
    <row r="643" spans="1:39"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IF(HR_Employee_Attrition[[#This Row],[Age]]&gt;60,"60+",IF(HR_Employee_Attrition[[#This Row],[Age]]&gt;=50,"50-59",IF(HR_Employee_Attrition[[#This Row],[Age]]&gt;=40,"40-49",IF(HR_Employee_Attrition[[#This Row],[Age]]&gt;=30,"30-39",IF(HR_Employee_Attrition[[#This Row],[Age]]&gt;=20,"20-29",IF(HR_Employee_Attrition[[#This Row],[Age]]&gt;=18,"18-20"))))))</f>
        <v>30-39</v>
      </c>
      <c r="AK643" t="str" cm="1">
        <f t="array" ref="AK643">_xlfn.IFS(HR_Employee_Attrition[[#This Row],[YearsAtCompany]]&lt;=2,"0-2",HR_Employee_Attrition[[#This Row],[YearsAtCompany]]&lt;=5,"3-5",HR_Employee_Attrition[[#This Row],[YearsAtCompany]]&lt;=10,"6-10",HR_Employee_Attrition[[#This Row],[YearsAtCompany]]&gt;10,"10+")</f>
        <v>6-10</v>
      </c>
      <c r="AL643" t="str" cm="1">
        <f t="array" ref="AL6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43">
        <f>IF(HR_Employee_Attrition[[#This Row],[Attrition]]="Yes",1,0)</f>
        <v>0</v>
      </c>
    </row>
    <row r="644" spans="1:39"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IF(HR_Employee_Attrition[[#This Row],[Age]]&gt;60,"60+",IF(HR_Employee_Attrition[[#This Row],[Age]]&gt;=50,"50-59",IF(HR_Employee_Attrition[[#This Row],[Age]]&gt;=40,"40-49",IF(HR_Employee_Attrition[[#This Row],[Age]]&gt;=30,"30-39",IF(HR_Employee_Attrition[[#This Row],[Age]]&gt;=20,"20-29",IF(HR_Employee_Attrition[[#This Row],[Age]]&gt;=18,"18-20"))))))</f>
        <v>30-39</v>
      </c>
      <c r="AK644" t="str" cm="1">
        <f t="array" ref="AK644">_xlfn.IFS(HR_Employee_Attrition[[#This Row],[YearsAtCompany]]&lt;=2,"0-2",HR_Employee_Attrition[[#This Row],[YearsAtCompany]]&lt;=5,"3-5",HR_Employee_Attrition[[#This Row],[YearsAtCompany]]&lt;=10,"6-10",HR_Employee_Attrition[[#This Row],[YearsAtCompany]]&gt;10,"10+")</f>
        <v>0-2</v>
      </c>
      <c r="AL644" t="str" cm="1">
        <f t="array" ref="AL6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44">
        <f>IF(HR_Employee_Attrition[[#This Row],[Attrition]]="Yes",1,0)</f>
        <v>0</v>
      </c>
    </row>
    <row r="645" spans="1:39"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IF(HR_Employee_Attrition[[#This Row],[Age]]&gt;60,"60+",IF(HR_Employee_Attrition[[#This Row],[Age]]&gt;=50,"50-59",IF(HR_Employee_Attrition[[#This Row],[Age]]&gt;=40,"40-49",IF(HR_Employee_Attrition[[#This Row],[Age]]&gt;=30,"30-39",IF(HR_Employee_Attrition[[#This Row],[Age]]&gt;=20,"20-29",IF(HR_Employee_Attrition[[#This Row],[Age]]&gt;=18,"18-20"))))))</f>
        <v>40-49</v>
      </c>
      <c r="AK645" t="str" cm="1">
        <f t="array" ref="AK645">_xlfn.IFS(HR_Employee_Attrition[[#This Row],[YearsAtCompany]]&lt;=2,"0-2",HR_Employee_Attrition[[#This Row],[YearsAtCompany]]&lt;=5,"3-5",HR_Employee_Attrition[[#This Row],[YearsAtCompany]]&lt;=10,"6-10",HR_Employee_Attrition[[#This Row],[YearsAtCompany]]&gt;10,"10+")</f>
        <v>3-5</v>
      </c>
      <c r="AL645" t="str" cm="1">
        <f t="array" ref="AL6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45">
        <f>IF(HR_Employee_Attrition[[#This Row],[Attrition]]="Yes",1,0)</f>
        <v>0</v>
      </c>
    </row>
    <row r="646" spans="1:39"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IF(HR_Employee_Attrition[[#This Row],[Age]]&gt;60,"60+",IF(HR_Employee_Attrition[[#This Row],[Age]]&gt;=50,"50-59",IF(HR_Employee_Attrition[[#This Row],[Age]]&gt;=40,"40-49",IF(HR_Employee_Attrition[[#This Row],[Age]]&gt;=30,"30-39",IF(HR_Employee_Attrition[[#This Row],[Age]]&gt;=20,"20-29",IF(HR_Employee_Attrition[[#This Row],[Age]]&gt;=18,"18-20"))))))</f>
        <v>30-39</v>
      </c>
      <c r="AK646" t="str" cm="1">
        <f t="array" ref="AK646">_xlfn.IFS(HR_Employee_Attrition[[#This Row],[YearsAtCompany]]&lt;=2,"0-2",HR_Employee_Attrition[[#This Row],[YearsAtCompany]]&lt;=5,"3-5",HR_Employee_Attrition[[#This Row],[YearsAtCompany]]&lt;=10,"6-10",HR_Employee_Attrition[[#This Row],[YearsAtCompany]]&gt;10,"10+")</f>
        <v>6-10</v>
      </c>
      <c r="AL646" t="str" cm="1">
        <f t="array" ref="AL6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46">
        <f>IF(HR_Employee_Attrition[[#This Row],[Attrition]]="Yes",1,0)</f>
        <v>0</v>
      </c>
    </row>
    <row r="647" spans="1:39"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IF(HR_Employee_Attrition[[#This Row],[Age]]&gt;60,"60+",IF(HR_Employee_Attrition[[#This Row],[Age]]&gt;=50,"50-59",IF(HR_Employee_Attrition[[#This Row],[Age]]&gt;=40,"40-49",IF(HR_Employee_Attrition[[#This Row],[Age]]&gt;=30,"30-39",IF(HR_Employee_Attrition[[#This Row],[Age]]&gt;=20,"20-29",IF(HR_Employee_Attrition[[#This Row],[Age]]&gt;=18,"18-20"))))))</f>
        <v>20-29</v>
      </c>
      <c r="AK647" t="str" cm="1">
        <f t="array" ref="AK647">_xlfn.IFS(HR_Employee_Attrition[[#This Row],[YearsAtCompany]]&lt;=2,"0-2",HR_Employee_Attrition[[#This Row],[YearsAtCompany]]&lt;=5,"3-5",HR_Employee_Attrition[[#This Row],[YearsAtCompany]]&lt;=10,"6-10",HR_Employee_Attrition[[#This Row],[YearsAtCompany]]&gt;10,"10+")</f>
        <v>3-5</v>
      </c>
      <c r="AL647" t="str" cm="1">
        <f t="array" ref="AL6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47">
        <f>IF(HR_Employee_Attrition[[#This Row],[Attrition]]="Yes",1,0)</f>
        <v>1</v>
      </c>
    </row>
    <row r="648" spans="1:39"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IF(HR_Employee_Attrition[[#This Row],[Age]]&gt;60,"60+",IF(HR_Employee_Attrition[[#This Row],[Age]]&gt;=50,"50-59",IF(HR_Employee_Attrition[[#This Row],[Age]]&gt;=40,"40-49",IF(HR_Employee_Attrition[[#This Row],[Age]]&gt;=30,"30-39",IF(HR_Employee_Attrition[[#This Row],[Age]]&gt;=20,"20-29",IF(HR_Employee_Attrition[[#This Row],[Age]]&gt;=18,"18-20"))))))</f>
        <v>50-59</v>
      </c>
      <c r="AK648" t="str" cm="1">
        <f t="array" ref="AK648">_xlfn.IFS(HR_Employee_Attrition[[#This Row],[YearsAtCompany]]&lt;=2,"0-2",HR_Employee_Attrition[[#This Row],[YearsAtCompany]]&lt;=5,"3-5",HR_Employee_Attrition[[#This Row],[YearsAtCompany]]&lt;=10,"6-10",HR_Employee_Attrition[[#This Row],[YearsAtCompany]]&gt;10,"10+")</f>
        <v>0-2</v>
      </c>
      <c r="AL648" t="str" cm="1">
        <f t="array" ref="AL6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48">
        <f>IF(HR_Employee_Attrition[[#This Row],[Attrition]]="Yes",1,0)</f>
        <v>0</v>
      </c>
    </row>
    <row r="649" spans="1:39"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IF(HR_Employee_Attrition[[#This Row],[Age]]&gt;60,"60+",IF(HR_Employee_Attrition[[#This Row],[Age]]&gt;=50,"50-59",IF(HR_Employee_Attrition[[#This Row],[Age]]&gt;=40,"40-49",IF(HR_Employee_Attrition[[#This Row],[Age]]&gt;=30,"30-39",IF(HR_Employee_Attrition[[#This Row],[Age]]&gt;=20,"20-29",IF(HR_Employee_Attrition[[#This Row],[Age]]&gt;=18,"18-20"))))))</f>
        <v>30-39</v>
      </c>
      <c r="AK649" t="str" cm="1">
        <f t="array" ref="AK649">_xlfn.IFS(HR_Employee_Attrition[[#This Row],[YearsAtCompany]]&lt;=2,"0-2",HR_Employee_Attrition[[#This Row],[YearsAtCompany]]&lt;=5,"3-5",HR_Employee_Attrition[[#This Row],[YearsAtCompany]]&lt;=10,"6-10",HR_Employee_Attrition[[#This Row],[YearsAtCompany]]&gt;10,"10+")</f>
        <v>10+</v>
      </c>
      <c r="AL649" t="str" cm="1">
        <f t="array" ref="AL6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49">
        <f>IF(HR_Employee_Attrition[[#This Row],[Attrition]]="Yes",1,0)</f>
        <v>0</v>
      </c>
    </row>
    <row r="650" spans="1:39"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IF(HR_Employee_Attrition[[#This Row],[Age]]&gt;60,"60+",IF(HR_Employee_Attrition[[#This Row],[Age]]&gt;=50,"50-59",IF(HR_Employee_Attrition[[#This Row],[Age]]&gt;=40,"40-49",IF(HR_Employee_Attrition[[#This Row],[Age]]&gt;=30,"30-39",IF(HR_Employee_Attrition[[#This Row],[Age]]&gt;=20,"20-29",IF(HR_Employee_Attrition[[#This Row],[Age]]&gt;=18,"18-20"))))))</f>
        <v>30-39</v>
      </c>
      <c r="AK650" t="str" cm="1">
        <f t="array" ref="AK650">_xlfn.IFS(HR_Employee_Attrition[[#This Row],[YearsAtCompany]]&lt;=2,"0-2",HR_Employee_Attrition[[#This Row],[YearsAtCompany]]&lt;=5,"3-5",HR_Employee_Attrition[[#This Row],[YearsAtCompany]]&lt;=10,"6-10",HR_Employee_Attrition[[#This Row],[YearsAtCompany]]&gt;10,"10+")</f>
        <v>3-5</v>
      </c>
      <c r="AL650" t="str" cm="1">
        <f t="array" ref="AL6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50">
        <f>IF(HR_Employee_Attrition[[#This Row],[Attrition]]="Yes",1,0)</f>
        <v>0</v>
      </c>
    </row>
    <row r="651" spans="1:39"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IF(HR_Employee_Attrition[[#This Row],[Age]]&gt;60,"60+",IF(HR_Employee_Attrition[[#This Row],[Age]]&gt;=50,"50-59",IF(HR_Employee_Attrition[[#This Row],[Age]]&gt;=40,"40-49",IF(HR_Employee_Attrition[[#This Row],[Age]]&gt;=30,"30-39",IF(HR_Employee_Attrition[[#This Row],[Age]]&gt;=20,"20-29",IF(HR_Employee_Attrition[[#This Row],[Age]]&gt;=18,"18-20"))))))</f>
        <v>50-59</v>
      </c>
      <c r="AK651" t="str" cm="1">
        <f t="array" ref="AK651">_xlfn.IFS(HR_Employee_Attrition[[#This Row],[YearsAtCompany]]&lt;=2,"0-2",HR_Employee_Attrition[[#This Row],[YearsAtCompany]]&lt;=5,"3-5",HR_Employee_Attrition[[#This Row],[YearsAtCompany]]&lt;=10,"6-10",HR_Employee_Attrition[[#This Row],[YearsAtCompany]]&gt;10,"10+")</f>
        <v>10+</v>
      </c>
      <c r="AL651" t="str" cm="1">
        <f t="array" ref="AL6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51">
        <f>IF(HR_Employee_Attrition[[#This Row],[Attrition]]="Yes",1,0)</f>
        <v>0</v>
      </c>
    </row>
    <row r="652" spans="1:39"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IF(HR_Employee_Attrition[[#This Row],[Age]]&gt;60,"60+",IF(HR_Employee_Attrition[[#This Row],[Age]]&gt;=50,"50-59",IF(HR_Employee_Attrition[[#This Row],[Age]]&gt;=40,"40-49",IF(HR_Employee_Attrition[[#This Row],[Age]]&gt;=30,"30-39",IF(HR_Employee_Attrition[[#This Row],[Age]]&gt;=20,"20-29",IF(HR_Employee_Attrition[[#This Row],[Age]]&gt;=18,"18-20"))))))</f>
        <v>40-49</v>
      </c>
      <c r="AK652" t="str" cm="1">
        <f t="array" ref="AK652">_xlfn.IFS(HR_Employee_Attrition[[#This Row],[YearsAtCompany]]&lt;=2,"0-2",HR_Employee_Attrition[[#This Row],[YearsAtCompany]]&lt;=5,"3-5",HR_Employee_Attrition[[#This Row],[YearsAtCompany]]&lt;=10,"6-10",HR_Employee_Attrition[[#This Row],[YearsAtCompany]]&gt;10,"10+")</f>
        <v>3-5</v>
      </c>
      <c r="AL652" t="str" cm="1">
        <f t="array" ref="AL6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52">
        <f>IF(HR_Employee_Attrition[[#This Row],[Attrition]]="Yes",1,0)</f>
        <v>0</v>
      </c>
    </row>
    <row r="653" spans="1:39"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IF(HR_Employee_Attrition[[#This Row],[Age]]&gt;60,"60+",IF(HR_Employee_Attrition[[#This Row],[Age]]&gt;=50,"50-59",IF(HR_Employee_Attrition[[#This Row],[Age]]&gt;=40,"40-49",IF(HR_Employee_Attrition[[#This Row],[Age]]&gt;=30,"30-39",IF(HR_Employee_Attrition[[#This Row],[Age]]&gt;=20,"20-29",IF(HR_Employee_Attrition[[#This Row],[Age]]&gt;=18,"18-20"))))))</f>
        <v>40-49</v>
      </c>
      <c r="AK653" t="str" cm="1">
        <f t="array" ref="AK653">_xlfn.IFS(HR_Employee_Attrition[[#This Row],[YearsAtCompany]]&lt;=2,"0-2",HR_Employee_Attrition[[#This Row],[YearsAtCompany]]&lt;=5,"3-5",HR_Employee_Attrition[[#This Row],[YearsAtCompany]]&lt;=10,"6-10",HR_Employee_Attrition[[#This Row],[YearsAtCompany]]&gt;10,"10+")</f>
        <v>6-10</v>
      </c>
      <c r="AL653" t="str" cm="1">
        <f t="array" ref="AL6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53">
        <f>IF(HR_Employee_Attrition[[#This Row],[Attrition]]="Yes",1,0)</f>
        <v>0</v>
      </c>
    </row>
    <row r="654" spans="1:39"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IF(HR_Employee_Attrition[[#This Row],[Age]]&gt;60,"60+",IF(HR_Employee_Attrition[[#This Row],[Age]]&gt;=50,"50-59",IF(HR_Employee_Attrition[[#This Row],[Age]]&gt;=40,"40-49",IF(HR_Employee_Attrition[[#This Row],[Age]]&gt;=30,"30-39",IF(HR_Employee_Attrition[[#This Row],[Age]]&gt;=20,"20-29",IF(HR_Employee_Attrition[[#This Row],[Age]]&gt;=18,"18-20"))))))</f>
        <v>30-39</v>
      </c>
      <c r="AK654" t="str" cm="1">
        <f t="array" ref="AK654">_xlfn.IFS(HR_Employee_Attrition[[#This Row],[YearsAtCompany]]&lt;=2,"0-2",HR_Employee_Attrition[[#This Row],[YearsAtCompany]]&lt;=5,"3-5",HR_Employee_Attrition[[#This Row],[YearsAtCompany]]&lt;=10,"6-10",HR_Employee_Attrition[[#This Row],[YearsAtCompany]]&gt;10,"10+")</f>
        <v>6-10</v>
      </c>
      <c r="AL654" t="str" cm="1">
        <f t="array" ref="AL6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54">
        <f>IF(HR_Employee_Attrition[[#This Row],[Attrition]]="Yes",1,0)</f>
        <v>0</v>
      </c>
    </row>
    <row r="655" spans="1:39"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IF(HR_Employee_Attrition[[#This Row],[Age]]&gt;60,"60+",IF(HR_Employee_Attrition[[#This Row],[Age]]&gt;=50,"50-59",IF(HR_Employee_Attrition[[#This Row],[Age]]&gt;=40,"40-49",IF(HR_Employee_Attrition[[#This Row],[Age]]&gt;=30,"30-39",IF(HR_Employee_Attrition[[#This Row],[Age]]&gt;=20,"20-29",IF(HR_Employee_Attrition[[#This Row],[Age]]&gt;=18,"18-20"))))))</f>
        <v>50-59</v>
      </c>
      <c r="AK655" t="str" cm="1">
        <f t="array" ref="AK655">_xlfn.IFS(HR_Employee_Attrition[[#This Row],[YearsAtCompany]]&lt;=2,"0-2",HR_Employee_Attrition[[#This Row],[YearsAtCompany]]&lt;=5,"3-5",HR_Employee_Attrition[[#This Row],[YearsAtCompany]]&lt;=10,"6-10",HR_Employee_Attrition[[#This Row],[YearsAtCompany]]&gt;10,"10+")</f>
        <v>10+</v>
      </c>
      <c r="AL655" t="str" cm="1">
        <f t="array" ref="AL6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655">
        <f>IF(HR_Employee_Attrition[[#This Row],[Attrition]]="Yes",1,0)</f>
        <v>0</v>
      </c>
    </row>
    <row r="656" spans="1:39"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IF(HR_Employee_Attrition[[#This Row],[Age]]&gt;60,"60+",IF(HR_Employee_Attrition[[#This Row],[Age]]&gt;=50,"50-59",IF(HR_Employee_Attrition[[#This Row],[Age]]&gt;=40,"40-49",IF(HR_Employee_Attrition[[#This Row],[Age]]&gt;=30,"30-39",IF(HR_Employee_Attrition[[#This Row],[Age]]&gt;=20,"20-29",IF(HR_Employee_Attrition[[#This Row],[Age]]&gt;=18,"18-20"))))))</f>
        <v>30-39</v>
      </c>
      <c r="AK656" t="str" cm="1">
        <f t="array" ref="AK656">_xlfn.IFS(HR_Employee_Attrition[[#This Row],[YearsAtCompany]]&lt;=2,"0-2",HR_Employee_Attrition[[#This Row],[YearsAtCompany]]&lt;=5,"3-5",HR_Employee_Attrition[[#This Row],[YearsAtCompany]]&lt;=10,"6-10",HR_Employee_Attrition[[#This Row],[YearsAtCompany]]&gt;10,"10+")</f>
        <v>3-5</v>
      </c>
      <c r="AL656" t="str" cm="1">
        <f t="array" ref="AL6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56">
        <f>IF(HR_Employee_Attrition[[#This Row],[Attrition]]="Yes",1,0)</f>
        <v>0</v>
      </c>
    </row>
    <row r="657" spans="1:39"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IF(HR_Employee_Attrition[[#This Row],[Age]]&gt;60,"60+",IF(HR_Employee_Attrition[[#This Row],[Age]]&gt;=50,"50-59",IF(HR_Employee_Attrition[[#This Row],[Age]]&gt;=40,"40-49",IF(HR_Employee_Attrition[[#This Row],[Age]]&gt;=30,"30-39",IF(HR_Employee_Attrition[[#This Row],[Age]]&gt;=20,"20-29",IF(HR_Employee_Attrition[[#This Row],[Age]]&gt;=18,"18-20"))))))</f>
        <v>30-39</v>
      </c>
      <c r="AK657" t="str" cm="1">
        <f t="array" ref="AK657">_xlfn.IFS(HR_Employee_Attrition[[#This Row],[YearsAtCompany]]&lt;=2,"0-2",HR_Employee_Attrition[[#This Row],[YearsAtCompany]]&lt;=5,"3-5",HR_Employee_Attrition[[#This Row],[YearsAtCompany]]&lt;=10,"6-10",HR_Employee_Attrition[[#This Row],[YearsAtCompany]]&gt;10,"10+")</f>
        <v>3-5</v>
      </c>
      <c r="AL657" t="str" cm="1">
        <f t="array" ref="AL6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57">
        <f>IF(HR_Employee_Attrition[[#This Row],[Attrition]]="Yes",1,0)</f>
        <v>0</v>
      </c>
    </row>
    <row r="658" spans="1:39"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IF(HR_Employee_Attrition[[#This Row],[Age]]&gt;60,"60+",IF(HR_Employee_Attrition[[#This Row],[Age]]&gt;=50,"50-59",IF(HR_Employee_Attrition[[#This Row],[Age]]&gt;=40,"40-49",IF(HR_Employee_Attrition[[#This Row],[Age]]&gt;=30,"30-39",IF(HR_Employee_Attrition[[#This Row],[Age]]&gt;=20,"20-29",IF(HR_Employee_Attrition[[#This Row],[Age]]&gt;=18,"18-20"))))))</f>
        <v>30-39</v>
      </c>
      <c r="AK658" t="str" cm="1">
        <f t="array" ref="AK658">_xlfn.IFS(HR_Employee_Attrition[[#This Row],[YearsAtCompany]]&lt;=2,"0-2",HR_Employee_Attrition[[#This Row],[YearsAtCompany]]&lt;=5,"3-5",HR_Employee_Attrition[[#This Row],[YearsAtCompany]]&lt;=10,"6-10",HR_Employee_Attrition[[#This Row],[YearsAtCompany]]&gt;10,"10+")</f>
        <v>0-2</v>
      </c>
      <c r="AL658" t="str" cm="1">
        <f t="array" ref="AL6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58">
        <f>IF(HR_Employee_Attrition[[#This Row],[Attrition]]="Yes",1,0)</f>
        <v>1</v>
      </c>
    </row>
    <row r="659" spans="1:39"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IF(HR_Employee_Attrition[[#This Row],[Age]]&gt;60,"60+",IF(HR_Employee_Attrition[[#This Row],[Age]]&gt;=50,"50-59",IF(HR_Employee_Attrition[[#This Row],[Age]]&gt;=40,"40-49",IF(HR_Employee_Attrition[[#This Row],[Age]]&gt;=30,"30-39",IF(HR_Employee_Attrition[[#This Row],[Age]]&gt;=20,"20-29",IF(HR_Employee_Attrition[[#This Row],[Age]]&gt;=18,"18-20"))))))</f>
        <v>20-29</v>
      </c>
      <c r="AK659" t="str" cm="1">
        <f t="array" ref="AK659">_xlfn.IFS(HR_Employee_Attrition[[#This Row],[YearsAtCompany]]&lt;=2,"0-2",HR_Employee_Attrition[[#This Row],[YearsAtCompany]]&lt;=5,"3-5",HR_Employee_Attrition[[#This Row],[YearsAtCompany]]&lt;=10,"6-10",HR_Employee_Attrition[[#This Row],[YearsAtCompany]]&gt;10,"10+")</f>
        <v>3-5</v>
      </c>
      <c r="AL659" t="str" cm="1">
        <f t="array" ref="AL6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59">
        <f>IF(HR_Employee_Attrition[[#This Row],[Attrition]]="Yes",1,0)</f>
        <v>0</v>
      </c>
    </row>
    <row r="660" spans="1:39"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IF(HR_Employee_Attrition[[#This Row],[Age]]&gt;60,"60+",IF(HR_Employee_Attrition[[#This Row],[Age]]&gt;=50,"50-59",IF(HR_Employee_Attrition[[#This Row],[Age]]&gt;=40,"40-49",IF(HR_Employee_Attrition[[#This Row],[Age]]&gt;=30,"30-39",IF(HR_Employee_Attrition[[#This Row],[Age]]&gt;=20,"20-29",IF(HR_Employee_Attrition[[#This Row],[Age]]&gt;=18,"18-20"))))))</f>
        <v>40-49</v>
      </c>
      <c r="AK660" t="str" cm="1">
        <f t="array" ref="AK660">_xlfn.IFS(HR_Employee_Attrition[[#This Row],[YearsAtCompany]]&lt;=2,"0-2",HR_Employee_Attrition[[#This Row],[YearsAtCompany]]&lt;=5,"3-5",HR_Employee_Attrition[[#This Row],[YearsAtCompany]]&lt;=10,"6-10",HR_Employee_Attrition[[#This Row],[YearsAtCompany]]&gt;10,"10+")</f>
        <v>6-10</v>
      </c>
      <c r="AL660" t="str" cm="1">
        <f t="array" ref="AL6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60">
        <f>IF(HR_Employee_Attrition[[#This Row],[Attrition]]="Yes",1,0)</f>
        <v>0</v>
      </c>
    </row>
    <row r="661" spans="1:39"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IF(HR_Employee_Attrition[[#This Row],[Age]]&gt;60,"60+",IF(HR_Employee_Attrition[[#This Row],[Age]]&gt;=50,"50-59",IF(HR_Employee_Attrition[[#This Row],[Age]]&gt;=40,"40-49",IF(HR_Employee_Attrition[[#This Row],[Age]]&gt;=30,"30-39",IF(HR_Employee_Attrition[[#This Row],[Age]]&gt;=20,"20-29",IF(HR_Employee_Attrition[[#This Row],[Age]]&gt;=18,"18-20"))))))</f>
        <v>20-29</v>
      </c>
      <c r="AK661" t="str" cm="1">
        <f t="array" ref="AK661">_xlfn.IFS(HR_Employee_Attrition[[#This Row],[YearsAtCompany]]&lt;=2,"0-2",HR_Employee_Attrition[[#This Row],[YearsAtCompany]]&lt;=5,"3-5",HR_Employee_Attrition[[#This Row],[YearsAtCompany]]&lt;=10,"6-10",HR_Employee_Attrition[[#This Row],[YearsAtCompany]]&gt;10,"10+")</f>
        <v>3-5</v>
      </c>
      <c r="AL661" t="str" cm="1">
        <f t="array" ref="AL6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61">
        <f>IF(HR_Employee_Attrition[[#This Row],[Attrition]]="Yes",1,0)</f>
        <v>0</v>
      </c>
    </row>
    <row r="662" spans="1:39"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IF(HR_Employee_Attrition[[#This Row],[Age]]&gt;60,"60+",IF(HR_Employee_Attrition[[#This Row],[Age]]&gt;=50,"50-59",IF(HR_Employee_Attrition[[#This Row],[Age]]&gt;=40,"40-49",IF(HR_Employee_Attrition[[#This Row],[Age]]&gt;=30,"30-39",IF(HR_Employee_Attrition[[#This Row],[Age]]&gt;=20,"20-29",IF(HR_Employee_Attrition[[#This Row],[Age]]&gt;=18,"18-20"))))))</f>
        <v>50-59</v>
      </c>
      <c r="AK662" t="str" cm="1">
        <f t="array" ref="AK662">_xlfn.IFS(HR_Employee_Attrition[[#This Row],[YearsAtCompany]]&lt;=2,"0-2",HR_Employee_Attrition[[#This Row],[YearsAtCompany]]&lt;=5,"3-5",HR_Employee_Attrition[[#This Row],[YearsAtCompany]]&lt;=10,"6-10",HR_Employee_Attrition[[#This Row],[YearsAtCompany]]&gt;10,"10+")</f>
        <v>0-2</v>
      </c>
      <c r="AL662" t="str" cm="1">
        <f t="array" ref="AL6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62">
        <f>IF(HR_Employee_Attrition[[#This Row],[Attrition]]="Yes",1,0)</f>
        <v>1</v>
      </c>
    </row>
    <row r="663" spans="1:39"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IF(HR_Employee_Attrition[[#This Row],[Age]]&gt;60,"60+",IF(HR_Employee_Attrition[[#This Row],[Age]]&gt;=50,"50-59",IF(HR_Employee_Attrition[[#This Row],[Age]]&gt;=40,"40-49",IF(HR_Employee_Attrition[[#This Row],[Age]]&gt;=30,"30-39",IF(HR_Employee_Attrition[[#This Row],[Age]]&gt;=20,"20-29",IF(HR_Employee_Attrition[[#This Row],[Age]]&gt;=18,"18-20"))))))</f>
        <v>40-49</v>
      </c>
      <c r="AK663" t="str" cm="1">
        <f t="array" ref="AK663">_xlfn.IFS(HR_Employee_Attrition[[#This Row],[YearsAtCompany]]&lt;=2,"0-2",HR_Employee_Attrition[[#This Row],[YearsAtCompany]]&lt;=5,"3-5",HR_Employee_Attrition[[#This Row],[YearsAtCompany]]&lt;=10,"6-10",HR_Employee_Attrition[[#This Row],[YearsAtCompany]]&gt;10,"10+")</f>
        <v>0-2</v>
      </c>
      <c r="AL663" t="str" cm="1">
        <f t="array" ref="AL6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63">
        <f>IF(HR_Employee_Attrition[[#This Row],[Attrition]]="Yes",1,0)</f>
        <v>0</v>
      </c>
    </row>
    <row r="664" spans="1:39"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IF(HR_Employee_Attrition[[#This Row],[Age]]&gt;60,"60+",IF(HR_Employee_Attrition[[#This Row],[Age]]&gt;=50,"50-59",IF(HR_Employee_Attrition[[#This Row],[Age]]&gt;=40,"40-49",IF(HR_Employee_Attrition[[#This Row],[Age]]&gt;=30,"30-39",IF(HR_Employee_Attrition[[#This Row],[Age]]&gt;=20,"20-29",IF(HR_Employee_Attrition[[#This Row],[Age]]&gt;=18,"18-20"))))))</f>
        <v>20-29</v>
      </c>
      <c r="AK664" t="str" cm="1">
        <f t="array" ref="AK664">_xlfn.IFS(HR_Employee_Attrition[[#This Row],[YearsAtCompany]]&lt;=2,"0-2",HR_Employee_Attrition[[#This Row],[YearsAtCompany]]&lt;=5,"3-5",HR_Employee_Attrition[[#This Row],[YearsAtCompany]]&lt;=10,"6-10",HR_Employee_Attrition[[#This Row],[YearsAtCompany]]&gt;10,"10+")</f>
        <v>0-2</v>
      </c>
      <c r="AL664" t="str" cm="1">
        <f t="array" ref="AL6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64">
        <f>IF(HR_Employee_Attrition[[#This Row],[Attrition]]="Yes",1,0)</f>
        <v>1</v>
      </c>
    </row>
    <row r="665" spans="1:39"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IF(HR_Employee_Attrition[[#This Row],[Age]]&gt;60,"60+",IF(HR_Employee_Attrition[[#This Row],[Age]]&gt;=50,"50-59",IF(HR_Employee_Attrition[[#This Row],[Age]]&gt;=40,"40-49",IF(HR_Employee_Attrition[[#This Row],[Age]]&gt;=30,"30-39",IF(HR_Employee_Attrition[[#This Row],[Age]]&gt;=20,"20-29",IF(HR_Employee_Attrition[[#This Row],[Age]]&gt;=18,"18-20"))))))</f>
        <v>20-29</v>
      </c>
      <c r="AK665" t="str" cm="1">
        <f t="array" ref="AK665">_xlfn.IFS(HR_Employee_Attrition[[#This Row],[YearsAtCompany]]&lt;=2,"0-2",HR_Employee_Attrition[[#This Row],[YearsAtCompany]]&lt;=5,"3-5",HR_Employee_Attrition[[#This Row],[YearsAtCompany]]&lt;=10,"6-10",HR_Employee_Attrition[[#This Row],[YearsAtCompany]]&gt;10,"10+")</f>
        <v>0-2</v>
      </c>
      <c r="AL665" t="str" cm="1">
        <f t="array" ref="AL6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65">
        <f>IF(HR_Employee_Attrition[[#This Row],[Attrition]]="Yes",1,0)</f>
        <v>1</v>
      </c>
    </row>
    <row r="666" spans="1:39"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IF(HR_Employee_Attrition[[#This Row],[Age]]&gt;60,"60+",IF(HR_Employee_Attrition[[#This Row],[Age]]&gt;=50,"50-59",IF(HR_Employee_Attrition[[#This Row],[Age]]&gt;=40,"40-49",IF(HR_Employee_Attrition[[#This Row],[Age]]&gt;=30,"30-39",IF(HR_Employee_Attrition[[#This Row],[Age]]&gt;=20,"20-29",IF(HR_Employee_Attrition[[#This Row],[Age]]&gt;=18,"18-20"))))))</f>
        <v>30-39</v>
      </c>
      <c r="AK666" t="str" cm="1">
        <f t="array" ref="AK666">_xlfn.IFS(HR_Employee_Attrition[[#This Row],[YearsAtCompany]]&lt;=2,"0-2",HR_Employee_Attrition[[#This Row],[YearsAtCompany]]&lt;=5,"3-5",HR_Employee_Attrition[[#This Row],[YearsAtCompany]]&lt;=10,"6-10",HR_Employee_Attrition[[#This Row],[YearsAtCompany]]&gt;10,"10+")</f>
        <v>10+</v>
      </c>
      <c r="AL666" t="str" cm="1">
        <f t="array" ref="AL6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66">
        <f>IF(HR_Employee_Attrition[[#This Row],[Attrition]]="Yes",1,0)</f>
        <v>0</v>
      </c>
    </row>
    <row r="667" spans="1:39"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IF(HR_Employee_Attrition[[#This Row],[Age]]&gt;60,"60+",IF(HR_Employee_Attrition[[#This Row],[Age]]&gt;=50,"50-59",IF(HR_Employee_Attrition[[#This Row],[Age]]&gt;=40,"40-49",IF(HR_Employee_Attrition[[#This Row],[Age]]&gt;=30,"30-39",IF(HR_Employee_Attrition[[#This Row],[Age]]&gt;=20,"20-29",IF(HR_Employee_Attrition[[#This Row],[Age]]&gt;=18,"18-20"))))))</f>
        <v>40-49</v>
      </c>
      <c r="AK667" t="str" cm="1">
        <f t="array" ref="AK667">_xlfn.IFS(HR_Employee_Attrition[[#This Row],[YearsAtCompany]]&lt;=2,"0-2",HR_Employee_Attrition[[#This Row],[YearsAtCompany]]&lt;=5,"3-5",HR_Employee_Attrition[[#This Row],[YearsAtCompany]]&lt;=10,"6-10",HR_Employee_Attrition[[#This Row],[YearsAtCompany]]&gt;10,"10+")</f>
        <v>3-5</v>
      </c>
      <c r="AL667" t="str" cm="1">
        <f t="array" ref="AL6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67">
        <f>IF(HR_Employee_Attrition[[#This Row],[Attrition]]="Yes",1,0)</f>
        <v>0</v>
      </c>
    </row>
    <row r="668" spans="1:39"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IF(HR_Employee_Attrition[[#This Row],[Age]]&gt;60,"60+",IF(HR_Employee_Attrition[[#This Row],[Age]]&gt;=50,"50-59",IF(HR_Employee_Attrition[[#This Row],[Age]]&gt;=40,"40-49",IF(HR_Employee_Attrition[[#This Row],[Age]]&gt;=30,"30-39",IF(HR_Employee_Attrition[[#This Row],[Age]]&gt;=20,"20-29",IF(HR_Employee_Attrition[[#This Row],[Age]]&gt;=18,"18-20"))))))</f>
        <v>20-29</v>
      </c>
      <c r="AK668" t="str" cm="1">
        <f t="array" ref="AK668">_xlfn.IFS(HR_Employee_Attrition[[#This Row],[YearsAtCompany]]&lt;=2,"0-2",HR_Employee_Attrition[[#This Row],[YearsAtCompany]]&lt;=5,"3-5",HR_Employee_Attrition[[#This Row],[YearsAtCompany]]&lt;=10,"6-10",HR_Employee_Attrition[[#This Row],[YearsAtCompany]]&gt;10,"10+")</f>
        <v>3-5</v>
      </c>
      <c r="AL668" t="str" cm="1">
        <f t="array" ref="AL6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68">
        <f>IF(HR_Employee_Attrition[[#This Row],[Attrition]]="Yes",1,0)</f>
        <v>1</v>
      </c>
    </row>
    <row r="669" spans="1:39"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IF(HR_Employee_Attrition[[#This Row],[Age]]&gt;60,"60+",IF(HR_Employee_Attrition[[#This Row],[Age]]&gt;=50,"50-59",IF(HR_Employee_Attrition[[#This Row],[Age]]&gt;=40,"40-49",IF(HR_Employee_Attrition[[#This Row],[Age]]&gt;=30,"30-39",IF(HR_Employee_Attrition[[#This Row],[Age]]&gt;=20,"20-29",IF(HR_Employee_Attrition[[#This Row],[Age]]&gt;=18,"18-20"))))))</f>
        <v>40-49</v>
      </c>
      <c r="AK669" t="str" cm="1">
        <f t="array" ref="AK669">_xlfn.IFS(HR_Employee_Attrition[[#This Row],[YearsAtCompany]]&lt;=2,"0-2",HR_Employee_Attrition[[#This Row],[YearsAtCompany]]&lt;=5,"3-5",HR_Employee_Attrition[[#This Row],[YearsAtCompany]]&lt;=10,"6-10",HR_Employee_Attrition[[#This Row],[YearsAtCompany]]&gt;10,"10+")</f>
        <v>6-10</v>
      </c>
      <c r="AL669" t="str" cm="1">
        <f t="array" ref="AL6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69">
        <f>IF(HR_Employee_Attrition[[#This Row],[Attrition]]="Yes",1,0)</f>
        <v>1</v>
      </c>
    </row>
    <row r="670" spans="1:39"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IF(HR_Employee_Attrition[[#This Row],[Age]]&gt;60,"60+",IF(HR_Employee_Attrition[[#This Row],[Age]]&gt;=50,"50-59",IF(HR_Employee_Attrition[[#This Row],[Age]]&gt;=40,"40-49",IF(HR_Employee_Attrition[[#This Row],[Age]]&gt;=30,"30-39",IF(HR_Employee_Attrition[[#This Row],[Age]]&gt;=20,"20-29",IF(HR_Employee_Attrition[[#This Row],[Age]]&gt;=18,"18-20"))))))</f>
        <v>20-29</v>
      </c>
      <c r="AK670" t="str" cm="1">
        <f t="array" ref="AK670">_xlfn.IFS(HR_Employee_Attrition[[#This Row],[YearsAtCompany]]&lt;=2,"0-2",HR_Employee_Attrition[[#This Row],[YearsAtCompany]]&lt;=5,"3-5",HR_Employee_Attrition[[#This Row],[YearsAtCompany]]&lt;=10,"6-10",HR_Employee_Attrition[[#This Row],[YearsAtCompany]]&gt;10,"10+")</f>
        <v>0-2</v>
      </c>
      <c r="AL670" t="str" cm="1">
        <f t="array" ref="AL6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70">
        <f>IF(HR_Employee_Attrition[[#This Row],[Attrition]]="Yes",1,0)</f>
        <v>0</v>
      </c>
    </row>
    <row r="671" spans="1:39"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IF(HR_Employee_Attrition[[#This Row],[Age]]&gt;60,"60+",IF(HR_Employee_Attrition[[#This Row],[Age]]&gt;=50,"50-59",IF(HR_Employee_Attrition[[#This Row],[Age]]&gt;=40,"40-49",IF(HR_Employee_Attrition[[#This Row],[Age]]&gt;=30,"30-39",IF(HR_Employee_Attrition[[#This Row],[Age]]&gt;=20,"20-29",IF(HR_Employee_Attrition[[#This Row],[Age]]&gt;=18,"18-20"))))))</f>
        <v>30-39</v>
      </c>
      <c r="AK671" t="str" cm="1">
        <f t="array" ref="AK671">_xlfn.IFS(HR_Employee_Attrition[[#This Row],[YearsAtCompany]]&lt;=2,"0-2",HR_Employee_Attrition[[#This Row],[YearsAtCompany]]&lt;=5,"3-5",HR_Employee_Attrition[[#This Row],[YearsAtCompany]]&lt;=10,"6-10",HR_Employee_Attrition[[#This Row],[YearsAtCompany]]&gt;10,"10+")</f>
        <v>0-2</v>
      </c>
      <c r="AL671" t="str" cm="1">
        <f t="array" ref="AL6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71">
        <f>IF(HR_Employee_Attrition[[#This Row],[Attrition]]="Yes",1,0)</f>
        <v>1</v>
      </c>
    </row>
    <row r="672" spans="1:39"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IF(HR_Employee_Attrition[[#This Row],[Age]]&gt;60,"60+",IF(HR_Employee_Attrition[[#This Row],[Age]]&gt;=50,"50-59",IF(HR_Employee_Attrition[[#This Row],[Age]]&gt;=40,"40-49",IF(HR_Employee_Attrition[[#This Row],[Age]]&gt;=30,"30-39",IF(HR_Employee_Attrition[[#This Row],[Age]]&gt;=20,"20-29",IF(HR_Employee_Attrition[[#This Row],[Age]]&gt;=18,"18-20"))))))</f>
        <v>20-29</v>
      </c>
      <c r="AK672" t="str" cm="1">
        <f t="array" ref="AK672">_xlfn.IFS(HR_Employee_Attrition[[#This Row],[YearsAtCompany]]&lt;=2,"0-2",HR_Employee_Attrition[[#This Row],[YearsAtCompany]]&lt;=5,"3-5",HR_Employee_Attrition[[#This Row],[YearsAtCompany]]&lt;=10,"6-10",HR_Employee_Attrition[[#This Row],[YearsAtCompany]]&gt;10,"10+")</f>
        <v>0-2</v>
      </c>
      <c r="AL672" t="str" cm="1">
        <f t="array" ref="AL67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72">
        <f>IF(HR_Employee_Attrition[[#This Row],[Attrition]]="Yes",1,0)</f>
        <v>0</v>
      </c>
    </row>
    <row r="673" spans="1:39"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IF(HR_Employee_Attrition[[#This Row],[Age]]&gt;60,"60+",IF(HR_Employee_Attrition[[#This Row],[Age]]&gt;=50,"50-59",IF(HR_Employee_Attrition[[#This Row],[Age]]&gt;=40,"40-49",IF(HR_Employee_Attrition[[#This Row],[Age]]&gt;=30,"30-39",IF(HR_Employee_Attrition[[#This Row],[Age]]&gt;=20,"20-29",IF(HR_Employee_Attrition[[#This Row],[Age]]&gt;=18,"18-20"))))))</f>
        <v>30-39</v>
      </c>
      <c r="AK673" t="str" cm="1">
        <f t="array" ref="AK673">_xlfn.IFS(HR_Employee_Attrition[[#This Row],[YearsAtCompany]]&lt;=2,"0-2",HR_Employee_Attrition[[#This Row],[YearsAtCompany]]&lt;=5,"3-5",HR_Employee_Attrition[[#This Row],[YearsAtCompany]]&lt;=10,"6-10",HR_Employee_Attrition[[#This Row],[YearsAtCompany]]&gt;10,"10+")</f>
        <v>0-2</v>
      </c>
      <c r="AL673" t="str" cm="1">
        <f t="array" ref="AL67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73">
        <f>IF(HR_Employee_Attrition[[#This Row],[Attrition]]="Yes",1,0)</f>
        <v>0</v>
      </c>
    </row>
    <row r="674" spans="1:39"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IF(HR_Employee_Attrition[[#This Row],[Age]]&gt;60,"60+",IF(HR_Employee_Attrition[[#This Row],[Age]]&gt;=50,"50-59",IF(HR_Employee_Attrition[[#This Row],[Age]]&gt;=40,"40-49",IF(HR_Employee_Attrition[[#This Row],[Age]]&gt;=30,"30-39",IF(HR_Employee_Attrition[[#This Row],[Age]]&gt;=20,"20-29",IF(HR_Employee_Attrition[[#This Row],[Age]]&gt;=18,"18-20"))))))</f>
        <v>40-49</v>
      </c>
      <c r="AK674" t="str" cm="1">
        <f t="array" ref="AK674">_xlfn.IFS(HR_Employee_Attrition[[#This Row],[YearsAtCompany]]&lt;=2,"0-2",HR_Employee_Attrition[[#This Row],[YearsAtCompany]]&lt;=5,"3-5",HR_Employee_Attrition[[#This Row],[YearsAtCompany]]&lt;=10,"6-10",HR_Employee_Attrition[[#This Row],[YearsAtCompany]]&gt;10,"10+")</f>
        <v>3-5</v>
      </c>
      <c r="AL674" t="str" cm="1">
        <f t="array" ref="AL67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74">
        <f>IF(HR_Employee_Attrition[[#This Row],[Attrition]]="Yes",1,0)</f>
        <v>0</v>
      </c>
    </row>
    <row r="675" spans="1:39"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IF(HR_Employee_Attrition[[#This Row],[Age]]&gt;60,"60+",IF(HR_Employee_Attrition[[#This Row],[Age]]&gt;=50,"50-59",IF(HR_Employee_Attrition[[#This Row],[Age]]&gt;=40,"40-49",IF(HR_Employee_Attrition[[#This Row],[Age]]&gt;=30,"30-39",IF(HR_Employee_Attrition[[#This Row],[Age]]&gt;=20,"20-29",IF(HR_Employee_Attrition[[#This Row],[Age]]&gt;=18,"18-20"))))))</f>
        <v>30-39</v>
      </c>
      <c r="AK675" t="str" cm="1">
        <f t="array" ref="AK675">_xlfn.IFS(HR_Employee_Attrition[[#This Row],[YearsAtCompany]]&lt;=2,"0-2",HR_Employee_Attrition[[#This Row],[YearsAtCompany]]&lt;=5,"3-5",HR_Employee_Attrition[[#This Row],[YearsAtCompany]]&lt;=10,"6-10",HR_Employee_Attrition[[#This Row],[YearsAtCompany]]&gt;10,"10+")</f>
        <v>3-5</v>
      </c>
      <c r="AL675" t="str" cm="1">
        <f t="array" ref="AL67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75">
        <f>IF(HR_Employee_Attrition[[#This Row],[Attrition]]="Yes",1,0)</f>
        <v>0</v>
      </c>
    </row>
    <row r="676" spans="1:39"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IF(HR_Employee_Attrition[[#This Row],[Age]]&gt;60,"60+",IF(HR_Employee_Attrition[[#This Row],[Age]]&gt;=50,"50-59",IF(HR_Employee_Attrition[[#This Row],[Age]]&gt;=40,"40-49",IF(HR_Employee_Attrition[[#This Row],[Age]]&gt;=30,"30-39",IF(HR_Employee_Attrition[[#This Row],[Age]]&gt;=20,"20-29",IF(HR_Employee_Attrition[[#This Row],[Age]]&gt;=18,"18-20"))))))</f>
        <v>50-59</v>
      </c>
      <c r="AK676" t="str" cm="1">
        <f t="array" ref="AK676">_xlfn.IFS(HR_Employee_Attrition[[#This Row],[YearsAtCompany]]&lt;=2,"0-2",HR_Employee_Attrition[[#This Row],[YearsAtCompany]]&lt;=5,"3-5",HR_Employee_Attrition[[#This Row],[YearsAtCompany]]&lt;=10,"6-10",HR_Employee_Attrition[[#This Row],[YearsAtCompany]]&gt;10,"10+")</f>
        <v>6-10</v>
      </c>
      <c r="AL676" t="str" cm="1">
        <f t="array" ref="AL67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76">
        <f>IF(HR_Employee_Attrition[[#This Row],[Attrition]]="Yes",1,0)</f>
        <v>0</v>
      </c>
    </row>
    <row r="677" spans="1:39"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IF(HR_Employee_Attrition[[#This Row],[Age]]&gt;60,"60+",IF(HR_Employee_Attrition[[#This Row],[Age]]&gt;=50,"50-59",IF(HR_Employee_Attrition[[#This Row],[Age]]&gt;=40,"40-49",IF(HR_Employee_Attrition[[#This Row],[Age]]&gt;=30,"30-39",IF(HR_Employee_Attrition[[#This Row],[Age]]&gt;=20,"20-29",IF(HR_Employee_Attrition[[#This Row],[Age]]&gt;=18,"18-20"))))))</f>
        <v>30-39</v>
      </c>
      <c r="AK677" t="str" cm="1">
        <f t="array" ref="AK677">_xlfn.IFS(HR_Employee_Attrition[[#This Row],[YearsAtCompany]]&lt;=2,"0-2",HR_Employee_Attrition[[#This Row],[YearsAtCompany]]&lt;=5,"3-5",HR_Employee_Attrition[[#This Row],[YearsAtCompany]]&lt;=10,"6-10",HR_Employee_Attrition[[#This Row],[YearsAtCompany]]&gt;10,"10+")</f>
        <v>6-10</v>
      </c>
      <c r="AL677" t="str" cm="1">
        <f t="array" ref="AL67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77">
        <f>IF(HR_Employee_Attrition[[#This Row],[Attrition]]="Yes",1,0)</f>
        <v>0</v>
      </c>
    </row>
    <row r="678" spans="1:39"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IF(HR_Employee_Attrition[[#This Row],[Age]]&gt;60,"60+",IF(HR_Employee_Attrition[[#This Row],[Age]]&gt;=50,"50-59",IF(HR_Employee_Attrition[[#This Row],[Age]]&gt;=40,"40-49",IF(HR_Employee_Attrition[[#This Row],[Age]]&gt;=30,"30-39",IF(HR_Employee_Attrition[[#This Row],[Age]]&gt;=20,"20-29",IF(HR_Employee_Attrition[[#This Row],[Age]]&gt;=18,"18-20"))))))</f>
        <v>30-39</v>
      </c>
      <c r="AK678" t="str" cm="1">
        <f t="array" ref="AK678">_xlfn.IFS(HR_Employee_Attrition[[#This Row],[YearsAtCompany]]&lt;=2,"0-2",HR_Employee_Attrition[[#This Row],[YearsAtCompany]]&lt;=5,"3-5",HR_Employee_Attrition[[#This Row],[YearsAtCompany]]&lt;=10,"6-10",HR_Employee_Attrition[[#This Row],[YearsAtCompany]]&gt;10,"10+")</f>
        <v>6-10</v>
      </c>
      <c r="AL678" t="str" cm="1">
        <f t="array" ref="AL67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78">
        <f>IF(HR_Employee_Attrition[[#This Row],[Attrition]]="Yes",1,0)</f>
        <v>0</v>
      </c>
    </row>
    <row r="679" spans="1:39"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IF(HR_Employee_Attrition[[#This Row],[Age]]&gt;60,"60+",IF(HR_Employee_Attrition[[#This Row],[Age]]&gt;=50,"50-59",IF(HR_Employee_Attrition[[#This Row],[Age]]&gt;=40,"40-49",IF(HR_Employee_Attrition[[#This Row],[Age]]&gt;=30,"30-39",IF(HR_Employee_Attrition[[#This Row],[Age]]&gt;=20,"20-29",IF(HR_Employee_Attrition[[#This Row],[Age]]&gt;=18,"18-20"))))))</f>
        <v>40-49</v>
      </c>
      <c r="AK679" t="str" cm="1">
        <f t="array" ref="AK679">_xlfn.IFS(HR_Employee_Attrition[[#This Row],[YearsAtCompany]]&lt;=2,"0-2",HR_Employee_Attrition[[#This Row],[YearsAtCompany]]&lt;=5,"3-5",HR_Employee_Attrition[[#This Row],[YearsAtCompany]]&lt;=10,"6-10",HR_Employee_Attrition[[#This Row],[YearsAtCompany]]&gt;10,"10+")</f>
        <v>10+</v>
      </c>
      <c r="AL679" t="str" cm="1">
        <f t="array" ref="AL67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79">
        <f>IF(HR_Employee_Attrition[[#This Row],[Attrition]]="Yes",1,0)</f>
        <v>0</v>
      </c>
    </row>
    <row r="680" spans="1:39"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IF(HR_Employee_Attrition[[#This Row],[Age]]&gt;60,"60+",IF(HR_Employee_Attrition[[#This Row],[Age]]&gt;=50,"50-59",IF(HR_Employee_Attrition[[#This Row],[Age]]&gt;=40,"40-49",IF(HR_Employee_Attrition[[#This Row],[Age]]&gt;=30,"30-39",IF(HR_Employee_Attrition[[#This Row],[Age]]&gt;=20,"20-29",IF(HR_Employee_Attrition[[#This Row],[Age]]&gt;=18,"18-20"))))))</f>
        <v>40-49</v>
      </c>
      <c r="AK680" t="str" cm="1">
        <f t="array" ref="AK680">_xlfn.IFS(HR_Employee_Attrition[[#This Row],[YearsAtCompany]]&lt;=2,"0-2",HR_Employee_Attrition[[#This Row],[YearsAtCompany]]&lt;=5,"3-5",HR_Employee_Attrition[[#This Row],[YearsAtCompany]]&lt;=10,"6-10",HR_Employee_Attrition[[#This Row],[YearsAtCompany]]&gt;10,"10+")</f>
        <v>0-2</v>
      </c>
      <c r="AL680" t="str" cm="1">
        <f t="array" ref="AL68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80">
        <f>IF(HR_Employee_Attrition[[#This Row],[Attrition]]="Yes",1,0)</f>
        <v>0</v>
      </c>
    </row>
    <row r="681" spans="1:39"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IF(HR_Employee_Attrition[[#This Row],[Age]]&gt;60,"60+",IF(HR_Employee_Attrition[[#This Row],[Age]]&gt;=50,"50-59",IF(HR_Employee_Attrition[[#This Row],[Age]]&gt;=40,"40-49",IF(HR_Employee_Attrition[[#This Row],[Age]]&gt;=30,"30-39",IF(HR_Employee_Attrition[[#This Row],[Age]]&gt;=20,"20-29",IF(HR_Employee_Attrition[[#This Row],[Age]]&gt;=18,"18-20"))))))</f>
        <v>30-39</v>
      </c>
      <c r="AK681" t="str" cm="1">
        <f t="array" ref="AK681">_xlfn.IFS(HR_Employee_Attrition[[#This Row],[YearsAtCompany]]&lt;=2,"0-2",HR_Employee_Attrition[[#This Row],[YearsAtCompany]]&lt;=5,"3-5",HR_Employee_Attrition[[#This Row],[YearsAtCompany]]&lt;=10,"6-10",HR_Employee_Attrition[[#This Row],[YearsAtCompany]]&gt;10,"10+")</f>
        <v>6-10</v>
      </c>
      <c r="AL681" t="str" cm="1">
        <f t="array" ref="AL68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81">
        <f>IF(HR_Employee_Attrition[[#This Row],[Attrition]]="Yes",1,0)</f>
        <v>0</v>
      </c>
    </row>
    <row r="682" spans="1:39"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IF(HR_Employee_Attrition[[#This Row],[Age]]&gt;60,"60+",IF(HR_Employee_Attrition[[#This Row],[Age]]&gt;=50,"50-59",IF(HR_Employee_Attrition[[#This Row],[Age]]&gt;=40,"40-49",IF(HR_Employee_Attrition[[#This Row],[Age]]&gt;=30,"30-39",IF(HR_Employee_Attrition[[#This Row],[Age]]&gt;=20,"20-29",IF(HR_Employee_Attrition[[#This Row],[Age]]&gt;=18,"18-20"))))))</f>
        <v>30-39</v>
      </c>
      <c r="AK682" t="str" cm="1">
        <f t="array" ref="AK682">_xlfn.IFS(HR_Employee_Attrition[[#This Row],[YearsAtCompany]]&lt;=2,"0-2",HR_Employee_Attrition[[#This Row],[YearsAtCompany]]&lt;=5,"3-5",HR_Employee_Attrition[[#This Row],[YearsAtCompany]]&lt;=10,"6-10",HR_Employee_Attrition[[#This Row],[YearsAtCompany]]&gt;10,"10+")</f>
        <v>6-10</v>
      </c>
      <c r="AL682" t="str" cm="1">
        <f t="array" ref="AL68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82">
        <f>IF(HR_Employee_Attrition[[#This Row],[Attrition]]="Yes",1,0)</f>
        <v>0</v>
      </c>
    </row>
    <row r="683" spans="1:39"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IF(HR_Employee_Attrition[[#This Row],[Age]]&gt;60,"60+",IF(HR_Employee_Attrition[[#This Row],[Age]]&gt;=50,"50-59",IF(HR_Employee_Attrition[[#This Row],[Age]]&gt;=40,"40-49",IF(HR_Employee_Attrition[[#This Row],[Age]]&gt;=30,"30-39",IF(HR_Employee_Attrition[[#This Row],[Age]]&gt;=20,"20-29",IF(HR_Employee_Attrition[[#This Row],[Age]]&gt;=18,"18-20"))))))</f>
        <v>30-39</v>
      </c>
      <c r="AK683" t="str" cm="1">
        <f t="array" ref="AK683">_xlfn.IFS(HR_Employee_Attrition[[#This Row],[YearsAtCompany]]&lt;=2,"0-2",HR_Employee_Attrition[[#This Row],[YearsAtCompany]]&lt;=5,"3-5",HR_Employee_Attrition[[#This Row],[YearsAtCompany]]&lt;=10,"6-10",HR_Employee_Attrition[[#This Row],[YearsAtCompany]]&gt;10,"10+")</f>
        <v>10+</v>
      </c>
      <c r="AL683" t="str" cm="1">
        <f t="array" ref="AL68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83">
        <f>IF(HR_Employee_Attrition[[#This Row],[Attrition]]="Yes",1,0)</f>
        <v>0</v>
      </c>
    </row>
    <row r="684" spans="1:39"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IF(HR_Employee_Attrition[[#This Row],[Age]]&gt;60,"60+",IF(HR_Employee_Attrition[[#This Row],[Age]]&gt;=50,"50-59",IF(HR_Employee_Attrition[[#This Row],[Age]]&gt;=40,"40-49",IF(HR_Employee_Attrition[[#This Row],[Age]]&gt;=30,"30-39",IF(HR_Employee_Attrition[[#This Row],[Age]]&gt;=20,"20-29",IF(HR_Employee_Attrition[[#This Row],[Age]]&gt;=18,"18-20"))))))</f>
        <v>30-39</v>
      </c>
      <c r="AK684" t="str" cm="1">
        <f t="array" ref="AK684">_xlfn.IFS(HR_Employee_Attrition[[#This Row],[YearsAtCompany]]&lt;=2,"0-2",HR_Employee_Attrition[[#This Row],[YearsAtCompany]]&lt;=5,"3-5",HR_Employee_Attrition[[#This Row],[YearsAtCompany]]&lt;=10,"6-10",HR_Employee_Attrition[[#This Row],[YearsAtCompany]]&gt;10,"10+")</f>
        <v>3-5</v>
      </c>
      <c r="AL684" t="str" cm="1">
        <f t="array" ref="AL68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84">
        <f>IF(HR_Employee_Attrition[[#This Row],[Attrition]]="Yes",1,0)</f>
        <v>0</v>
      </c>
    </row>
    <row r="685" spans="1:39"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IF(HR_Employee_Attrition[[#This Row],[Age]]&gt;60,"60+",IF(HR_Employee_Attrition[[#This Row],[Age]]&gt;=50,"50-59",IF(HR_Employee_Attrition[[#This Row],[Age]]&gt;=40,"40-49",IF(HR_Employee_Attrition[[#This Row],[Age]]&gt;=30,"30-39",IF(HR_Employee_Attrition[[#This Row],[Age]]&gt;=20,"20-29",IF(HR_Employee_Attrition[[#This Row],[Age]]&gt;=18,"18-20"))))))</f>
        <v>20-29</v>
      </c>
      <c r="AK685" t="str" cm="1">
        <f t="array" ref="AK685">_xlfn.IFS(HR_Employee_Attrition[[#This Row],[YearsAtCompany]]&lt;=2,"0-2",HR_Employee_Attrition[[#This Row],[YearsAtCompany]]&lt;=5,"3-5",HR_Employee_Attrition[[#This Row],[YearsAtCompany]]&lt;=10,"6-10",HR_Employee_Attrition[[#This Row],[YearsAtCompany]]&gt;10,"10+")</f>
        <v>0-2</v>
      </c>
      <c r="AL685" t="str" cm="1">
        <f t="array" ref="AL68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85">
        <f>IF(HR_Employee_Attrition[[#This Row],[Attrition]]="Yes",1,0)</f>
        <v>1</v>
      </c>
    </row>
    <row r="686" spans="1:39"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IF(HR_Employee_Attrition[[#This Row],[Age]]&gt;60,"60+",IF(HR_Employee_Attrition[[#This Row],[Age]]&gt;=50,"50-59",IF(HR_Employee_Attrition[[#This Row],[Age]]&gt;=40,"40-49",IF(HR_Employee_Attrition[[#This Row],[Age]]&gt;=30,"30-39",IF(HR_Employee_Attrition[[#This Row],[Age]]&gt;=20,"20-29",IF(HR_Employee_Attrition[[#This Row],[Age]]&gt;=18,"18-20"))))))</f>
        <v>40-49</v>
      </c>
      <c r="AK686" t="str" cm="1">
        <f t="array" ref="AK686">_xlfn.IFS(HR_Employee_Attrition[[#This Row],[YearsAtCompany]]&lt;=2,"0-2",HR_Employee_Attrition[[#This Row],[YearsAtCompany]]&lt;=5,"3-5",HR_Employee_Attrition[[#This Row],[YearsAtCompany]]&lt;=10,"6-10",HR_Employee_Attrition[[#This Row],[YearsAtCompany]]&gt;10,"10+")</f>
        <v>0-2</v>
      </c>
      <c r="AL686" t="str" cm="1">
        <f t="array" ref="AL68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86">
        <f>IF(HR_Employee_Attrition[[#This Row],[Attrition]]="Yes",1,0)</f>
        <v>0</v>
      </c>
    </row>
    <row r="687" spans="1:39"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IF(HR_Employee_Attrition[[#This Row],[Age]]&gt;60,"60+",IF(HR_Employee_Attrition[[#This Row],[Age]]&gt;=50,"50-59",IF(HR_Employee_Attrition[[#This Row],[Age]]&gt;=40,"40-49",IF(HR_Employee_Attrition[[#This Row],[Age]]&gt;=30,"30-39",IF(HR_Employee_Attrition[[#This Row],[Age]]&gt;=20,"20-29",IF(HR_Employee_Attrition[[#This Row],[Age]]&gt;=18,"18-20"))))))</f>
        <v>20-29</v>
      </c>
      <c r="AK687" t="str" cm="1">
        <f t="array" ref="AK687">_xlfn.IFS(HR_Employee_Attrition[[#This Row],[YearsAtCompany]]&lt;=2,"0-2",HR_Employee_Attrition[[#This Row],[YearsAtCompany]]&lt;=5,"3-5",HR_Employee_Attrition[[#This Row],[YearsAtCompany]]&lt;=10,"6-10",HR_Employee_Attrition[[#This Row],[YearsAtCompany]]&gt;10,"10+")</f>
        <v>6-10</v>
      </c>
      <c r="AL687" t="str" cm="1">
        <f t="array" ref="AL68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87">
        <f>IF(HR_Employee_Attrition[[#This Row],[Attrition]]="Yes",1,0)</f>
        <v>0</v>
      </c>
    </row>
    <row r="688" spans="1:39"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IF(HR_Employee_Attrition[[#This Row],[Age]]&gt;60,"60+",IF(HR_Employee_Attrition[[#This Row],[Age]]&gt;=50,"50-59",IF(HR_Employee_Attrition[[#This Row],[Age]]&gt;=40,"40-49",IF(HR_Employee_Attrition[[#This Row],[Age]]&gt;=30,"30-39",IF(HR_Employee_Attrition[[#This Row],[Age]]&gt;=20,"20-29",IF(HR_Employee_Attrition[[#This Row],[Age]]&gt;=18,"18-20"))))))</f>
        <v>40-49</v>
      </c>
      <c r="AK688" t="str" cm="1">
        <f t="array" ref="AK688">_xlfn.IFS(HR_Employee_Attrition[[#This Row],[YearsAtCompany]]&lt;=2,"0-2",HR_Employee_Attrition[[#This Row],[YearsAtCompany]]&lt;=5,"3-5",HR_Employee_Attrition[[#This Row],[YearsAtCompany]]&lt;=10,"6-10",HR_Employee_Attrition[[#This Row],[YearsAtCompany]]&gt;10,"10+")</f>
        <v>10+</v>
      </c>
      <c r="AL688" t="str" cm="1">
        <f t="array" ref="AL68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88">
        <f>IF(HR_Employee_Attrition[[#This Row],[Attrition]]="Yes",1,0)</f>
        <v>0</v>
      </c>
    </row>
    <row r="689" spans="1:39"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IF(HR_Employee_Attrition[[#This Row],[Age]]&gt;60,"60+",IF(HR_Employee_Attrition[[#This Row],[Age]]&gt;=50,"50-59",IF(HR_Employee_Attrition[[#This Row],[Age]]&gt;=40,"40-49",IF(HR_Employee_Attrition[[#This Row],[Age]]&gt;=30,"30-39",IF(HR_Employee_Attrition[[#This Row],[Age]]&gt;=20,"20-29",IF(HR_Employee_Attrition[[#This Row],[Age]]&gt;=18,"18-20"))))))</f>
        <v>30-39</v>
      </c>
      <c r="AK689" t="str" cm="1">
        <f t="array" ref="AK689">_xlfn.IFS(HR_Employee_Attrition[[#This Row],[YearsAtCompany]]&lt;=2,"0-2",HR_Employee_Attrition[[#This Row],[YearsAtCompany]]&lt;=5,"3-5",HR_Employee_Attrition[[#This Row],[YearsAtCompany]]&lt;=10,"6-10",HR_Employee_Attrition[[#This Row],[YearsAtCompany]]&gt;10,"10+")</f>
        <v>10+</v>
      </c>
      <c r="AL689" t="str" cm="1">
        <f t="array" ref="AL68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89">
        <f>IF(HR_Employee_Attrition[[#This Row],[Attrition]]="Yes",1,0)</f>
        <v>0</v>
      </c>
    </row>
    <row r="690" spans="1:39"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IF(HR_Employee_Attrition[[#This Row],[Age]]&gt;60,"60+",IF(HR_Employee_Attrition[[#This Row],[Age]]&gt;=50,"50-59",IF(HR_Employee_Attrition[[#This Row],[Age]]&gt;=40,"40-49",IF(HR_Employee_Attrition[[#This Row],[Age]]&gt;=30,"30-39",IF(HR_Employee_Attrition[[#This Row],[Age]]&gt;=20,"20-29",IF(HR_Employee_Attrition[[#This Row],[Age]]&gt;=18,"18-20"))))))</f>
        <v>18-20</v>
      </c>
      <c r="AK690" t="str" cm="1">
        <f t="array" ref="AK690">_xlfn.IFS(HR_Employee_Attrition[[#This Row],[YearsAtCompany]]&lt;=2,"0-2",HR_Employee_Attrition[[#This Row],[YearsAtCompany]]&lt;=5,"3-5",HR_Employee_Attrition[[#This Row],[YearsAtCompany]]&lt;=10,"6-10",HR_Employee_Attrition[[#This Row],[YearsAtCompany]]&gt;10,"10+")</f>
        <v>0-2</v>
      </c>
      <c r="AL690" t="str" cm="1">
        <f t="array" ref="AL69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90">
        <f>IF(HR_Employee_Attrition[[#This Row],[Attrition]]="Yes",1,0)</f>
        <v>1</v>
      </c>
    </row>
    <row r="691" spans="1:39"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IF(HR_Employee_Attrition[[#This Row],[Age]]&gt;60,"60+",IF(HR_Employee_Attrition[[#This Row],[Age]]&gt;=50,"50-59",IF(HR_Employee_Attrition[[#This Row],[Age]]&gt;=40,"40-49",IF(HR_Employee_Attrition[[#This Row],[Age]]&gt;=30,"30-39",IF(HR_Employee_Attrition[[#This Row],[Age]]&gt;=20,"20-29",IF(HR_Employee_Attrition[[#This Row],[Age]]&gt;=18,"18-20"))))))</f>
        <v>20-29</v>
      </c>
      <c r="AK691" t="str" cm="1">
        <f t="array" ref="AK691">_xlfn.IFS(HR_Employee_Attrition[[#This Row],[YearsAtCompany]]&lt;=2,"0-2",HR_Employee_Attrition[[#This Row],[YearsAtCompany]]&lt;=5,"3-5",HR_Employee_Attrition[[#This Row],[YearsAtCompany]]&lt;=10,"6-10",HR_Employee_Attrition[[#This Row],[YearsAtCompany]]&gt;10,"10+")</f>
        <v>0-2</v>
      </c>
      <c r="AL691" t="str" cm="1">
        <f t="array" ref="AL69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91">
        <f>IF(HR_Employee_Attrition[[#This Row],[Attrition]]="Yes",1,0)</f>
        <v>1</v>
      </c>
    </row>
    <row r="692" spans="1:39"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IF(HR_Employee_Attrition[[#This Row],[Age]]&gt;60,"60+",IF(HR_Employee_Attrition[[#This Row],[Age]]&gt;=50,"50-59",IF(HR_Employee_Attrition[[#This Row],[Age]]&gt;=40,"40-49",IF(HR_Employee_Attrition[[#This Row],[Age]]&gt;=30,"30-39",IF(HR_Employee_Attrition[[#This Row],[Age]]&gt;=20,"20-29",IF(HR_Employee_Attrition[[#This Row],[Age]]&gt;=18,"18-20"))))))</f>
        <v>30-39</v>
      </c>
      <c r="AK692" t="str" cm="1">
        <f t="array" ref="AK692">_xlfn.IFS(HR_Employee_Attrition[[#This Row],[YearsAtCompany]]&lt;=2,"0-2",HR_Employee_Attrition[[#This Row],[YearsAtCompany]]&lt;=5,"3-5",HR_Employee_Attrition[[#This Row],[YearsAtCompany]]&lt;=10,"6-10",HR_Employee_Attrition[[#This Row],[YearsAtCompany]]&gt;10,"10+")</f>
        <v>6-10</v>
      </c>
      <c r="AL692" t="str" cm="1">
        <f t="array" ref="AL69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92">
        <f>IF(HR_Employee_Attrition[[#This Row],[Attrition]]="Yes",1,0)</f>
        <v>0</v>
      </c>
    </row>
    <row r="693" spans="1:39"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IF(HR_Employee_Attrition[[#This Row],[Age]]&gt;60,"60+",IF(HR_Employee_Attrition[[#This Row],[Age]]&gt;=50,"50-59",IF(HR_Employee_Attrition[[#This Row],[Age]]&gt;=40,"40-49",IF(HR_Employee_Attrition[[#This Row],[Age]]&gt;=30,"30-39",IF(HR_Employee_Attrition[[#This Row],[Age]]&gt;=20,"20-29",IF(HR_Employee_Attrition[[#This Row],[Age]]&gt;=18,"18-20"))))))</f>
        <v>40-49</v>
      </c>
      <c r="AK693" t="str" cm="1">
        <f t="array" ref="AK693">_xlfn.IFS(HR_Employee_Attrition[[#This Row],[YearsAtCompany]]&lt;=2,"0-2",HR_Employee_Attrition[[#This Row],[YearsAtCompany]]&lt;=5,"3-5",HR_Employee_Attrition[[#This Row],[YearsAtCompany]]&lt;=10,"6-10",HR_Employee_Attrition[[#This Row],[YearsAtCompany]]&gt;10,"10+")</f>
        <v>0-2</v>
      </c>
      <c r="AL693" t="str" cm="1">
        <f t="array" ref="AL69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93">
        <f>IF(HR_Employee_Attrition[[#This Row],[Attrition]]="Yes",1,0)</f>
        <v>0</v>
      </c>
    </row>
    <row r="694" spans="1:39"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IF(HR_Employee_Attrition[[#This Row],[Age]]&gt;60,"60+",IF(HR_Employee_Attrition[[#This Row],[Age]]&gt;=50,"50-59",IF(HR_Employee_Attrition[[#This Row],[Age]]&gt;=40,"40-49",IF(HR_Employee_Attrition[[#This Row],[Age]]&gt;=30,"30-39",IF(HR_Employee_Attrition[[#This Row],[Age]]&gt;=20,"20-29",IF(HR_Employee_Attrition[[#This Row],[Age]]&gt;=18,"18-20"))))))</f>
        <v>30-39</v>
      </c>
      <c r="AK694" t="str" cm="1">
        <f t="array" ref="AK694">_xlfn.IFS(HR_Employee_Attrition[[#This Row],[YearsAtCompany]]&lt;=2,"0-2",HR_Employee_Attrition[[#This Row],[YearsAtCompany]]&lt;=5,"3-5",HR_Employee_Attrition[[#This Row],[YearsAtCompany]]&lt;=10,"6-10",HR_Employee_Attrition[[#This Row],[YearsAtCompany]]&gt;10,"10+")</f>
        <v>6-10</v>
      </c>
      <c r="AL694" t="str" cm="1">
        <f t="array" ref="AL69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94">
        <f>IF(HR_Employee_Attrition[[#This Row],[Attrition]]="Yes",1,0)</f>
        <v>0</v>
      </c>
    </row>
    <row r="695" spans="1:39"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IF(HR_Employee_Attrition[[#This Row],[Age]]&gt;60,"60+",IF(HR_Employee_Attrition[[#This Row],[Age]]&gt;=50,"50-59",IF(HR_Employee_Attrition[[#This Row],[Age]]&gt;=40,"40-49",IF(HR_Employee_Attrition[[#This Row],[Age]]&gt;=30,"30-39",IF(HR_Employee_Attrition[[#This Row],[Age]]&gt;=20,"20-29",IF(HR_Employee_Attrition[[#This Row],[Age]]&gt;=18,"18-20"))))))</f>
        <v>30-39</v>
      </c>
      <c r="AK695" t="str" cm="1">
        <f t="array" ref="AK695">_xlfn.IFS(HR_Employee_Attrition[[#This Row],[YearsAtCompany]]&lt;=2,"0-2",HR_Employee_Attrition[[#This Row],[YearsAtCompany]]&lt;=5,"3-5",HR_Employee_Attrition[[#This Row],[YearsAtCompany]]&lt;=10,"6-10",HR_Employee_Attrition[[#This Row],[YearsAtCompany]]&gt;10,"10+")</f>
        <v>10+</v>
      </c>
      <c r="AL695" t="str" cm="1">
        <f t="array" ref="AL69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95">
        <f>IF(HR_Employee_Attrition[[#This Row],[Attrition]]="Yes",1,0)</f>
        <v>1</v>
      </c>
    </row>
    <row r="696" spans="1:39"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IF(HR_Employee_Attrition[[#This Row],[Age]]&gt;60,"60+",IF(HR_Employee_Attrition[[#This Row],[Age]]&gt;=50,"50-59",IF(HR_Employee_Attrition[[#This Row],[Age]]&gt;=40,"40-49",IF(HR_Employee_Attrition[[#This Row],[Age]]&gt;=30,"30-39",IF(HR_Employee_Attrition[[#This Row],[Age]]&gt;=20,"20-29",IF(HR_Employee_Attrition[[#This Row],[Age]]&gt;=18,"18-20"))))))</f>
        <v>30-39</v>
      </c>
      <c r="AK696" t="str" cm="1">
        <f t="array" ref="AK696">_xlfn.IFS(HR_Employee_Attrition[[#This Row],[YearsAtCompany]]&lt;=2,"0-2",HR_Employee_Attrition[[#This Row],[YearsAtCompany]]&lt;=5,"3-5",HR_Employee_Attrition[[#This Row],[YearsAtCompany]]&lt;=10,"6-10",HR_Employee_Attrition[[#This Row],[YearsAtCompany]]&gt;10,"10+")</f>
        <v>3-5</v>
      </c>
      <c r="AL696" t="str" cm="1">
        <f t="array" ref="AL69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696">
        <f>IF(HR_Employee_Attrition[[#This Row],[Attrition]]="Yes",1,0)</f>
        <v>0</v>
      </c>
    </row>
    <row r="697" spans="1:39"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IF(HR_Employee_Attrition[[#This Row],[Age]]&gt;60,"60+",IF(HR_Employee_Attrition[[#This Row],[Age]]&gt;=50,"50-59",IF(HR_Employee_Attrition[[#This Row],[Age]]&gt;=40,"40-49",IF(HR_Employee_Attrition[[#This Row],[Age]]&gt;=30,"30-39",IF(HR_Employee_Attrition[[#This Row],[Age]]&gt;=20,"20-29",IF(HR_Employee_Attrition[[#This Row],[Age]]&gt;=18,"18-20"))))))</f>
        <v>30-39</v>
      </c>
      <c r="AK697" t="str" cm="1">
        <f t="array" ref="AK697">_xlfn.IFS(HR_Employee_Attrition[[#This Row],[YearsAtCompany]]&lt;=2,"0-2",HR_Employee_Attrition[[#This Row],[YearsAtCompany]]&lt;=5,"3-5",HR_Employee_Attrition[[#This Row],[YearsAtCompany]]&lt;=10,"6-10",HR_Employee_Attrition[[#This Row],[YearsAtCompany]]&gt;10,"10+")</f>
        <v>10+</v>
      </c>
      <c r="AL697" t="str" cm="1">
        <f t="array" ref="AL69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697">
        <f>IF(HR_Employee_Attrition[[#This Row],[Attrition]]="Yes",1,0)</f>
        <v>1</v>
      </c>
    </row>
    <row r="698" spans="1:39"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IF(HR_Employee_Attrition[[#This Row],[Age]]&gt;60,"60+",IF(HR_Employee_Attrition[[#This Row],[Age]]&gt;=50,"50-59",IF(HR_Employee_Attrition[[#This Row],[Age]]&gt;=40,"40-49",IF(HR_Employee_Attrition[[#This Row],[Age]]&gt;=30,"30-39",IF(HR_Employee_Attrition[[#This Row],[Age]]&gt;=20,"20-29",IF(HR_Employee_Attrition[[#This Row],[Age]]&gt;=18,"18-20"))))))</f>
        <v>40-49</v>
      </c>
      <c r="AK698" t="str" cm="1">
        <f t="array" ref="AK698">_xlfn.IFS(HR_Employee_Attrition[[#This Row],[YearsAtCompany]]&lt;=2,"0-2",HR_Employee_Attrition[[#This Row],[YearsAtCompany]]&lt;=5,"3-5",HR_Employee_Attrition[[#This Row],[YearsAtCompany]]&lt;=10,"6-10",HR_Employee_Attrition[[#This Row],[YearsAtCompany]]&gt;10,"10+")</f>
        <v>6-10</v>
      </c>
      <c r="AL698" t="str" cm="1">
        <f t="array" ref="AL69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98">
        <f>IF(HR_Employee_Attrition[[#This Row],[Attrition]]="Yes",1,0)</f>
        <v>0</v>
      </c>
    </row>
    <row r="699" spans="1:39"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IF(HR_Employee_Attrition[[#This Row],[Age]]&gt;60,"60+",IF(HR_Employee_Attrition[[#This Row],[Age]]&gt;=50,"50-59",IF(HR_Employee_Attrition[[#This Row],[Age]]&gt;=40,"40-49",IF(HR_Employee_Attrition[[#This Row],[Age]]&gt;=30,"30-39",IF(HR_Employee_Attrition[[#This Row],[Age]]&gt;=20,"20-29",IF(HR_Employee_Attrition[[#This Row],[Age]]&gt;=18,"18-20"))))))</f>
        <v>20-29</v>
      </c>
      <c r="AK699" t="str" cm="1">
        <f t="array" ref="AK699">_xlfn.IFS(HR_Employee_Attrition[[#This Row],[YearsAtCompany]]&lt;=2,"0-2",HR_Employee_Attrition[[#This Row],[YearsAtCompany]]&lt;=5,"3-5",HR_Employee_Attrition[[#This Row],[YearsAtCompany]]&lt;=10,"6-10",HR_Employee_Attrition[[#This Row],[YearsAtCompany]]&gt;10,"10+")</f>
        <v>3-5</v>
      </c>
      <c r="AL699" t="str" cm="1">
        <f t="array" ref="AL69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699">
        <f>IF(HR_Employee_Attrition[[#This Row],[Attrition]]="Yes",1,0)</f>
        <v>0</v>
      </c>
    </row>
    <row r="700" spans="1:39"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IF(HR_Employee_Attrition[[#This Row],[Age]]&gt;60,"60+",IF(HR_Employee_Attrition[[#This Row],[Age]]&gt;=50,"50-59",IF(HR_Employee_Attrition[[#This Row],[Age]]&gt;=40,"40-49",IF(HR_Employee_Attrition[[#This Row],[Age]]&gt;=30,"30-39",IF(HR_Employee_Attrition[[#This Row],[Age]]&gt;=20,"20-29",IF(HR_Employee_Attrition[[#This Row],[Age]]&gt;=18,"18-20"))))))</f>
        <v>30-39</v>
      </c>
      <c r="AK700" t="str" cm="1">
        <f t="array" ref="AK700">_xlfn.IFS(HR_Employee_Attrition[[#This Row],[YearsAtCompany]]&lt;=2,"0-2",HR_Employee_Attrition[[#This Row],[YearsAtCompany]]&lt;=5,"3-5",HR_Employee_Attrition[[#This Row],[YearsAtCompany]]&lt;=10,"6-10",HR_Employee_Attrition[[#This Row],[YearsAtCompany]]&gt;10,"10+")</f>
        <v>3-5</v>
      </c>
      <c r="AL700" t="str" cm="1">
        <f t="array" ref="AL70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00">
        <f>IF(HR_Employee_Attrition[[#This Row],[Attrition]]="Yes",1,0)</f>
        <v>0</v>
      </c>
    </row>
    <row r="701" spans="1:39"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IF(HR_Employee_Attrition[[#This Row],[Age]]&gt;60,"60+",IF(HR_Employee_Attrition[[#This Row],[Age]]&gt;=50,"50-59",IF(HR_Employee_Attrition[[#This Row],[Age]]&gt;=40,"40-49",IF(HR_Employee_Attrition[[#This Row],[Age]]&gt;=30,"30-39",IF(HR_Employee_Attrition[[#This Row],[Age]]&gt;=20,"20-29",IF(HR_Employee_Attrition[[#This Row],[Age]]&gt;=18,"18-20"))))))</f>
        <v>50-59</v>
      </c>
      <c r="AK701" t="str" cm="1">
        <f t="array" ref="AK701">_xlfn.IFS(HR_Employee_Attrition[[#This Row],[YearsAtCompany]]&lt;=2,"0-2",HR_Employee_Attrition[[#This Row],[YearsAtCompany]]&lt;=5,"3-5",HR_Employee_Attrition[[#This Row],[YearsAtCompany]]&lt;=10,"6-10",HR_Employee_Attrition[[#This Row],[YearsAtCompany]]&gt;10,"10+")</f>
        <v>6-10</v>
      </c>
      <c r="AL701" t="str" cm="1">
        <f t="array" ref="AL70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701">
        <f>IF(HR_Employee_Attrition[[#This Row],[Attrition]]="Yes",1,0)</f>
        <v>0</v>
      </c>
    </row>
    <row r="702" spans="1:39"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IF(HR_Employee_Attrition[[#This Row],[Age]]&gt;60,"60+",IF(HR_Employee_Attrition[[#This Row],[Age]]&gt;=50,"50-59",IF(HR_Employee_Attrition[[#This Row],[Age]]&gt;=40,"40-49",IF(HR_Employee_Attrition[[#This Row],[Age]]&gt;=30,"30-39",IF(HR_Employee_Attrition[[#This Row],[Age]]&gt;=20,"20-29",IF(HR_Employee_Attrition[[#This Row],[Age]]&gt;=18,"18-20"))))))</f>
        <v>50-59</v>
      </c>
      <c r="AK702" t="str" cm="1">
        <f t="array" ref="AK702">_xlfn.IFS(HR_Employee_Attrition[[#This Row],[YearsAtCompany]]&lt;=2,"0-2",HR_Employee_Attrition[[#This Row],[YearsAtCompany]]&lt;=5,"3-5",HR_Employee_Attrition[[#This Row],[YearsAtCompany]]&lt;=10,"6-10",HR_Employee_Attrition[[#This Row],[YearsAtCompany]]&gt;10,"10+")</f>
        <v>0-2</v>
      </c>
      <c r="AL702" t="str" cm="1">
        <f t="array" ref="AL70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02">
        <f>IF(HR_Employee_Attrition[[#This Row],[Attrition]]="Yes",1,0)</f>
        <v>1</v>
      </c>
    </row>
    <row r="703" spans="1:39"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IF(HR_Employee_Attrition[[#This Row],[Age]]&gt;60,"60+",IF(HR_Employee_Attrition[[#This Row],[Age]]&gt;=50,"50-59",IF(HR_Employee_Attrition[[#This Row],[Age]]&gt;=40,"40-49",IF(HR_Employee_Attrition[[#This Row],[Age]]&gt;=30,"30-39",IF(HR_Employee_Attrition[[#This Row],[Age]]&gt;=20,"20-29",IF(HR_Employee_Attrition[[#This Row],[Age]]&gt;=18,"18-20"))))))</f>
        <v>50-59</v>
      </c>
      <c r="AK703" t="str" cm="1">
        <f t="array" ref="AK703">_xlfn.IFS(HR_Employee_Attrition[[#This Row],[YearsAtCompany]]&lt;=2,"0-2",HR_Employee_Attrition[[#This Row],[YearsAtCompany]]&lt;=5,"3-5",HR_Employee_Attrition[[#This Row],[YearsAtCompany]]&lt;=10,"6-10",HR_Employee_Attrition[[#This Row],[YearsAtCompany]]&gt;10,"10+")</f>
        <v>10+</v>
      </c>
      <c r="AL703" t="str" cm="1">
        <f t="array" ref="AL70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03">
        <f>IF(HR_Employee_Attrition[[#This Row],[Attrition]]="Yes",1,0)</f>
        <v>0</v>
      </c>
    </row>
    <row r="704" spans="1:39"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IF(HR_Employee_Attrition[[#This Row],[Age]]&gt;60,"60+",IF(HR_Employee_Attrition[[#This Row],[Age]]&gt;=50,"50-59",IF(HR_Employee_Attrition[[#This Row],[Age]]&gt;=40,"40-49",IF(HR_Employee_Attrition[[#This Row],[Age]]&gt;=30,"30-39",IF(HR_Employee_Attrition[[#This Row],[Age]]&gt;=20,"20-29",IF(HR_Employee_Attrition[[#This Row],[Age]]&gt;=18,"18-20"))))))</f>
        <v>30-39</v>
      </c>
      <c r="AK704" t="str" cm="1">
        <f t="array" ref="AK704">_xlfn.IFS(HR_Employee_Attrition[[#This Row],[YearsAtCompany]]&lt;=2,"0-2",HR_Employee_Attrition[[#This Row],[YearsAtCompany]]&lt;=5,"3-5",HR_Employee_Attrition[[#This Row],[YearsAtCompany]]&lt;=10,"6-10",HR_Employee_Attrition[[#This Row],[YearsAtCompany]]&gt;10,"10+")</f>
        <v>6-10</v>
      </c>
      <c r="AL704" t="str" cm="1">
        <f t="array" ref="AL70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04">
        <f>IF(HR_Employee_Attrition[[#This Row],[Attrition]]="Yes",1,0)</f>
        <v>0</v>
      </c>
    </row>
    <row r="705" spans="1:39"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IF(HR_Employee_Attrition[[#This Row],[Age]]&gt;60,"60+",IF(HR_Employee_Attrition[[#This Row],[Age]]&gt;=50,"50-59",IF(HR_Employee_Attrition[[#This Row],[Age]]&gt;=40,"40-49",IF(HR_Employee_Attrition[[#This Row],[Age]]&gt;=30,"30-39",IF(HR_Employee_Attrition[[#This Row],[Age]]&gt;=20,"20-29",IF(HR_Employee_Attrition[[#This Row],[Age]]&gt;=18,"18-20"))))))</f>
        <v>30-39</v>
      </c>
      <c r="AK705" t="str" cm="1">
        <f t="array" ref="AK705">_xlfn.IFS(HR_Employee_Attrition[[#This Row],[YearsAtCompany]]&lt;=2,"0-2",HR_Employee_Attrition[[#This Row],[YearsAtCompany]]&lt;=5,"3-5",HR_Employee_Attrition[[#This Row],[YearsAtCompany]]&lt;=10,"6-10",HR_Employee_Attrition[[#This Row],[YearsAtCompany]]&gt;10,"10+")</f>
        <v>3-5</v>
      </c>
      <c r="AL705" t="str" cm="1">
        <f t="array" ref="AL70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05">
        <f>IF(HR_Employee_Attrition[[#This Row],[Attrition]]="Yes",1,0)</f>
        <v>0</v>
      </c>
    </row>
    <row r="706" spans="1:39"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IF(HR_Employee_Attrition[[#This Row],[Age]]&gt;60,"60+",IF(HR_Employee_Attrition[[#This Row],[Age]]&gt;=50,"50-59",IF(HR_Employee_Attrition[[#This Row],[Age]]&gt;=40,"40-49",IF(HR_Employee_Attrition[[#This Row],[Age]]&gt;=30,"30-39",IF(HR_Employee_Attrition[[#This Row],[Age]]&gt;=20,"20-29",IF(HR_Employee_Attrition[[#This Row],[Age]]&gt;=18,"18-20"))))))</f>
        <v>30-39</v>
      </c>
      <c r="AK706" t="str" cm="1">
        <f t="array" ref="AK706">_xlfn.IFS(HR_Employee_Attrition[[#This Row],[YearsAtCompany]]&lt;=2,"0-2",HR_Employee_Attrition[[#This Row],[YearsAtCompany]]&lt;=5,"3-5",HR_Employee_Attrition[[#This Row],[YearsAtCompany]]&lt;=10,"6-10",HR_Employee_Attrition[[#This Row],[YearsAtCompany]]&gt;10,"10+")</f>
        <v>6-10</v>
      </c>
      <c r="AL706" t="str" cm="1">
        <f t="array" ref="AL70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06">
        <f>IF(HR_Employee_Attrition[[#This Row],[Attrition]]="Yes",1,0)</f>
        <v>0</v>
      </c>
    </row>
    <row r="707" spans="1:39"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IF(HR_Employee_Attrition[[#This Row],[Age]]&gt;60,"60+",IF(HR_Employee_Attrition[[#This Row],[Age]]&gt;=50,"50-59",IF(HR_Employee_Attrition[[#This Row],[Age]]&gt;=40,"40-49",IF(HR_Employee_Attrition[[#This Row],[Age]]&gt;=30,"30-39",IF(HR_Employee_Attrition[[#This Row],[Age]]&gt;=20,"20-29",IF(HR_Employee_Attrition[[#This Row],[Age]]&gt;=18,"18-20"))))))</f>
        <v>30-39</v>
      </c>
      <c r="AK707" t="str" cm="1">
        <f t="array" ref="AK707">_xlfn.IFS(HR_Employee_Attrition[[#This Row],[YearsAtCompany]]&lt;=2,"0-2",HR_Employee_Attrition[[#This Row],[YearsAtCompany]]&lt;=5,"3-5",HR_Employee_Attrition[[#This Row],[YearsAtCompany]]&lt;=10,"6-10",HR_Employee_Attrition[[#This Row],[YearsAtCompany]]&gt;10,"10+")</f>
        <v>6-10</v>
      </c>
      <c r="AL707" t="str" cm="1">
        <f t="array" ref="AL70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07">
        <f>IF(HR_Employee_Attrition[[#This Row],[Attrition]]="Yes",1,0)</f>
        <v>0</v>
      </c>
    </row>
    <row r="708" spans="1:39"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IF(HR_Employee_Attrition[[#This Row],[Age]]&gt;60,"60+",IF(HR_Employee_Attrition[[#This Row],[Age]]&gt;=50,"50-59",IF(HR_Employee_Attrition[[#This Row],[Age]]&gt;=40,"40-49",IF(HR_Employee_Attrition[[#This Row],[Age]]&gt;=30,"30-39",IF(HR_Employee_Attrition[[#This Row],[Age]]&gt;=20,"20-29",IF(HR_Employee_Attrition[[#This Row],[Age]]&gt;=18,"18-20"))))))</f>
        <v>40-49</v>
      </c>
      <c r="AK708" t="str" cm="1">
        <f t="array" ref="AK708">_xlfn.IFS(HR_Employee_Attrition[[#This Row],[YearsAtCompany]]&lt;=2,"0-2",HR_Employee_Attrition[[#This Row],[YearsAtCompany]]&lt;=5,"3-5",HR_Employee_Attrition[[#This Row],[YearsAtCompany]]&lt;=10,"6-10",HR_Employee_Attrition[[#This Row],[YearsAtCompany]]&gt;10,"10+")</f>
        <v>0-2</v>
      </c>
      <c r="AL708" t="str" cm="1">
        <f t="array" ref="AL70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08">
        <f>IF(HR_Employee_Attrition[[#This Row],[Attrition]]="Yes",1,0)</f>
        <v>1</v>
      </c>
    </row>
    <row r="709" spans="1:39"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IF(HR_Employee_Attrition[[#This Row],[Age]]&gt;60,"60+",IF(HR_Employee_Attrition[[#This Row],[Age]]&gt;=50,"50-59",IF(HR_Employee_Attrition[[#This Row],[Age]]&gt;=40,"40-49",IF(HR_Employee_Attrition[[#This Row],[Age]]&gt;=30,"30-39",IF(HR_Employee_Attrition[[#This Row],[Age]]&gt;=20,"20-29",IF(HR_Employee_Attrition[[#This Row],[Age]]&gt;=18,"18-20"))))))</f>
        <v>40-49</v>
      </c>
      <c r="AK709" t="str" cm="1">
        <f t="array" ref="AK709">_xlfn.IFS(HR_Employee_Attrition[[#This Row],[YearsAtCompany]]&lt;=2,"0-2",HR_Employee_Attrition[[#This Row],[YearsAtCompany]]&lt;=5,"3-5",HR_Employee_Attrition[[#This Row],[YearsAtCompany]]&lt;=10,"6-10",HR_Employee_Attrition[[#This Row],[YearsAtCompany]]&gt;10,"10+")</f>
        <v>10+</v>
      </c>
      <c r="AL709" t="str" cm="1">
        <f t="array" ref="AL70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09">
        <f>IF(HR_Employee_Attrition[[#This Row],[Attrition]]="Yes",1,0)</f>
        <v>0</v>
      </c>
    </row>
    <row r="710" spans="1:39"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IF(HR_Employee_Attrition[[#This Row],[Age]]&gt;60,"60+",IF(HR_Employee_Attrition[[#This Row],[Age]]&gt;=50,"50-59",IF(HR_Employee_Attrition[[#This Row],[Age]]&gt;=40,"40-49",IF(HR_Employee_Attrition[[#This Row],[Age]]&gt;=30,"30-39",IF(HR_Employee_Attrition[[#This Row],[Age]]&gt;=20,"20-29",IF(HR_Employee_Attrition[[#This Row],[Age]]&gt;=18,"18-20"))))))</f>
        <v>30-39</v>
      </c>
      <c r="AK710" t="str" cm="1">
        <f t="array" ref="AK710">_xlfn.IFS(HR_Employee_Attrition[[#This Row],[YearsAtCompany]]&lt;=2,"0-2",HR_Employee_Attrition[[#This Row],[YearsAtCompany]]&lt;=5,"3-5",HR_Employee_Attrition[[#This Row],[YearsAtCompany]]&lt;=10,"6-10",HR_Employee_Attrition[[#This Row],[YearsAtCompany]]&gt;10,"10+")</f>
        <v>6-10</v>
      </c>
      <c r="AL710" t="str" cm="1">
        <f t="array" ref="AL7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10">
        <f>IF(HR_Employee_Attrition[[#This Row],[Attrition]]="Yes",1,0)</f>
        <v>0</v>
      </c>
    </row>
    <row r="711" spans="1:39"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IF(HR_Employee_Attrition[[#This Row],[Age]]&gt;60,"60+",IF(HR_Employee_Attrition[[#This Row],[Age]]&gt;=50,"50-59",IF(HR_Employee_Attrition[[#This Row],[Age]]&gt;=40,"40-49",IF(HR_Employee_Attrition[[#This Row],[Age]]&gt;=30,"30-39",IF(HR_Employee_Attrition[[#This Row],[Age]]&gt;=20,"20-29",IF(HR_Employee_Attrition[[#This Row],[Age]]&gt;=18,"18-20"))))))</f>
        <v>30-39</v>
      </c>
      <c r="AK711" t="str" cm="1">
        <f t="array" ref="AK711">_xlfn.IFS(HR_Employee_Attrition[[#This Row],[YearsAtCompany]]&lt;=2,"0-2",HR_Employee_Attrition[[#This Row],[YearsAtCompany]]&lt;=5,"3-5",HR_Employee_Attrition[[#This Row],[YearsAtCompany]]&lt;=10,"6-10",HR_Employee_Attrition[[#This Row],[YearsAtCompany]]&gt;10,"10+")</f>
        <v>3-5</v>
      </c>
      <c r="AL711" t="str" cm="1">
        <f t="array" ref="AL7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11">
        <f>IF(HR_Employee_Attrition[[#This Row],[Attrition]]="Yes",1,0)</f>
        <v>1</v>
      </c>
    </row>
    <row r="712" spans="1:39"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IF(HR_Employee_Attrition[[#This Row],[Age]]&gt;60,"60+",IF(HR_Employee_Attrition[[#This Row],[Age]]&gt;=50,"50-59",IF(HR_Employee_Attrition[[#This Row],[Age]]&gt;=40,"40-49",IF(HR_Employee_Attrition[[#This Row],[Age]]&gt;=30,"30-39",IF(HR_Employee_Attrition[[#This Row],[Age]]&gt;=20,"20-29",IF(HR_Employee_Attrition[[#This Row],[Age]]&gt;=18,"18-20"))))))</f>
        <v>30-39</v>
      </c>
      <c r="AK712" t="str" cm="1">
        <f t="array" ref="AK712">_xlfn.IFS(HR_Employee_Attrition[[#This Row],[YearsAtCompany]]&lt;=2,"0-2",HR_Employee_Attrition[[#This Row],[YearsAtCompany]]&lt;=5,"3-5",HR_Employee_Attrition[[#This Row],[YearsAtCompany]]&lt;=10,"6-10",HR_Employee_Attrition[[#This Row],[YearsAtCompany]]&gt;10,"10+")</f>
        <v>6-10</v>
      </c>
      <c r="AL712" t="str" cm="1">
        <f t="array" ref="AL7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712">
        <f>IF(HR_Employee_Attrition[[#This Row],[Attrition]]="Yes",1,0)</f>
        <v>0</v>
      </c>
    </row>
    <row r="713" spans="1:39"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IF(HR_Employee_Attrition[[#This Row],[Age]]&gt;60,"60+",IF(HR_Employee_Attrition[[#This Row],[Age]]&gt;=50,"50-59",IF(HR_Employee_Attrition[[#This Row],[Age]]&gt;=40,"40-49",IF(HR_Employee_Attrition[[#This Row],[Age]]&gt;=30,"30-39",IF(HR_Employee_Attrition[[#This Row],[Age]]&gt;=20,"20-29",IF(HR_Employee_Attrition[[#This Row],[Age]]&gt;=18,"18-20"))))))</f>
        <v>20-29</v>
      </c>
      <c r="AK713" t="str" cm="1">
        <f t="array" ref="AK713">_xlfn.IFS(HR_Employee_Attrition[[#This Row],[YearsAtCompany]]&lt;=2,"0-2",HR_Employee_Attrition[[#This Row],[YearsAtCompany]]&lt;=5,"3-5",HR_Employee_Attrition[[#This Row],[YearsAtCompany]]&lt;=10,"6-10",HR_Employee_Attrition[[#This Row],[YearsAtCompany]]&gt;10,"10+")</f>
        <v>0-2</v>
      </c>
      <c r="AL713" t="str" cm="1">
        <f t="array" ref="AL7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13">
        <f>IF(HR_Employee_Attrition[[#This Row],[Attrition]]="Yes",1,0)</f>
        <v>1</v>
      </c>
    </row>
    <row r="714" spans="1:39"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IF(HR_Employee_Attrition[[#This Row],[Age]]&gt;60,"60+",IF(HR_Employee_Attrition[[#This Row],[Age]]&gt;=50,"50-59",IF(HR_Employee_Attrition[[#This Row],[Age]]&gt;=40,"40-49",IF(HR_Employee_Attrition[[#This Row],[Age]]&gt;=30,"30-39",IF(HR_Employee_Attrition[[#This Row],[Age]]&gt;=20,"20-29",IF(HR_Employee_Attrition[[#This Row],[Age]]&gt;=18,"18-20"))))))</f>
        <v>30-39</v>
      </c>
      <c r="AK714" t="str" cm="1">
        <f t="array" ref="AK714">_xlfn.IFS(HR_Employee_Attrition[[#This Row],[YearsAtCompany]]&lt;=2,"0-2",HR_Employee_Attrition[[#This Row],[YearsAtCompany]]&lt;=5,"3-5",HR_Employee_Attrition[[#This Row],[YearsAtCompany]]&lt;=10,"6-10",HR_Employee_Attrition[[#This Row],[YearsAtCompany]]&gt;10,"10+")</f>
        <v>3-5</v>
      </c>
      <c r="AL714" t="str" cm="1">
        <f t="array" ref="AL7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14">
        <f>IF(HR_Employee_Attrition[[#This Row],[Attrition]]="Yes",1,0)</f>
        <v>0</v>
      </c>
    </row>
    <row r="715" spans="1:39"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IF(HR_Employee_Attrition[[#This Row],[Age]]&gt;60,"60+",IF(HR_Employee_Attrition[[#This Row],[Age]]&gt;=50,"50-59",IF(HR_Employee_Attrition[[#This Row],[Age]]&gt;=40,"40-49",IF(HR_Employee_Attrition[[#This Row],[Age]]&gt;=30,"30-39",IF(HR_Employee_Attrition[[#This Row],[Age]]&gt;=20,"20-29",IF(HR_Employee_Attrition[[#This Row],[Age]]&gt;=18,"18-20"))))))</f>
        <v>40-49</v>
      </c>
      <c r="AK715" t="str" cm="1">
        <f t="array" ref="AK715">_xlfn.IFS(HR_Employee_Attrition[[#This Row],[YearsAtCompany]]&lt;=2,"0-2",HR_Employee_Attrition[[#This Row],[YearsAtCompany]]&lt;=5,"3-5",HR_Employee_Attrition[[#This Row],[YearsAtCompany]]&lt;=10,"6-10",HR_Employee_Attrition[[#This Row],[YearsAtCompany]]&gt;10,"10+")</f>
        <v>3-5</v>
      </c>
      <c r="AL715" t="str" cm="1">
        <f t="array" ref="AL7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15">
        <f>IF(HR_Employee_Attrition[[#This Row],[Attrition]]="Yes",1,0)</f>
        <v>0</v>
      </c>
    </row>
    <row r="716" spans="1:39"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IF(HR_Employee_Attrition[[#This Row],[Age]]&gt;60,"60+",IF(HR_Employee_Attrition[[#This Row],[Age]]&gt;=50,"50-59",IF(HR_Employee_Attrition[[#This Row],[Age]]&gt;=40,"40-49",IF(HR_Employee_Attrition[[#This Row],[Age]]&gt;=30,"30-39",IF(HR_Employee_Attrition[[#This Row],[Age]]&gt;=20,"20-29",IF(HR_Employee_Attrition[[#This Row],[Age]]&gt;=18,"18-20"))))))</f>
        <v>50-59</v>
      </c>
      <c r="AK716" t="str" cm="1">
        <f t="array" ref="AK716">_xlfn.IFS(HR_Employee_Attrition[[#This Row],[YearsAtCompany]]&lt;=2,"0-2",HR_Employee_Attrition[[#This Row],[YearsAtCompany]]&lt;=5,"3-5",HR_Employee_Attrition[[#This Row],[YearsAtCompany]]&lt;=10,"6-10",HR_Employee_Attrition[[#This Row],[YearsAtCompany]]&gt;10,"10+")</f>
        <v>3-5</v>
      </c>
      <c r="AL716" t="str" cm="1">
        <f t="array" ref="AL7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716">
        <f>IF(HR_Employee_Attrition[[#This Row],[Attrition]]="Yes",1,0)</f>
        <v>0</v>
      </c>
    </row>
    <row r="717" spans="1:39"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IF(HR_Employee_Attrition[[#This Row],[Age]]&gt;60,"60+",IF(HR_Employee_Attrition[[#This Row],[Age]]&gt;=50,"50-59",IF(HR_Employee_Attrition[[#This Row],[Age]]&gt;=40,"40-49",IF(HR_Employee_Attrition[[#This Row],[Age]]&gt;=30,"30-39",IF(HR_Employee_Attrition[[#This Row],[Age]]&gt;=20,"20-29",IF(HR_Employee_Attrition[[#This Row],[Age]]&gt;=18,"18-20"))))))</f>
        <v>30-39</v>
      </c>
      <c r="AK717" t="str" cm="1">
        <f t="array" ref="AK717">_xlfn.IFS(HR_Employee_Attrition[[#This Row],[YearsAtCompany]]&lt;=2,"0-2",HR_Employee_Attrition[[#This Row],[YearsAtCompany]]&lt;=5,"3-5",HR_Employee_Attrition[[#This Row],[YearsAtCompany]]&lt;=10,"6-10",HR_Employee_Attrition[[#This Row],[YearsAtCompany]]&gt;10,"10+")</f>
        <v>6-10</v>
      </c>
      <c r="AL717" t="str" cm="1">
        <f t="array" ref="AL7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17">
        <f>IF(HR_Employee_Attrition[[#This Row],[Attrition]]="Yes",1,0)</f>
        <v>0</v>
      </c>
    </row>
    <row r="718" spans="1:39"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IF(HR_Employee_Attrition[[#This Row],[Age]]&gt;60,"60+",IF(HR_Employee_Attrition[[#This Row],[Age]]&gt;=50,"50-59",IF(HR_Employee_Attrition[[#This Row],[Age]]&gt;=40,"40-49",IF(HR_Employee_Attrition[[#This Row],[Age]]&gt;=30,"30-39",IF(HR_Employee_Attrition[[#This Row],[Age]]&gt;=20,"20-29",IF(HR_Employee_Attrition[[#This Row],[Age]]&gt;=18,"18-20"))))))</f>
        <v>40-49</v>
      </c>
      <c r="AK718" t="str" cm="1">
        <f t="array" ref="AK718">_xlfn.IFS(HR_Employee_Attrition[[#This Row],[YearsAtCompany]]&lt;=2,"0-2",HR_Employee_Attrition[[#This Row],[YearsAtCompany]]&lt;=5,"3-5",HR_Employee_Attrition[[#This Row],[YearsAtCompany]]&lt;=10,"6-10",HR_Employee_Attrition[[#This Row],[YearsAtCompany]]&gt;10,"10+")</f>
        <v>10+</v>
      </c>
      <c r="AL718" t="str" cm="1">
        <f t="array" ref="AL7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718">
        <f>IF(HR_Employee_Attrition[[#This Row],[Attrition]]="Yes",1,0)</f>
        <v>0</v>
      </c>
    </row>
    <row r="719" spans="1:39"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IF(HR_Employee_Attrition[[#This Row],[Age]]&gt;60,"60+",IF(HR_Employee_Attrition[[#This Row],[Age]]&gt;=50,"50-59",IF(HR_Employee_Attrition[[#This Row],[Age]]&gt;=40,"40-49",IF(HR_Employee_Attrition[[#This Row],[Age]]&gt;=30,"30-39",IF(HR_Employee_Attrition[[#This Row],[Age]]&gt;=20,"20-29",IF(HR_Employee_Attrition[[#This Row],[Age]]&gt;=18,"18-20"))))))</f>
        <v>20-29</v>
      </c>
      <c r="AK719" t="str" cm="1">
        <f t="array" ref="AK719">_xlfn.IFS(HR_Employee_Attrition[[#This Row],[YearsAtCompany]]&lt;=2,"0-2",HR_Employee_Attrition[[#This Row],[YearsAtCompany]]&lt;=5,"3-5",HR_Employee_Attrition[[#This Row],[YearsAtCompany]]&lt;=10,"6-10",HR_Employee_Attrition[[#This Row],[YearsAtCompany]]&gt;10,"10+")</f>
        <v>0-2</v>
      </c>
      <c r="AL719" t="str" cm="1">
        <f t="array" ref="AL7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19">
        <f>IF(HR_Employee_Attrition[[#This Row],[Attrition]]="Yes",1,0)</f>
        <v>0</v>
      </c>
    </row>
    <row r="720" spans="1:39"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IF(HR_Employee_Attrition[[#This Row],[Age]]&gt;60,"60+",IF(HR_Employee_Attrition[[#This Row],[Age]]&gt;=50,"50-59",IF(HR_Employee_Attrition[[#This Row],[Age]]&gt;=40,"40-49",IF(HR_Employee_Attrition[[#This Row],[Age]]&gt;=30,"30-39",IF(HR_Employee_Attrition[[#This Row],[Age]]&gt;=20,"20-29",IF(HR_Employee_Attrition[[#This Row],[Age]]&gt;=18,"18-20"))))))</f>
        <v>40-49</v>
      </c>
      <c r="AK720" t="str" cm="1">
        <f t="array" ref="AK720">_xlfn.IFS(HR_Employee_Attrition[[#This Row],[YearsAtCompany]]&lt;=2,"0-2",HR_Employee_Attrition[[#This Row],[YearsAtCompany]]&lt;=5,"3-5",HR_Employee_Attrition[[#This Row],[YearsAtCompany]]&lt;=10,"6-10",HR_Employee_Attrition[[#This Row],[YearsAtCompany]]&gt;10,"10+")</f>
        <v>6-10</v>
      </c>
      <c r="AL720" t="str" cm="1">
        <f t="array" ref="AL7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20">
        <f>IF(HR_Employee_Attrition[[#This Row],[Attrition]]="Yes",1,0)</f>
        <v>0</v>
      </c>
    </row>
    <row r="721" spans="1:39"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IF(HR_Employee_Attrition[[#This Row],[Age]]&gt;60,"60+",IF(HR_Employee_Attrition[[#This Row],[Age]]&gt;=50,"50-59",IF(HR_Employee_Attrition[[#This Row],[Age]]&gt;=40,"40-49",IF(HR_Employee_Attrition[[#This Row],[Age]]&gt;=30,"30-39",IF(HR_Employee_Attrition[[#This Row],[Age]]&gt;=20,"20-29",IF(HR_Employee_Attrition[[#This Row],[Age]]&gt;=18,"18-20"))))))</f>
        <v>40-49</v>
      </c>
      <c r="AK721" t="str" cm="1">
        <f t="array" ref="AK721">_xlfn.IFS(HR_Employee_Attrition[[#This Row],[YearsAtCompany]]&lt;=2,"0-2",HR_Employee_Attrition[[#This Row],[YearsAtCompany]]&lt;=5,"3-5",HR_Employee_Attrition[[#This Row],[YearsAtCompany]]&lt;=10,"6-10",HR_Employee_Attrition[[#This Row],[YearsAtCompany]]&gt;10,"10+")</f>
        <v>6-10</v>
      </c>
      <c r="AL721" t="str" cm="1">
        <f t="array" ref="AL7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21">
        <f>IF(HR_Employee_Attrition[[#This Row],[Attrition]]="Yes",1,0)</f>
        <v>0</v>
      </c>
    </row>
    <row r="722" spans="1:39"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IF(HR_Employee_Attrition[[#This Row],[Age]]&gt;60,"60+",IF(HR_Employee_Attrition[[#This Row],[Age]]&gt;=50,"50-59",IF(HR_Employee_Attrition[[#This Row],[Age]]&gt;=40,"40-49",IF(HR_Employee_Attrition[[#This Row],[Age]]&gt;=30,"30-39",IF(HR_Employee_Attrition[[#This Row],[Age]]&gt;=20,"20-29",IF(HR_Employee_Attrition[[#This Row],[Age]]&gt;=18,"18-20"))))))</f>
        <v>30-39</v>
      </c>
      <c r="AK722" t="str" cm="1">
        <f t="array" ref="AK722">_xlfn.IFS(HR_Employee_Attrition[[#This Row],[YearsAtCompany]]&lt;=2,"0-2",HR_Employee_Attrition[[#This Row],[YearsAtCompany]]&lt;=5,"3-5",HR_Employee_Attrition[[#This Row],[YearsAtCompany]]&lt;=10,"6-10",HR_Employee_Attrition[[#This Row],[YearsAtCompany]]&gt;10,"10+")</f>
        <v>3-5</v>
      </c>
      <c r="AL722" t="str" cm="1">
        <f t="array" ref="AL7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22">
        <f>IF(HR_Employee_Attrition[[#This Row],[Attrition]]="Yes",1,0)</f>
        <v>1</v>
      </c>
    </row>
    <row r="723" spans="1:39"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IF(HR_Employee_Attrition[[#This Row],[Age]]&gt;60,"60+",IF(HR_Employee_Attrition[[#This Row],[Age]]&gt;=50,"50-59",IF(HR_Employee_Attrition[[#This Row],[Age]]&gt;=40,"40-49",IF(HR_Employee_Attrition[[#This Row],[Age]]&gt;=30,"30-39",IF(HR_Employee_Attrition[[#This Row],[Age]]&gt;=20,"20-29",IF(HR_Employee_Attrition[[#This Row],[Age]]&gt;=18,"18-20"))))))</f>
        <v>50-59</v>
      </c>
      <c r="AK723" t="str" cm="1">
        <f t="array" ref="AK723">_xlfn.IFS(HR_Employee_Attrition[[#This Row],[YearsAtCompany]]&lt;=2,"0-2",HR_Employee_Attrition[[#This Row],[YearsAtCompany]]&lt;=5,"3-5",HR_Employee_Attrition[[#This Row],[YearsAtCompany]]&lt;=10,"6-10",HR_Employee_Attrition[[#This Row],[YearsAtCompany]]&gt;10,"10+")</f>
        <v>10+</v>
      </c>
      <c r="AL723" t="str" cm="1">
        <f t="array" ref="AL7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23">
        <f>IF(HR_Employee_Attrition[[#This Row],[Attrition]]="Yes",1,0)</f>
        <v>0</v>
      </c>
    </row>
    <row r="724" spans="1:39"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IF(HR_Employee_Attrition[[#This Row],[Age]]&gt;60,"60+",IF(HR_Employee_Attrition[[#This Row],[Age]]&gt;=50,"50-59",IF(HR_Employee_Attrition[[#This Row],[Age]]&gt;=40,"40-49",IF(HR_Employee_Attrition[[#This Row],[Age]]&gt;=30,"30-39",IF(HR_Employee_Attrition[[#This Row],[Age]]&gt;=20,"20-29",IF(HR_Employee_Attrition[[#This Row],[Age]]&gt;=18,"18-20"))))))</f>
        <v>30-39</v>
      </c>
      <c r="AK724" t="str" cm="1">
        <f t="array" ref="AK724">_xlfn.IFS(HR_Employee_Attrition[[#This Row],[YearsAtCompany]]&lt;=2,"0-2",HR_Employee_Attrition[[#This Row],[YearsAtCompany]]&lt;=5,"3-5",HR_Employee_Attrition[[#This Row],[YearsAtCompany]]&lt;=10,"6-10",HR_Employee_Attrition[[#This Row],[YearsAtCompany]]&gt;10,"10+")</f>
        <v>0-2</v>
      </c>
      <c r="AL724" t="str" cm="1">
        <f t="array" ref="AL7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24">
        <f>IF(HR_Employee_Attrition[[#This Row],[Attrition]]="Yes",1,0)</f>
        <v>0</v>
      </c>
    </row>
    <row r="725" spans="1:39"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IF(HR_Employee_Attrition[[#This Row],[Age]]&gt;60,"60+",IF(HR_Employee_Attrition[[#This Row],[Age]]&gt;=50,"50-59",IF(HR_Employee_Attrition[[#This Row],[Age]]&gt;=40,"40-49",IF(HR_Employee_Attrition[[#This Row],[Age]]&gt;=30,"30-39",IF(HR_Employee_Attrition[[#This Row],[Age]]&gt;=20,"20-29",IF(HR_Employee_Attrition[[#This Row],[Age]]&gt;=18,"18-20"))))))</f>
        <v>40-49</v>
      </c>
      <c r="AK725" t="str" cm="1">
        <f t="array" ref="AK725">_xlfn.IFS(HR_Employee_Attrition[[#This Row],[YearsAtCompany]]&lt;=2,"0-2",HR_Employee_Attrition[[#This Row],[YearsAtCompany]]&lt;=5,"3-5",HR_Employee_Attrition[[#This Row],[YearsAtCompany]]&lt;=10,"6-10",HR_Employee_Attrition[[#This Row],[YearsAtCompany]]&gt;10,"10+")</f>
        <v>6-10</v>
      </c>
      <c r="AL725" t="str" cm="1">
        <f t="array" ref="AL7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25">
        <f>IF(HR_Employee_Attrition[[#This Row],[Attrition]]="Yes",1,0)</f>
        <v>0</v>
      </c>
    </row>
    <row r="726" spans="1:39"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IF(HR_Employee_Attrition[[#This Row],[Age]]&gt;60,"60+",IF(HR_Employee_Attrition[[#This Row],[Age]]&gt;=50,"50-59",IF(HR_Employee_Attrition[[#This Row],[Age]]&gt;=40,"40-49",IF(HR_Employee_Attrition[[#This Row],[Age]]&gt;=30,"30-39",IF(HR_Employee_Attrition[[#This Row],[Age]]&gt;=20,"20-29",IF(HR_Employee_Attrition[[#This Row],[Age]]&gt;=18,"18-20"))))))</f>
        <v>20-29</v>
      </c>
      <c r="AK726" t="str" cm="1">
        <f t="array" ref="AK726">_xlfn.IFS(HR_Employee_Attrition[[#This Row],[YearsAtCompany]]&lt;=2,"0-2",HR_Employee_Attrition[[#This Row],[YearsAtCompany]]&lt;=5,"3-5",HR_Employee_Attrition[[#This Row],[YearsAtCompany]]&lt;=10,"6-10",HR_Employee_Attrition[[#This Row],[YearsAtCompany]]&gt;10,"10+")</f>
        <v>3-5</v>
      </c>
      <c r="AL726" t="str" cm="1">
        <f t="array" ref="AL7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26">
        <f>IF(HR_Employee_Attrition[[#This Row],[Attrition]]="Yes",1,0)</f>
        <v>0</v>
      </c>
    </row>
    <row r="727" spans="1:39"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IF(HR_Employee_Attrition[[#This Row],[Age]]&gt;60,"60+",IF(HR_Employee_Attrition[[#This Row],[Age]]&gt;=50,"50-59",IF(HR_Employee_Attrition[[#This Row],[Age]]&gt;=40,"40-49",IF(HR_Employee_Attrition[[#This Row],[Age]]&gt;=30,"30-39",IF(HR_Employee_Attrition[[#This Row],[Age]]&gt;=20,"20-29",IF(HR_Employee_Attrition[[#This Row],[Age]]&gt;=18,"18-20"))))))</f>
        <v>30-39</v>
      </c>
      <c r="AK727" t="str" cm="1">
        <f t="array" ref="AK727">_xlfn.IFS(HR_Employee_Attrition[[#This Row],[YearsAtCompany]]&lt;=2,"0-2",HR_Employee_Attrition[[#This Row],[YearsAtCompany]]&lt;=5,"3-5",HR_Employee_Attrition[[#This Row],[YearsAtCompany]]&lt;=10,"6-10",HR_Employee_Attrition[[#This Row],[YearsAtCompany]]&gt;10,"10+")</f>
        <v>3-5</v>
      </c>
      <c r="AL727" t="str" cm="1">
        <f t="array" ref="AL7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27">
        <f>IF(HR_Employee_Attrition[[#This Row],[Attrition]]="Yes",1,0)</f>
        <v>1</v>
      </c>
    </row>
    <row r="728" spans="1:39"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IF(HR_Employee_Attrition[[#This Row],[Age]]&gt;60,"60+",IF(HR_Employee_Attrition[[#This Row],[Age]]&gt;=50,"50-59",IF(HR_Employee_Attrition[[#This Row],[Age]]&gt;=40,"40-49",IF(HR_Employee_Attrition[[#This Row],[Age]]&gt;=30,"30-39",IF(HR_Employee_Attrition[[#This Row],[Age]]&gt;=20,"20-29",IF(HR_Employee_Attrition[[#This Row],[Age]]&gt;=18,"18-20"))))))</f>
        <v>30-39</v>
      </c>
      <c r="AK728" t="str" cm="1">
        <f t="array" ref="AK728">_xlfn.IFS(HR_Employee_Attrition[[#This Row],[YearsAtCompany]]&lt;=2,"0-2",HR_Employee_Attrition[[#This Row],[YearsAtCompany]]&lt;=5,"3-5",HR_Employee_Attrition[[#This Row],[YearsAtCompany]]&lt;=10,"6-10",HR_Employee_Attrition[[#This Row],[YearsAtCompany]]&gt;10,"10+")</f>
        <v>3-5</v>
      </c>
      <c r="AL728" t="str" cm="1">
        <f t="array" ref="AL7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28">
        <f>IF(HR_Employee_Attrition[[#This Row],[Attrition]]="Yes",1,0)</f>
        <v>0</v>
      </c>
    </row>
    <row r="729" spans="1:39"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IF(HR_Employee_Attrition[[#This Row],[Age]]&gt;60,"60+",IF(HR_Employee_Attrition[[#This Row],[Age]]&gt;=50,"50-59",IF(HR_Employee_Attrition[[#This Row],[Age]]&gt;=40,"40-49",IF(HR_Employee_Attrition[[#This Row],[Age]]&gt;=30,"30-39",IF(HR_Employee_Attrition[[#This Row],[Age]]&gt;=20,"20-29",IF(HR_Employee_Attrition[[#This Row],[Age]]&gt;=18,"18-20"))))))</f>
        <v>18-20</v>
      </c>
      <c r="AK729" t="str" cm="1">
        <f t="array" ref="AK729">_xlfn.IFS(HR_Employee_Attrition[[#This Row],[YearsAtCompany]]&lt;=2,"0-2",HR_Employee_Attrition[[#This Row],[YearsAtCompany]]&lt;=5,"3-5",HR_Employee_Attrition[[#This Row],[YearsAtCompany]]&lt;=10,"6-10",HR_Employee_Attrition[[#This Row],[YearsAtCompany]]&gt;10,"10+")</f>
        <v>0-2</v>
      </c>
      <c r="AL729" t="str" cm="1">
        <f t="array" ref="AL7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29">
        <f>IF(HR_Employee_Attrition[[#This Row],[Attrition]]="Yes",1,0)</f>
        <v>0</v>
      </c>
    </row>
    <row r="730" spans="1:39"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IF(HR_Employee_Attrition[[#This Row],[Age]]&gt;60,"60+",IF(HR_Employee_Attrition[[#This Row],[Age]]&gt;=50,"50-59",IF(HR_Employee_Attrition[[#This Row],[Age]]&gt;=40,"40-49",IF(HR_Employee_Attrition[[#This Row],[Age]]&gt;=30,"30-39",IF(HR_Employee_Attrition[[#This Row],[Age]]&gt;=20,"20-29",IF(HR_Employee_Attrition[[#This Row],[Age]]&gt;=18,"18-20"))))))</f>
        <v>50-59</v>
      </c>
      <c r="AK730" t="str" cm="1">
        <f t="array" ref="AK730">_xlfn.IFS(HR_Employee_Attrition[[#This Row],[YearsAtCompany]]&lt;=2,"0-2",HR_Employee_Attrition[[#This Row],[YearsAtCompany]]&lt;=5,"3-5",HR_Employee_Attrition[[#This Row],[YearsAtCompany]]&lt;=10,"6-10",HR_Employee_Attrition[[#This Row],[YearsAtCompany]]&gt;10,"10+")</f>
        <v>6-10</v>
      </c>
      <c r="AL730" t="str" cm="1">
        <f t="array" ref="AL7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30">
        <f>IF(HR_Employee_Attrition[[#This Row],[Attrition]]="Yes",1,0)</f>
        <v>0</v>
      </c>
    </row>
    <row r="731" spans="1:39"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IF(HR_Employee_Attrition[[#This Row],[Age]]&gt;60,"60+",IF(HR_Employee_Attrition[[#This Row],[Age]]&gt;=50,"50-59",IF(HR_Employee_Attrition[[#This Row],[Age]]&gt;=40,"40-49",IF(HR_Employee_Attrition[[#This Row],[Age]]&gt;=30,"30-39",IF(HR_Employee_Attrition[[#This Row],[Age]]&gt;=20,"20-29",IF(HR_Employee_Attrition[[#This Row],[Age]]&gt;=18,"18-20"))))))</f>
        <v>30-39</v>
      </c>
      <c r="AK731" t="str" cm="1">
        <f t="array" ref="AK731">_xlfn.IFS(HR_Employee_Attrition[[#This Row],[YearsAtCompany]]&lt;=2,"0-2",HR_Employee_Attrition[[#This Row],[YearsAtCompany]]&lt;=5,"3-5",HR_Employee_Attrition[[#This Row],[YearsAtCompany]]&lt;=10,"6-10",HR_Employee_Attrition[[#This Row],[YearsAtCompany]]&gt;10,"10+")</f>
        <v>10+</v>
      </c>
      <c r="AL731" t="str" cm="1">
        <f t="array" ref="AL7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31">
        <f>IF(HR_Employee_Attrition[[#This Row],[Attrition]]="Yes",1,0)</f>
        <v>0</v>
      </c>
    </row>
    <row r="732" spans="1:39"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IF(HR_Employee_Attrition[[#This Row],[Age]]&gt;60,"60+",IF(HR_Employee_Attrition[[#This Row],[Age]]&gt;=50,"50-59",IF(HR_Employee_Attrition[[#This Row],[Age]]&gt;=40,"40-49",IF(HR_Employee_Attrition[[#This Row],[Age]]&gt;=30,"30-39",IF(HR_Employee_Attrition[[#This Row],[Age]]&gt;=20,"20-29",IF(HR_Employee_Attrition[[#This Row],[Age]]&gt;=18,"18-20"))))))</f>
        <v>30-39</v>
      </c>
      <c r="AK732" t="str" cm="1">
        <f t="array" ref="AK732">_xlfn.IFS(HR_Employee_Attrition[[#This Row],[YearsAtCompany]]&lt;=2,"0-2",HR_Employee_Attrition[[#This Row],[YearsAtCompany]]&lt;=5,"3-5",HR_Employee_Attrition[[#This Row],[YearsAtCompany]]&lt;=10,"6-10",HR_Employee_Attrition[[#This Row],[YearsAtCompany]]&gt;10,"10+")</f>
        <v>6-10</v>
      </c>
      <c r="AL732" t="str" cm="1">
        <f t="array" ref="AL7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32">
        <f>IF(HR_Employee_Attrition[[#This Row],[Attrition]]="Yes",1,0)</f>
        <v>0</v>
      </c>
    </row>
    <row r="733" spans="1:39"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IF(HR_Employee_Attrition[[#This Row],[Age]]&gt;60,"60+",IF(HR_Employee_Attrition[[#This Row],[Age]]&gt;=50,"50-59",IF(HR_Employee_Attrition[[#This Row],[Age]]&gt;=40,"40-49",IF(HR_Employee_Attrition[[#This Row],[Age]]&gt;=30,"30-39",IF(HR_Employee_Attrition[[#This Row],[Age]]&gt;=20,"20-29",IF(HR_Employee_Attrition[[#This Row],[Age]]&gt;=18,"18-20"))))))</f>
        <v>20-29</v>
      </c>
      <c r="AK733" t="str" cm="1">
        <f t="array" ref="AK733">_xlfn.IFS(HR_Employee_Attrition[[#This Row],[YearsAtCompany]]&lt;=2,"0-2",HR_Employee_Attrition[[#This Row],[YearsAtCompany]]&lt;=5,"3-5",HR_Employee_Attrition[[#This Row],[YearsAtCompany]]&lt;=10,"6-10",HR_Employee_Attrition[[#This Row],[YearsAtCompany]]&gt;10,"10+")</f>
        <v>0-2</v>
      </c>
      <c r="AL733" t="str" cm="1">
        <f t="array" ref="AL7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33">
        <f>IF(HR_Employee_Attrition[[#This Row],[Attrition]]="Yes",1,0)</f>
        <v>1</v>
      </c>
    </row>
    <row r="734" spans="1:39"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IF(HR_Employee_Attrition[[#This Row],[Age]]&gt;60,"60+",IF(HR_Employee_Attrition[[#This Row],[Age]]&gt;=50,"50-59",IF(HR_Employee_Attrition[[#This Row],[Age]]&gt;=40,"40-49",IF(HR_Employee_Attrition[[#This Row],[Age]]&gt;=30,"30-39",IF(HR_Employee_Attrition[[#This Row],[Age]]&gt;=20,"20-29",IF(HR_Employee_Attrition[[#This Row],[Age]]&gt;=18,"18-20"))))))</f>
        <v>30-39</v>
      </c>
      <c r="AK734" t="str" cm="1">
        <f t="array" ref="AK734">_xlfn.IFS(HR_Employee_Attrition[[#This Row],[YearsAtCompany]]&lt;=2,"0-2",HR_Employee_Attrition[[#This Row],[YearsAtCompany]]&lt;=5,"3-5",HR_Employee_Attrition[[#This Row],[YearsAtCompany]]&lt;=10,"6-10",HR_Employee_Attrition[[#This Row],[YearsAtCompany]]&gt;10,"10+")</f>
        <v>3-5</v>
      </c>
      <c r="AL734" t="str" cm="1">
        <f t="array" ref="AL7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34">
        <f>IF(HR_Employee_Attrition[[#This Row],[Attrition]]="Yes",1,0)</f>
        <v>1</v>
      </c>
    </row>
    <row r="735" spans="1:39"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IF(HR_Employee_Attrition[[#This Row],[Age]]&gt;60,"60+",IF(HR_Employee_Attrition[[#This Row],[Age]]&gt;=50,"50-59",IF(HR_Employee_Attrition[[#This Row],[Age]]&gt;=40,"40-49",IF(HR_Employee_Attrition[[#This Row],[Age]]&gt;=30,"30-39",IF(HR_Employee_Attrition[[#This Row],[Age]]&gt;=20,"20-29",IF(HR_Employee_Attrition[[#This Row],[Age]]&gt;=18,"18-20"))))))</f>
        <v>20-29</v>
      </c>
      <c r="AK735" t="str" cm="1">
        <f t="array" ref="AK735">_xlfn.IFS(HR_Employee_Attrition[[#This Row],[YearsAtCompany]]&lt;=2,"0-2",HR_Employee_Attrition[[#This Row],[YearsAtCompany]]&lt;=5,"3-5",HR_Employee_Attrition[[#This Row],[YearsAtCompany]]&lt;=10,"6-10",HR_Employee_Attrition[[#This Row],[YearsAtCompany]]&gt;10,"10+")</f>
        <v>6-10</v>
      </c>
      <c r="AL735" t="str" cm="1">
        <f t="array" ref="AL7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35">
        <f>IF(HR_Employee_Attrition[[#This Row],[Attrition]]="Yes",1,0)</f>
        <v>0</v>
      </c>
    </row>
    <row r="736" spans="1:39"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IF(HR_Employee_Attrition[[#This Row],[Age]]&gt;60,"60+",IF(HR_Employee_Attrition[[#This Row],[Age]]&gt;=50,"50-59",IF(HR_Employee_Attrition[[#This Row],[Age]]&gt;=40,"40-49",IF(HR_Employee_Attrition[[#This Row],[Age]]&gt;=30,"30-39",IF(HR_Employee_Attrition[[#This Row],[Age]]&gt;=20,"20-29",IF(HR_Employee_Attrition[[#This Row],[Age]]&gt;=18,"18-20"))))))</f>
        <v>20-29</v>
      </c>
      <c r="AK736" t="str" cm="1">
        <f t="array" ref="AK736">_xlfn.IFS(HR_Employee_Attrition[[#This Row],[YearsAtCompany]]&lt;=2,"0-2",HR_Employee_Attrition[[#This Row],[YearsAtCompany]]&lt;=5,"3-5",HR_Employee_Attrition[[#This Row],[YearsAtCompany]]&lt;=10,"6-10",HR_Employee_Attrition[[#This Row],[YearsAtCompany]]&gt;10,"10+")</f>
        <v>3-5</v>
      </c>
      <c r="AL736" t="str" cm="1">
        <f t="array" ref="AL7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36">
        <f>IF(HR_Employee_Attrition[[#This Row],[Attrition]]="Yes",1,0)</f>
        <v>0</v>
      </c>
    </row>
    <row r="737" spans="1:39"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IF(HR_Employee_Attrition[[#This Row],[Age]]&gt;60,"60+",IF(HR_Employee_Attrition[[#This Row],[Age]]&gt;=50,"50-59",IF(HR_Employee_Attrition[[#This Row],[Age]]&gt;=40,"40-49",IF(HR_Employee_Attrition[[#This Row],[Age]]&gt;=30,"30-39",IF(HR_Employee_Attrition[[#This Row],[Age]]&gt;=20,"20-29",IF(HR_Employee_Attrition[[#This Row],[Age]]&gt;=18,"18-20"))))))</f>
        <v>40-49</v>
      </c>
      <c r="AK737" t="str" cm="1">
        <f t="array" ref="AK737">_xlfn.IFS(HR_Employee_Attrition[[#This Row],[YearsAtCompany]]&lt;=2,"0-2",HR_Employee_Attrition[[#This Row],[YearsAtCompany]]&lt;=5,"3-5",HR_Employee_Attrition[[#This Row],[YearsAtCompany]]&lt;=10,"6-10",HR_Employee_Attrition[[#This Row],[YearsAtCompany]]&gt;10,"10+")</f>
        <v>0-2</v>
      </c>
      <c r="AL737" t="str" cm="1">
        <f t="array" ref="AL7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37">
        <f>IF(HR_Employee_Attrition[[#This Row],[Attrition]]="Yes",1,0)</f>
        <v>0</v>
      </c>
    </row>
    <row r="738" spans="1:39"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IF(HR_Employee_Attrition[[#This Row],[Age]]&gt;60,"60+",IF(HR_Employee_Attrition[[#This Row],[Age]]&gt;=50,"50-59",IF(HR_Employee_Attrition[[#This Row],[Age]]&gt;=40,"40-49",IF(HR_Employee_Attrition[[#This Row],[Age]]&gt;=30,"30-39",IF(HR_Employee_Attrition[[#This Row],[Age]]&gt;=20,"20-29",IF(HR_Employee_Attrition[[#This Row],[Age]]&gt;=18,"18-20"))))))</f>
        <v>40-49</v>
      </c>
      <c r="AK738" t="str" cm="1">
        <f t="array" ref="AK738">_xlfn.IFS(HR_Employee_Attrition[[#This Row],[YearsAtCompany]]&lt;=2,"0-2",HR_Employee_Attrition[[#This Row],[YearsAtCompany]]&lt;=5,"3-5",HR_Employee_Attrition[[#This Row],[YearsAtCompany]]&lt;=10,"6-10",HR_Employee_Attrition[[#This Row],[YearsAtCompany]]&gt;10,"10+")</f>
        <v>10+</v>
      </c>
      <c r="AL738" t="str" cm="1">
        <f t="array" ref="AL7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38">
        <f>IF(HR_Employee_Attrition[[#This Row],[Attrition]]="Yes",1,0)</f>
        <v>0</v>
      </c>
    </row>
    <row r="739" spans="1:39"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IF(HR_Employee_Attrition[[#This Row],[Age]]&gt;60,"60+",IF(HR_Employee_Attrition[[#This Row],[Age]]&gt;=50,"50-59",IF(HR_Employee_Attrition[[#This Row],[Age]]&gt;=40,"40-49",IF(HR_Employee_Attrition[[#This Row],[Age]]&gt;=30,"30-39",IF(HR_Employee_Attrition[[#This Row],[Age]]&gt;=20,"20-29",IF(HR_Employee_Attrition[[#This Row],[Age]]&gt;=18,"18-20"))))))</f>
        <v>40-49</v>
      </c>
      <c r="AK739" t="str" cm="1">
        <f t="array" ref="AK739">_xlfn.IFS(HR_Employee_Attrition[[#This Row],[YearsAtCompany]]&lt;=2,"0-2",HR_Employee_Attrition[[#This Row],[YearsAtCompany]]&lt;=5,"3-5",HR_Employee_Attrition[[#This Row],[YearsAtCompany]]&lt;=10,"6-10",HR_Employee_Attrition[[#This Row],[YearsAtCompany]]&gt;10,"10+")</f>
        <v>0-2</v>
      </c>
      <c r="AL739" t="str" cm="1">
        <f t="array" ref="AL7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39">
        <f>IF(HR_Employee_Attrition[[#This Row],[Attrition]]="Yes",1,0)</f>
        <v>0</v>
      </c>
    </row>
    <row r="740" spans="1:39"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IF(HR_Employee_Attrition[[#This Row],[Age]]&gt;60,"60+",IF(HR_Employee_Attrition[[#This Row],[Age]]&gt;=50,"50-59",IF(HR_Employee_Attrition[[#This Row],[Age]]&gt;=40,"40-49",IF(HR_Employee_Attrition[[#This Row],[Age]]&gt;=30,"30-39",IF(HR_Employee_Attrition[[#This Row],[Age]]&gt;=20,"20-29",IF(HR_Employee_Attrition[[#This Row],[Age]]&gt;=18,"18-20"))))))</f>
        <v>30-39</v>
      </c>
      <c r="AK740" t="str" cm="1">
        <f t="array" ref="AK740">_xlfn.IFS(HR_Employee_Attrition[[#This Row],[YearsAtCompany]]&lt;=2,"0-2",HR_Employee_Attrition[[#This Row],[YearsAtCompany]]&lt;=5,"3-5",HR_Employee_Attrition[[#This Row],[YearsAtCompany]]&lt;=10,"6-10",HR_Employee_Attrition[[#This Row],[YearsAtCompany]]&gt;10,"10+")</f>
        <v>10+</v>
      </c>
      <c r="AL740" t="str" cm="1">
        <f t="array" ref="AL7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40">
        <f>IF(HR_Employee_Attrition[[#This Row],[Attrition]]="Yes",1,0)</f>
        <v>0</v>
      </c>
    </row>
    <row r="741" spans="1:39"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IF(HR_Employee_Attrition[[#This Row],[Age]]&gt;60,"60+",IF(HR_Employee_Attrition[[#This Row],[Age]]&gt;=50,"50-59",IF(HR_Employee_Attrition[[#This Row],[Age]]&gt;=40,"40-49",IF(HR_Employee_Attrition[[#This Row],[Age]]&gt;=30,"30-39",IF(HR_Employee_Attrition[[#This Row],[Age]]&gt;=20,"20-29",IF(HR_Employee_Attrition[[#This Row],[Age]]&gt;=18,"18-20"))))))</f>
        <v>20-29</v>
      </c>
      <c r="AK741" t="str" cm="1">
        <f t="array" ref="AK741">_xlfn.IFS(HR_Employee_Attrition[[#This Row],[YearsAtCompany]]&lt;=2,"0-2",HR_Employee_Attrition[[#This Row],[YearsAtCompany]]&lt;=5,"3-5",HR_Employee_Attrition[[#This Row],[YearsAtCompany]]&lt;=10,"6-10",HR_Employee_Attrition[[#This Row],[YearsAtCompany]]&gt;10,"10+")</f>
        <v>3-5</v>
      </c>
      <c r="AL741" t="str" cm="1">
        <f t="array" ref="AL7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41">
        <f>IF(HR_Employee_Attrition[[#This Row],[Attrition]]="Yes",1,0)</f>
        <v>0</v>
      </c>
    </row>
    <row r="742" spans="1:39"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IF(HR_Employee_Attrition[[#This Row],[Age]]&gt;60,"60+",IF(HR_Employee_Attrition[[#This Row],[Age]]&gt;=50,"50-59",IF(HR_Employee_Attrition[[#This Row],[Age]]&gt;=40,"40-49",IF(HR_Employee_Attrition[[#This Row],[Age]]&gt;=30,"30-39",IF(HR_Employee_Attrition[[#This Row],[Age]]&gt;=20,"20-29",IF(HR_Employee_Attrition[[#This Row],[Age]]&gt;=18,"18-20"))))))</f>
        <v>30-39</v>
      </c>
      <c r="AK742" t="str" cm="1">
        <f t="array" ref="AK742">_xlfn.IFS(HR_Employee_Attrition[[#This Row],[YearsAtCompany]]&lt;=2,"0-2",HR_Employee_Attrition[[#This Row],[YearsAtCompany]]&lt;=5,"3-5",HR_Employee_Attrition[[#This Row],[YearsAtCompany]]&lt;=10,"6-10",HR_Employee_Attrition[[#This Row],[YearsAtCompany]]&gt;10,"10+")</f>
        <v>3-5</v>
      </c>
      <c r="AL742" t="str" cm="1">
        <f t="array" ref="AL7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42">
        <f>IF(HR_Employee_Attrition[[#This Row],[Attrition]]="Yes",1,0)</f>
        <v>0</v>
      </c>
    </row>
    <row r="743" spans="1:39"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IF(HR_Employee_Attrition[[#This Row],[Age]]&gt;60,"60+",IF(HR_Employee_Attrition[[#This Row],[Age]]&gt;=50,"50-59",IF(HR_Employee_Attrition[[#This Row],[Age]]&gt;=40,"40-49",IF(HR_Employee_Attrition[[#This Row],[Age]]&gt;=30,"30-39",IF(HR_Employee_Attrition[[#This Row],[Age]]&gt;=20,"20-29",IF(HR_Employee_Attrition[[#This Row],[Age]]&gt;=18,"18-20"))))))</f>
        <v>40-49</v>
      </c>
      <c r="AK743" t="str" cm="1">
        <f t="array" ref="AK743">_xlfn.IFS(HR_Employee_Attrition[[#This Row],[YearsAtCompany]]&lt;=2,"0-2",HR_Employee_Attrition[[#This Row],[YearsAtCompany]]&lt;=5,"3-5",HR_Employee_Attrition[[#This Row],[YearsAtCompany]]&lt;=10,"6-10",HR_Employee_Attrition[[#This Row],[YearsAtCompany]]&gt;10,"10+")</f>
        <v>0-2</v>
      </c>
      <c r="AL743" t="str" cm="1">
        <f t="array" ref="AL7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743">
        <f>IF(HR_Employee_Attrition[[#This Row],[Attrition]]="Yes",1,0)</f>
        <v>0</v>
      </c>
    </row>
    <row r="744" spans="1:39"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IF(HR_Employee_Attrition[[#This Row],[Age]]&gt;60,"60+",IF(HR_Employee_Attrition[[#This Row],[Age]]&gt;=50,"50-59",IF(HR_Employee_Attrition[[#This Row],[Age]]&gt;=40,"40-49",IF(HR_Employee_Attrition[[#This Row],[Age]]&gt;=30,"30-39",IF(HR_Employee_Attrition[[#This Row],[Age]]&gt;=20,"20-29",IF(HR_Employee_Attrition[[#This Row],[Age]]&gt;=18,"18-20"))))))</f>
        <v>50-59</v>
      </c>
      <c r="AK744" t="str" cm="1">
        <f t="array" ref="AK744">_xlfn.IFS(HR_Employee_Attrition[[#This Row],[YearsAtCompany]]&lt;=2,"0-2",HR_Employee_Attrition[[#This Row],[YearsAtCompany]]&lt;=5,"3-5",HR_Employee_Attrition[[#This Row],[YearsAtCompany]]&lt;=10,"6-10",HR_Employee_Attrition[[#This Row],[YearsAtCompany]]&gt;10,"10+")</f>
        <v>0-2</v>
      </c>
      <c r="AL744" t="str" cm="1">
        <f t="array" ref="AL7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44">
        <f>IF(HR_Employee_Attrition[[#This Row],[Attrition]]="Yes",1,0)</f>
        <v>0</v>
      </c>
    </row>
    <row r="745" spans="1:39"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IF(HR_Employee_Attrition[[#This Row],[Age]]&gt;60,"60+",IF(HR_Employee_Attrition[[#This Row],[Age]]&gt;=50,"50-59",IF(HR_Employee_Attrition[[#This Row],[Age]]&gt;=40,"40-49",IF(HR_Employee_Attrition[[#This Row],[Age]]&gt;=30,"30-39",IF(HR_Employee_Attrition[[#This Row],[Age]]&gt;=20,"20-29",IF(HR_Employee_Attrition[[#This Row],[Age]]&gt;=18,"18-20"))))))</f>
        <v>50-59</v>
      </c>
      <c r="AK745" t="str" cm="1">
        <f t="array" ref="AK745">_xlfn.IFS(HR_Employee_Attrition[[#This Row],[YearsAtCompany]]&lt;=2,"0-2",HR_Employee_Attrition[[#This Row],[YearsAtCompany]]&lt;=5,"3-5",HR_Employee_Attrition[[#This Row],[YearsAtCompany]]&lt;=10,"6-10",HR_Employee_Attrition[[#This Row],[YearsAtCompany]]&gt;10,"10+")</f>
        <v>3-5</v>
      </c>
      <c r="AL745" t="str" cm="1">
        <f t="array" ref="AL7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45">
        <f>IF(HR_Employee_Attrition[[#This Row],[Attrition]]="Yes",1,0)</f>
        <v>0</v>
      </c>
    </row>
    <row r="746" spans="1:39"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IF(HR_Employee_Attrition[[#This Row],[Age]]&gt;60,"60+",IF(HR_Employee_Attrition[[#This Row],[Age]]&gt;=50,"50-59",IF(HR_Employee_Attrition[[#This Row],[Age]]&gt;=40,"40-49",IF(HR_Employee_Attrition[[#This Row],[Age]]&gt;=30,"30-39",IF(HR_Employee_Attrition[[#This Row],[Age]]&gt;=20,"20-29",IF(HR_Employee_Attrition[[#This Row],[Age]]&gt;=18,"18-20"))))))</f>
        <v>30-39</v>
      </c>
      <c r="AK746" t="str" cm="1">
        <f t="array" ref="AK746">_xlfn.IFS(HR_Employee_Attrition[[#This Row],[YearsAtCompany]]&lt;=2,"0-2",HR_Employee_Attrition[[#This Row],[YearsAtCompany]]&lt;=5,"3-5",HR_Employee_Attrition[[#This Row],[YearsAtCompany]]&lt;=10,"6-10",HR_Employee_Attrition[[#This Row],[YearsAtCompany]]&gt;10,"10+")</f>
        <v>0-2</v>
      </c>
      <c r="AL746" t="str" cm="1">
        <f t="array" ref="AL7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46">
        <f>IF(HR_Employee_Attrition[[#This Row],[Attrition]]="Yes",1,0)</f>
        <v>1</v>
      </c>
    </row>
    <row r="747" spans="1:39"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IF(HR_Employee_Attrition[[#This Row],[Age]]&gt;60,"60+",IF(HR_Employee_Attrition[[#This Row],[Age]]&gt;=50,"50-59",IF(HR_Employee_Attrition[[#This Row],[Age]]&gt;=40,"40-49",IF(HR_Employee_Attrition[[#This Row],[Age]]&gt;=30,"30-39",IF(HR_Employee_Attrition[[#This Row],[Age]]&gt;=20,"20-29",IF(HR_Employee_Attrition[[#This Row],[Age]]&gt;=18,"18-20"))))))</f>
        <v>50-59</v>
      </c>
      <c r="AK747" t="str" cm="1">
        <f t="array" ref="AK747">_xlfn.IFS(HR_Employee_Attrition[[#This Row],[YearsAtCompany]]&lt;=2,"0-2",HR_Employee_Attrition[[#This Row],[YearsAtCompany]]&lt;=5,"3-5",HR_Employee_Attrition[[#This Row],[YearsAtCompany]]&lt;=10,"6-10",HR_Employee_Attrition[[#This Row],[YearsAtCompany]]&gt;10,"10+")</f>
        <v>6-10</v>
      </c>
      <c r="AL747" t="str" cm="1">
        <f t="array" ref="AL7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47">
        <f>IF(HR_Employee_Attrition[[#This Row],[Attrition]]="Yes",1,0)</f>
        <v>0</v>
      </c>
    </row>
    <row r="748" spans="1:39"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IF(HR_Employee_Attrition[[#This Row],[Age]]&gt;60,"60+",IF(HR_Employee_Attrition[[#This Row],[Age]]&gt;=50,"50-59",IF(HR_Employee_Attrition[[#This Row],[Age]]&gt;=40,"40-49",IF(HR_Employee_Attrition[[#This Row],[Age]]&gt;=30,"30-39",IF(HR_Employee_Attrition[[#This Row],[Age]]&gt;=20,"20-29",IF(HR_Employee_Attrition[[#This Row],[Age]]&gt;=18,"18-20"))))))</f>
        <v>40-49</v>
      </c>
      <c r="AK748" t="str" cm="1">
        <f t="array" ref="AK748">_xlfn.IFS(HR_Employee_Attrition[[#This Row],[YearsAtCompany]]&lt;=2,"0-2",HR_Employee_Attrition[[#This Row],[YearsAtCompany]]&lt;=5,"3-5",HR_Employee_Attrition[[#This Row],[YearsAtCompany]]&lt;=10,"6-10",HR_Employee_Attrition[[#This Row],[YearsAtCompany]]&gt;10,"10+")</f>
        <v>10+</v>
      </c>
      <c r="AL748" t="str" cm="1">
        <f t="array" ref="AL7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748">
        <f>IF(HR_Employee_Attrition[[#This Row],[Attrition]]="Yes",1,0)</f>
        <v>0</v>
      </c>
    </row>
    <row r="749" spans="1:39"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IF(HR_Employee_Attrition[[#This Row],[Age]]&gt;60,"60+",IF(HR_Employee_Attrition[[#This Row],[Age]]&gt;=50,"50-59",IF(HR_Employee_Attrition[[#This Row],[Age]]&gt;=40,"40-49",IF(HR_Employee_Attrition[[#This Row],[Age]]&gt;=30,"30-39",IF(HR_Employee_Attrition[[#This Row],[Age]]&gt;=20,"20-29",IF(HR_Employee_Attrition[[#This Row],[Age]]&gt;=18,"18-20"))))))</f>
        <v>30-39</v>
      </c>
      <c r="AK749" t="str" cm="1">
        <f t="array" ref="AK749">_xlfn.IFS(HR_Employee_Attrition[[#This Row],[YearsAtCompany]]&lt;=2,"0-2",HR_Employee_Attrition[[#This Row],[YearsAtCompany]]&lt;=5,"3-5",HR_Employee_Attrition[[#This Row],[YearsAtCompany]]&lt;=10,"6-10",HR_Employee_Attrition[[#This Row],[YearsAtCompany]]&gt;10,"10+")</f>
        <v>0-2</v>
      </c>
      <c r="AL749" t="str" cm="1">
        <f t="array" ref="AL7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49">
        <f>IF(HR_Employee_Attrition[[#This Row],[Attrition]]="Yes",1,0)</f>
        <v>0</v>
      </c>
    </row>
    <row r="750" spans="1:39"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IF(HR_Employee_Attrition[[#This Row],[Age]]&gt;60,"60+",IF(HR_Employee_Attrition[[#This Row],[Age]]&gt;=50,"50-59",IF(HR_Employee_Attrition[[#This Row],[Age]]&gt;=40,"40-49",IF(HR_Employee_Attrition[[#This Row],[Age]]&gt;=30,"30-39",IF(HR_Employee_Attrition[[#This Row],[Age]]&gt;=20,"20-29",IF(HR_Employee_Attrition[[#This Row],[Age]]&gt;=18,"18-20"))))))</f>
        <v>20-29</v>
      </c>
      <c r="AK750" t="str" cm="1">
        <f t="array" ref="AK750">_xlfn.IFS(HR_Employee_Attrition[[#This Row],[YearsAtCompany]]&lt;=2,"0-2",HR_Employee_Attrition[[#This Row],[YearsAtCompany]]&lt;=5,"3-5",HR_Employee_Attrition[[#This Row],[YearsAtCompany]]&lt;=10,"6-10",HR_Employee_Attrition[[#This Row],[YearsAtCompany]]&gt;10,"10+")</f>
        <v>0-2</v>
      </c>
      <c r="AL750" t="str" cm="1">
        <f t="array" ref="AL7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50">
        <f>IF(HR_Employee_Attrition[[#This Row],[Attrition]]="Yes",1,0)</f>
        <v>1</v>
      </c>
    </row>
    <row r="751" spans="1:39"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IF(HR_Employee_Attrition[[#This Row],[Age]]&gt;60,"60+",IF(HR_Employee_Attrition[[#This Row],[Age]]&gt;=50,"50-59",IF(HR_Employee_Attrition[[#This Row],[Age]]&gt;=40,"40-49",IF(HR_Employee_Attrition[[#This Row],[Age]]&gt;=30,"30-39",IF(HR_Employee_Attrition[[#This Row],[Age]]&gt;=20,"20-29",IF(HR_Employee_Attrition[[#This Row],[Age]]&gt;=18,"18-20"))))))</f>
        <v>50-59</v>
      </c>
      <c r="AK751" t="str" cm="1">
        <f t="array" ref="AK751">_xlfn.IFS(HR_Employee_Attrition[[#This Row],[YearsAtCompany]]&lt;=2,"0-2",HR_Employee_Attrition[[#This Row],[YearsAtCompany]]&lt;=5,"3-5",HR_Employee_Attrition[[#This Row],[YearsAtCompany]]&lt;=10,"6-10",HR_Employee_Attrition[[#This Row],[YearsAtCompany]]&gt;10,"10+")</f>
        <v>10+</v>
      </c>
      <c r="AL751" t="str" cm="1">
        <f t="array" ref="AL7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751">
        <f>IF(HR_Employee_Attrition[[#This Row],[Attrition]]="Yes",1,0)</f>
        <v>1</v>
      </c>
    </row>
    <row r="752" spans="1:39"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IF(HR_Employee_Attrition[[#This Row],[Age]]&gt;60,"60+",IF(HR_Employee_Attrition[[#This Row],[Age]]&gt;=50,"50-59",IF(HR_Employee_Attrition[[#This Row],[Age]]&gt;=40,"40-49",IF(HR_Employee_Attrition[[#This Row],[Age]]&gt;=30,"30-39",IF(HR_Employee_Attrition[[#This Row],[Age]]&gt;=20,"20-29",IF(HR_Employee_Attrition[[#This Row],[Age]]&gt;=18,"18-20"))))))</f>
        <v>40-49</v>
      </c>
      <c r="AK752" t="str" cm="1">
        <f t="array" ref="AK752">_xlfn.IFS(HR_Employee_Attrition[[#This Row],[YearsAtCompany]]&lt;=2,"0-2",HR_Employee_Attrition[[#This Row],[YearsAtCompany]]&lt;=5,"3-5",HR_Employee_Attrition[[#This Row],[YearsAtCompany]]&lt;=10,"6-10",HR_Employee_Attrition[[#This Row],[YearsAtCompany]]&gt;10,"10+")</f>
        <v>10+</v>
      </c>
      <c r="AL752" t="str" cm="1">
        <f t="array" ref="AL7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52">
        <f>IF(HR_Employee_Attrition[[#This Row],[Attrition]]="Yes",1,0)</f>
        <v>0</v>
      </c>
    </row>
    <row r="753" spans="1:39"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IF(HR_Employee_Attrition[[#This Row],[Age]]&gt;60,"60+",IF(HR_Employee_Attrition[[#This Row],[Age]]&gt;=50,"50-59",IF(HR_Employee_Attrition[[#This Row],[Age]]&gt;=40,"40-49",IF(HR_Employee_Attrition[[#This Row],[Age]]&gt;=30,"30-39",IF(HR_Employee_Attrition[[#This Row],[Age]]&gt;=20,"20-29",IF(HR_Employee_Attrition[[#This Row],[Age]]&gt;=18,"18-20"))))))</f>
        <v>50-59</v>
      </c>
      <c r="AK753" t="str" cm="1">
        <f t="array" ref="AK753">_xlfn.IFS(HR_Employee_Attrition[[#This Row],[YearsAtCompany]]&lt;=2,"0-2",HR_Employee_Attrition[[#This Row],[YearsAtCompany]]&lt;=5,"3-5",HR_Employee_Attrition[[#This Row],[YearsAtCompany]]&lt;=10,"6-10",HR_Employee_Attrition[[#This Row],[YearsAtCompany]]&gt;10,"10+")</f>
        <v>10+</v>
      </c>
      <c r="AL753" t="str" cm="1">
        <f t="array" ref="AL7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53">
        <f>IF(HR_Employee_Attrition[[#This Row],[Attrition]]="Yes",1,0)</f>
        <v>0</v>
      </c>
    </row>
    <row r="754" spans="1:39"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IF(HR_Employee_Attrition[[#This Row],[Age]]&gt;60,"60+",IF(HR_Employee_Attrition[[#This Row],[Age]]&gt;=50,"50-59",IF(HR_Employee_Attrition[[#This Row],[Age]]&gt;=40,"40-49",IF(HR_Employee_Attrition[[#This Row],[Age]]&gt;=30,"30-39",IF(HR_Employee_Attrition[[#This Row],[Age]]&gt;=20,"20-29",IF(HR_Employee_Attrition[[#This Row],[Age]]&gt;=18,"18-20"))))))</f>
        <v>30-39</v>
      </c>
      <c r="AK754" t="str" cm="1">
        <f t="array" ref="AK754">_xlfn.IFS(HR_Employee_Attrition[[#This Row],[YearsAtCompany]]&lt;=2,"0-2",HR_Employee_Attrition[[#This Row],[YearsAtCompany]]&lt;=5,"3-5",HR_Employee_Attrition[[#This Row],[YearsAtCompany]]&lt;=10,"6-10",HR_Employee_Attrition[[#This Row],[YearsAtCompany]]&gt;10,"10+")</f>
        <v>10+</v>
      </c>
      <c r="AL754" t="str" cm="1">
        <f t="array" ref="AL7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54">
        <f>IF(HR_Employee_Attrition[[#This Row],[Attrition]]="Yes",1,0)</f>
        <v>1</v>
      </c>
    </row>
    <row r="755" spans="1:39"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IF(HR_Employee_Attrition[[#This Row],[Age]]&gt;60,"60+",IF(HR_Employee_Attrition[[#This Row],[Age]]&gt;=50,"50-59",IF(HR_Employee_Attrition[[#This Row],[Age]]&gt;=40,"40-49",IF(HR_Employee_Attrition[[#This Row],[Age]]&gt;=30,"30-39",IF(HR_Employee_Attrition[[#This Row],[Age]]&gt;=20,"20-29",IF(HR_Employee_Attrition[[#This Row],[Age]]&gt;=18,"18-20"))))))</f>
        <v>30-39</v>
      </c>
      <c r="AK755" t="str" cm="1">
        <f t="array" ref="AK755">_xlfn.IFS(HR_Employee_Attrition[[#This Row],[YearsAtCompany]]&lt;=2,"0-2",HR_Employee_Attrition[[#This Row],[YearsAtCompany]]&lt;=5,"3-5",HR_Employee_Attrition[[#This Row],[YearsAtCompany]]&lt;=10,"6-10",HR_Employee_Attrition[[#This Row],[YearsAtCompany]]&gt;10,"10+")</f>
        <v>10+</v>
      </c>
      <c r="AL755" t="str" cm="1">
        <f t="array" ref="AL7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55">
        <f>IF(HR_Employee_Attrition[[#This Row],[Attrition]]="Yes",1,0)</f>
        <v>0</v>
      </c>
    </row>
    <row r="756" spans="1:39"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IF(HR_Employee_Attrition[[#This Row],[Age]]&gt;60,"60+",IF(HR_Employee_Attrition[[#This Row],[Age]]&gt;=50,"50-59",IF(HR_Employee_Attrition[[#This Row],[Age]]&gt;=40,"40-49",IF(HR_Employee_Attrition[[#This Row],[Age]]&gt;=30,"30-39",IF(HR_Employee_Attrition[[#This Row],[Age]]&gt;=20,"20-29",IF(HR_Employee_Attrition[[#This Row],[Age]]&gt;=18,"18-20"))))))</f>
        <v>30-39</v>
      </c>
      <c r="AK756" t="str" cm="1">
        <f t="array" ref="AK756">_xlfn.IFS(HR_Employee_Attrition[[#This Row],[YearsAtCompany]]&lt;=2,"0-2",HR_Employee_Attrition[[#This Row],[YearsAtCompany]]&lt;=5,"3-5",HR_Employee_Attrition[[#This Row],[YearsAtCompany]]&lt;=10,"6-10",HR_Employee_Attrition[[#This Row],[YearsAtCompany]]&gt;10,"10+")</f>
        <v>0-2</v>
      </c>
      <c r="AL756" t="str" cm="1">
        <f t="array" ref="AL7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56">
        <f>IF(HR_Employee_Attrition[[#This Row],[Attrition]]="Yes",1,0)</f>
        <v>0</v>
      </c>
    </row>
    <row r="757" spans="1:39"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IF(HR_Employee_Attrition[[#This Row],[Age]]&gt;60,"60+",IF(HR_Employee_Attrition[[#This Row],[Age]]&gt;=50,"50-59",IF(HR_Employee_Attrition[[#This Row],[Age]]&gt;=40,"40-49",IF(HR_Employee_Attrition[[#This Row],[Age]]&gt;=30,"30-39",IF(HR_Employee_Attrition[[#This Row],[Age]]&gt;=20,"20-29",IF(HR_Employee_Attrition[[#This Row],[Age]]&gt;=18,"18-20"))))))</f>
        <v>40-49</v>
      </c>
      <c r="AK757" t="str" cm="1">
        <f t="array" ref="AK757">_xlfn.IFS(HR_Employee_Attrition[[#This Row],[YearsAtCompany]]&lt;=2,"0-2",HR_Employee_Attrition[[#This Row],[YearsAtCompany]]&lt;=5,"3-5",HR_Employee_Attrition[[#This Row],[YearsAtCompany]]&lt;=10,"6-10",HR_Employee_Attrition[[#This Row],[YearsAtCompany]]&gt;10,"10+")</f>
        <v>6-10</v>
      </c>
      <c r="AL757" t="str" cm="1">
        <f t="array" ref="AL7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757">
        <f>IF(HR_Employee_Attrition[[#This Row],[Attrition]]="Yes",1,0)</f>
        <v>0</v>
      </c>
    </row>
    <row r="758" spans="1:39"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IF(HR_Employee_Attrition[[#This Row],[Age]]&gt;60,"60+",IF(HR_Employee_Attrition[[#This Row],[Age]]&gt;=50,"50-59",IF(HR_Employee_Attrition[[#This Row],[Age]]&gt;=40,"40-49",IF(HR_Employee_Attrition[[#This Row],[Age]]&gt;=30,"30-39",IF(HR_Employee_Attrition[[#This Row],[Age]]&gt;=20,"20-29",IF(HR_Employee_Attrition[[#This Row],[Age]]&gt;=18,"18-20"))))))</f>
        <v>30-39</v>
      </c>
      <c r="AK758" t="str" cm="1">
        <f t="array" ref="AK758">_xlfn.IFS(HR_Employee_Attrition[[#This Row],[YearsAtCompany]]&lt;=2,"0-2",HR_Employee_Attrition[[#This Row],[YearsAtCompany]]&lt;=5,"3-5",HR_Employee_Attrition[[#This Row],[YearsAtCompany]]&lt;=10,"6-10",HR_Employee_Attrition[[#This Row],[YearsAtCompany]]&gt;10,"10+")</f>
        <v>6-10</v>
      </c>
      <c r="AL758" t="str" cm="1">
        <f t="array" ref="AL7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58">
        <f>IF(HR_Employee_Attrition[[#This Row],[Attrition]]="Yes",1,0)</f>
        <v>0</v>
      </c>
    </row>
    <row r="759" spans="1:39"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IF(HR_Employee_Attrition[[#This Row],[Age]]&gt;60,"60+",IF(HR_Employee_Attrition[[#This Row],[Age]]&gt;=50,"50-59",IF(HR_Employee_Attrition[[#This Row],[Age]]&gt;=40,"40-49",IF(HR_Employee_Attrition[[#This Row],[Age]]&gt;=30,"30-39",IF(HR_Employee_Attrition[[#This Row],[Age]]&gt;=20,"20-29",IF(HR_Employee_Attrition[[#This Row],[Age]]&gt;=18,"18-20"))))))</f>
        <v>30-39</v>
      </c>
      <c r="AK759" t="str" cm="1">
        <f t="array" ref="AK759">_xlfn.IFS(HR_Employee_Attrition[[#This Row],[YearsAtCompany]]&lt;=2,"0-2",HR_Employee_Attrition[[#This Row],[YearsAtCompany]]&lt;=5,"3-5",HR_Employee_Attrition[[#This Row],[YearsAtCompany]]&lt;=10,"6-10",HR_Employee_Attrition[[#This Row],[YearsAtCompany]]&gt;10,"10+")</f>
        <v>10+</v>
      </c>
      <c r="AL759" t="str" cm="1">
        <f t="array" ref="AL7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59">
        <f>IF(HR_Employee_Attrition[[#This Row],[Attrition]]="Yes",1,0)</f>
        <v>0</v>
      </c>
    </row>
    <row r="760" spans="1:39"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IF(HR_Employee_Attrition[[#This Row],[Age]]&gt;60,"60+",IF(HR_Employee_Attrition[[#This Row],[Age]]&gt;=50,"50-59",IF(HR_Employee_Attrition[[#This Row],[Age]]&gt;=40,"40-49",IF(HR_Employee_Attrition[[#This Row],[Age]]&gt;=30,"30-39",IF(HR_Employee_Attrition[[#This Row],[Age]]&gt;=20,"20-29",IF(HR_Employee_Attrition[[#This Row],[Age]]&gt;=18,"18-20"))))))</f>
        <v>50-59</v>
      </c>
      <c r="AK760" t="str" cm="1">
        <f t="array" ref="AK760">_xlfn.IFS(HR_Employee_Attrition[[#This Row],[YearsAtCompany]]&lt;=2,"0-2",HR_Employee_Attrition[[#This Row],[YearsAtCompany]]&lt;=5,"3-5",HR_Employee_Attrition[[#This Row],[YearsAtCompany]]&lt;=10,"6-10",HR_Employee_Attrition[[#This Row],[YearsAtCompany]]&gt;10,"10+")</f>
        <v>6-10</v>
      </c>
      <c r="AL760" t="str" cm="1">
        <f t="array" ref="AL7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60">
        <f>IF(HR_Employee_Attrition[[#This Row],[Attrition]]="Yes",1,0)</f>
        <v>0</v>
      </c>
    </row>
    <row r="761" spans="1:39"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IF(HR_Employee_Attrition[[#This Row],[Age]]&gt;60,"60+",IF(HR_Employee_Attrition[[#This Row],[Age]]&gt;=50,"50-59",IF(HR_Employee_Attrition[[#This Row],[Age]]&gt;=40,"40-49",IF(HR_Employee_Attrition[[#This Row],[Age]]&gt;=30,"30-39",IF(HR_Employee_Attrition[[#This Row],[Age]]&gt;=20,"20-29",IF(HR_Employee_Attrition[[#This Row],[Age]]&gt;=18,"18-20"))))))</f>
        <v>40-49</v>
      </c>
      <c r="AK761" t="str" cm="1">
        <f t="array" ref="AK761">_xlfn.IFS(HR_Employee_Attrition[[#This Row],[YearsAtCompany]]&lt;=2,"0-2",HR_Employee_Attrition[[#This Row],[YearsAtCompany]]&lt;=5,"3-5",HR_Employee_Attrition[[#This Row],[YearsAtCompany]]&lt;=10,"6-10",HR_Employee_Attrition[[#This Row],[YearsAtCompany]]&gt;10,"10+")</f>
        <v>6-10</v>
      </c>
      <c r="AL761" t="str" cm="1">
        <f t="array" ref="AL7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61">
        <f>IF(HR_Employee_Attrition[[#This Row],[Attrition]]="Yes",1,0)</f>
        <v>0</v>
      </c>
    </row>
    <row r="762" spans="1:39"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IF(HR_Employee_Attrition[[#This Row],[Age]]&gt;60,"60+",IF(HR_Employee_Attrition[[#This Row],[Age]]&gt;=50,"50-59",IF(HR_Employee_Attrition[[#This Row],[Age]]&gt;=40,"40-49",IF(HR_Employee_Attrition[[#This Row],[Age]]&gt;=30,"30-39",IF(HR_Employee_Attrition[[#This Row],[Age]]&gt;=20,"20-29",IF(HR_Employee_Attrition[[#This Row],[Age]]&gt;=18,"18-20"))))))</f>
        <v>50-59</v>
      </c>
      <c r="AK762" t="str" cm="1">
        <f t="array" ref="AK762">_xlfn.IFS(HR_Employee_Attrition[[#This Row],[YearsAtCompany]]&lt;=2,"0-2",HR_Employee_Attrition[[#This Row],[YearsAtCompany]]&lt;=5,"3-5",HR_Employee_Attrition[[#This Row],[YearsAtCompany]]&lt;=10,"6-10",HR_Employee_Attrition[[#This Row],[YearsAtCompany]]&gt;10,"10+")</f>
        <v>10+</v>
      </c>
      <c r="AL762" t="str" cm="1">
        <f t="array" ref="AL7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62">
        <f>IF(HR_Employee_Attrition[[#This Row],[Attrition]]="Yes",1,0)</f>
        <v>0</v>
      </c>
    </row>
    <row r="763" spans="1:39"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IF(HR_Employee_Attrition[[#This Row],[Age]]&gt;60,"60+",IF(HR_Employee_Attrition[[#This Row],[Age]]&gt;=50,"50-59",IF(HR_Employee_Attrition[[#This Row],[Age]]&gt;=40,"40-49",IF(HR_Employee_Attrition[[#This Row],[Age]]&gt;=30,"30-39",IF(HR_Employee_Attrition[[#This Row],[Age]]&gt;=20,"20-29",IF(HR_Employee_Attrition[[#This Row],[Age]]&gt;=18,"18-20"))))))</f>
        <v>30-39</v>
      </c>
      <c r="AK763" t="str" cm="1">
        <f t="array" ref="AK763">_xlfn.IFS(HR_Employee_Attrition[[#This Row],[YearsAtCompany]]&lt;=2,"0-2",HR_Employee_Attrition[[#This Row],[YearsAtCompany]]&lt;=5,"3-5",HR_Employee_Attrition[[#This Row],[YearsAtCompany]]&lt;=10,"6-10",HR_Employee_Attrition[[#This Row],[YearsAtCompany]]&gt;10,"10+")</f>
        <v>0-2</v>
      </c>
      <c r="AL763" t="str" cm="1">
        <f t="array" ref="AL7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63">
        <f>IF(HR_Employee_Attrition[[#This Row],[Attrition]]="Yes",1,0)</f>
        <v>1</v>
      </c>
    </row>
    <row r="764" spans="1:39"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IF(HR_Employee_Attrition[[#This Row],[Age]]&gt;60,"60+",IF(HR_Employee_Attrition[[#This Row],[Age]]&gt;=50,"50-59",IF(HR_Employee_Attrition[[#This Row],[Age]]&gt;=40,"40-49",IF(HR_Employee_Attrition[[#This Row],[Age]]&gt;=30,"30-39",IF(HR_Employee_Attrition[[#This Row],[Age]]&gt;=20,"20-29",IF(HR_Employee_Attrition[[#This Row],[Age]]&gt;=18,"18-20"))))))</f>
        <v>20-29</v>
      </c>
      <c r="AK764" t="str" cm="1">
        <f t="array" ref="AK764">_xlfn.IFS(HR_Employee_Attrition[[#This Row],[YearsAtCompany]]&lt;=2,"0-2",HR_Employee_Attrition[[#This Row],[YearsAtCompany]]&lt;=5,"3-5",HR_Employee_Attrition[[#This Row],[YearsAtCompany]]&lt;=10,"6-10",HR_Employee_Attrition[[#This Row],[YearsAtCompany]]&gt;10,"10+")</f>
        <v>3-5</v>
      </c>
      <c r="AL764" t="str" cm="1">
        <f t="array" ref="AL7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64">
        <f>IF(HR_Employee_Attrition[[#This Row],[Attrition]]="Yes",1,0)</f>
        <v>1</v>
      </c>
    </row>
    <row r="765" spans="1:39"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IF(HR_Employee_Attrition[[#This Row],[Age]]&gt;60,"60+",IF(HR_Employee_Attrition[[#This Row],[Age]]&gt;=50,"50-59",IF(HR_Employee_Attrition[[#This Row],[Age]]&gt;=40,"40-49",IF(HR_Employee_Attrition[[#This Row],[Age]]&gt;=30,"30-39",IF(HR_Employee_Attrition[[#This Row],[Age]]&gt;=20,"20-29",IF(HR_Employee_Attrition[[#This Row],[Age]]&gt;=18,"18-20"))))))</f>
        <v>30-39</v>
      </c>
      <c r="AK765" t="str" cm="1">
        <f t="array" ref="AK765">_xlfn.IFS(HR_Employee_Attrition[[#This Row],[YearsAtCompany]]&lt;=2,"0-2",HR_Employee_Attrition[[#This Row],[YearsAtCompany]]&lt;=5,"3-5",HR_Employee_Attrition[[#This Row],[YearsAtCompany]]&lt;=10,"6-10",HR_Employee_Attrition[[#This Row],[YearsAtCompany]]&gt;10,"10+")</f>
        <v>0-2</v>
      </c>
      <c r="AL765" t="str" cm="1">
        <f t="array" ref="AL7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65">
        <f>IF(HR_Employee_Attrition[[#This Row],[Attrition]]="Yes",1,0)</f>
        <v>0</v>
      </c>
    </row>
    <row r="766" spans="1:39"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IF(HR_Employee_Attrition[[#This Row],[Age]]&gt;60,"60+",IF(HR_Employee_Attrition[[#This Row],[Age]]&gt;=50,"50-59",IF(HR_Employee_Attrition[[#This Row],[Age]]&gt;=40,"40-49",IF(HR_Employee_Attrition[[#This Row],[Age]]&gt;=30,"30-39",IF(HR_Employee_Attrition[[#This Row],[Age]]&gt;=20,"20-29",IF(HR_Employee_Attrition[[#This Row],[Age]]&gt;=18,"18-20"))))))</f>
        <v>20-29</v>
      </c>
      <c r="AK766" t="str" cm="1">
        <f t="array" ref="AK766">_xlfn.IFS(HR_Employee_Attrition[[#This Row],[YearsAtCompany]]&lt;=2,"0-2",HR_Employee_Attrition[[#This Row],[YearsAtCompany]]&lt;=5,"3-5",HR_Employee_Attrition[[#This Row],[YearsAtCompany]]&lt;=10,"6-10",HR_Employee_Attrition[[#This Row],[YearsAtCompany]]&gt;10,"10+")</f>
        <v>0-2</v>
      </c>
      <c r="AL766" t="str" cm="1">
        <f t="array" ref="AL7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66">
        <f>IF(HR_Employee_Attrition[[#This Row],[Attrition]]="Yes",1,0)</f>
        <v>0</v>
      </c>
    </row>
    <row r="767" spans="1:39"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IF(HR_Employee_Attrition[[#This Row],[Age]]&gt;60,"60+",IF(HR_Employee_Attrition[[#This Row],[Age]]&gt;=50,"50-59",IF(HR_Employee_Attrition[[#This Row],[Age]]&gt;=40,"40-49",IF(HR_Employee_Attrition[[#This Row],[Age]]&gt;=30,"30-39",IF(HR_Employee_Attrition[[#This Row],[Age]]&gt;=20,"20-29",IF(HR_Employee_Attrition[[#This Row],[Age]]&gt;=18,"18-20"))))))</f>
        <v>30-39</v>
      </c>
      <c r="AK767" t="str" cm="1">
        <f t="array" ref="AK767">_xlfn.IFS(HR_Employee_Attrition[[#This Row],[YearsAtCompany]]&lt;=2,"0-2",HR_Employee_Attrition[[#This Row],[YearsAtCompany]]&lt;=5,"3-5",HR_Employee_Attrition[[#This Row],[YearsAtCompany]]&lt;=10,"6-10",HR_Employee_Attrition[[#This Row],[YearsAtCompany]]&gt;10,"10+")</f>
        <v>0-2</v>
      </c>
      <c r="AL767" t="str" cm="1">
        <f t="array" ref="AL7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67">
        <f>IF(HR_Employee_Attrition[[#This Row],[Attrition]]="Yes",1,0)</f>
        <v>0</v>
      </c>
    </row>
    <row r="768" spans="1:39"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IF(HR_Employee_Attrition[[#This Row],[Age]]&gt;60,"60+",IF(HR_Employee_Attrition[[#This Row],[Age]]&gt;=50,"50-59",IF(HR_Employee_Attrition[[#This Row],[Age]]&gt;=40,"40-49",IF(HR_Employee_Attrition[[#This Row],[Age]]&gt;=30,"30-39",IF(HR_Employee_Attrition[[#This Row],[Age]]&gt;=20,"20-29",IF(HR_Employee_Attrition[[#This Row],[Age]]&gt;=18,"18-20"))))))</f>
        <v>50-59</v>
      </c>
      <c r="AK768" t="str" cm="1">
        <f t="array" ref="AK768">_xlfn.IFS(HR_Employee_Attrition[[#This Row],[YearsAtCompany]]&lt;=2,"0-2",HR_Employee_Attrition[[#This Row],[YearsAtCompany]]&lt;=5,"3-5",HR_Employee_Attrition[[#This Row],[YearsAtCompany]]&lt;=10,"6-10",HR_Employee_Attrition[[#This Row],[YearsAtCompany]]&gt;10,"10+")</f>
        <v>6-10</v>
      </c>
      <c r="AL768" t="str" cm="1">
        <f t="array" ref="AL7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768">
        <f>IF(HR_Employee_Attrition[[#This Row],[Attrition]]="Yes",1,0)</f>
        <v>0</v>
      </c>
    </row>
    <row r="769" spans="1:39"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IF(HR_Employee_Attrition[[#This Row],[Age]]&gt;60,"60+",IF(HR_Employee_Attrition[[#This Row],[Age]]&gt;=50,"50-59",IF(HR_Employee_Attrition[[#This Row],[Age]]&gt;=40,"40-49",IF(HR_Employee_Attrition[[#This Row],[Age]]&gt;=30,"30-39",IF(HR_Employee_Attrition[[#This Row],[Age]]&gt;=20,"20-29",IF(HR_Employee_Attrition[[#This Row],[Age]]&gt;=18,"18-20"))))))</f>
        <v>30-39</v>
      </c>
      <c r="AK769" t="str" cm="1">
        <f t="array" ref="AK769">_xlfn.IFS(HR_Employee_Attrition[[#This Row],[YearsAtCompany]]&lt;=2,"0-2",HR_Employee_Attrition[[#This Row],[YearsAtCompany]]&lt;=5,"3-5",HR_Employee_Attrition[[#This Row],[YearsAtCompany]]&lt;=10,"6-10",HR_Employee_Attrition[[#This Row],[YearsAtCompany]]&gt;10,"10+")</f>
        <v>3-5</v>
      </c>
      <c r="AL769" t="str" cm="1">
        <f t="array" ref="AL7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69">
        <f>IF(HR_Employee_Attrition[[#This Row],[Attrition]]="Yes",1,0)</f>
        <v>0</v>
      </c>
    </row>
    <row r="770" spans="1:39"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IF(HR_Employee_Attrition[[#This Row],[Age]]&gt;60,"60+",IF(HR_Employee_Attrition[[#This Row],[Age]]&gt;=50,"50-59",IF(HR_Employee_Attrition[[#This Row],[Age]]&gt;=40,"40-49",IF(HR_Employee_Attrition[[#This Row],[Age]]&gt;=30,"30-39",IF(HR_Employee_Attrition[[#This Row],[Age]]&gt;=20,"20-29",IF(HR_Employee_Attrition[[#This Row],[Age]]&gt;=18,"18-20"))))))</f>
        <v>40-49</v>
      </c>
      <c r="AK770" t="str" cm="1">
        <f t="array" ref="AK770">_xlfn.IFS(HR_Employee_Attrition[[#This Row],[YearsAtCompany]]&lt;=2,"0-2",HR_Employee_Attrition[[#This Row],[YearsAtCompany]]&lt;=5,"3-5",HR_Employee_Attrition[[#This Row],[YearsAtCompany]]&lt;=10,"6-10",HR_Employee_Attrition[[#This Row],[YearsAtCompany]]&gt;10,"10+")</f>
        <v>6-10</v>
      </c>
      <c r="AL770" t="str" cm="1">
        <f t="array" ref="AL7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70">
        <f>IF(HR_Employee_Attrition[[#This Row],[Attrition]]="Yes",1,0)</f>
        <v>0</v>
      </c>
    </row>
    <row r="771" spans="1:39"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IF(HR_Employee_Attrition[[#This Row],[Age]]&gt;60,"60+",IF(HR_Employee_Attrition[[#This Row],[Age]]&gt;=50,"50-59",IF(HR_Employee_Attrition[[#This Row],[Age]]&gt;=40,"40-49",IF(HR_Employee_Attrition[[#This Row],[Age]]&gt;=30,"30-39",IF(HR_Employee_Attrition[[#This Row],[Age]]&gt;=20,"20-29",IF(HR_Employee_Attrition[[#This Row],[Age]]&gt;=18,"18-20"))))))</f>
        <v>20-29</v>
      </c>
      <c r="AK771" t="str" cm="1">
        <f t="array" ref="AK771">_xlfn.IFS(HR_Employee_Attrition[[#This Row],[YearsAtCompany]]&lt;=2,"0-2",HR_Employee_Attrition[[#This Row],[YearsAtCompany]]&lt;=5,"3-5",HR_Employee_Attrition[[#This Row],[YearsAtCompany]]&lt;=10,"6-10",HR_Employee_Attrition[[#This Row],[YearsAtCompany]]&gt;10,"10+")</f>
        <v>3-5</v>
      </c>
      <c r="AL771" t="str" cm="1">
        <f t="array" ref="AL7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71">
        <f>IF(HR_Employee_Attrition[[#This Row],[Attrition]]="Yes",1,0)</f>
        <v>0</v>
      </c>
    </row>
    <row r="772" spans="1:39"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IF(HR_Employee_Attrition[[#This Row],[Age]]&gt;60,"60+",IF(HR_Employee_Attrition[[#This Row],[Age]]&gt;=50,"50-59",IF(HR_Employee_Attrition[[#This Row],[Age]]&gt;=40,"40-49",IF(HR_Employee_Attrition[[#This Row],[Age]]&gt;=30,"30-39",IF(HR_Employee_Attrition[[#This Row],[Age]]&gt;=20,"20-29",IF(HR_Employee_Attrition[[#This Row],[Age]]&gt;=18,"18-20"))))))</f>
        <v>40-49</v>
      </c>
      <c r="AK772" t="str" cm="1">
        <f t="array" ref="AK772">_xlfn.IFS(HR_Employee_Attrition[[#This Row],[YearsAtCompany]]&lt;=2,"0-2",HR_Employee_Attrition[[#This Row],[YearsAtCompany]]&lt;=5,"3-5",HR_Employee_Attrition[[#This Row],[YearsAtCompany]]&lt;=10,"6-10",HR_Employee_Attrition[[#This Row],[YearsAtCompany]]&gt;10,"10+")</f>
        <v>0-2</v>
      </c>
      <c r="AL772" t="str" cm="1">
        <f t="array" ref="AL77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772">
        <f>IF(HR_Employee_Attrition[[#This Row],[Attrition]]="Yes",1,0)</f>
        <v>0</v>
      </c>
    </row>
    <row r="773" spans="1:39"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IF(HR_Employee_Attrition[[#This Row],[Age]]&gt;60,"60+",IF(HR_Employee_Attrition[[#This Row],[Age]]&gt;=50,"50-59",IF(HR_Employee_Attrition[[#This Row],[Age]]&gt;=40,"40-49",IF(HR_Employee_Attrition[[#This Row],[Age]]&gt;=30,"30-39",IF(HR_Employee_Attrition[[#This Row],[Age]]&gt;=20,"20-29",IF(HR_Employee_Attrition[[#This Row],[Age]]&gt;=18,"18-20"))))))</f>
        <v>50-59</v>
      </c>
      <c r="AK773" t="str" cm="1">
        <f t="array" ref="AK773">_xlfn.IFS(HR_Employee_Attrition[[#This Row],[YearsAtCompany]]&lt;=2,"0-2",HR_Employee_Attrition[[#This Row],[YearsAtCompany]]&lt;=5,"3-5",HR_Employee_Attrition[[#This Row],[YearsAtCompany]]&lt;=10,"6-10",HR_Employee_Attrition[[#This Row],[YearsAtCompany]]&gt;10,"10+")</f>
        <v>6-10</v>
      </c>
      <c r="AL773" t="str" cm="1">
        <f t="array" ref="AL77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73">
        <f>IF(HR_Employee_Attrition[[#This Row],[Attrition]]="Yes",1,0)</f>
        <v>0</v>
      </c>
    </row>
    <row r="774" spans="1:39"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IF(HR_Employee_Attrition[[#This Row],[Age]]&gt;60,"60+",IF(HR_Employee_Attrition[[#This Row],[Age]]&gt;=50,"50-59",IF(HR_Employee_Attrition[[#This Row],[Age]]&gt;=40,"40-49",IF(HR_Employee_Attrition[[#This Row],[Age]]&gt;=30,"30-39",IF(HR_Employee_Attrition[[#This Row],[Age]]&gt;=20,"20-29",IF(HR_Employee_Attrition[[#This Row],[Age]]&gt;=18,"18-20"))))))</f>
        <v>50-59</v>
      </c>
      <c r="AK774" t="str" cm="1">
        <f t="array" ref="AK774">_xlfn.IFS(HR_Employee_Attrition[[#This Row],[YearsAtCompany]]&lt;=2,"0-2",HR_Employee_Attrition[[#This Row],[YearsAtCompany]]&lt;=5,"3-5",HR_Employee_Attrition[[#This Row],[YearsAtCompany]]&lt;=10,"6-10",HR_Employee_Attrition[[#This Row],[YearsAtCompany]]&gt;10,"10+")</f>
        <v>3-5</v>
      </c>
      <c r="AL774" t="str" cm="1">
        <f t="array" ref="AL77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74">
        <f>IF(HR_Employee_Attrition[[#This Row],[Attrition]]="Yes",1,0)</f>
        <v>0</v>
      </c>
    </row>
    <row r="775" spans="1:39"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IF(HR_Employee_Attrition[[#This Row],[Age]]&gt;60,"60+",IF(HR_Employee_Attrition[[#This Row],[Age]]&gt;=50,"50-59",IF(HR_Employee_Attrition[[#This Row],[Age]]&gt;=40,"40-49",IF(HR_Employee_Attrition[[#This Row],[Age]]&gt;=30,"30-39",IF(HR_Employee_Attrition[[#This Row],[Age]]&gt;=20,"20-29",IF(HR_Employee_Attrition[[#This Row],[Age]]&gt;=18,"18-20"))))))</f>
        <v>30-39</v>
      </c>
      <c r="AK775" t="str" cm="1">
        <f t="array" ref="AK775">_xlfn.IFS(HR_Employee_Attrition[[#This Row],[YearsAtCompany]]&lt;=2,"0-2",HR_Employee_Attrition[[#This Row],[YearsAtCompany]]&lt;=5,"3-5",HR_Employee_Attrition[[#This Row],[YearsAtCompany]]&lt;=10,"6-10",HR_Employee_Attrition[[#This Row],[YearsAtCompany]]&gt;10,"10+")</f>
        <v>10+</v>
      </c>
      <c r="AL775" t="str" cm="1">
        <f t="array" ref="AL77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75">
        <f>IF(HR_Employee_Attrition[[#This Row],[Attrition]]="Yes",1,0)</f>
        <v>0</v>
      </c>
    </row>
    <row r="776" spans="1:39"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IF(HR_Employee_Attrition[[#This Row],[Age]]&gt;60,"60+",IF(HR_Employee_Attrition[[#This Row],[Age]]&gt;=50,"50-59",IF(HR_Employee_Attrition[[#This Row],[Age]]&gt;=40,"40-49",IF(HR_Employee_Attrition[[#This Row],[Age]]&gt;=30,"30-39",IF(HR_Employee_Attrition[[#This Row],[Age]]&gt;=20,"20-29",IF(HR_Employee_Attrition[[#This Row],[Age]]&gt;=18,"18-20"))))))</f>
        <v>50-59</v>
      </c>
      <c r="AK776" t="str" cm="1">
        <f t="array" ref="AK776">_xlfn.IFS(HR_Employee_Attrition[[#This Row],[YearsAtCompany]]&lt;=2,"0-2",HR_Employee_Attrition[[#This Row],[YearsAtCompany]]&lt;=5,"3-5",HR_Employee_Attrition[[#This Row],[YearsAtCompany]]&lt;=10,"6-10",HR_Employee_Attrition[[#This Row],[YearsAtCompany]]&gt;10,"10+")</f>
        <v>6-10</v>
      </c>
      <c r="AL776" t="str" cm="1">
        <f t="array" ref="AL77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776">
        <f>IF(HR_Employee_Attrition[[#This Row],[Attrition]]="Yes",1,0)</f>
        <v>0</v>
      </c>
    </row>
    <row r="777" spans="1:39"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IF(HR_Employee_Attrition[[#This Row],[Age]]&gt;60,"60+",IF(HR_Employee_Attrition[[#This Row],[Age]]&gt;=50,"50-59",IF(HR_Employee_Attrition[[#This Row],[Age]]&gt;=40,"40-49",IF(HR_Employee_Attrition[[#This Row],[Age]]&gt;=30,"30-39",IF(HR_Employee_Attrition[[#This Row],[Age]]&gt;=20,"20-29",IF(HR_Employee_Attrition[[#This Row],[Age]]&gt;=18,"18-20"))))))</f>
        <v>40-49</v>
      </c>
      <c r="AK777" t="str" cm="1">
        <f t="array" ref="AK777">_xlfn.IFS(HR_Employee_Attrition[[#This Row],[YearsAtCompany]]&lt;=2,"0-2",HR_Employee_Attrition[[#This Row],[YearsAtCompany]]&lt;=5,"3-5",HR_Employee_Attrition[[#This Row],[YearsAtCompany]]&lt;=10,"6-10",HR_Employee_Attrition[[#This Row],[YearsAtCompany]]&gt;10,"10+")</f>
        <v>0-2</v>
      </c>
      <c r="AL777" t="str" cm="1">
        <f t="array" ref="AL77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77">
        <f>IF(HR_Employee_Attrition[[#This Row],[Attrition]]="Yes",1,0)</f>
        <v>0</v>
      </c>
    </row>
    <row r="778" spans="1:39"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IF(HR_Employee_Attrition[[#This Row],[Age]]&gt;60,"60+",IF(HR_Employee_Attrition[[#This Row],[Age]]&gt;=50,"50-59",IF(HR_Employee_Attrition[[#This Row],[Age]]&gt;=40,"40-49",IF(HR_Employee_Attrition[[#This Row],[Age]]&gt;=30,"30-39",IF(HR_Employee_Attrition[[#This Row],[Age]]&gt;=20,"20-29",IF(HR_Employee_Attrition[[#This Row],[Age]]&gt;=18,"18-20"))))))</f>
        <v>20-29</v>
      </c>
      <c r="AK778" t="str" cm="1">
        <f t="array" ref="AK778">_xlfn.IFS(HR_Employee_Attrition[[#This Row],[YearsAtCompany]]&lt;=2,"0-2",HR_Employee_Attrition[[#This Row],[YearsAtCompany]]&lt;=5,"3-5",HR_Employee_Attrition[[#This Row],[YearsAtCompany]]&lt;=10,"6-10",HR_Employee_Attrition[[#This Row],[YearsAtCompany]]&gt;10,"10+")</f>
        <v>0-2</v>
      </c>
      <c r="AL778" t="str" cm="1">
        <f t="array" ref="AL77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78">
        <f>IF(HR_Employee_Attrition[[#This Row],[Attrition]]="Yes",1,0)</f>
        <v>1</v>
      </c>
    </row>
    <row r="779" spans="1:39"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IF(HR_Employee_Attrition[[#This Row],[Age]]&gt;60,"60+",IF(HR_Employee_Attrition[[#This Row],[Age]]&gt;=50,"50-59",IF(HR_Employee_Attrition[[#This Row],[Age]]&gt;=40,"40-49",IF(HR_Employee_Attrition[[#This Row],[Age]]&gt;=30,"30-39",IF(HR_Employee_Attrition[[#This Row],[Age]]&gt;=20,"20-29",IF(HR_Employee_Attrition[[#This Row],[Age]]&gt;=18,"18-20"))))))</f>
        <v>20-29</v>
      </c>
      <c r="AK779" t="str" cm="1">
        <f t="array" ref="AK779">_xlfn.IFS(HR_Employee_Attrition[[#This Row],[YearsAtCompany]]&lt;=2,"0-2",HR_Employee_Attrition[[#This Row],[YearsAtCompany]]&lt;=5,"3-5",HR_Employee_Attrition[[#This Row],[YearsAtCompany]]&lt;=10,"6-10",HR_Employee_Attrition[[#This Row],[YearsAtCompany]]&gt;10,"10+")</f>
        <v>0-2</v>
      </c>
      <c r="AL779" t="str" cm="1">
        <f t="array" ref="AL77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79">
        <f>IF(HR_Employee_Attrition[[#This Row],[Attrition]]="Yes",1,0)</f>
        <v>1</v>
      </c>
    </row>
    <row r="780" spans="1:39"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IF(HR_Employee_Attrition[[#This Row],[Age]]&gt;60,"60+",IF(HR_Employee_Attrition[[#This Row],[Age]]&gt;=50,"50-59",IF(HR_Employee_Attrition[[#This Row],[Age]]&gt;=40,"40-49",IF(HR_Employee_Attrition[[#This Row],[Age]]&gt;=30,"30-39",IF(HR_Employee_Attrition[[#This Row],[Age]]&gt;=20,"20-29",IF(HR_Employee_Attrition[[#This Row],[Age]]&gt;=18,"18-20"))))))</f>
        <v>40-49</v>
      </c>
      <c r="AK780" t="str" cm="1">
        <f t="array" ref="AK780">_xlfn.IFS(HR_Employee_Attrition[[#This Row],[YearsAtCompany]]&lt;=2,"0-2",HR_Employee_Attrition[[#This Row],[YearsAtCompany]]&lt;=5,"3-5",HR_Employee_Attrition[[#This Row],[YearsAtCompany]]&lt;=10,"6-10",HR_Employee_Attrition[[#This Row],[YearsAtCompany]]&gt;10,"10+")</f>
        <v>10+</v>
      </c>
      <c r="AL780" t="str" cm="1">
        <f t="array" ref="AL78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80">
        <f>IF(HR_Employee_Attrition[[#This Row],[Attrition]]="Yes",1,0)</f>
        <v>0</v>
      </c>
    </row>
    <row r="781" spans="1:39"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IF(HR_Employee_Attrition[[#This Row],[Age]]&gt;60,"60+",IF(HR_Employee_Attrition[[#This Row],[Age]]&gt;=50,"50-59",IF(HR_Employee_Attrition[[#This Row],[Age]]&gt;=40,"40-49",IF(HR_Employee_Attrition[[#This Row],[Age]]&gt;=30,"30-39",IF(HR_Employee_Attrition[[#This Row],[Age]]&gt;=20,"20-29",IF(HR_Employee_Attrition[[#This Row],[Age]]&gt;=18,"18-20"))))))</f>
        <v>50-59</v>
      </c>
      <c r="AK781" t="str" cm="1">
        <f t="array" ref="AK781">_xlfn.IFS(HR_Employee_Attrition[[#This Row],[YearsAtCompany]]&lt;=2,"0-2",HR_Employee_Attrition[[#This Row],[YearsAtCompany]]&lt;=5,"3-5",HR_Employee_Attrition[[#This Row],[YearsAtCompany]]&lt;=10,"6-10",HR_Employee_Attrition[[#This Row],[YearsAtCompany]]&gt;10,"10+")</f>
        <v>6-10</v>
      </c>
      <c r="AL781" t="str" cm="1">
        <f t="array" ref="AL78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81">
        <f>IF(HR_Employee_Attrition[[#This Row],[Attrition]]="Yes",1,0)</f>
        <v>1</v>
      </c>
    </row>
    <row r="782" spans="1:39"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IF(HR_Employee_Attrition[[#This Row],[Age]]&gt;60,"60+",IF(HR_Employee_Attrition[[#This Row],[Age]]&gt;=50,"50-59",IF(HR_Employee_Attrition[[#This Row],[Age]]&gt;=40,"40-49",IF(HR_Employee_Attrition[[#This Row],[Age]]&gt;=30,"30-39",IF(HR_Employee_Attrition[[#This Row],[Age]]&gt;=20,"20-29",IF(HR_Employee_Attrition[[#This Row],[Age]]&gt;=18,"18-20"))))))</f>
        <v>20-29</v>
      </c>
      <c r="AK782" t="str" cm="1">
        <f t="array" ref="AK782">_xlfn.IFS(HR_Employee_Attrition[[#This Row],[YearsAtCompany]]&lt;=2,"0-2",HR_Employee_Attrition[[#This Row],[YearsAtCompany]]&lt;=5,"3-5",HR_Employee_Attrition[[#This Row],[YearsAtCompany]]&lt;=10,"6-10",HR_Employee_Attrition[[#This Row],[YearsAtCompany]]&gt;10,"10+")</f>
        <v>6-10</v>
      </c>
      <c r="AL782" t="str" cm="1">
        <f t="array" ref="AL78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82">
        <f>IF(HR_Employee_Attrition[[#This Row],[Attrition]]="Yes",1,0)</f>
        <v>1</v>
      </c>
    </row>
    <row r="783" spans="1:39"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IF(HR_Employee_Attrition[[#This Row],[Age]]&gt;60,"60+",IF(HR_Employee_Attrition[[#This Row],[Age]]&gt;=50,"50-59",IF(HR_Employee_Attrition[[#This Row],[Age]]&gt;=40,"40-49",IF(HR_Employee_Attrition[[#This Row],[Age]]&gt;=30,"30-39",IF(HR_Employee_Attrition[[#This Row],[Age]]&gt;=20,"20-29",IF(HR_Employee_Attrition[[#This Row],[Age]]&gt;=18,"18-20"))))))</f>
        <v>20-29</v>
      </c>
      <c r="AK783" t="str" cm="1">
        <f t="array" ref="AK783">_xlfn.IFS(HR_Employee_Attrition[[#This Row],[YearsAtCompany]]&lt;=2,"0-2",HR_Employee_Attrition[[#This Row],[YearsAtCompany]]&lt;=5,"3-5",HR_Employee_Attrition[[#This Row],[YearsAtCompany]]&lt;=10,"6-10",HR_Employee_Attrition[[#This Row],[YearsAtCompany]]&gt;10,"10+")</f>
        <v>3-5</v>
      </c>
      <c r="AL783" t="str" cm="1">
        <f t="array" ref="AL78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83">
        <f>IF(HR_Employee_Attrition[[#This Row],[Attrition]]="Yes",1,0)</f>
        <v>0</v>
      </c>
    </row>
    <row r="784" spans="1:39"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IF(HR_Employee_Attrition[[#This Row],[Age]]&gt;60,"60+",IF(HR_Employee_Attrition[[#This Row],[Age]]&gt;=50,"50-59",IF(HR_Employee_Attrition[[#This Row],[Age]]&gt;=40,"40-49",IF(HR_Employee_Attrition[[#This Row],[Age]]&gt;=30,"30-39",IF(HR_Employee_Attrition[[#This Row],[Age]]&gt;=20,"20-29",IF(HR_Employee_Attrition[[#This Row],[Age]]&gt;=18,"18-20"))))))</f>
        <v>30-39</v>
      </c>
      <c r="AK784" t="str" cm="1">
        <f t="array" ref="AK784">_xlfn.IFS(HR_Employee_Attrition[[#This Row],[YearsAtCompany]]&lt;=2,"0-2",HR_Employee_Attrition[[#This Row],[YearsAtCompany]]&lt;=5,"3-5",HR_Employee_Attrition[[#This Row],[YearsAtCompany]]&lt;=10,"6-10",HR_Employee_Attrition[[#This Row],[YearsAtCompany]]&gt;10,"10+")</f>
        <v>6-10</v>
      </c>
      <c r="AL784" t="str" cm="1">
        <f t="array" ref="AL78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84">
        <f>IF(HR_Employee_Attrition[[#This Row],[Attrition]]="Yes",1,0)</f>
        <v>0</v>
      </c>
    </row>
    <row r="785" spans="1:39"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IF(HR_Employee_Attrition[[#This Row],[Age]]&gt;60,"60+",IF(HR_Employee_Attrition[[#This Row],[Age]]&gt;=50,"50-59",IF(HR_Employee_Attrition[[#This Row],[Age]]&gt;=40,"40-49",IF(HR_Employee_Attrition[[#This Row],[Age]]&gt;=30,"30-39",IF(HR_Employee_Attrition[[#This Row],[Age]]&gt;=20,"20-29",IF(HR_Employee_Attrition[[#This Row],[Age]]&gt;=18,"18-20"))))))</f>
        <v>40-49</v>
      </c>
      <c r="AK785" t="str" cm="1">
        <f t="array" ref="AK785">_xlfn.IFS(HR_Employee_Attrition[[#This Row],[YearsAtCompany]]&lt;=2,"0-2",HR_Employee_Attrition[[#This Row],[YearsAtCompany]]&lt;=5,"3-5",HR_Employee_Attrition[[#This Row],[YearsAtCompany]]&lt;=10,"6-10",HR_Employee_Attrition[[#This Row],[YearsAtCompany]]&gt;10,"10+")</f>
        <v>6-10</v>
      </c>
      <c r="AL785" t="str" cm="1">
        <f t="array" ref="AL78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85">
        <f>IF(HR_Employee_Attrition[[#This Row],[Attrition]]="Yes",1,0)</f>
        <v>0</v>
      </c>
    </row>
    <row r="786" spans="1:39"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IF(HR_Employee_Attrition[[#This Row],[Age]]&gt;60,"60+",IF(HR_Employee_Attrition[[#This Row],[Age]]&gt;=50,"50-59",IF(HR_Employee_Attrition[[#This Row],[Age]]&gt;=40,"40-49",IF(HR_Employee_Attrition[[#This Row],[Age]]&gt;=30,"30-39",IF(HR_Employee_Attrition[[#This Row],[Age]]&gt;=20,"20-29",IF(HR_Employee_Attrition[[#This Row],[Age]]&gt;=18,"18-20"))))))</f>
        <v>30-39</v>
      </c>
      <c r="AK786" t="str" cm="1">
        <f t="array" ref="AK786">_xlfn.IFS(HR_Employee_Attrition[[#This Row],[YearsAtCompany]]&lt;=2,"0-2",HR_Employee_Attrition[[#This Row],[YearsAtCompany]]&lt;=5,"3-5",HR_Employee_Attrition[[#This Row],[YearsAtCompany]]&lt;=10,"6-10",HR_Employee_Attrition[[#This Row],[YearsAtCompany]]&gt;10,"10+")</f>
        <v>10+</v>
      </c>
      <c r="AL786" t="str" cm="1">
        <f t="array" ref="AL78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86">
        <f>IF(HR_Employee_Attrition[[#This Row],[Attrition]]="Yes",1,0)</f>
        <v>0</v>
      </c>
    </row>
    <row r="787" spans="1:39"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IF(HR_Employee_Attrition[[#This Row],[Age]]&gt;60,"60+",IF(HR_Employee_Attrition[[#This Row],[Age]]&gt;=50,"50-59",IF(HR_Employee_Attrition[[#This Row],[Age]]&gt;=40,"40-49",IF(HR_Employee_Attrition[[#This Row],[Age]]&gt;=30,"30-39",IF(HR_Employee_Attrition[[#This Row],[Age]]&gt;=20,"20-29",IF(HR_Employee_Attrition[[#This Row],[Age]]&gt;=18,"18-20"))))))</f>
        <v>40-49</v>
      </c>
      <c r="AK787" t="str" cm="1">
        <f t="array" ref="AK787">_xlfn.IFS(HR_Employee_Attrition[[#This Row],[YearsAtCompany]]&lt;=2,"0-2",HR_Employee_Attrition[[#This Row],[YearsAtCompany]]&lt;=5,"3-5",HR_Employee_Attrition[[#This Row],[YearsAtCompany]]&lt;=10,"6-10",HR_Employee_Attrition[[#This Row],[YearsAtCompany]]&gt;10,"10+")</f>
        <v>10+</v>
      </c>
      <c r="AL787" t="str" cm="1">
        <f t="array" ref="AL78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87">
        <f>IF(HR_Employee_Attrition[[#This Row],[Attrition]]="Yes",1,0)</f>
        <v>0</v>
      </c>
    </row>
    <row r="788" spans="1:39"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IF(HR_Employee_Attrition[[#This Row],[Age]]&gt;60,"60+",IF(HR_Employee_Attrition[[#This Row],[Age]]&gt;=50,"50-59",IF(HR_Employee_Attrition[[#This Row],[Age]]&gt;=40,"40-49",IF(HR_Employee_Attrition[[#This Row],[Age]]&gt;=30,"30-39",IF(HR_Employee_Attrition[[#This Row],[Age]]&gt;=20,"20-29",IF(HR_Employee_Attrition[[#This Row],[Age]]&gt;=18,"18-20"))))))</f>
        <v>20-29</v>
      </c>
      <c r="AK788" t="str" cm="1">
        <f t="array" ref="AK788">_xlfn.IFS(HR_Employee_Attrition[[#This Row],[YearsAtCompany]]&lt;=2,"0-2",HR_Employee_Attrition[[#This Row],[YearsAtCompany]]&lt;=5,"3-5",HR_Employee_Attrition[[#This Row],[YearsAtCompany]]&lt;=10,"6-10",HR_Employee_Attrition[[#This Row],[YearsAtCompany]]&gt;10,"10+")</f>
        <v>3-5</v>
      </c>
      <c r="AL788" t="str" cm="1">
        <f t="array" ref="AL78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88">
        <f>IF(HR_Employee_Attrition[[#This Row],[Attrition]]="Yes",1,0)</f>
        <v>0</v>
      </c>
    </row>
    <row r="789" spans="1:39"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IF(HR_Employee_Attrition[[#This Row],[Age]]&gt;60,"60+",IF(HR_Employee_Attrition[[#This Row],[Age]]&gt;=50,"50-59",IF(HR_Employee_Attrition[[#This Row],[Age]]&gt;=40,"40-49",IF(HR_Employee_Attrition[[#This Row],[Age]]&gt;=30,"30-39",IF(HR_Employee_Attrition[[#This Row],[Age]]&gt;=20,"20-29",IF(HR_Employee_Attrition[[#This Row],[Age]]&gt;=18,"18-20"))))))</f>
        <v>50-59</v>
      </c>
      <c r="AK789" t="str" cm="1">
        <f t="array" ref="AK789">_xlfn.IFS(HR_Employee_Attrition[[#This Row],[YearsAtCompany]]&lt;=2,"0-2",HR_Employee_Attrition[[#This Row],[YearsAtCompany]]&lt;=5,"3-5",HR_Employee_Attrition[[#This Row],[YearsAtCompany]]&lt;=10,"6-10",HR_Employee_Attrition[[#This Row],[YearsAtCompany]]&gt;10,"10+")</f>
        <v>3-5</v>
      </c>
      <c r="AL789" t="str" cm="1">
        <f t="array" ref="AL78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89">
        <f>IF(HR_Employee_Attrition[[#This Row],[Attrition]]="Yes",1,0)</f>
        <v>0</v>
      </c>
    </row>
    <row r="790" spans="1:39"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IF(HR_Employee_Attrition[[#This Row],[Age]]&gt;60,"60+",IF(HR_Employee_Attrition[[#This Row],[Age]]&gt;=50,"50-59",IF(HR_Employee_Attrition[[#This Row],[Age]]&gt;=40,"40-49",IF(HR_Employee_Attrition[[#This Row],[Age]]&gt;=30,"30-39",IF(HR_Employee_Attrition[[#This Row],[Age]]&gt;=20,"20-29",IF(HR_Employee_Attrition[[#This Row],[Age]]&gt;=18,"18-20"))))))</f>
        <v>20-29</v>
      </c>
      <c r="AK790" t="str" cm="1">
        <f t="array" ref="AK790">_xlfn.IFS(HR_Employee_Attrition[[#This Row],[YearsAtCompany]]&lt;=2,"0-2",HR_Employee_Attrition[[#This Row],[YearsAtCompany]]&lt;=5,"3-5",HR_Employee_Attrition[[#This Row],[YearsAtCompany]]&lt;=10,"6-10",HR_Employee_Attrition[[#This Row],[YearsAtCompany]]&gt;10,"10+")</f>
        <v>6-10</v>
      </c>
      <c r="AL790" t="str" cm="1">
        <f t="array" ref="AL79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90">
        <f>IF(HR_Employee_Attrition[[#This Row],[Attrition]]="Yes",1,0)</f>
        <v>0</v>
      </c>
    </row>
    <row r="791" spans="1:39"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IF(HR_Employee_Attrition[[#This Row],[Age]]&gt;60,"60+",IF(HR_Employee_Attrition[[#This Row],[Age]]&gt;=50,"50-59",IF(HR_Employee_Attrition[[#This Row],[Age]]&gt;=40,"40-49",IF(HR_Employee_Attrition[[#This Row],[Age]]&gt;=30,"30-39",IF(HR_Employee_Attrition[[#This Row],[Age]]&gt;=20,"20-29",IF(HR_Employee_Attrition[[#This Row],[Age]]&gt;=18,"18-20"))))))</f>
        <v>40-49</v>
      </c>
      <c r="AK791" t="str" cm="1">
        <f t="array" ref="AK791">_xlfn.IFS(HR_Employee_Attrition[[#This Row],[YearsAtCompany]]&lt;=2,"0-2",HR_Employee_Attrition[[#This Row],[YearsAtCompany]]&lt;=5,"3-5",HR_Employee_Attrition[[#This Row],[YearsAtCompany]]&lt;=10,"6-10",HR_Employee_Attrition[[#This Row],[YearsAtCompany]]&gt;10,"10+")</f>
        <v>10+</v>
      </c>
      <c r="AL791" t="str" cm="1">
        <f t="array" ref="AL79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791">
        <f>IF(HR_Employee_Attrition[[#This Row],[Attrition]]="Yes",1,0)</f>
        <v>1</v>
      </c>
    </row>
    <row r="792" spans="1:39"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IF(HR_Employee_Attrition[[#This Row],[Age]]&gt;60,"60+",IF(HR_Employee_Attrition[[#This Row],[Age]]&gt;=50,"50-59",IF(HR_Employee_Attrition[[#This Row],[Age]]&gt;=40,"40-49",IF(HR_Employee_Attrition[[#This Row],[Age]]&gt;=30,"30-39",IF(HR_Employee_Attrition[[#This Row],[Age]]&gt;=20,"20-29",IF(HR_Employee_Attrition[[#This Row],[Age]]&gt;=18,"18-20"))))))</f>
        <v>30-39</v>
      </c>
      <c r="AK792" t="str" cm="1">
        <f t="array" ref="AK792">_xlfn.IFS(HR_Employee_Attrition[[#This Row],[YearsAtCompany]]&lt;=2,"0-2",HR_Employee_Attrition[[#This Row],[YearsAtCompany]]&lt;=5,"3-5",HR_Employee_Attrition[[#This Row],[YearsAtCompany]]&lt;=10,"6-10",HR_Employee_Attrition[[#This Row],[YearsAtCompany]]&gt;10,"10+")</f>
        <v>3-5</v>
      </c>
      <c r="AL792" t="str" cm="1">
        <f t="array" ref="AL79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92">
        <f>IF(HR_Employee_Attrition[[#This Row],[Attrition]]="Yes",1,0)</f>
        <v>0</v>
      </c>
    </row>
    <row r="793" spans="1:39"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IF(HR_Employee_Attrition[[#This Row],[Age]]&gt;60,"60+",IF(HR_Employee_Attrition[[#This Row],[Age]]&gt;=50,"50-59",IF(HR_Employee_Attrition[[#This Row],[Age]]&gt;=40,"40-49",IF(HR_Employee_Attrition[[#This Row],[Age]]&gt;=30,"30-39",IF(HR_Employee_Attrition[[#This Row],[Age]]&gt;=20,"20-29",IF(HR_Employee_Attrition[[#This Row],[Age]]&gt;=18,"18-20"))))))</f>
        <v>30-39</v>
      </c>
      <c r="AK793" t="str" cm="1">
        <f t="array" ref="AK793">_xlfn.IFS(HR_Employee_Attrition[[#This Row],[YearsAtCompany]]&lt;=2,"0-2",HR_Employee_Attrition[[#This Row],[YearsAtCompany]]&lt;=5,"3-5",HR_Employee_Attrition[[#This Row],[YearsAtCompany]]&lt;=10,"6-10",HR_Employee_Attrition[[#This Row],[YearsAtCompany]]&gt;10,"10+")</f>
        <v>6-10</v>
      </c>
      <c r="AL793" t="str" cm="1">
        <f t="array" ref="AL79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93">
        <f>IF(HR_Employee_Attrition[[#This Row],[Attrition]]="Yes",1,0)</f>
        <v>1</v>
      </c>
    </row>
    <row r="794" spans="1:39"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IF(HR_Employee_Attrition[[#This Row],[Age]]&gt;60,"60+",IF(HR_Employee_Attrition[[#This Row],[Age]]&gt;=50,"50-59",IF(HR_Employee_Attrition[[#This Row],[Age]]&gt;=40,"40-49",IF(HR_Employee_Attrition[[#This Row],[Age]]&gt;=30,"30-39",IF(HR_Employee_Attrition[[#This Row],[Age]]&gt;=20,"20-29",IF(HR_Employee_Attrition[[#This Row],[Age]]&gt;=18,"18-20"))))))</f>
        <v>30-39</v>
      </c>
      <c r="AK794" t="str" cm="1">
        <f t="array" ref="AK794">_xlfn.IFS(HR_Employee_Attrition[[#This Row],[YearsAtCompany]]&lt;=2,"0-2",HR_Employee_Attrition[[#This Row],[YearsAtCompany]]&lt;=5,"3-5",HR_Employee_Attrition[[#This Row],[YearsAtCompany]]&lt;=10,"6-10",HR_Employee_Attrition[[#This Row],[YearsAtCompany]]&gt;10,"10+")</f>
        <v>10+</v>
      </c>
      <c r="AL794" t="str" cm="1">
        <f t="array" ref="AL79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94">
        <f>IF(HR_Employee_Attrition[[#This Row],[Attrition]]="Yes",1,0)</f>
        <v>1</v>
      </c>
    </row>
    <row r="795" spans="1:39"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IF(HR_Employee_Attrition[[#This Row],[Age]]&gt;60,"60+",IF(HR_Employee_Attrition[[#This Row],[Age]]&gt;=50,"50-59",IF(HR_Employee_Attrition[[#This Row],[Age]]&gt;=40,"40-49",IF(HR_Employee_Attrition[[#This Row],[Age]]&gt;=30,"30-39",IF(HR_Employee_Attrition[[#This Row],[Age]]&gt;=20,"20-29",IF(HR_Employee_Attrition[[#This Row],[Age]]&gt;=18,"18-20"))))))</f>
        <v>20-29</v>
      </c>
      <c r="AK795" t="str" cm="1">
        <f t="array" ref="AK795">_xlfn.IFS(HR_Employee_Attrition[[#This Row],[YearsAtCompany]]&lt;=2,"0-2",HR_Employee_Attrition[[#This Row],[YearsAtCompany]]&lt;=5,"3-5",HR_Employee_Attrition[[#This Row],[YearsAtCompany]]&lt;=10,"6-10",HR_Employee_Attrition[[#This Row],[YearsAtCompany]]&gt;10,"10+")</f>
        <v>3-5</v>
      </c>
      <c r="AL795" t="str" cm="1">
        <f t="array" ref="AL79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95">
        <f>IF(HR_Employee_Attrition[[#This Row],[Attrition]]="Yes",1,0)</f>
        <v>0</v>
      </c>
    </row>
    <row r="796" spans="1:39"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IF(HR_Employee_Attrition[[#This Row],[Age]]&gt;60,"60+",IF(HR_Employee_Attrition[[#This Row],[Age]]&gt;=50,"50-59",IF(HR_Employee_Attrition[[#This Row],[Age]]&gt;=40,"40-49",IF(HR_Employee_Attrition[[#This Row],[Age]]&gt;=30,"30-39",IF(HR_Employee_Attrition[[#This Row],[Age]]&gt;=20,"20-29",IF(HR_Employee_Attrition[[#This Row],[Age]]&gt;=18,"18-20"))))))</f>
        <v>30-39</v>
      </c>
      <c r="AK796" t="str" cm="1">
        <f t="array" ref="AK796">_xlfn.IFS(HR_Employee_Attrition[[#This Row],[YearsAtCompany]]&lt;=2,"0-2",HR_Employee_Attrition[[#This Row],[YearsAtCompany]]&lt;=5,"3-5",HR_Employee_Attrition[[#This Row],[YearsAtCompany]]&lt;=10,"6-10",HR_Employee_Attrition[[#This Row],[YearsAtCompany]]&gt;10,"10+")</f>
        <v>6-10</v>
      </c>
      <c r="AL796" t="str" cm="1">
        <f t="array" ref="AL79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96">
        <f>IF(HR_Employee_Attrition[[#This Row],[Attrition]]="Yes",1,0)</f>
        <v>0</v>
      </c>
    </row>
    <row r="797" spans="1:39"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IF(HR_Employee_Attrition[[#This Row],[Age]]&gt;60,"60+",IF(HR_Employee_Attrition[[#This Row],[Age]]&gt;=50,"50-59",IF(HR_Employee_Attrition[[#This Row],[Age]]&gt;=40,"40-49",IF(HR_Employee_Attrition[[#This Row],[Age]]&gt;=30,"30-39",IF(HR_Employee_Attrition[[#This Row],[Age]]&gt;=20,"20-29",IF(HR_Employee_Attrition[[#This Row],[Age]]&gt;=18,"18-20"))))))</f>
        <v>30-39</v>
      </c>
      <c r="AK797" t="str" cm="1">
        <f t="array" ref="AK797">_xlfn.IFS(HR_Employee_Attrition[[#This Row],[YearsAtCompany]]&lt;=2,"0-2",HR_Employee_Attrition[[#This Row],[YearsAtCompany]]&lt;=5,"3-5",HR_Employee_Attrition[[#This Row],[YearsAtCompany]]&lt;=10,"6-10",HR_Employee_Attrition[[#This Row],[YearsAtCompany]]&gt;10,"10+")</f>
        <v>0-2</v>
      </c>
      <c r="AL797" t="str" cm="1">
        <f t="array" ref="AL79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797">
        <f>IF(HR_Employee_Attrition[[#This Row],[Attrition]]="Yes",1,0)</f>
        <v>0</v>
      </c>
    </row>
    <row r="798" spans="1:39"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IF(HR_Employee_Attrition[[#This Row],[Age]]&gt;60,"60+",IF(HR_Employee_Attrition[[#This Row],[Age]]&gt;=50,"50-59",IF(HR_Employee_Attrition[[#This Row],[Age]]&gt;=40,"40-49",IF(HR_Employee_Attrition[[#This Row],[Age]]&gt;=30,"30-39",IF(HR_Employee_Attrition[[#This Row],[Age]]&gt;=20,"20-29",IF(HR_Employee_Attrition[[#This Row],[Age]]&gt;=18,"18-20"))))))</f>
        <v>20-29</v>
      </c>
      <c r="AK798" t="str" cm="1">
        <f t="array" ref="AK798">_xlfn.IFS(HR_Employee_Attrition[[#This Row],[YearsAtCompany]]&lt;=2,"0-2",HR_Employee_Attrition[[#This Row],[YearsAtCompany]]&lt;=5,"3-5",HR_Employee_Attrition[[#This Row],[YearsAtCompany]]&lt;=10,"6-10",HR_Employee_Attrition[[#This Row],[YearsAtCompany]]&gt;10,"10+")</f>
        <v>6-10</v>
      </c>
      <c r="AL798" t="str" cm="1">
        <f t="array" ref="AL79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98">
        <f>IF(HR_Employee_Attrition[[#This Row],[Attrition]]="Yes",1,0)</f>
        <v>1</v>
      </c>
    </row>
    <row r="799" spans="1:39"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IF(HR_Employee_Attrition[[#This Row],[Age]]&gt;60,"60+",IF(HR_Employee_Attrition[[#This Row],[Age]]&gt;=50,"50-59",IF(HR_Employee_Attrition[[#This Row],[Age]]&gt;=40,"40-49",IF(HR_Employee_Attrition[[#This Row],[Age]]&gt;=30,"30-39",IF(HR_Employee_Attrition[[#This Row],[Age]]&gt;=20,"20-29",IF(HR_Employee_Attrition[[#This Row],[Age]]&gt;=18,"18-20"))))))</f>
        <v>20-29</v>
      </c>
      <c r="AK799" t="str" cm="1">
        <f t="array" ref="AK799">_xlfn.IFS(HR_Employee_Attrition[[#This Row],[YearsAtCompany]]&lt;=2,"0-2",HR_Employee_Attrition[[#This Row],[YearsAtCompany]]&lt;=5,"3-5",HR_Employee_Attrition[[#This Row],[YearsAtCompany]]&lt;=10,"6-10",HR_Employee_Attrition[[#This Row],[YearsAtCompany]]&gt;10,"10+")</f>
        <v>0-2</v>
      </c>
      <c r="AL799" t="str" cm="1">
        <f t="array" ref="AL79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799">
        <f>IF(HR_Employee_Attrition[[#This Row],[Attrition]]="Yes",1,0)</f>
        <v>1</v>
      </c>
    </row>
    <row r="800" spans="1:39"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IF(HR_Employee_Attrition[[#This Row],[Age]]&gt;60,"60+",IF(HR_Employee_Attrition[[#This Row],[Age]]&gt;=50,"50-59",IF(HR_Employee_Attrition[[#This Row],[Age]]&gt;=40,"40-49",IF(HR_Employee_Attrition[[#This Row],[Age]]&gt;=30,"30-39",IF(HR_Employee_Attrition[[#This Row],[Age]]&gt;=20,"20-29",IF(HR_Employee_Attrition[[#This Row],[Age]]&gt;=18,"18-20"))))))</f>
        <v>30-39</v>
      </c>
      <c r="AK800" t="str" cm="1">
        <f t="array" ref="AK800">_xlfn.IFS(HR_Employee_Attrition[[#This Row],[YearsAtCompany]]&lt;=2,"0-2",HR_Employee_Attrition[[#This Row],[YearsAtCompany]]&lt;=5,"3-5",HR_Employee_Attrition[[#This Row],[YearsAtCompany]]&lt;=10,"6-10",HR_Employee_Attrition[[#This Row],[YearsAtCompany]]&gt;10,"10+")</f>
        <v>0-2</v>
      </c>
      <c r="AL800" t="str" cm="1">
        <f t="array" ref="AL80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00">
        <f>IF(HR_Employee_Attrition[[#This Row],[Attrition]]="Yes",1,0)</f>
        <v>1</v>
      </c>
    </row>
    <row r="801" spans="1:39"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IF(HR_Employee_Attrition[[#This Row],[Age]]&gt;60,"60+",IF(HR_Employee_Attrition[[#This Row],[Age]]&gt;=50,"50-59",IF(HR_Employee_Attrition[[#This Row],[Age]]&gt;=40,"40-49",IF(HR_Employee_Attrition[[#This Row],[Age]]&gt;=30,"30-39",IF(HR_Employee_Attrition[[#This Row],[Age]]&gt;=20,"20-29",IF(HR_Employee_Attrition[[#This Row],[Age]]&gt;=18,"18-20"))))))</f>
        <v>40-49</v>
      </c>
      <c r="AK801" t="str" cm="1">
        <f t="array" ref="AK801">_xlfn.IFS(HR_Employee_Attrition[[#This Row],[YearsAtCompany]]&lt;=2,"0-2",HR_Employee_Attrition[[#This Row],[YearsAtCompany]]&lt;=5,"3-5",HR_Employee_Attrition[[#This Row],[YearsAtCompany]]&lt;=10,"6-10",HR_Employee_Attrition[[#This Row],[YearsAtCompany]]&gt;10,"10+")</f>
        <v>10+</v>
      </c>
      <c r="AL801" t="str" cm="1">
        <f t="array" ref="AL80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801">
        <f>IF(HR_Employee_Attrition[[#This Row],[Attrition]]="Yes",1,0)</f>
        <v>0</v>
      </c>
    </row>
    <row r="802" spans="1:39"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IF(HR_Employee_Attrition[[#This Row],[Age]]&gt;60,"60+",IF(HR_Employee_Attrition[[#This Row],[Age]]&gt;=50,"50-59",IF(HR_Employee_Attrition[[#This Row],[Age]]&gt;=40,"40-49",IF(HR_Employee_Attrition[[#This Row],[Age]]&gt;=30,"30-39",IF(HR_Employee_Attrition[[#This Row],[Age]]&gt;=20,"20-29",IF(HR_Employee_Attrition[[#This Row],[Age]]&gt;=18,"18-20"))))))</f>
        <v>20-29</v>
      </c>
      <c r="AK802" t="str" cm="1">
        <f t="array" ref="AK802">_xlfn.IFS(HR_Employee_Attrition[[#This Row],[YearsAtCompany]]&lt;=2,"0-2",HR_Employee_Attrition[[#This Row],[YearsAtCompany]]&lt;=5,"3-5",HR_Employee_Attrition[[#This Row],[YearsAtCompany]]&lt;=10,"6-10",HR_Employee_Attrition[[#This Row],[YearsAtCompany]]&gt;10,"10+")</f>
        <v>0-2</v>
      </c>
      <c r="AL802" t="str" cm="1">
        <f t="array" ref="AL80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02">
        <f>IF(HR_Employee_Attrition[[#This Row],[Attrition]]="Yes",1,0)</f>
        <v>1</v>
      </c>
    </row>
    <row r="803" spans="1:39"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IF(HR_Employee_Attrition[[#This Row],[Age]]&gt;60,"60+",IF(HR_Employee_Attrition[[#This Row],[Age]]&gt;=50,"50-59",IF(HR_Employee_Attrition[[#This Row],[Age]]&gt;=40,"40-49",IF(HR_Employee_Attrition[[#This Row],[Age]]&gt;=30,"30-39",IF(HR_Employee_Attrition[[#This Row],[Age]]&gt;=20,"20-29",IF(HR_Employee_Attrition[[#This Row],[Age]]&gt;=18,"18-20"))))))</f>
        <v>50-59</v>
      </c>
      <c r="AK803" t="str" cm="1">
        <f t="array" ref="AK803">_xlfn.IFS(HR_Employee_Attrition[[#This Row],[YearsAtCompany]]&lt;=2,"0-2",HR_Employee_Attrition[[#This Row],[YearsAtCompany]]&lt;=5,"3-5",HR_Employee_Attrition[[#This Row],[YearsAtCompany]]&lt;=10,"6-10",HR_Employee_Attrition[[#This Row],[YearsAtCompany]]&gt;10,"10+")</f>
        <v>0-2</v>
      </c>
      <c r="AL803" t="str" cm="1">
        <f t="array" ref="AL80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03">
        <f>IF(HR_Employee_Attrition[[#This Row],[Attrition]]="Yes",1,0)</f>
        <v>1</v>
      </c>
    </row>
    <row r="804" spans="1:39"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IF(HR_Employee_Attrition[[#This Row],[Age]]&gt;60,"60+",IF(HR_Employee_Attrition[[#This Row],[Age]]&gt;=50,"50-59",IF(HR_Employee_Attrition[[#This Row],[Age]]&gt;=40,"40-49",IF(HR_Employee_Attrition[[#This Row],[Age]]&gt;=30,"30-39",IF(HR_Employee_Attrition[[#This Row],[Age]]&gt;=20,"20-29",IF(HR_Employee_Attrition[[#This Row],[Age]]&gt;=18,"18-20"))))))</f>
        <v>30-39</v>
      </c>
      <c r="AK804" t="str" cm="1">
        <f t="array" ref="AK804">_xlfn.IFS(HR_Employee_Attrition[[#This Row],[YearsAtCompany]]&lt;=2,"0-2",HR_Employee_Attrition[[#This Row],[YearsAtCompany]]&lt;=5,"3-5",HR_Employee_Attrition[[#This Row],[YearsAtCompany]]&lt;=10,"6-10",HR_Employee_Attrition[[#This Row],[YearsAtCompany]]&gt;10,"10+")</f>
        <v>3-5</v>
      </c>
      <c r="AL804" t="str" cm="1">
        <f t="array" ref="AL80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04">
        <f>IF(HR_Employee_Attrition[[#This Row],[Attrition]]="Yes",1,0)</f>
        <v>0</v>
      </c>
    </row>
    <row r="805" spans="1:39"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IF(HR_Employee_Attrition[[#This Row],[Age]]&gt;60,"60+",IF(HR_Employee_Attrition[[#This Row],[Age]]&gt;=50,"50-59",IF(HR_Employee_Attrition[[#This Row],[Age]]&gt;=40,"40-49",IF(HR_Employee_Attrition[[#This Row],[Age]]&gt;=30,"30-39",IF(HR_Employee_Attrition[[#This Row],[Age]]&gt;=20,"20-29",IF(HR_Employee_Attrition[[#This Row],[Age]]&gt;=18,"18-20"))))))</f>
        <v>30-39</v>
      </c>
      <c r="AK805" t="str" cm="1">
        <f t="array" ref="AK805">_xlfn.IFS(HR_Employee_Attrition[[#This Row],[YearsAtCompany]]&lt;=2,"0-2",HR_Employee_Attrition[[#This Row],[YearsAtCompany]]&lt;=5,"3-5",HR_Employee_Attrition[[#This Row],[YearsAtCompany]]&lt;=10,"6-10",HR_Employee_Attrition[[#This Row],[YearsAtCompany]]&gt;10,"10+")</f>
        <v>0-2</v>
      </c>
      <c r="AL805" t="str" cm="1">
        <f t="array" ref="AL80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05">
        <f>IF(HR_Employee_Attrition[[#This Row],[Attrition]]="Yes",1,0)</f>
        <v>0</v>
      </c>
    </row>
    <row r="806" spans="1:39"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IF(HR_Employee_Attrition[[#This Row],[Age]]&gt;60,"60+",IF(HR_Employee_Attrition[[#This Row],[Age]]&gt;=50,"50-59",IF(HR_Employee_Attrition[[#This Row],[Age]]&gt;=40,"40-49",IF(HR_Employee_Attrition[[#This Row],[Age]]&gt;=30,"30-39",IF(HR_Employee_Attrition[[#This Row],[Age]]&gt;=20,"20-29",IF(HR_Employee_Attrition[[#This Row],[Age]]&gt;=18,"18-20"))))))</f>
        <v>40-49</v>
      </c>
      <c r="AK806" t="str" cm="1">
        <f t="array" ref="AK806">_xlfn.IFS(HR_Employee_Attrition[[#This Row],[YearsAtCompany]]&lt;=2,"0-2",HR_Employee_Attrition[[#This Row],[YearsAtCompany]]&lt;=5,"3-5",HR_Employee_Attrition[[#This Row],[YearsAtCompany]]&lt;=10,"6-10",HR_Employee_Attrition[[#This Row],[YearsAtCompany]]&gt;10,"10+")</f>
        <v>3-5</v>
      </c>
      <c r="AL806" t="str" cm="1">
        <f t="array" ref="AL80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806">
        <f>IF(HR_Employee_Attrition[[#This Row],[Attrition]]="Yes",1,0)</f>
        <v>0</v>
      </c>
    </row>
    <row r="807" spans="1:39"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IF(HR_Employee_Attrition[[#This Row],[Age]]&gt;60,"60+",IF(HR_Employee_Attrition[[#This Row],[Age]]&gt;=50,"50-59",IF(HR_Employee_Attrition[[#This Row],[Age]]&gt;=40,"40-49",IF(HR_Employee_Attrition[[#This Row],[Age]]&gt;=30,"30-39",IF(HR_Employee_Attrition[[#This Row],[Age]]&gt;=20,"20-29",IF(HR_Employee_Attrition[[#This Row],[Age]]&gt;=18,"18-20"))))))</f>
        <v>40-49</v>
      </c>
      <c r="AK807" t="str" cm="1">
        <f t="array" ref="AK807">_xlfn.IFS(HR_Employee_Attrition[[#This Row],[YearsAtCompany]]&lt;=2,"0-2",HR_Employee_Attrition[[#This Row],[YearsAtCompany]]&lt;=5,"3-5",HR_Employee_Attrition[[#This Row],[YearsAtCompany]]&lt;=10,"6-10",HR_Employee_Attrition[[#This Row],[YearsAtCompany]]&gt;10,"10+")</f>
        <v>10+</v>
      </c>
      <c r="AL807" t="str" cm="1">
        <f t="array" ref="AL80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07">
        <f>IF(HR_Employee_Attrition[[#This Row],[Attrition]]="Yes",1,0)</f>
        <v>0</v>
      </c>
    </row>
    <row r="808" spans="1:39"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IF(HR_Employee_Attrition[[#This Row],[Age]]&gt;60,"60+",IF(HR_Employee_Attrition[[#This Row],[Age]]&gt;=50,"50-59",IF(HR_Employee_Attrition[[#This Row],[Age]]&gt;=40,"40-49",IF(HR_Employee_Attrition[[#This Row],[Age]]&gt;=30,"30-39",IF(HR_Employee_Attrition[[#This Row],[Age]]&gt;=20,"20-29",IF(HR_Employee_Attrition[[#This Row],[Age]]&gt;=18,"18-20"))))))</f>
        <v>50-59</v>
      </c>
      <c r="AK808" t="str" cm="1">
        <f t="array" ref="AK808">_xlfn.IFS(HR_Employee_Attrition[[#This Row],[YearsAtCompany]]&lt;=2,"0-2",HR_Employee_Attrition[[#This Row],[YearsAtCompany]]&lt;=5,"3-5",HR_Employee_Attrition[[#This Row],[YearsAtCompany]]&lt;=10,"6-10",HR_Employee_Attrition[[#This Row],[YearsAtCompany]]&gt;10,"10+")</f>
        <v>6-10</v>
      </c>
      <c r="AL808" t="str" cm="1">
        <f t="array" ref="AL80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808">
        <f>IF(HR_Employee_Attrition[[#This Row],[Attrition]]="Yes",1,0)</f>
        <v>0</v>
      </c>
    </row>
    <row r="809" spans="1:39"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IF(HR_Employee_Attrition[[#This Row],[Age]]&gt;60,"60+",IF(HR_Employee_Attrition[[#This Row],[Age]]&gt;=50,"50-59",IF(HR_Employee_Attrition[[#This Row],[Age]]&gt;=40,"40-49",IF(HR_Employee_Attrition[[#This Row],[Age]]&gt;=30,"30-39",IF(HR_Employee_Attrition[[#This Row],[Age]]&gt;=20,"20-29",IF(HR_Employee_Attrition[[#This Row],[Age]]&gt;=18,"18-20"))))))</f>
        <v>30-39</v>
      </c>
      <c r="AK809" t="str" cm="1">
        <f t="array" ref="AK809">_xlfn.IFS(HR_Employee_Attrition[[#This Row],[YearsAtCompany]]&lt;=2,"0-2",HR_Employee_Attrition[[#This Row],[YearsAtCompany]]&lt;=5,"3-5",HR_Employee_Attrition[[#This Row],[YearsAtCompany]]&lt;=10,"6-10",HR_Employee_Attrition[[#This Row],[YearsAtCompany]]&gt;10,"10+")</f>
        <v>6-10</v>
      </c>
      <c r="AL809" t="str" cm="1">
        <f t="array" ref="AL80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09">
        <f>IF(HR_Employee_Attrition[[#This Row],[Attrition]]="Yes",1,0)</f>
        <v>0</v>
      </c>
    </row>
    <row r="810" spans="1:39"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IF(HR_Employee_Attrition[[#This Row],[Age]]&gt;60,"60+",IF(HR_Employee_Attrition[[#This Row],[Age]]&gt;=50,"50-59",IF(HR_Employee_Attrition[[#This Row],[Age]]&gt;=40,"40-49",IF(HR_Employee_Attrition[[#This Row],[Age]]&gt;=30,"30-39",IF(HR_Employee_Attrition[[#This Row],[Age]]&gt;=20,"20-29",IF(HR_Employee_Attrition[[#This Row],[Age]]&gt;=18,"18-20"))))))</f>
        <v>20-29</v>
      </c>
      <c r="AK810" t="str" cm="1">
        <f t="array" ref="AK810">_xlfn.IFS(HR_Employee_Attrition[[#This Row],[YearsAtCompany]]&lt;=2,"0-2",HR_Employee_Attrition[[#This Row],[YearsAtCompany]]&lt;=5,"3-5",HR_Employee_Attrition[[#This Row],[YearsAtCompany]]&lt;=10,"6-10",HR_Employee_Attrition[[#This Row],[YearsAtCompany]]&gt;10,"10+")</f>
        <v>6-10</v>
      </c>
      <c r="AL810" t="str" cm="1">
        <f t="array" ref="AL8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10">
        <f>IF(HR_Employee_Attrition[[#This Row],[Attrition]]="Yes",1,0)</f>
        <v>0</v>
      </c>
    </row>
    <row r="811" spans="1:39"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IF(HR_Employee_Attrition[[#This Row],[Age]]&gt;60,"60+",IF(HR_Employee_Attrition[[#This Row],[Age]]&gt;=50,"50-59",IF(HR_Employee_Attrition[[#This Row],[Age]]&gt;=40,"40-49",IF(HR_Employee_Attrition[[#This Row],[Age]]&gt;=30,"30-39",IF(HR_Employee_Attrition[[#This Row],[Age]]&gt;=20,"20-29",IF(HR_Employee_Attrition[[#This Row],[Age]]&gt;=18,"18-20"))))))</f>
        <v>20-29</v>
      </c>
      <c r="AK811" t="str" cm="1">
        <f t="array" ref="AK811">_xlfn.IFS(HR_Employee_Attrition[[#This Row],[YearsAtCompany]]&lt;=2,"0-2",HR_Employee_Attrition[[#This Row],[YearsAtCompany]]&lt;=5,"3-5",HR_Employee_Attrition[[#This Row],[YearsAtCompany]]&lt;=10,"6-10",HR_Employee_Attrition[[#This Row],[YearsAtCompany]]&gt;10,"10+")</f>
        <v>6-10</v>
      </c>
      <c r="AL811" t="str" cm="1">
        <f t="array" ref="AL8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11">
        <f>IF(HR_Employee_Attrition[[#This Row],[Attrition]]="Yes",1,0)</f>
        <v>0</v>
      </c>
    </row>
    <row r="812" spans="1:39"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IF(HR_Employee_Attrition[[#This Row],[Age]]&gt;60,"60+",IF(HR_Employee_Attrition[[#This Row],[Age]]&gt;=50,"50-59",IF(HR_Employee_Attrition[[#This Row],[Age]]&gt;=40,"40-49",IF(HR_Employee_Attrition[[#This Row],[Age]]&gt;=30,"30-39",IF(HR_Employee_Attrition[[#This Row],[Age]]&gt;=20,"20-29",IF(HR_Employee_Attrition[[#This Row],[Age]]&gt;=18,"18-20"))))))</f>
        <v>40-49</v>
      </c>
      <c r="AK812" t="str" cm="1">
        <f t="array" ref="AK812">_xlfn.IFS(HR_Employee_Attrition[[#This Row],[YearsAtCompany]]&lt;=2,"0-2",HR_Employee_Attrition[[#This Row],[YearsAtCompany]]&lt;=5,"3-5",HR_Employee_Attrition[[#This Row],[YearsAtCompany]]&lt;=10,"6-10",HR_Employee_Attrition[[#This Row],[YearsAtCompany]]&gt;10,"10+")</f>
        <v>10+</v>
      </c>
      <c r="AL812" t="str" cm="1">
        <f t="array" ref="AL8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812">
        <f>IF(HR_Employee_Attrition[[#This Row],[Attrition]]="Yes",1,0)</f>
        <v>0</v>
      </c>
    </row>
    <row r="813" spans="1:39"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IF(HR_Employee_Attrition[[#This Row],[Age]]&gt;60,"60+",IF(HR_Employee_Attrition[[#This Row],[Age]]&gt;=50,"50-59",IF(HR_Employee_Attrition[[#This Row],[Age]]&gt;=40,"40-49",IF(HR_Employee_Attrition[[#This Row],[Age]]&gt;=30,"30-39",IF(HR_Employee_Attrition[[#This Row],[Age]]&gt;=20,"20-29",IF(HR_Employee_Attrition[[#This Row],[Age]]&gt;=18,"18-20"))))))</f>
        <v>30-39</v>
      </c>
      <c r="AK813" t="str" cm="1">
        <f t="array" ref="AK813">_xlfn.IFS(HR_Employee_Attrition[[#This Row],[YearsAtCompany]]&lt;=2,"0-2",HR_Employee_Attrition[[#This Row],[YearsAtCompany]]&lt;=5,"3-5",HR_Employee_Attrition[[#This Row],[YearsAtCompany]]&lt;=10,"6-10",HR_Employee_Attrition[[#This Row],[YearsAtCompany]]&gt;10,"10+")</f>
        <v>0-2</v>
      </c>
      <c r="AL813" t="str" cm="1">
        <f t="array" ref="AL8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13">
        <f>IF(HR_Employee_Attrition[[#This Row],[Attrition]]="Yes",1,0)</f>
        <v>0</v>
      </c>
    </row>
    <row r="814" spans="1:39"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IF(HR_Employee_Attrition[[#This Row],[Age]]&gt;60,"60+",IF(HR_Employee_Attrition[[#This Row],[Age]]&gt;=50,"50-59",IF(HR_Employee_Attrition[[#This Row],[Age]]&gt;=40,"40-49",IF(HR_Employee_Attrition[[#This Row],[Age]]&gt;=30,"30-39",IF(HR_Employee_Attrition[[#This Row],[Age]]&gt;=20,"20-29",IF(HR_Employee_Attrition[[#This Row],[Age]]&gt;=18,"18-20"))))))</f>
        <v>40-49</v>
      </c>
      <c r="AK814" t="str" cm="1">
        <f t="array" ref="AK814">_xlfn.IFS(HR_Employee_Attrition[[#This Row],[YearsAtCompany]]&lt;=2,"0-2",HR_Employee_Attrition[[#This Row],[YearsAtCompany]]&lt;=5,"3-5",HR_Employee_Attrition[[#This Row],[YearsAtCompany]]&lt;=10,"6-10",HR_Employee_Attrition[[#This Row],[YearsAtCompany]]&gt;10,"10+")</f>
        <v>6-10</v>
      </c>
      <c r="AL814" t="str" cm="1">
        <f t="array" ref="AL8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814">
        <f>IF(HR_Employee_Attrition[[#This Row],[Attrition]]="Yes",1,0)</f>
        <v>0</v>
      </c>
    </row>
    <row r="815" spans="1:39"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IF(HR_Employee_Attrition[[#This Row],[Age]]&gt;60,"60+",IF(HR_Employee_Attrition[[#This Row],[Age]]&gt;=50,"50-59",IF(HR_Employee_Attrition[[#This Row],[Age]]&gt;=40,"40-49",IF(HR_Employee_Attrition[[#This Row],[Age]]&gt;=30,"30-39",IF(HR_Employee_Attrition[[#This Row],[Age]]&gt;=20,"20-29",IF(HR_Employee_Attrition[[#This Row],[Age]]&gt;=18,"18-20"))))))</f>
        <v>30-39</v>
      </c>
      <c r="AK815" t="str" cm="1">
        <f t="array" ref="AK815">_xlfn.IFS(HR_Employee_Attrition[[#This Row],[YearsAtCompany]]&lt;=2,"0-2",HR_Employee_Attrition[[#This Row],[YearsAtCompany]]&lt;=5,"3-5",HR_Employee_Attrition[[#This Row],[YearsAtCompany]]&lt;=10,"6-10",HR_Employee_Attrition[[#This Row],[YearsAtCompany]]&gt;10,"10+")</f>
        <v>10+</v>
      </c>
      <c r="AL815" t="str" cm="1">
        <f t="array" ref="AL8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815">
        <f>IF(HR_Employee_Attrition[[#This Row],[Attrition]]="Yes",1,0)</f>
        <v>1</v>
      </c>
    </row>
    <row r="816" spans="1:39"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IF(HR_Employee_Attrition[[#This Row],[Age]]&gt;60,"60+",IF(HR_Employee_Attrition[[#This Row],[Age]]&gt;=50,"50-59",IF(HR_Employee_Attrition[[#This Row],[Age]]&gt;=40,"40-49",IF(HR_Employee_Attrition[[#This Row],[Age]]&gt;=30,"30-39",IF(HR_Employee_Attrition[[#This Row],[Age]]&gt;=20,"20-29",IF(HR_Employee_Attrition[[#This Row],[Age]]&gt;=18,"18-20"))))))</f>
        <v>40-49</v>
      </c>
      <c r="AK816" t="str" cm="1">
        <f t="array" ref="AK816">_xlfn.IFS(HR_Employee_Attrition[[#This Row],[YearsAtCompany]]&lt;=2,"0-2",HR_Employee_Attrition[[#This Row],[YearsAtCompany]]&lt;=5,"3-5",HR_Employee_Attrition[[#This Row],[YearsAtCompany]]&lt;=10,"6-10",HR_Employee_Attrition[[#This Row],[YearsAtCompany]]&gt;10,"10+")</f>
        <v>10+</v>
      </c>
      <c r="AL816" t="str" cm="1">
        <f t="array" ref="AL8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816">
        <f>IF(HR_Employee_Attrition[[#This Row],[Attrition]]="Yes",1,0)</f>
        <v>0</v>
      </c>
    </row>
    <row r="817" spans="1:39"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IF(HR_Employee_Attrition[[#This Row],[Age]]&gt;60,"60+",IF(HR_Employee_Attrition[[#This Row],[Age]]&gt;=50,"50-59",IF(HR_Employee_Attrition[[#This Row],[Age]]&gt;=40,"40-49",IF(HR_Employee_Attrition[[#This Row],[Age]]&gt;=30,"30-39",IF(HR_Employee_Attrition[[#This Row],[Age]]&gt;=20,"20-29",IF(HR_Employee_Attrition[[#This Row],[Age]]&gt;=18,"18-20"))))))</f>
        <v>20-29</v>
      </c>
      <c r="AK817" t="str" cm="1">
        <f t="array" ref="AK817">_xlfn.IFS(HR_Employee_Attrition[[#This Row],[YearsAtCompany]]&lt;=2,"0-2",HR_Employee_Attrition[[#This Row],[YearsAtCompany]]&lt;=5,"3-5",HR_Employee_Attrition[[#This Row],[YearsAtCompany]]&lt;=10,"6-10",HR_Employee_Attrition[[#This Row],[YearsAtCompany]]&gt;10,"10+")</f>
        <v>0-2</v>
      </c>
      <c r="AL817" t="str" cm="1">
        <f t="array" ref="AL8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17">
        <f>IF(HR_Employee_Attrition[[#This Row],[Attrition]]="Yes",1,0)</f>
        <v>0</v>
      </c>
    </row>
    <row r="818" spans="1:39"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IF(HR_Employee_Attrition[[#This Row],[Age]]&gt;60,"60+",IF(HR_Employee_Attrition[[#This Row],[Age]]&gt;=50,"50-59",IF(HR_Employee_Attrition[[#This Row],[Age]]&gt;=40,"40-49",IF(HR_Employee_Attrition[[#This Row],[Age]]&gt;=30,"30-39",IF(HR_Employee_Attrition[[#This Row],[Age]]&gt;=20,"20-29",IF(HR_Employee_Attrition[[#This Row],[Age]]&gt;=18,"18-20"))))))</f>
        <v>30-39</v>
      </c>
      <c r="AK818" t="str" cm="1">
        <f t="array" ref="AK818">_xlfn.IFS(HR_Employee_Attrition[[#This Row],[YearsAtCompany]]&lt;=2,"0-2",HR_Employee_Attrition[[#This Row],[YearsAtCompany]]&lt;=5,"3-5",HR_Employee_Attrition[[#This Row],[YearsAtCompany]]&lt;=10,"6-10",HR_Employee_Attrition[[#This Row],[YearsAtCompany]]&gt;10,"10+")</f>
        <v>3-5</v>
      </c>
      <c r="AL818" t="str" cm="1">
        <f t="array" ref="AL8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18">
        <f>IF(HR_Employee_Attrition[[#This Row],[Attrition]]="Yes",1,0)</f>
        <v>0</v>
      </c>
    </row>
    <row r="819" spans="1:39"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IF(HR_Employee_Attrition[[#This Row],[Age]]&gt;60,"60+",IF(HR_Employee_Attrition[[#This Row],[Age]]&gt;=50,"50-59",IF(HR_Employee_Attrition[[#This Row],[Age]]&gt;=40,"40-49",IF(HR_Employee_Attrition[[#This Row],[Age]]&gt;=30,"30-39",IF(HR_Employee_Attrition[[#This Row],[Age]]&gt;=20,"20-29",IF(HR_Employee_Attrition[[#This Row],[Age]]&gt;=18,"18-20"))))))</f>
        <v>30-39</v>
      </c>
      <c r="AK819" t="str" cm="1">
        <f t="array" ref="AK819">_xlfn.IFS(HR_Employee_Attrition[[#This Row],[YearsAtCompany]]&lt;=2,"0-2",HR_Employee_Attrition[[#This Row],[YearsAtCompany]]&lt;=5,"3-5",HR_Employee_Attrition[[#This Row],[YearsAtCompany]]&lt;=10,"6-10",HR_Employee_Attrition[[#This Row],[YearsAtCompany]]&gt;10,"10+")</f>
        <v>10+</v>
      </c>
      <c r="AL819" t="str" cm="1">
        <f t="array" ref="AL8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19">
        <f>IF(HR_Employee_Attrition[[#This Row],[Attrition]]="Yes",1,0)</f>
        <v>0</v>
      </c>
    </row>
    <row r="820" spans="1:39"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IF(HR_Employee_Attrition[[#This Row],[Age]]&gt;60,"60+",IF(HR_Employee_Attrition[[#This Row],[Age]]&gt;=50,"50-59",IF(HR_Employee_Attrition[[#This Row],[Age]]&gt;=40,"40-49",IF(HR_Employee_Attrition[[#This Row],[Age]]&gt;=30,"30-39",IF(HR_Employee_Attrition[[#This Row],[Age]]&gt;=20,"20-29",IF(HR_Employee_Attrition[[#This Row],[Age]]&gt;=18,"18-20"))))))</f>
        <v>30-39</v>
      </c>
      <c r="AK820" t="str" cm="1">
        <f t="array" ref="AK820">_xlfn.IFS(HR_Employee_Attrition[[#This Row],[YearsAtCompany]]&lt;=2,"0-2",HR_Employee_Attrition[[#This Row],[YearsAtCompany]]&lt;=5,"3-5",HR_Employee_Attrition[[#This Row],[YearsAtCompany]]&lt;=10,"6-10",HR_Employee_Attrition[[#This Row],[YearsAtCompany]]&gt;10,"10+")</f>
        <v>0-2</v>
      </c>
      <c r="AL820" t="str" cm="1">
        <f t="array" ref="AL8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20">
        <f>IF(HR_Employee_Attrition[[#This Row],[Attrition]]="Yes",1,0)</f>
        <v>0</v>
      </c>
    </row>
    <row r="821" spans="1:39"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IF(HR_Employee_Attrition[[#This Row],[Age]]&gt;60,"60+",IF(HR_Employee_Attrition[[#This Row],[Age]]&gt;=50,"50-59",IF(HR_Employee_Attrition[[#This Row],[Age]]&gt;=40,"40-49",IF(HR_Employee_Attrition[[#This Row],[Age]]&gt;=30,"30-39",IF(HR_Employee_Attrition[[#This Row],[Age]]&gt;=20,"20-29",IF(HR_Employee_Attrition[[#This Row],[Age]]&gt;=18,"18-20"))))))</f>
        <v>20-29</v>
      </c>
      <c r="AK821" t="str" cm="1">
        <f t="array" ref="AK821">_xlfn.IFS(HR_Employee_Attrition[[#This Row],[YearsAtCompany]]&lt;=2,"0-2",HR_Employee_Attrition[[#This Row],[YearsAtCompany]]&lt;=5,"3-5",HR_Employee_Attrition[[#This Row],[YearsAtCompany]]&lt;=10,"6-10",HR_Employee_Attrition[[#This Row],[YearsAtCompany]]&gt;10,"10+")</f>
        <v>3-5</v>
      </c>
      <c r="AL821" t="str" cm="1">
        <f t="array" ref="AL8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21">
        <f>IF(HR_Employee_Attrition[[#This Row],[Attrition]]="Yes",1,0)</f>
        <v>0</v>
      </c>
    </row>
    <row r="822" spans="1:39"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IF(HR_Employee_Attrition[[#This Row],[Age]]&gt;60,"60+",IF(HR_Employee_Attrition[[#This Row],[Age]]&gt;=50,"50-59",IF(HR_Employee_Attrition[[#This Row],[Age]]&gt;=40,"40-49",IF(HR_Employee_Attrition[[#This Row],[Age]]&gt;=30,"30-39",IF(HR_Employee_Attrition[[#This Row],[Age]]&gt;=20,"20-29",IF(HR_Employee_Attrition[[#This Row],[Age]]&gt;=18,"18-20"))))))</f>
        <v>30-39</v>
      </c>
      <c r="AK822" t="str" cm="1">
        <f t="array" ref="AK822">_xlfn.IFS(HR_Employee_Attrition[[#This Row],[YearsAtCompany]]&lt;=2,"0-2",HR_Employee_Attrition[[#This Row],[YearsAtCompany]]&lt;=5,"3-5",HR_Employee_Attrition[[#This Row],[YearsAtCompany]]&lt;=10,"6-10",HR_Employee_Attrition[[#This Row],[YearsAtCompany]]&gt;10,"10+")</f>
        <v>3-5</v>
      </c>
      <c r="AL822" t="str" cm="1">
        <f t="array" ref="AL8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22">
        <f>IF(HR_Employee_Attrition[[#This Row],[Attrition]]="Yes",1,0)</f>
        <v>0</v>
      </c>
    </row>
    <row r="823" spans="1:39"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IF(HR_Employee_Attrition[[#This Row],[Age]]&gt;60,"60+",IF(HR_Employee_Attrition[[#This Row],[Age]]&gt;=50,"50-59",IF(HR_Employee_Attrition[[#This Row],[Age]]&gt;=40,"40-49",IF(HR_Employee_Attrition[[#This Row],[Age]]&gt;=30,"30-39",IF(HR_Employee_Attrition[[#This Row],[Age]]&gt;=20,"20-29",IF(HR_Employee_Attrition[[#This Row],[Age]]&gt;=18,"18-20"))))))</f>
        <v>40-49</v>
      </c>
      <c r="AK823" t="str" cm="1">
        <f t="array" ref="AK823">_xlfn.IFS(HR_Employee_Attrition[[#This Row],[YearsAtCompany]]&lt;=2,"0-2",HR_Employee_Attrition[[#This Row],[YearsAtCompany]]&lt;=5,"3-5",HR_Employee_Attrition[[#This Row],[YearsAtCompany]]&lt;=10,"6-10",HR_Employee_Attrition[[#This Row],[YearsAtCompany]]&gt;10,"10+")</f>
        <v>6-10</v>
      </c>
      <c r="AL823" t="str" cm="1">
        <f t="array" ref="AL8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823">
        <f>IF(HR_Employee_Attrition[[#This Row],[Attrition]]="Yes",1,0)</f>
        <v>0</v>
      </c>
    </row>
    <row r="824" spans="1:39"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IF(HR_Employee_Attrition[[#This Row],[Age]]&gt;60,"60+",IF(HR_Employee_Attrition[[#This Row],[Age]]&gt;=50,"50-59",IF(HR_Employee_Attrition[[#This Row],[Age]]&gt;=40,"40-49",IF(HR_Employee_Attrition[[#This Row],[Age]]&gt;=30,"30-39",IF(HR_Employee_Attrition[[#This Row],[Age]]&gt;=20,"20-29",IF(HR_Employee_Attrition[[#This Row],[Age]]&gt;=18,"18-20"))))))</f>
        <v>30-39</v>
      </c>
      <c r="AK824" t="str" cm="1">
        <f t="array" ref="AK824">_xlfn.IFS(HR_Employee_Attrition[[#This Row],[YearsAtCompany]]&lt;=2,"0-2",HR_Employee_Attrition[[#This Row],[YearsAtCompany]]&lt;=5,"3-5",HR_Employee_Attrition[[#This Row],[YearsAtCompany]]&lt;=10,"6-10",HR_Employee_Attrition[[#This Row],[YearsAtCompany]]&gt;10,"10+")</f>
        <v>3-5</v>
      </c>
      <c r="AL824" t="str" cm="1">
        <f t="array" ref="AL8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24">
        <f>IF(HR_Employee_Attrition[[#This Row],[Attrition]]="Yes",1,0)</f>
        <v>0</v>
      </c>
    </row>
    <row r="825" spans="1:39"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IF(HR_Employee_Attrition[[#This Row],[Age]]&gt;60,"60+",IF(HR_Employee_Attrition[[#This Row],[Age]]&gt;=50,"50-59",IF(HR_Employee_Attrition[[#This Row],[Age]]&gt;=40,"40-49",IF(HR_Employee_Attrition[[#This Row],[Age]]&gt;=30,"30-39",IF(HR_Employee_Attrition[[#This Row],[Age]]&gt;=20,"20-29",IF(HR_Employee_Attrition[[#This Row],[Age]]&gt;=18,"18-20"))))))</f>
        <v>20-29</v>
      </c>
      <c r="AK825" t="str" cm="1">
        <f t="array" ref="AK825">_xlfn.IFS(HR_Employee_Attrition[[#This Row],[YearsAtCompany]]&lt;=2,"0-2",HR_Employee_Attrition[[#This Row],[YearsAtCompany]]&lt;=5,"3-5",HR_Employee_Attrition[[#This Row],[YearsAtCompany]]&lt;=10,"6-10",HR_Employee_Attrition[[#This Row],[YearsAtCompany]]&gt;10,"10+")</f>
        <v>6-10</v>
      </c>
      <c r="AL825" t="str" cm="1">
        <f t="array" ref="AL8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25">
        <f>IF(HR_Employee_Attrition[[#This Row],[Attrition]]="Yes",1,0)</f>
        <v>0</v>
      </c>
    </row>
    <row r="826" spans="1:39"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IF(HR_Employee_Attrition[[#This Row],[Age]]&gt;60,"60+",IF(HR_Employee_Attrition[[#This Row],[Age]]&gt;=50,"50-59",IF(HR_Employee_Attrition[[#This Row],[Age]]&gt;=40,"40-49",IF(HR_Employee_Attrition[[#This Row],[Age]]&gt;=30,"30-39",IF(HR_Employee_Attrition[[#This Row],[Age]]&gt;=20,"20-29",IF(HR_Employee_Attrition[[#This Row],[Age]]&gt;=18,"18-20"))))))</f>
        <v>40-49</v>
      </c>
      <c r="AK826" t="str" cm="1">
        <f t="array" ref="AK826">_xlfn.IFS(HR_Employee_Attrition[[#This Row],[YearsAtCompany]]&lt;=2,"0-2",HR_Employee_Attrition[[#This Row],[YearsAtCompany]]&lt;=5,"3-5",HR_Employee_Attrition[[#This Row],[YearsAtCompany]]&lt;=10,"6-10",HR_Employee_Attrition[[#This Row],[YearsAtCompany]]&gt;10,"10+")</f>
        <v>0-2</v>
      </c>
      <c r="AL826" t="str" cm="1">
        <f t="array" ref="AL8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26">
        <f>IF(HR_Employee_Attrition[[#This Row],[Attrition]]="Yes",1,0)</f>
        <v>0</v>
      </c>
    </row>
    <row r="827" spans="1:39"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IF(HR_Employee_Attrition[[#This Row],[Age]]&gt;60,"60+",IF(HR_Employee_Attrition[[#This Row],[Age]]&gt;=50,"50-59",IF(HR_Employee_Attrition[[#This Row],[Age]]&gt;=40,"40-49",IF(HR_Employee_Attrition[[#This Row],[Age]]&gt;=30,"30-39",IF(HR_Employee_Attrition[[#This Row],[Age]]&gt;=20,"20-29",IF(HR_Employee_Attrition[[#This Row],[Age]]&gt;=18,"18-20"))))))</f>
        <v>20-29</v>
      </c>
      <c r="AK827" t="str" cm="1">
        <f t="array" ref="AK827">_xlfn.IFS(HR_Employee_Attrition[[#This Row],[YearsAtCompany]]&lt;=2,"0-2",HR_Employee_Attrition[[#This Row],[YearsAtCompany]]&lt;=5,"3-5",HR_Employee_Attrition[[#This Row],[YearsAtCompany]]&lt;=10,"6-10",HR_Employee_Attrition[[#This Row],[YearsAtCompany]]&gt;10,"10+")</f>
        <v>6-10</v>
      </c>
      <c r="AL827" t="str" cm="1">
        <f t="array" ref="AL8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27">
        <f>IF(HR_Employee_Attrition[[#This Row],[Attrition]]="Yes",1,0)</f>
        <v>0</v>
      </c>
    </row>
    <row r="828" spans="1:39"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IF(HR_Employee_Attrition[[#This Row],[Age]]&gt;60,"60+",IF(HR_Employee_Attrition[[#This Row],[Age]]&gt;=50,"50-59",IF(HR_Employee_Attrition[[#This Row],[Age]]&gt;=40,"40-49",IF(HR_Employee_Attrition[[#This Row],[Age]]&gt;=30,"30-39",IF(HR_Employee_Attrition[[#This Row],[Age]]&gt;=20,"20-29",IF(HR_Employee_Attrition[[#This Row],[Age]]&gt;=18,"18-20"))))))</f>
        <v>30-39</v>
      </c>
      <c r="AK828" t="str" cm="1">
        <f t="array" ref="AK828">_xlfn.IFS(HR_Employee_Attrition[[#This Row],[YearsAtCompany]]&lt;=2,"0-2",HR_Employee_Attrition[[#This Row],[YearsAtCompany]]&lt;=5,"3-5",HR_Employee_Attrition[[#This Row],[YearsAtCompany]]&lt;=10,"6-10",HR_Employee_Attrition[[#This Row],[YearsAtCompany]]&gt;10,"10+")</f>
        <v>6-10</v>
      </c>
      <c r="AL828" t="str" cm="1">
        <f t="array" ref="AL8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28">
        <f>IF(HR_Employee_Attrition[[#This Row],[Attrition]]="Yes",1,0)</f>
        <v>0</v>
      </c>
    </row>
    <row r="829" spans="1:39"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IF(HR_Employee_Attrition[[#This Row],[Age]]&gt;60,"60+",IF(HR_Employee_Attrition[[#This Row],[Age]]&gt;=50,"50-59",IF(HR_Employee_Attrition[[#This Row],[Age]]&gt;=40,"40-49",IF(HR_Employee_Attrition[[#This Row],[Age]]&gt;=30,"30-39",IF(HR_Employee_Attrition[[#This Row],[Age]]&gt;=20,"20-29",IF(HR_Employee_Attrition[[#This Row],[Age]]&gt;=18,"18-20"))))))</f>
        <v>20-29</v>
      </c>
      <c r="AK829" t="str" cm="1">
        <f t="array" ref="AK829">_xlfn.IFS(HR_Employee_Attrition[[#This Row],[YearsAtCompany]]&lt;=2,"0-2",HR_Employee_Attrition[[#This Row],[YearsAtCompany]]&lt;=5,"3-5",HR_Employee_Attrition[[#This Row],[YearsAtCompany]]&lt;=10,"6-10",HR_Employee_Attrition[[#This Row],[YearsAtCompany]]&gt;10,"10+")</f>
        <v>3-5</v>
      </c>
      <c r="AL829" t="str" cm="1">
        <f t="array" ref="AL8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29">
        <f>IF(HR_Employee_Attrition[[#This Row],[Attrition]]="Yes",1,0)</f>
        <v>0</v>
      </c>
    </row>
    <row r="830" spans="1:39"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IF(HR_Employee_Attrition[[#This Row],[Age]]&gt;60,"60+",IF(HR_Employee_Attrition[[#This Row],[Age]]&gt;=50,"50-59",IF(HR_Employee_Attrition[[#This Row],[Age]]&gt;=40,"40-49",IF(HR_Employee_Attrition[[#This Row],[Age]]&gt;=30,"30-39",IF(HR_Employee_Attrition[[#This Row],[Age]]&gt;=20,"20-29",IF(HR_Employee_Attrition[[#This Row],[Age]]&gt;=18,"18-20"))))))</f>
        <v>18-20</v>
      </c>
      <c r="AK830" t="str" cm="1">
        <f t="array" ref="AK830">_xlfn.IFS(HR_Employee_Attrition[[#This Row],[YearsAtCompany]]&lt;=2,"0-2",HR_Employee_Attrition[[#This Row],[YearsAtCompany]]&lt;=5,"3-5",HR_Employee_Attrition[[#This Row],[YearsAtCompany]]&lt;=10,"6-10",HR_Employee_Attrition[[#This Row],[YearsAtCompany]]&gt;10,"10+")</f>
        <v>0-2</v>
      </c>
      <c r="AL830" t="str" cm="1">
        <f t="array" ref="AL8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30">
        <f>IF(HR_Employee_Attrition[[#This Row],[Attrition]]="Yes",1,0)</f>
        <v>1</v>
      </c>
    </row>
    <row r="831" spans="1:39"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IF(HR_Employee_Attrition[[#This Row],[Age]]&gt;60,"60+",IF(HR_Employee_Attrition[[#This Row],[Age]]&gt;=50,"50-59",IF(HR_Employee_Attrition[[#This Row],[Age]]&gt;=40,"40-49",IF(HR_Employee_Attrition[[#This Row],[Age]]&gt;=30,"30-39",IF(HR_Employee_Attrition[[#This Row],[Age]]&gt;=20,"20-29",IF(HR_Employee_Attrition[[#This Row],[Age]]&gt;=18,"18-20"))))))</f>
        <v>30-39</v>
      </c>
      <c r="AK831" t="str" cm="1">
        <f t="array" ref="AK831">_xlfn.IFS(HR_Employee_Attrition[[#This Row],[YearsAtCompany]]&lt;=2,"0-2",HR_Employee_Attrition[[#This Row],[YearsAtCompany]]&lt;=5,"3-5",HR_Employee_Attrition[[#This Row],[YearsAtCompany]]&lt;=10,"6-10",HR_Employee_Attrition[[#This Row],[YearsAtCompany]]&gt;10,"10+")</f>
        <v>3-5</v>
      </c>
      <c r="AL831" t="str" cm="1">
        <f t="array" ref="AL8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31">
        <f>IF(HR_Employee_Attrition[[#This Row],[Attrition]]="Yes",1,0)</f>
        <v>1</v>
      </c>
    </row>
    <row r="832" spans="1:39"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IF(HR_Employee_Attrition[[#This Row],[Age]]&gt;60,"60+",IF(HR_Employee_Attrition[[#This Row],[Age]]&gt;=50,"50-59",IF(HR_Employee_Attrition[[#This Row],[Age]]&gt;=40,"40-49",IF(HR_Employee_Attrition[[#This Row],[Age]]&gt;=30,"30-39",IF(HR_Employee_Attrition[[#This Row],[Age]]&gt;=20,"20-29",IF(HR_Employee_Attrition[[#This Row],[Age]]&gt;=18,"18-20"))))))</f>
        <v>40-49</v>
      </c>
      <c r="AK832" t="str" cm="1">
        <f t="array" ref="AK832">_xlfn.IFS(HR_Employee_Attrition[[#This Row],[YearsAtCompany]]&lt;=2,"0-2",HR_Employee_Attrition[[#This Row],[YearsAtCompany]]&lt;=5,"3-5",HR_Employee_Attrition[[#This Row],[YearsAtCompany]]&lt;=10,"6-10",HR_Employee_Attrition[[#This Row],[YearsAtCompany]]&gt;10,"10+")</f>
        <v>0-2</v>
      </c>
      <c r="AL832" t="str" cm="1">
        <f t="array" ref="AL8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32">
        <f>IF(HR_Employee_Attrition[[#This Row],[Attrition]]="Yes",1,0)</f>
        <v>0</v>
      </c>
    </row>
    <row r="833" spans="1:39"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IF(HR_Employee_Attrition[[#This Row],[Age]]&gt;60,"60+",IF(HR_Employee_Attrition[[#This Row],[Age]]&gt;=50,"50-59",IF(HR_Employee_Attrition[[#This Row],[Age]]&gt;=40,"40-49",IF(HR_Employee_Attrition[[#This Row],[Age]]&gt;=30,"30-39",IF(HR_Employee_Attrition[[#This Row],[Age]]&gt;=20,"20-29",IF(HR_Employee_Attrition[[#This Row],[Age]]&gt;=18,"18-20"))))))</f>
        <v>30-39</v>
      </c>
      <c r="AK833" t="str" cm="1">
        <f t="array" ref="AK833">_xlfn.IFS(HR_Employee_Attrition[[#This Row],[YearsAtCompany]]&lt;=2,"0-2",HR_Employee_Attrition[[#This Row],[YearsAtCompany]]&lt;=5,"3-5",HR_Employee_Attrition[[#This Row],[YearsAtCompany]]&lt;=10,"6-10",HR_Employee_Attrition[[#This Row],[YearsAtCompany]]&gt;10,"10+")</f>
        <v>0-2</v>
      </c>
      <c r="AL833" t="str" cm="1">
        <f t="array" ref="AL8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33">
        <f>IF(HR_Employee_Attrition[[#This Row],[Attrition]]="Yes",1,0)</f>
        <v>1</v>
      </c>
    </row>
    <row r="834" spans="1:39"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IF(HR_Employee_Attrition[[#This Row],[Age]]&gt;60,"60+",IF(HR_Employee_Attrition[[#This Row],[Age]]&gt;=50,"50-59",IF(HR_Employee_Attrition[[#This Row],[Age]]&gt;=40,"40-49",IF(HR_Employee_Attrition[[#This Row],[Age]]&gt;=30,"30-39",IF(HR_Employee_Attrition[[#This Row],[Age]]&gt;=20,"20-29",IF(HR_Employee_Attrition[[#This Row],[Age]]&gt;=18,"18-20"))))))</f>
        <v>30-39</v>
      </c>
      <c r="AK834" t="str" cm="1">
        <f t="array" ref="AK834">_xlfn.IFS(HR_Employee_Attrition[[#This Row],[YearsAtCompany]]&lt;=2,"0-2",HR_Employee_Attrition[[#This Row],[YearsAtCompany]]&lt;=5,"3-5",HR_Employee_Attrition[[#This Row],[YearsAtCompany]]&lt;=10,"6-10",HR_Employee_Attrition[[#This Row],[YearsAtCompany]]&gt;10,"10+")</f>
        <v>6-10</v>
      </c>
      <c r="AL834" t="str" cm="1">
        <f t="array" ref="AL8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34">
        <f>IF(HR_Employee_Attrition[[#This Row],[Attrition]]="Yes",1,0)</f>
        <v>0</v>
      </c>
    </row>
    <row r="835" spans="1:39"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IF(HR_Employee_Attrition[[#This Row],[Age]]&gt;60,"60+",IF(HR_Employee_Attrition[[#This Row],[Age]]&gt;=50,"50-59",IF(HR_Employee_Attrition[[#This Row],[Age]]&gt;=40,"40-49",IF(HR_Employee_Attrition[[#This Row],[Age]]&gt;=30,"30-39",IF(HR_Employee_Attrition[[#This Row],[Age]]&gt;=20,"20-29",IF(HR_Employee_Attrition[[#This Row],[Age]]&gt;=18,"18-20"))))))</f>
        <v>20-29</v>
      </c>
      <c r="AK835" t="str" cm="1">
        <f t="array" ref="AK835">_xlfn.IFS(HR_Employee_Attrition[[#This Row],[YearsAtCompany]]&lt;=2,"0-2",HR_Employee_Attrition[[#This Row],[YearsAtCompany]]&lt;=5,"3-5",HR_Employee_Attrition[[#This Row],[YearsAtCompany]]&lt;=10,"6-10",HR_Employee_Attrition[[#This Row],[YearsAtCompany]]&gt;10,"10+")</f>
        <v>3-5</v>
      </c>
      <c r="AL835" t="str" cm="1">
        <f t="array" ref="AL8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35">
        <f>IF(HR_Employee_Attrition[[#This Row],[Attrition]]="Yes",1,0)</f>
        <v>0</v>
      </c>
    </row>
    <row r="836" spans="1:39"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IF(HR_Employee_Attrition[[#This Row],[Age]]&gt;60,"60+",IF(HR_Employee_Attrition[[#This Row],[Age]]&gt;=50,"50-59",IF(HR_Employee_Attrition[[#This Row],[Age]]&gt;=40,"40-49",IF(HR_Employee_Attrition[[#This Row],[Age]]&gt;=30,"30-39",IF(HR_Employee_Attrition[[#This Row],[Age]]&gt;=20,"20-29",IF(HR_Employee_Attrition[[#This Row],[Age]]&gt;=18,"18-20"))))))</f>
        <v>30-39</v>
      </c>
      <c r="AK836" t="str" cm="1">
        <f t="array" ref="AK836">_xlfn.IFS(HR_Employee_Attrition[[#This Row],[YearsAtCompany]]&lt;=2,"0-2",HR_Employee_Attrition[[#This Row],[YearsAtCompany]]&lt;=5,"3-5",HR_Employee_Attrition[[#This Row],[YearsAtCompany]]&lt;=10,"6-10",HR_Employee_Attrition[[#This Row],[YearsAtCompany]]&gt;10,"10+")</f>
        <v>6-10</v>
      </c>
      <c r="AL836" t="str" cm="1">
        <f t="array" ref="AL8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36">
        <f>IF(HR_Employee_Attrition[[#This Row],[Attrition]]="Yes",1,0)</f>
        <v>0</v>
      </c>
    </row>
    <row r="837" spans="1:39"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IF(HR_Employee_Attrition[[#This Row],[Age]]&gt;60,"60+",IF(HR_Employee_Attrition[[#This Row],[Age]]&gt;=50,"50-59",IF(HR_Employee_Attrition[[#This Row],[Age]]&gt;=40,"40-49",IF(HR_Employee_Attrition[[#This Row],[Age]]&gt;=30,"30-39",IF(HR_Employee_Attrition[[#This Row],[Age]]&gt;=20,"20-29",IF(HR_Employee_Attrition[[#This Row],[Age]]&gt;=18,"18-20"))))))</f>
        <v>30-39</v>
      </c>
      <c r="AK837" t="str" cm="1">
        <f t="array" ref="AK837">_xlfn.IFS(HR_Employee_Attrition[[#This Row],[YearsAtCompany]]&lt;=2,"0-2",HR_Employee_Attrition[[#This Row],[YearsAtCompany]]&lt;=5,"3-5",HR_Employee_Attrition[[#This Row],[YearsAtCompany]]&lt;=10,"6-10",HR_Employee_Attrition[[#This Row],[YearsAtCompany]]&gt;10,"10+")</f>
        <v>3-5</v>
      </c>
      <c r="AL837" t="str" cm="1">
        <f t="array" ref="AL8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37">
        <f>IF(HR_Employee_Attrition[[#This Row],[Attrition]]="Yes",1,0)</f>
        <v>0</v>
      </c>
    </row>
    <row r="838" spans="1:39"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IF(HR_Employee_Attrition[[#This Row],[Age]]&gt;60,"60+",IF(HR_Employee_Attrition[[#This Row],[Age]]&gt;=50,"50-59",IF(HR_Employee_Attrition[[#This Row],[Age]]&gt;=40,"40-49",IF(HR_Employee_Attrition[[#This Row],[Age]]&gt;=30,"30-39",IF(HR_Employee_Attrition[[#This Row],[Age]]&gt;=20,"20-29",IF(HR_Employee_Attrition[[#This Row],[Age]]&gt;=18,"18-20"))))))</f>
        <v>20-29</v>
      </c>
      <c r="AK838" t="str" cm="1">
        <f t="array" ref="AK838">_xlfn.IFS(HR_Employee_Attrition[[#This Row],[YearsAtCompany]]&lt;=2,"0-2",HR_Employee_Attrition[[#This Row],[YearsAtCompany]]&lt;=5,"3-5",HR_Employee_Attrition[[#This Row],[YearsAtCompany]]&lt;=10,"6-10",HR_Employee_Attrition[[#This Row],[YearsAtCompany]]&gt;10,"10+")</f>
        <v>10+</v>
      </c>
      <c r="AL838" t="str" cm="1">
        <f t="array" ref="AL8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38">
        <f>IF(HR_Employee_Attrition[[#This Row],[Attrition]]="Yes",1,0)</f>
        <v>1</v>
      </c>
    </row>
    <row r="839" spans="1:39"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IF(HR_Employee_Attrition[[#This Row],[Age]]&gt;60,"60+",IF(HR_Employee_Attrition[[#This Row],[Age]]&gt;=50,"50-59",IF(HR_Employee_Attrition[[#This Row],[Age]]&gt;=40,"40-49",IF(HR_Employee_Attrition[[#This Row],[Age]]&gt;=30,"30-39",IF(HR_Employee_Attrition[[#This Row],[Age]]&gt;=20,"20-29",IF(HR_Employee_Attrition[[#This Row],[Age]]&gt;=18,"18-20"))))))</f>
        <v>40-49</v>
      </c>
      <c r="AK839" t="str" cm="1">
        <f t="array" ref="AK839">_xlfn.IFS(HR_Employee_Attrition[[#This Row],[YearsAtCompany]]&lt;=2,"0-2",HR_Employee_Attrition[[#This Row],[YearsAtCompany]]&lt;=5,"3-5",HR_Employee_Attrition[[#This Row],[YearsAtCompany]]&lt;=10,"6-10",HR_Employee_Attrition[[#This Row],[YearsAtCompany]]&gt;10,"10+")</f>
        <v>10+</v>
      </c>
      <c r="AL839" t="str" cm="1">
        <f t="array" ref="AL8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839">
        <f>IF(HR_Employee_Attrition[[#This Row],[Attrition]]="Yes",1,0)</f>
        <v>0</v>
      </c>
    </row>
    <row r="840" spans="1:39"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IF(HR_Employee_Attrition[[#This Row],[Age]]&gt;60,"60+",IF(HR_Employee_Attrition[[#This Row],[Age]]&gt;=50,"50-59",IF(HR_Employee_Attrition[[#This Row],[Age]]&gt;=40,"40-49",IF(HR_Employee_Attrition[[#This Row],[Age]]&gt;=30,"30-39",IF(HR_Employee_Attrition[[#This Row],[Age]]&gt;=20,"20-29",IF(HR_Employee_Attrition[[#This Row],[Age]]&gt;=18,"18-20"))))))</f>
        <v>40-49</v>
      </c>
      <c r="AK840" t="str" cm="1">
        <f t="array" ref="AK840">_xlfn.IFS(HR_Employee_Attrition[[#This Row],[YearsAtCompany]]&lt;=2,"0-2",HR_Employee_Attrition[[#This Row],[YearsAtCompany]]&lt;=5,"3-5",HR_Employee_Attrition[[#This Row],[YearsAtCompany]]&lt;=10,"6-10",HR_Employee_Attrition[[#This Row],[YearsAtCompany]]&gt;10,"10+")</f>
        <v>10+</v>
      </c>
      <c r="AL840" t="str" cm="1">
        <f t="array" ref="AL8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840">
        <f>IF(HR_Employee_Attrition[[#This Row],[Attrition]]="Yes",1,0)</f>
        <v>1</v>
      </c>
    </row>
    <row r="841" spans="1:39"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IF(HR_Employee_Attrition[[#This Row],[Age]]&gt;60,"60+",IF(HR_Employee_Attrition[[#This Row],[Age]]&gt;=50,"50-59",IF(HR_Employee_Attrition[[#This Row],[Age]]&gt;=40,"40-49",IF(HR_Employee_Attrition[[#This Row],[Age]]&gt;=30,"30-39",IF(HR_Employee_Attrition[[#This Row],[Age]]&gt;=20,"20-29",IF(HR_Employee_Attrition[[#This Row],[Age]]&gt;=18,"18-20"))))))</f>
        <v>40-49</v>
      </c>
      <c r="AK841" t="str" cm="1">
        <f t="array" ref="AK841">_xlfn.IFS(HR_Employee_Attrition[[#This Row],[YearsAtCompany]]&lt;=2,"0-2",HR_Employee_Attrition[[#This Row],[YearsAtCompany]]&lt;=5,"3-5",HR_Employee_Attrition[[#This Row],[YearsAtCompany]]&lt;=10,"6-10",HR_Employee_Attrition[[#This Row],[YearsAtCompany]]&gt;10,"10+")</f>
        <v>6-10</v>
      </c>
      <c r="AL841" t="str" cm="1">
        <f t="array" ref="AL8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41">
        <f>IF(HR_Employee_Attrition[[#This Row],[Attrition]]="Yes",1,0)</f>
        <v>0</v>
      </c>
    </row>
    <row r="842" spans="1:39"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IF(HR_Employee_Attrition[[#This Row],[Age]]&gt;60,"60+",IF(HR_Employee_Attrition[[#This Row],[Age]]&gt;=50,"50-59",IF(HR_Employee_Attrition[[#This Row],[Age]]&gt;=40,"40-49",IF(HR_Employee_Attrition[[#This Row],[Age]]&gt;=30,"30-39",IF(HR_Employee_Attrition[[#This Row],[Age]]&gt;=20,"20-29",IF(HR_Employee_Attrition[[#This Row],[Age]]&gt;=18,"18-20"))))))</f>
        <v>30-39</v>
      </c>
      <c r="AK842" t="str" cm="1">
        <f t="array" ref="AK842">_xlfn.IFS(HR_Employee_Attrition[[#This Row],[YearsAtCompany]]&lt;=2,"0-2",HR_Employee_Attrition[[#This Row],[YearsAtCompany]]&lt;=5,"3-5",HR_Employee_Attrition[[#This Row],[YearsAtCompany]]&lt;=10,"6-10",HR_Employee_Attrition[[#This Row],[YearsAtCompany]]&gt;10,"10+")</f>
        <v>6-10</v>
      </c>
      <c r="AL842" t="str" cm="1">
        <f t="array" ref="AL8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42">
        <f>IF(HR_Employee_Attrition[[#This Row],[Attrition]]="Yes",1,0)</f>
        <v>0</v>
      </c>
    </row>
    <row r="843" spans="1:39"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IF(HR_Employee_Attrition[[#This Row],[Age]]&gt;60,"60+",IF(HR_Employee_Attrition[[#This Row],[Age]]&gt;=50,"50-59",IF(HR_Employee_Attrition[[#This Row],[Age]]&gt;=40,"40-49",IF(HR_Employee_Attrition[[#This Row],[Age]]&gt;=30,"30-39",IF(HR_Employee_Attrition[[#This Row],[Age]]&gt;=20,"20-29",IF(HR_Employee_Attrition[[#This Row],[Age]]&gt;=18,"18-20"))))))</f>
        <v>20-29</v>
      </c>
      <c r="AK843" t="str" cm="1">
        <f t="array" ref="AK843">_xlfn.IFS(HR_Employee_Attrition[[#This Row],[YearsAtCompany]]&lt;=2,"0-2",HR_Employee_Attrition[[#This Row],[YearsAtCompany]]&lt;=5,"3-5",HR_Employee_Attrition[[#This Row],[YearsAtCompany]]&lt;=10,"6-10",HR_Employee_Attrition[[#This Row],[YearsAtCompany]]&gt;10,"10+")</f>
        <v>3-5</v>
      </c>
      <c r="AL843" t="str" cm="1">
        <f t="array" ref="AL8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43">
        <f>IF(HR_Employee_Attrition[[#This Row],[Attrition]]="Yes",1,0)</f>
        <v>0</v>
      </c>
    </row>
    <row r="844" spans="1:39"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IF(HR_Employee_Attrition[[#This Row],[Age]]&gt;60,"60+",IF(HR_Employee_Attrition[[#This Row],[Age]]&gt;=50,"50-59",IF(HR_Employee_Attrition[[#This Row],[Age]]&gt;=40,"40-49",IF(HR_Employee_Attrition[[#This Row],[Age]]&gt;=30,"30-39",IF(HR_Employee_Attrition[[#This Row],[Age]]&gt;=20,"20-29",IF(HR_Employee_Attrition[[#This Row],[Age]]&gt;=18,"18-20"))))))</f>
        <v>20-29</v>
      </c>
      <c r="AK844" t="str" cm="1">
        <f t="array" ref="AK844">_xlfn.IFS(HR_Employee_Attrition[[#This Row],[YearsAtCompany]]&lt;=2,"0-2",HR_Employee_Attrition[[#This Row],[YearsAtCompany]]&lt;=5,"3-5",HR_Employee_Attrition[[#This Row],[YearsAtCompany]]&lt;=10,"6-10",HR_Employee_Attrition[[#This Row],[YearsAtCompany]]&gt;10,"10+")</f>
        <v>0-2</v>
      </c>
      <c r="AL844" t="str" cm="1">
        <f t="array" ref="AL8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44">
        <f>IF(HR_Employee_Attrition[[#This Row],[Attrition]]="Yes",1,0)</f>
        <v>1</v>
      </c>
    </row>
    <row r="845" spans="1:39"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IF(HR_Employee_Attrition[[#This Row],[Age]]&gt;60,"60+",IF(HR_Employee_Attrition[[#This Row],[Age]]&gt;=50,"50-59",IF(HR_Employee_Attrition[[#This Row],[Age]]&gt;=40,"40-49",IF(HR_Employee_Attrition[[#This Row],[Age]]&gt;=30,"30-39",IF(HR_Employee_Attrition[[#This Row],[Age]]&gt;=20,"20-29",IF(HR_Employee_Attrition[[#This Row],[Age]]&gt;=18,"18-20"))))))</f>
        <v>20-29</v>
      </c>
      <c r="AK845" t="str" cm="1">
        <f t="array" ref="AK845">_xlfn.IFS(HR_Employee_Attrition[[#This Row],[YearsAtCompany]]&lt;=2,"0-2",HR_Employee_Attrition[[#This Row],[YearsAtCompany]]&lt;=5,"3-5",HR_Employee_Attrition[[#This Row],[YearsAtCompany]]&lt;=10,"6-10",HR_Employee_Attrition[[#This Row],[YearsAtCompany]]&gt;10,"10+")</f>
        <v>6-10</v>
      </c>
      <c r="AL845" t="str" cm="1">
        <f t="array" ref="AL8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45">
        <f>IF(HR_Employee_Attrition[[#This Row],[Attrition]]="Yes",1,0)</f>
        <v>0</v>
      </c>
    </row>
    <row r="846" spans="1:39"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IF(HR_Employee_Attrition[[#This Row],[Age]]&gt;60,"60+",IF(HR_Employee_Attrition[[#This Row],[Age]]&gt;=50,"50-59",IF(HR_Employee_Attrition[[#This Row],[Age]]&gt;=40,"40-49",IF(HR_Employee_Attrition[[#This Row],[Age]]&gt;=30,"30-39",IF(HR_Employee_Attrition[[#This Row],[Age]]&gt;=20,"20-29",IF(HR_Employee_Attrition[[#This Row],[Age]]&gt;=18,"18-20"))))))</f>
        <v>30-39</v>
      </c>
      <c r="AK846" t="str" cm="1">
        <f t="array" ref="AK846">_xlfn.IFS(HR_Employee_Attrition[[#This Row],[YearsAtCompany]]&lt;=2,"0-2",HR_Employee_Attrition[[#This Row],[YearsAtCompany]]&lt;=5,"3-5",HR_Employee_Attrition[[#This Row],[YearsAtCompany]]&lt;=10,"6-10",HR_Employee_Attrition[[#This Row],[YearsAtCompany]]&gt;10,"10+")</f>
        <v>6-10</v>
      </c>
      <c r="AL846" t="str" cm="1">
        <f t="array" ref="AL8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46">
        <f>IF(HR_Employee_Attrition[[#This Row],[Attrition]]="Yes",1,0)</f>
        <v>0</v>
      </c>
    </row>
    <row r="847" spans="1:39"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IF(HR_Employee_Attrition[[#This Row],[Age]]&gt;60,"60+",IF(HR_Employee_Attrition[[#This Row],[Age]]&gt;=50,"50-59",IF(HR_Employee_Attrition[[#This Row],[Age]]&gt;=40,"40-49",IF(HR_Employee_Attrition[[#This Row],[Age]]&gt;=30,"30-39",IF(HR_Employee_Attrition[[#This Row],[Age]]&gt;=20,"20-29",IF(HR_Employee_Attrition[[#This Row],[Age]]&gt;=18,"18-20"))))))</f>
        <v>40-49</v>
      </c>
      <c r="AK847" t="str" cm="1">
        <f t="array" ref="AK847">_xlfn.IFS(HR_Employee_Attrition[[#This Row],[YearsAtCompany]]&lt;=2,"0-2",HR_Employee_Attrition[[#This Row],[YearsAtCompany]]&lt;=5,"3-5",HR_Employee_Attrition[[#This Row],[YearsAtCompany]]&lt;=10,"6-10",HR_Employee_Attrition[[#This Row],[YearsAtCompany]]&gt;10,"10+")</f>
        <v>0-2</v>
      </c>
      <c r="AL847" t="str" cm="1">
        <f t="array" ref="AL8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47">
        <f>IF(HR_Employee_Attrition[[#This Row],[Attrition]]="Yes",1,0)</f>
        <v>0</v>
      </c>
    </row>
    <row r="848" spans="1:39"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IF(HR_Employee_Attrition[[#This Row],[Age]]&gt;60,"60+",IF(HR_Employee_Attrition[[#This Row],[Age]]&gt;=50,"50-59",IF(HR_Employee_Attrition[[#This Row],[Age]]&gt;=40,"40-49",IF(HR_Employee_Attrition[[#This Row],[Age]]&gt;=30,"30-39",IF(HR_Employee_Attrition[[#This Row],[Age]]&gt;=20,"20-29",IF(HR_Employee_Attrition[[#This Row],[Age]]&gt;=18,"18-20"))))))</f>
        <v>30-39</v>
      </c>
      <c r="AK848" t="str" cm="1">
        <f t="array" ref="AK848">_xlfn.IFS(HR_Employee_Attrition[[#This Row],[YearsAtCompany]]&lt;=2,"0-2",HR_Employee_Attrition[[#This Row],[YearsAtCompany]]&lt;=5,"3-5",HR_Employee_Attrition[[#This Row],[YearsAtCompany]]&lt;=10,"6-10",HR_Employee_Attrition[[#This Row],[YearsAtCompany]]&gt;10,"10+")</f>
        <v>6-10</v>
      </c>
      <c r="AL848" t="str" cm="1">
        <f t="array" ref="AL8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848">
        <f>IF(HR_Employee_Attrition[[#This Row],[Attrition]]="Yes",1,0)</f>
        <v>0</v>
      </c>
    </row>
    <row r="849" spans="1:39"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IF(HR_Employee_Attrition[[#This Row],[Age]]&gt;60,"60+",IF(HR_Employee_Attrition[[#This Row],[Age]]&gt;=50,"50-59",IF(HR_Employee_Attrition[[#This Row],[Age]]&gt;=40,"40-49",IF(HR_Employee_Attrition[[#This Row],[Age]]&gt;=30,"30-39",IF(HR_Employee_Attrition[[#This Row],[Age]]&gt;=20,"20-29",IF(HR_Employee_Attrition[[#This Row],[Age]]&gt;=18,"18-20"))))))</f>
        <v>30-39</v>
      </c>
      <c r="AK849" t="str" cm="1">
        <f t="array" ref="AK849">_xlfn.IFS(HR_Employee_Attrition[[#This Row],[YearsAtCompany]]&lt;=2,"0-2",HR_Employee_Attrition[[#This Row],[YearsAtCompany]]&lt;=5,"3-5",HR_Employee_Attrition[[#This Row],[YearsAtCompany]]&lt;=10,"6-10",HR_Employee_Attrition[[#This Row],[YearsAtCompany]]&gt;10,"10+")</f>
        <v>10+</v>
      </c>
      <c r="AL849" t="str" cm="1">
        <f t="array" ref="AL8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49">
        <f>IF(HR_Employee_Attrition[[#This Row],[Attrition]]="Yes",1,0)</f>
        <v>0</v>
      </c>
    </row>
    <row r="850" spans="1:39"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IF(HR_Employee_Attrition[[#This Row],[Age]]&gt;60,"60+",IF(HR_Employee_Attrition[[#This Row],[Age]]&gt;=50,"50-59",IF(HR_Employee_Attrition[[#This Row],[Age]]&gt;=40,"40-49",IF(HR_Employee_Attrition[[#This Row],[Age]]&gt;=30,"30-39",IF(HR_Employee_Attrition[[#This Row],[Age]]&gt;=20,"20-29",IF(HR_Employee_Attrition[[#This Row],[Age]]&gt;=18,"18-20"))))))</f>
        <v>30-39</v>
      </c>
      <c r="AK850" t="str" cm="1">
        <f t="array" ref="AK850">_xlfn.IFS(HR_Employee_Attrition[[#This Row],[YearsAtCompany]]&lt;=2,"0-2",HR_Employee_Attrition[[#This Row],[YearsAtCompany]]&lt;=5,"3-5",HR_Employee_Attrition[[#This Row],[YearsAtCompany]]&lt;=10,"6-10",HR_Employee_Attrition[[#This Row],[YearsAtCompany]]&gt;10,"10+")</f>
        <v>0-2</v>
      </c>
      <c r="AL850" t="str" cm="1">
        <f t="array" ref="AL8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50">
        <f>IF(HR_Employee_Attrition[[#This Row],[Attrition]]="Yes",1,0)</f>
        <v>0</v>
      </c>
    </row>
    <row r="851" spans="1:39"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IF(HR_Employee_Attrition[[#This Row],[Age]]&gt;60,"60+",IF(HR_Employee_Attrition[[#This Row],[Age]]&gt;=50,"50-59",IF(HR_Employee_Attrition[[#This Row],[Age]]&gt;=40,"40-49",IF(HR_Employee_Attrition[[#This Row],[Age]]&gt;=30,"30-39",IF(HR_Employee_Attrition[[#This Row],[Age]]&gt;=20,"20-29",IF(HR_Employee_Attrition[[#This Row],[Age]]&gt;=18,"18-20"))))))</f>
        <v>40-49</v>
      </c>
      <c r="AK851" t="str" cm="1">
        <f t="array" ref="AK851">_xlfn.IFS(HR_Employee_Attrition[[#This Row],[YearsAtCompany]]&lt;=2,"0-2",HR_Employee_Attrition[[#This Row],[YearsAtCompany]]&lt;=5,"3-5",HR_Employee_Attrition[[#This Row],[YearsAtCompany]]&lt;=10,"6-10",HR_Employee_Attrition[[#This Row],[YearsAtCompany]]&gt;10,"10+")</f>
        <v>3-5</v>
      </c>
      <c r="AL851" t="str" cm="1">
        <f t="array" ref="AL8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51">
        <f>IF(HR_Employee_Attrition[[#This Row],[Attrition]]="Yes",1,0)</f>
        <v>1</v>
      </c>
    </row>
    <row r="852" spans="1:39"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IF(HR_Employee_Attrition[[#This Row],[Age]]&gt;60,"60+",IF(HR_Employee_Attrition[[#This Row],[Age]]&gt;=50,"50-59",IF(HR_Employee_Attrition[[#This Row],[Age]]&gt;=40,"40-49",IF(HR_Employee_Attrition[[#This Row],[Age]]&gt;=30,"30-39",IF(HR_Employee_Attrition[[#This Row],[Age]]&gt;=20,"20-29",IF(HR_Employee_Attrition[[#This Row],[Age]]&gt;=18,"18-20"))))))</f>
        <v>30-39</v>
      </c>
      <c r="AK852" t="str" cm="1">
        <f t="array" ref="AK852">_xlfn.IFS(HR_Employee_Attrition[[#This Row],[YearsAtCompany]]&lt;=2,"0-2",HR_Employee_Attrition[[#This Row],[YearsAtCompany]]&lt;=5,"3-5",HR_Employee_Attrition[[#This Row],[YearsAtCompany]]&lt;=10,"6-10",HR_Employee_Attrition[[#This Row],[YearsAtCompany]]&gt;10,"10+")</f>
        <v>0-2</v>
      </c>
      <c r="AL852" t="str" cm="1">
        <f t="array" ref="AL8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52">
        <f>IF(HR_Employee_Attrition[[#This Row],[Attrition]]="Yes",1,0)</f>
        <v>0</v>
      </c>
    </row>
    <row r="853" spans="1:39"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IF(HR_Employee_Attrition[[#This Row],[Age]]&gt;60,"60+",IF(HR_Employee_Attrition[[#This Row],[Age]]&gt;=50,"50-59",IF(HR_Employee_Attrition[[#This Row],[Age]]&gt;=40,"40-49",IF(HR_Employee_Attrition[[#This Row],[Age]]&gt;=30,"30-39",IF(HR_Employee_Attrition[[#This Row],[Age]]&gt;=20,"20-29",IF(HR_Employee_Attrition[[#This Row],[Age]]&gt;=18,"18-20"))))))</f>
        <v>50-59</v>
      </c>
      <c r="AK853" t="str" cm="1">
        <f t="array" ref="AK853">_xlfn.IFS(HR_Employee_Attrition[[#This Row],[YearsAtCompany]]&lt;=2,"0-2",HR_Employee_Attrition[[#This Row],[YearsAtCompany]]&lt;=5,"3-5",HR_Employee_Attrition[[#This Row],[YearsAtCompany]]&lt;=10,"6-10",HR_Employee_Attrition[[#This Row],[YearsAtCompany]]&gt;10,"10+")</f>
        <v>3-5</v>
      </c>
      <c r="AL853" t="str" cm="1">
        <f t="array" ref="AL8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853">
        <f>IF(HR_Employee_Attrition[[#This Row],[Attrition]]="Yes",1,0)</f>
        <v>0</v>
      </c>
    </row>
    <row r="854" spans="1:39"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IF(HR_Employee_Attrition[[#This Row],[Age]]&gt;60,"60+",IF(HR_Employee_Attrition[[#This Row],[Age]]&gt;=50,"50-59",IF(HR_Employee_Attrition[[#This Row],[Age]]&gt;=40,"40-49",IF(HR_Employee_Attrition[[#This Row],[Age]]&gt;=30,"30-39",IF(HR_Employee_Attrition[[#This Row],[Age]]&gt;=20,"20-29",IF(HR_Employee_Attrition[[#This Row],[Age]]&gt;=18,"18-20"))))))</f>
        <v>20-29</v>
      </c>
      <c r="AK854" t="str" cm="1">
        <f t="array" ref="AK854">_xlfn.IFS(HR_Employee_Attrition[[#This Row],[YearsAtCompany]]&lt;=2,"0-2",HR_Employee_Attrition[[#This Row],[YearsAtCompany]]&lt;=5,"3-5",HR_Employee_Attrition[[#This Row],[YearsAtCompany]]&lt;=10,"6-10",HR_Employee_Attrition[[#This Row],[YearsAtCompany]]&gt;10,"10+")</f>
        <v>6-10</v>
      </c>
      <c r="AL854" t="str" cm="1">
        <f t="array" ref="AL8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54">
        <f>IF(HR_Employee_Attrition[[#This Row],[Attrition]]="Yes",1,0)</f>
        <v>0</v>
      </c>
    </row>
    <row r="855" spans="1:39"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IF(HR_Employee_Attrition[[#This Row],[Age]]&gt;60,"60+",IF(HR_Employee_Attrition[[#This Row],[Age]]&gt;=50,"50-59",IF(HR_Employee_Attrition[[#This Row],[Age]]&gt;=40,"40-49",IF(HR_Employee_Attrition[[#This Row],[Age]]&gt;=30,"30-39",IF(HR_Employee_Attrition[[#This Row],[Age]]&gt;=20,"20-29",IF(HR_Employee_Attrition[[#This Row],[Age]]&gt;=18,"18-20"))))))</f>
        <v>18-20</v>
      </c>
      <c r="AK855" t="str" cm="1">
        <f t="array" ref="AK855">_xlfn.IFS(HR_Employee_Attrition[[#This Row],[YearsAtCompany]]&lt;=2,"0-2",HR_Employee_Attrition[[#This Row],[YearsAtCompany]]&lt;=5,"3-5",HR_Employee_Attrition[[#This Row],[YearsAtCompany]]&lt;=10,"6-10",HR_Employee_Attrition[[#This Row],[YearsAtCompany]]&gt;10,"10+")</f>
        <v>0-2</v>
      </c>
      <c r="AL855" t="str" cm="1">
        <f t="array" ref="AL8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55">
        <f>IF(HR_Employee_Attrition[[#This Row],[Attrition]]="Yes",1,0)</f>
        <v>0</v>
      </c>
    </row>
    <row r="856" spans="1:39"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IF(HR_Employee_Attrition[[#This Row],[Age]]&gt;60,"60+",IF(HR_Employee_Attrition[[#This Row],[Age]]&gt;=50,"50-59",IF(HR_Employee_Attrition[[#This Row],[Age]]&gt;=40,"40-49",IF(HR_Employee_Attrition[[#This Row],[Age]]&gt;=30,"30-39",IF(HR_Employee_Attrition[[#This Row],[Age]]&gt;=20,"20-29",IF(HR_Employee_Attrition[[#This Row],[Age]]&gt;=18,"18-20"))))))</f>
        <v>40-49</v>
      </c>
      <c r="AK856" t="str" cm="1">
        <f t="array" ref="AK856">_xlfn.IFS(HR_Employee_Attrition[[#This Row],[YearsAtCompany]]&lt;=2,"0-2",HR_Employee_Attrition[[#This Row],[YearsAtCompany]]&lt;=5,"3-5",HR_Employee_Attrition[[#This Row],[YearsAtCompany]]&lt;=10,"6-10",HR_Employee_Attrition[[#This Row],[YearsAtCompany]]&gt;10,"10+")</f>
        <v>3-5</v>
      </c>
      <c r="AL856" t="str" cm="1">
        <f t="array" ref="AL8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56">
        <f>IF(HR_Employee_Attrition[[#This Row],[Attrition]]="Yes",1,0)</f>
        <v>0</v>
      </c>
    </row>
    <row r="857" spans="1:39"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IF(HR_Employee_Attrition[[#This Row],[Age]]&gt;60,"60+",IF(HR_Employee_Attrition[[#This Row],[Age]]&gt;=50,"50-59",IF(HR_Employee_Attrition[[#This Row],[Age]]&gt;=40,"40-49",IF(HR_Employee_Attrition[[#This Row],[Age]]&gt;=30,"30-39",IF(HR_Employee_Attrition[[#This Row],[Age]]&gt;=20,"20-29",IF(HR_Employee_Attrition[[#This Row],[Age]]&gt;=18,"18-20"))))))</f>
        <v>30-39</v>
      </c>
      <c r="AK857" t="str" cm="1">
        <f t="array" ref="AK857">_xlfn.IFS(HR_Employee_Attrition[[#This Row],[YearsAtCompany]]&lt;=2,"0-2",HR_Employee_Attrition[[#This Row],[YearsAtCompany]]&lt;=5,"3-5",HR_Employee_Attrition[[#This Row],[YearsAtCompany]]&lt;=10,"6-10",HR_Employee_Attrition[[#This Row],[YearsAtCompany]]&gt;10,"10+")</f>
        <v>10+</v>
      </c>
      <c r="AL857" t="str" cm="1">
        <f t="array" ref="AL8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57">
        <f>IF(HR_Employee_Attrition[[#This Row],[Attrition]]="Yes",1,0)</f>
        <v>0</v>
      </c>
    </row>
    <row r="858" spans="1:39"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IF(HR_Employee_Attrition[[#This Row],[Age]]&gt;60,"60+",IF(HR_Employee_Attrition[[#This Row],[Age]]&gt;=50,"50-59",IF(HR_Employee_Attrition[[#This Row],[Age]]&gt;=40,"40-49",IF(HR_Employee_Attrition[[#This Row],[Age]]&gt;=30,"30-39",IF(HR_Employee_Attrition[[#This Row],[Age]]&gt;=20,"20-29",IF(HR_Employee_Attrition[[#This Row],[Age]]&gt;=18,"18-20"))))))</f>
        <v>20-29</v>
      </c>
      <c r="AK858" t="str" cm="1">
        <f t="array" ref="AK858">_xlfn.IFS(HR_Employee_Attrition[[#This Row],[YearsAtCompany]]&lt;=2,"0-2",HR_Employee_Attrition[[#This Row],[YearsAtCompany]]&lt;=5,"3-5",HR_Employee_Attrition[[#This Row],[YearsAtCompany]]&lt;=10,"6-10",HR_Employee_Attrition[[#This Row],[YearsAtCompany]]&gt;10,"10+")</f>
        <v>0-2</v>
      </c>
      <c r="AL858" t="str" cm="1">
        <f t="array" ref="AL8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58">
        <f>IF(HR_Employee_Attrition[[#This Row],[Attrition]]="Yes",1,0)</f>
        <v>0</v>
      </c>
    </row>
    <row r="859" spans="1:39"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IF(HR_Employee_Attrition[[#This Row],[Age]]&gt;60,"60+",IF(HR_Employee_Attrition[[#This Row],[Age]]&gt;=50,"50-59",IF(HR_Employee_Attrition[[#This Row],[Age]]&gt;=40,"40-49",IF(HR_Employee_Attrition[[#This Row],[Age]]&gt;=30,"30-39",IF(HR_Employee_Attrition[[#This Row],[Age]]&gt;=20,"20-29",IF(HR_Employee_Attrition[[#This Row],[Age]]&gt;=18,"18-20"))))))</f>
        <v>40-49</v>
      </c>
      <c r="AK859" t="str" cm="1">
        <f t="array" ref="AK859">_xlfn.IFS(HR_Employee_Attrition[[#This Row],[YearsAtCompany]]&lt;=2,"0-2",HR_Employee_Attrition[[#This Row],[YearsAtCompany]]&lt;=5,"3-5",HR_Employee_Attrition[[#This Row],[YearsAtCompany]]&lt;=10,"6-10",HR_Employee_Attrition[[#This Row],[YearsAtCompany]]&gt;10,"10+")</f>
        <v>6-10</v>
      </c>
      <c r="AL859" t="str" cm="1">
        <f t="array" ref="AL8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59">
        <f>IF(HR_Employee_Attrition[[#This Row],[Attrition]]="Yes",1,0)</f>
        <v>1</v>
      </c>
    </row>
    <row r="860" spans="1:39"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IF(HR_Employee_Attrition[[#This Row],[Age]]&gt;60,"60+",IF(HR_Employee_Attrition[[#This Row],[Age]]&gt;=50,"50-59",IF(HR_Employee_Attrition[[#This Row],[Age]]&gt;=40,"40-49",IF(HR_Employee_Attrition[[#This Row],[Age]]&gt;=30,"30-39",IF(HR_Employee_Attrition[[#This Row],[Age]]&gt;=20,"20-29",IF(HR_Employee_Attrition[[#This Row],[Age]]&gt;=18,"18-20"))))))</f>
        <v>50-59</v>
      </c>
      <c r="AK860" t="str" cm="1">
        <f t="array" ref="AK860">_xlfn.IFS(HR_Employee_Attrition[[#This Row],[YearsAtCompany]]&lt;=2,"0-2",HR_Employee_Attrition[[#This Row],[YearsAtCompany]]&lt;=5,"3-5",HR_Employee_Attrition[[#This Row],[YearsAtCompany]]&lt;=10,"6-10",HR_Employee_Attrition[[#This Row],[YearsAtCompany]]&gt;10,"10+")</f>
        <v>6-10</v>
      </c>
      <c r="AL860" t="str" cm="1">
        <f t="array" ref="AL8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860">
        <f>IF(HR_Employee_Attrition[[#This Row],[Attrition]]="Yes",1,0)</f>
        <v>0</v>
      </c>
    </row>
    <row r="861" spans="1:39"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IF(HR_Employee_Attrition[[#This Row],[Age]]&gt;60,"60+",IF(HR_Employee_Attrition[[#This Row],[Age]]&gt;=50,"50-59",IF(HR_Employee_Attrition[[#This Row],[Age]]&gt;=40,"40-49",IF(HR_Employee_Attrition[[#This Row],[Age]]&gt;=30,"30-39",IF(HR_Employee_Attrition[[#This Row],[Age]]&gt;=20,"20-29",IF(HR_Employee_Attrition[[#This Row],[Age]]&gt;=18,"18-20"))))))</f>
        <v>20-29</v>
      </c>
      <c r="AK861" t="str" cm="1">
        <f t="array" ref="AK861">_xlfn.IFS(HR_Employee_Attrition[[#This Row],[YearsAtCompany]]&lt;=2,"0-2",HR_Employee_Attrition[[#This Row],[YearsAtCompany]]&lt;=5,"3-5",HR_Employee_Attrition[[#This Row],[YearsAtCompany]]&lt;=10,"6-10",HR_Employee_Attrition[[#This Row],[YearsAtCompany]]&gt;10,"10+")</f>
        <v>3-5</v>
      </c>
      <c r="AL861" t="str" cm="1">
        <f t="array" ref="AL8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61">
        <f>IF(HR_Employee_Attrition[[#This Row],[Attrition]]="Yes",1,0)</f>
        <v>0</v>
      </c>
    </row>
    <row r="862" spans="1:39"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IF(HR_Employee_Attrition[[#This Row],[Age]]&gt;60,"60+",IF(HR_Employee_Attrition[[#This Row],[Age]]&gt;=50,"50-59",IF(HR_Employee_Attrition[[#This Row],[Age]]&gt;=40,"40-49",IF(HR_Employee_Attrition[[#This Row],[Age]]&gt;=30,"30-39",IF(HR_Employee_Attrition[[#This Row],[Age]]&gt;=20,"20-29",IF(HR_Employee_Attrition[[#This Row],[Age]]&gt;=18,"18-20"))))))</f>
        <v>20-29</v>
      </c>
      <c r="AK862" t="str" cm="1">
        <f t="array" ref="AK862">_xlfn.IFS(HR_Employee_Attrition[[#This Row],[YearsAtCompany]]&lt;=2,"0-2",HR_Employee_Attrition[[#This Row],[YearsAtCompany]]&lt;=5,"3-5",HR_Employee_Attrition[[#This Row],[YearsAtCompany]]&lt;=10,"6-10",HR_Employee_Attrition[[#This Row],[YearsAtCompany]]&gt;10,"10+")</f>
        <v>0-2</v>
      </c>
      <c r="AL862" t="str" cm="1">
        <f t="array" ref="AL8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62">
        <f>IF(HR_Employee_Attrition[[#This Row],[Attrition]]="Yes",1,0)</f>
        <v>1</v>
      </c>
    </row>
    <row r="863" spans="1:39"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IF(HR_Employee_Attrition[[#This Row],[Age]]&gt;60,"60+",IF(HR_Employee_Attrition[[#This Row],[Age]]&gt;=50,"50-59",IF(HR_Employee_Attrition[[#This Row],[Age]]&gt;=40,"40-49",IF(HR_Employee_Attrition[[#This Row],[Age]]&gt;=30,"30-39",IF(HR_Employee_Attrition[[#This Row],[Age]]&gt;=20,"20-29",IF(HR_Employee_Attrition[[#This Row],[Age]]&gt;=18,"18-20"))))))</f>
        <v>40-49</v>
      </c>
      <c r="AK863" t="str" cm="1">
        <f t="array" ref="AK863">_xlfn.IFS(HR_Employee_Attrition[[#This Row],[YearsAtCompany]]&lt;=2,"0-2",HR_Employee_Attrition[[#This Row],[YearsAtCompany]]&lt;=5,"3-5",HR_Employee_Attrition[[#This Row],[YearsAtCompany]]&lt;=10,"6-10",HR_Employee_Attrition[[#This Row],[YearsAtCompany]]&gt;10,"10+")</f>
        <v>10+</v>
      </c>
      <c r="AL863" t="str" cm="1">
        <f t="array" ref="AL8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863">
        <f>IF(HR_Employee_Attrition[[#This Row],[Attrition]]="Yes",1,0)</f>
        <v>0</v>
      </c>
    </row>
    <row r="864" spans="1:39"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IF(HR_Employee_Attrition[[#This Row],[Age]]&gt;60,"60+",IF(HR_Employee_Attrition[[#This Row],[Age]]&gt;=50,"50-59",IF(HR_Employee_Attrition[[#This Row],[Age]]&gt;=40,"40-49",IF(HR_Employee_Attrition[[#This Row],[Age]]&gt;=30,"30-39",IF(HR_Employee_Attrition[[#This Row],[Age]]&gt;=20,"20-29",IF(HR_Employee_Attrition[[#This Row],[Age]]&gt;=18,"18-20"))))))</f>
        <v>40-49</v>
      </c>
      <c r="AK864" t="str" cm="1">
        <f t="array" ref="AK864">_xlfn.IFS(HR_Employee_Attrition[[#This Row],[YearsAtCompany]]&lt;=2,"0-2",HR_Employee_Attrition[[#This Row],[YearsAtCompany]]&lt;=5,"3-5",HR_Employee_Attrition[[#This Row],[YearsAtCompany]]&lt;=10,"6-10",HR_Employee_Attrition[[#This Row],[YearsAtCompany]]&gt;10,"10+")</f>
        <v>0-2</v>
      </c>
      <c r="AL864" t="str" cm="1">
        <f t="array" ref="AL8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64">
        <f>IF(HR_Employee_Attrition[[#This Row],[Attrition]]="Yes",1,0)</f>
        <v>0</v>
      </c>
    </row>
    <row r="865" spans="1:39"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IF(HR_Employee_Attrition[[#This Row],[Age]]&gt;60,"60+",IF(HR_Employee_Attrition[[#This Row],[Age]]&gt;=50,"50-59",IF(HR_Employee_Attrition[[#This Row],[Age]]&gt;=40,"40-49",IF(HR_Employee_Attrition[[#This Row],[Age]]&gt;=30,"30-39",IF(HR_Employee_Attrition[[#This Row],[Age]]&gt;=20,"20-29",IF(HR_Employee_Attrition[[#This Row],[Age]]&gt;=18,"18-20"))))))</f>
        <v>30-39</v>
      </c>
      <c r="AK865" t="str" cm="1">
        <f t="array" ref="AK865">_xlfn.IFS(HR_Employee_Attrition[[#This Row],[YearsAtCompany]]&lt;=2,"0-2",HR_Employee_Attrition[[#This Row],[YearsAtCompany]]&lt;=5,"3-5",HR_Employee_Attrition[[#This Row],[YearsAtCompany]]&lt;=10,"6-10",HR_Employee_Attrition[[#This Row],[YearsAtCompany]]&gt;10,"10+")</f>
        <v>3-5</v>
      </c>
      <c r="AL865" t="str" cm="1">
        <f t="array" ref="AL8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65">
        <f>IF(HR_Employee_Attrition[[#This Row],[Attrition]]="Yes",1,0)</f>
        <v>0</v>
      </c>
    </row>
    <row r="866" spans="1:39"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IF(HR_Employee_Attrition[[#This Row],[Age]]&gt;60,"60+",IF(HR_Employee_Attrition[[#This Row],[Age]]&gt;=50,"50-59",IF(HR_Employee_Attrition[[#This Row],[Age]]&gt;=40,"40-49",IF(HR_Employee_Attrition[[#This Row],[Age]]&gt;=30,"30-39",IF(HR_Employee_Attrition[[#This Row],[Age]]&gt;=20,"20-29",IF(HR_Employee_Attrition[[#This Row],[Age]]&gt;=18,"18-20"))))))</f>
        <v>40-49</v>
      </c>
      <c r="AK866" t="str" cm="1">
        <f t="array" ref="AK866">_xlfn.IFS(HR_Employee_Attrition[[#This Row],[YearsAtCompany]]&lt;=2,"0-2",HR_Employee_Attrition[[#This Row],[YearsAtCompany]]&lt;=5,"3-5",HR_Employee_Attrition[[#This Row],[YearsAtCompany]]&lt;=10,"6-10",HR_Employee_Attrition[[#This Row],[YearsAtCompany]]&gt;10,"10+")</f>
        <v>0-2</v>
      </c>
      <c r="AL866" t="str" cm="1">
        <f t="array" ref="AL8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66">
        <f>IF(HR_Employee_Attrition[[#This Row],[Attrition]]="Yes",1,0)</f>
        <v>1</v>
      </c>
    </row>
    <row r="867" spans="1:39"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IF(HR_Employee_Attrition[[#This Row],[Age]]&gt;60,"60+",IF(HR_Employee_Attrition[[#This Row],[Age]]&gt;=50,"50-59",IF(HR_Employee_Attrition[[#This Row],[Age]]&gt;=40,"40-49",IF(HR_Employee_Attrition[[#This Row],[Age]]&gt;=30,"30-39",IF(HR_Employee_Attrition[[#This Row],[Age]]&gt;=20,"20-29",IF(HR_Employee_Attrition[[#This Row],[Age]]&gt;=18,"18-20"))))))</f>
        <v>30-39</v>
      </c>
      <c r="AK867" t="str" cm="1">
        <f t="array" ref="AK867">_xlfn.IFS(HR_Employee_Attrition[[#This Row],[YearsAtCompany]]&lt;=2,"0-2",HR_Employee_Attrition[[#This Row],[YearsAtCompany]]&lt;=5,"3-5",HR_Employee_Attrition[[#This Row],[YearsAtCompany]]&lt;=10,"6-10",HR_Employee_Attrition[[#This Row],[YearsAtCompany]]&gt;10,"10+")</f>
        <v>3-5</v>
      </c>
      <c r="AL867" t="str" cm="1">
        <f t="array" ref="AL8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67">
        <f>IF(HR_Employee_Attrition[[#This Row],[Attrition]]="Yes",1,0)</f>
        <v>0</v>
      </c>
    </row>
    <row r="868" spans="1:39"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IF(HR_Employee_Attrition[[#This Row],[Age]]&gt;60,"60+",IF(HR_Employee_Attrition[[#This Row],[Age]]&gt;=50,"50-59",IF(HR_Employee_Attrition[[#This Row],[Age]]&gt;=40,"40-49",IF(HR_Employee_Attrition[[#This Row],[Age]]&gt;=30,"30-39",IF(HR_Employee_Attrition[[#This Row],[Age]]&gt;=20,"20-29",IF(HR_Employee_Attrition[[#This Row],[Age]]&gt;=18,"18-20"))))))</f>
        <v>40-49</v>
      </c>
      <c r="AK868" t="str" cm="1">
        <f t="array" ref="AK868">_xlfn.IFS(HR_Employee_Attrition[[#This Row],[YearsAtCompany]]&lt;=2,"0-2",HR_Employee_Attrition[[#This Row],[YearsAtCompany]]&lt;=5,"3-5",HR_Employee_Attrition[[#This Row],[YearsAtCompany]]&lt;=10,"6-10",HR_Employee_Attrition[[#This Row],[YearsAtCompany]]&gt;10,"10+")</f>
        <v>0-2</v>
      </c>
      <c r="AL868" t="str" cm="1">
        <f t="array" ref="AL8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68">
        <f>IF(HR_Employee_Attrition[[#This Row],[Attrition]]="Yes",1,0)</f>
        <v>0</v>
      </c>
    </row>
    <row r="869" spans="1:39"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IF(HR_Employee_Attrition[[#This Row],[Age]]&gt;60,"60+",IF(HR_Employee_Attrition[[#This Row],[Age]]&gt;=50,"50-59",IF(HR_Employee_Attrition[[#This Row],[Age]]&gt;=40,"40-49",IF(HR_Employee_Attrition[[#This Row],[Age]]&gt;=30,"30-39",IF(HR_Employee_Attrition[[#This Row],[Age]]&gt;=20,"20-29",IF(HR_Employee_Attrition[[#This Row],[Age]]&gt;=18,"18-20"))))))</f>
        <v>50-59</v>
      </c>
      <c r="AK869" t="str" cm="1">
        <f t="array" ref="AK869">_xlfn.IFS(HR_Employee_Attrition[[#This Row],[YearsAtCompany]]&lt;=2,"0-2",HR_Employee_Attrition[[#This Row],[YearsAtCompany]]&lt;=5,"3-5",HR_Employee_Attrition[[#This Row],[YearsAtCompany]]&lt;=10,"6-10",HR_Employee_Attrition[[#This Row],[YearsAtCompany]]&gt;10,"10+")</f>
        <v>0-2</v>
      </c>
      <c r="AL869" t="str" cm="1">
        <f t="array" ref="AL8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869">
        <f>IF(HR_Employee_Attrition[[#This Row],[Attrition]]="Yes",1,0)</f>
        <v>0</v>
      </c>
    </row>
    <row r="870" spans="1:39"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IF(HR_Employee_Attrition[[#This Row],[Age]]&gt;60,"60+",IF(HR_Employee_Attrition[[#This Row],[Age]]&gt;=50,"50-59",IF(HR_Employee_Attrition[[#This Row],[Age]]&gt;=40,"40-49",IF(HR_Employee_Attrition[[#This Row],[Age]]&gt;=30,"30-39",IF(HR_Employee_Attrition[[#This Row],[Age]]&gt;=20,"20-29",IF(HR_Employee_Attrition[[#This Row],[Age]]&gt;=18,"18-20"))))))</f>
        <v>20-29</v>
      </c>
      <c r="AK870" t="str" cm="1">
        <f t="array" ref="AK870">_xlfn.IFS(HR_Employee_Attrition[[#This Row],[YearsAtCompany]]&lt;=2,"0-2",HR_Employee_Attrition[[#This Row],[YearsAtCompany]]&lt;=5,"3-5",HR_Employee_Attrition[[#This Row],[YearsAtCompany]]&lt;=10,"6-10",HR_Employee_Attrition[[#This Row],[YearsAtCompany]]&gt;10,"10+")</f>
        <v>6-10</v>
      </c>
      <c r="AL870" t="str" cm="1">
        <f t="array" ref="AL8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70">
        <f>IF(HR_Employee_Attrition[[#This Row],[Attrition]]="Yes",1,0)</f>
        <v>0</v>
      </c>
    </row>
    <row r="871" spans="1:39"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IF(HR_Employee_Attrition[[#This Row],[Age]]&gt;60,"60+",IF(HR_Employee_Attrition[[#This Row],[Age]]&gt;=50,"50-59",IF(HR_Employee_Attrition[[#This Row],[Age]]&gt;=40,"40-49",IF(HR_Employee_Attrition[[#This Row],[Age]]&gt;=30,"30-39",IF(HR_Employee_Attrition[[#This Row],[Age]]&gt;=20,"20-29",IF(HR_Employee_Attrition[[#This Row],[Age]]&gt;=18,"18-20"))))))</f>
        <v>40-49</v>
      </c>
      <c r="AK871" t="str" cm="1">
        <f t="array" ref="AK871">_xlfn.IFS(HR_Employee_Attrition[[#This Row],[YearsAtCompany]]&lt;=2,"0-2",HR_Employee_Attrition[[#This Row],[YearsAtCompany]]&lt;=5,"3-5",HR_Employee_Attrition[[#This Row],[YearsAtCompany]]&lt;=10,"6-10",HR_Employee_Attrition[[#This Row],[YearsAtCompany]]&gt;10,"10+")</f>
        <v>3-5</v>
      </c>
      <c r="AL871" t="str" cm="1">
        <f t="array" ref="AL8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871">
        <f>IF(HR_Employee_Attrition[[#This Row],[Attrition]]="Yes",1,0)</f>
        <v>0</v>
      </c>
    </row>
    <row r="872" spans="1:39"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IF(HR_Employee_Attrition[[#This Row],[Age]]&gt;60,"60+",IF(HR_Employee_Attrition[[#This Row],[Age]]&gt;=50,"50-59",IF(HR_Employee_Attrition[[#This Row],[Age]]&gt;=40,"40-49",IF(HR_Employee_Attrition[[#This Row],[Age]]&gt;=30,"30-39",IF(HR_Employee_Attrition[[#This Row],[Age]]&gt;=20,"20-29",IF(HR_Employee_Attrition[[#This Row],[Age]]&gt;=18,"18-20"))))))</f>
        <v>30-39</v>
      </c>
      <c r="AK872" t="str" cm="1">
        <f t="array" ref="AK872">_xlfn.IFS(HR_Employee_Attrition[[#This Row],[YearsAtCompany]]&lt;=2,"0-2",HR_Employee_Attrition[[#This Row],[YearsAtCompany]]&lt;=5,"3-5",HR_Employee_Attrition[[#This Row],[YearsAtCompany]]&lt;=10,"6-10",HR_Employee_Attrition[[#This Row],[YearsAtCompany]]&gt;10,"10+")</f>
        <v>6-10</v>
      </c>
      <c r="AL872" t="str" cm="1">
        <f t="array" ref="AL87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72">
        <f>IF(HR_Employee_Attrition[[#This Row],[Attrition]]="Yes",1,0)</f>
        <v>0</v>
      </c>
    </row>
    <row r="873" spans="1:39"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IF(HR_Employee_Attrition[[#This Row],[Age]]&gt;60,"60+",IF(HR_Employee_Attrition[[#This Row],[Age]]&gt;=50,"50-59",IF(HR_Employee_Attrition[[#This Row],[Age]]&gt;=40,"40-49",IF(HR_Employee_Attrition[[#This Row],[Age]]&gt;=30,"30-39",IF(HR_Employee_Attrition[[#This Row],[Age]]&gt;=20,"20-29",IF(HR_Employee_Attrition[[#This Row],[Age]]&gt;=18,"18-20"))))))</f>
        <v>20-29</v>
      </c>
      <c r="AK873" t="str" cm="1">
        <f t="array" ref="AK873">_xlfn.IFS(HR_Employee_Attrition[[#This Row],[YearsAtCompany]]&lt;=2,"0-2",HR_Employee_Attrition[[#This Row],[YearsAtCompany]]&lt;=5,"3-5",HR_Employee_Attrition[[#This Row],[YearsAtCompany]]&lt;=10,"6-10",HR_Employee_Attrition[[#This Row],[YearsAtCompany]]&gt;10,"10+")</f>
        <v>0-2</v>
      </c>
      <c r="AL873" t="str" cm="1">
        <f t="array" ref="AL87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73">
        <f>IF(HR_Employee_Attrition[[#This Row],[Attrition]]="Yes",1,0)</f>
        <v>1</v>
      </c>
    </row>
    <row r="874" spans="1:39"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IF(HR_Employee_Attrition[[#This Row],[Age]]&gt;60,"60+",IF(HR_Employee_Attrition[[#This Row],[Age]]&gt;=50,"50-59",IF(HR_Employee_Attrition[[#This Row],[Age]]&gt;=40,"40-49",IF(HR_Employee_Attrition[[#This Row],[Age]]&gt;=30,"30-39",IF(HR_Employee_Attrition[[#This Row],[Age]]&gt;=20,"20-29",IF(HR_Employee_Attrition[[#This Row],[Age]]&gt;=18,"18-20"))))))</f>
        <v>30-39</v>
      </c>
      <c r="AK874" t="str" cm="1">
        <f t="array" ref="AK874">_xlfn.IFS(HR_Employee_Attrition[[#This Row],[YearsAtCompany]]&lt;=2,"0-2",HR_Employee_Attrition[[#This Row],[YearsAtCompany]]&lt;=5,"3-5",HR_Employee_Attrition[[#This Row],[YearsAtCompany]]&lt;=10,"6-10",HR_Employee_Attrition[[#This Row],[YearsAtCompany]]&gt;10,"10+")</f>
        <v>6-10</v>
      </c>
      <c r="AL874" t="str" cm="1">
        <f t="array" ref="AL87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74">
        <f>IF(HR_Employee_Attrition[[#This Row],[Attrition]]="Yes",1,0)</f>
        <v>0</v>
      </c>
    </row>
    <row r="875" spans="1:39"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IF(HR_Employee_Attrition[[#This Row],[Age]]&gt;60,"60+",IF(HR_Employee_Attrition[[#This Row],[Age]]&gt;=50,"50-59",IF(HR_Employee_Attrition[[#This Row],[Age]]&gt;=40,"40-49",IF(HR_Employee_Attrition[[#This Row],[Age]]&gt;=30,"30-39",IF(HR_Employee_Attrition[[#This Row],[Age]]&gt;=20,"20-29",IF(HR_Employee_Attrition[[#This Row],[Age]]&gt;=18,"18-20"))))))</f>
        <v>30-39</v>
      </c>
      <c r="AK875" t="str" cm="1">
        <f t="array" ref="AK875">_xlfn.IFS(HR_Employee_Attrition[[#This Row],[YearsAtCompany]]&lt;=2,"0-2",HR_Employee_Attrition[[#This Row],[YearsAtCompany]]&lt;=5,"3-5",HR_Employee_Attrition[[#This Row],[YearsAtCompany]]&lt;=10,"6-10",HR_Employee_Attrition[[#This Row],[YearsAtCompany]]&gt;10,"10+")</f>
        <v>6-10</v>
      </c>
      <c r="AL875" t="str" cm="1">
        <f t="array" ref="AL87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75">
        <f>IF(HR_Employee_Attrition[[#This Row],[Attrition]]="Yes",1,0)</f>
        <v>0</v>
      </c>
    </row>
    <row r="876" spans="1:39"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IF(HR_Employee_Attrition[[#This Row],[Age]]&gt;60,"60+",IF(HR_Employee_Attrition[[#This Row],[Age]]&gt;=50,"50-59",IF(HR_Employee_Attrition[[#This Row],[Age]]&gt;=40,"40-49",IF(HR_Employee_Attrition[[#This Row],[Age]]&gt;=30,"30-39",IF(HR_Employee_Attrition[[#This Row],[Age]]&gt;=20,"20-29",IF(HR_Employee_Attrition[[#This Row],[Age]]&gt;=18,"18-20"))))))</f>
        <v>30-39</v>
      </c>
      <c r="AK876" t="str" cm="1">
        <f t="array" ref="AK876">_xlfn.IFS(HR_Employee_Attrition[[#This Row],[YearsAtCompany]]&lt;=2,"0-2",HR_Employee_Attrition[[#This Row],[YearsAtCompany]]&lt;=5,"3-5",HR_Employee_Attrition[[#This Row],[YearsAtCompany]]&lt;=10,"6-10",HR_Employee_Attrition[[#This Row],[YearsAtCompany]]&gt;10,"10+")</f>
        <v>6-10</v>
      </c>
      <c r="AL876" t="str" cm="1">
        <f t="array" ref="AL87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76">
        <f>IF(HR_Employee_Attrition[[#This Row],[Attrition]]="Yes",1,0)</f>
        <v>0</v>
      </c>
    </row>
    <row r="877" spans="1:39"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IF(HR_Employee_Attrition[[#This Row],[Age]]&gt;60,"60+",IF(HR_Employee_Attrition[[#This Row],[Age]]&gt;=50,"50-59",IF(HR_Employee_Attrition[[#This Row],[Age]]&gt;=40,"40-49",IF(HR_Employee_Attrition[[#This Row],[Age]]&gt;=30,"30-39",IF(HR_Employee_Attrition[[#This Row],[Age]]&gt;=20,"20-29",IF(HR_Employee_Attrition[[#This Row],[Age]]&gt;=18,"18-20"))))))</f>
        <v>40-49</v>
      </c>
      <c r="AK877" t="str" cm="1">
        <f t="array" ref="AK877">_xlfn.IFS(HR_Employee_Attrition[[#This Row],[YearsAtCompany]]&lt;=2,"0-2",HR_Employee_Attrition[[#This Row],[YearsAtCompany]]&lt;=5,"3-5",HR_Employee_Attrition[[#This Row],[YearsAtCompany]]&lt;=10,"6-10",HR_Employee_Attrition[[#This Row],[YearsAtCompany]]&gt;10,"10+")</f>
        <v>10+</v>
      </c>
      <c r="AL877" t="str" cm="1">
        <f t="array" ref="AL87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77">
        <f>IF(HR_Employee_Attrition[[#This Row],[Attrition]]="Yes",1,0)</f>
        <v>0</v>
      </c>
    </row>
    <row r="878" spans="1:39"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IF(HR_Employee_Attrition[[#This Row],[Age]]&gt;60,"60+",IF(HR_Employee_Attrition[[#This Row],[Age]]&gt;=50,"50-59",IF(HR_Employee_Attrition[[#This Row],[Age]]&gt;=40,"40-49",IF(HR_Employee_Attrition[[#This Row],[Age]]&gt;=30,"30-39",IF(HR_Employee_Attrition[[#This Row],[Age]]&gt;=20,"20-29",IF(HR_Employee_Attrition[[#This Row],[Age]]&gt;=18,"18-20"))))))</f>
        <v>20-29</v>
      </c>
      <c r="AK878" t="str" cm="1">
        <f t="array" ref="AK878">_xlfn.IFS(HR_Employee_Attrition[[#This Row],[YearsAtCompany]]&lt;=2,"0-2",HR_Employee_Attrition[[#This Row],[YearsAtCompany]]&lt;=5,"3-5",HR_Employee_Attrition[[#This Row],[YearsAtCompany]]&lt;=10,"6-10",HR_Employee_Attrition[[#This Row],[YearsAtCompany]]&gt;10,"10+")</f>
        <v>0-2</v>
      </c>
      <c r="AL878" t="str" cm="1">
        <f t="array" ref="AL87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78">
        <f>IF(HR_Employee_Attrition[[#This Row],[Attrition]]="Yes",1,0)</f>
        <v>0</v>
      </c>
    </row>
    <row r="879" spans="1:39"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IF(HR_Employee_Attrition[[#This Row],[Age]]&gt;60,"60+",IF(HR_Employee_Attrition[[#This Row],[Age]]&gt;=50,"50-59",IF(HR_Employee_Attrition[[#This Row],[Age]]&gt;=40,"40-49",IF(HR_Employee_Attrition[[#This Row],[Age]]&gt;=30,"30-39",IF(HR_Employee_Attrition[[#This Row],[Age]]&gt;=20,"20-29",IF(HR_Employee_Attrition[[#This Row],[Age]]&gt;=18,"18-20"))))))</f>
        <v>40-49</v>
      </c>
      <c r="AK879" t="str" cm="1">
        <f t="array" ref="AK879">_xlfn.IFS(HR_Employee_Attrition[[#This Row],[YearsAtCompany]]&lt;=2,"0-2",HR_Employee_Attrition[[#This Row],[YearsAtCompany]]&lt;=5,"3-5",HR_Employee_Attrition[[#This Row],[YearsAtCompany]]&lt;=10,"6-10",HR_Employee_Attrition[[#This Row],[YearsAtCompany]]&gt;10,"10+")</f>
        <v>6-10</v>
      </c>
      <c r="AL879" t="str" cm="1">
        <f t="array" ref="AL87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79">
        <f>IF(HR_Employee_Attrition[[#This Row],[Attrition]]="Yes",1,0)</f>
        <v>0</v>
      </c>
    </row>
    <row r="880" spans="1:39"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IF(HR_Employee_Attrition[[#This Row],[Age]]&gt;60,"60+",IF(HR_Employee_Attrition[[#This Row],[Age]]&gt;=50,"50-59",IF(HR_Employee_Attrition[[#This Row],[Age]]&gt;=40,"40-49",IF(HR_Employee_Attrition[[#This Row],[Age]]&gt;=30,"30-39",IF(HR_Employee_Attrition[[#This Row],[Age]]&gt;=20,"20-29",IF(HR_Employee_Attrition[[#This Row],[Age]]&gt;=18,"18-20"))))))</f>
        <v>40-49</v>
      </c>
      <c r="AK880" t="str" cm="1">
        <f t="array" ref="AK880">_xlfn.IFS(HR_Employee_Attrition[[#This Row],[YearsAtCompany]]&lt;=2,"0-2",HR_Employee_Attrition[[#This Row],[YearsAtCompany]]&lt;=5,"3-5",HR_Employee_Attrition[[#This Row],[YearsAtCompany]]&lt;=10,"6-10",HR_Employee_Attrition[[#This Row],[YearsAtCompany]]&gt;10,"10+")</f>
        <v>3-5</v>
      </c>
      <c r="AL880" t="str" cm="1">
        <f t="array" ref="AL88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80">
        <f>IF(HR_Employee_Attrition[[#This Row],[Attrition]]="Yes",1,0)</f>
        <v>0</v>
      </c>
    </row>
    <row r="881" spans="1:39"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IF(HR_Employee_Attrition[[#This Row],[Age]]&gt;60,"60+",IF(HR_Employee_Attrition[[#This Row],[Age]]&gt;=50,"50-59",IF(HR_Employee_Attrition[[#This Row],[Age]]&gt;=40,"40-49",IF(HR_Employee_Attrition[[#This Row],[Age]]&gt;=30,"30-39",IF(HR_Employee_Attrition[[#This Row],[Age]]&gt;=20,"20-29",IF(HR_Employee_Attrition[[#This Row],[Age]]&gt;=18,"18-20"))))))</f>
        <v>50-59</v>
      </c>
      <c r="AK881" t="str" cm="1">
        <f t="array" ref="AK881">_xlfn.IFS(HR_Employee_Attrition[[#This Row],[YearsAtCompany]]&lt;=2,"0-2",HR_Employee_Attrition[[#This Row],[YearsAtCompany]]&lt;=5,"3-5",HR_Employee_Attrition[[#This Row],[YearsAtCompany]]&lt;=10,"6-10",HR_Employee_Attrition[[#This Row],[YearsAtCompany]]&gt;10,"10+")</f>
        <v>10+</v>
      </c>
      <c r="AL881" t="str" cm="1">
        <f t="array" ref="AL88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81">
        <f>IF(HR_Employee_Attrition[[#This Row],[Attrition]]="Yes",1,0)</f>
        <v>0</v>
      </c>
    </row>
    <row r="882" spans="1:39"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IF(HR_Employee_Attrition[[#This Row],[Age]]&gt;60,"60+",IF(HR_Employee_Attrition[[#This Row],[Age]]&gt;=50,"50-59",IF(HR_Employee_Attrition[[#This Row],[Age]]&gt;=40,"40-49",IF(HR_Employee_Attrition[[#This Row],[Age]]&gt;=30,"30-39",IF(HR_Employee_Attrition[[#This Row],[Age]]&gt;=20,"20-29",IF(HR_Employee_Attrition[[#This Row],[Age]]&gt;=18,"18-20"))))))</f>
        <v>30-39</v>
      </c>
      <c r="AK882" t="str" cm="1">
        <f t="array" ref="AK882">_xlfn.IFS(HR_Employee_Attrition[[#This Row],[YearsAtCompany]]&lt;=2,"0-2",HR_Employee_Attrition[[#This Row],[YearsAtCompany]]&lt;=5,"3-5",HR_Employee_Attrition[[#This Row],[YearsAtCompany]]&lt;=10,"6-10",HR_Employee_Attrition[[#This Row],[YearsAtCompany]]&gt;10,"10+")</f>
        <v>0-2</v>
      </c>
      <c r="AL882" t="str" cm="1">
        <f t="array" ref="AL88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82">
        <f>IF(HR_Employee_Attrition[[#This Row],[Attrition]]="Yes",1,0)</f>
        <v>0</v>
      </c>
    </row>
    <row r="883" spans="1:39"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IF(HR_Employee_Attrition[[#This Row],[Age]]&gt;60,"60+",IF(HR_Employee_Attrition[[#This Row],[Age]]&gt;=50,"50-59",IF(HR_Employee_Attrition[[#This Row],[Age]]&gt;=40,"40-49",IF(HR_Employee_Attrition[[#This Row],[Age]]&gt;=30,"30-39",IF(HR_Employee_Attrition[[#This Row],[Age]]&gt;=20,"20-29",IF(HR_Employee_Attrition[[#This Row],[Age]]&gt;=18,"18-20"))))))</f>
        <v>30-39</v>
      </c>
      <c r="AK883" t="str" cm="1">
        <f t="array" ref="AK883">_xlfn.IFS(HR_Employee_Attrition[[#This Row],[YearsAtCompany]]&lt;=2,"0-2",HR_Employee_Attrition[[#This Row],[YearsAtCompany]]&lt;=5,"3-5",HR_Employee_Attrition[[#This Row],[YearsAtCompany]]&lt;=10,"6-10",HR_Employee_Attrition[[#This Row],[YearsAtCompany]]&gt;10,"10+")</f>
        <v>6-10</v>
      </c>
      <c r="AL883" t="str" cm="1">
        <f t="array" ref="AL88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83">
        <f>IF(HR_Employee_Attrition[[#This Row],[Attrition]]="Yes",1,0)</f>
        <v>0</v>
      </c>
    </row>
    <row r="884" spans="1:39"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IF(HR_Employee_Attrition[[#This Row],[Age]]&gt;60,"60+",IF(HR_Employee_Attrition[[#This Row],[Age]]&gt;=50,"50-59",IF(HR_Employee_Attrition[[#This Row],[Age]]&gt;=40,"40-49",IF(HR_Employee_Attrition[[#This Row],[Age]]&gt;=30,"30-39",IF(HR_Employee_Attrition[[#This Row],[Age]]&gt;=20,"20-29",IF(HR_Employee_Attrition[[#This Row],[Age]]&gt;=18,"18-20"))))))</f>
        <v>30-39</v>
      </c>
      <c r="AK884" t="str" cm="1">
        <f t="array" ref="AK884">_xlfn.IFS(HR_Employee_Attrition[[#This Row],[YearsAtCompany]]&lt;=2,"0-2",HR_Employee_Attrition[[#This Row],[YearsAtCompany]]&lt;=5,"3-5",HR_Employee_Attrition[[#This Row],[YearsAtCompany]]&lt;=10,"6-10",HR_Employee_Attrition[[#This Row],[YearsAtCompany]]&gt;10,"10+")</f>
        <v>6-10</v>
      </c>
      <c r="AL884" t="str" cm="1">
        <f t="array" ref="AL88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884">
        <f>IF(HR_Employee_Attrition[[#This Row],[Attrition]]="Yes",1,0)</f>
        <v>0</v>
      </c>
    </row>
    <row r="885" spans="1:39"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IF(HR_Employee_Attrition[[#This Row],[Age]]&gt;60,"60+",IF(HR_Employee_Attrition[[#This Row],[Age]]&gt;=50,"50-59",IF(HR_Employee_Attrition[[#This Row],[Age]]&gt;=40,"40-49",IF(HR_Employee_Attrition[[#This Row],[Age]]&gt;=30,"30-39",IF(HR_Employee_Attrition[[#This Row],[Age]]&gt;=20,"20-29",IF(HR_Employee_Attrition[[#This Row],[Age]]&gt;=18,"18-20"))))))</f>
        <v>30-39</v>
      </c>
      <c r="AK885" t="str" cm="1">
        <f t="array" ref="AK885">_xlfn.IFS(HR_Employee_Attrition[[#This Row],[YearsAtCompany]]&lt;=2,"0-2",HR_Employee_Attrition[[#This Row],[YearsAtCompany]]&lt;=5,"3-5",HR_Employee_Attrition[[#This Row],[YearsAtCompany]]&lt;=10,"6-10",HR_Employee_Attrition[[#This Row],[YearsAtCompany]]&gt;10,"10+")</f>
        <v>10+</v>
      </c>
      <c r="AL885" t="str" cm="1">
        <f t="array" ref="AL88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85">
        <f>IF(HR_Employee_Attrition[[#This Row],[Attrition]]="Yes",1,0)</f>
        <v>0</v>
      </c>
    </row>
    <row r="886" spans="1:39"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IF(HR_Employee_Attrition[[#This Row],[Age]]&gt;60,"60+",IF(HR_Employee_Attrition[[#This Row],[Age]]&gt;=50,"50-59",IF(HR_Employee_Attrition[[#This Row],[Age]]&gt;=40,"40-49",IF(HR_Employee_Attrition[[#This Row],[Age]]&gt;=30,"30-39",IF(HR_Employee_Attrition[[#This Row],[Age]]&gt;=20,"20-29",IF(HR_Employee_Attrition[[#This Row],[Age]]&gt;=18,"18-20"))))))</f>
        <v>40-49</v>
      </c>
      <c r="AK886" t="str" cm="1">
        <f t="array" ref="AK886">_xlfn.IFS(HR_Employee_Attrition[[#This Row],[YearsAtCompany]]&lt;=2,"0-2",HR_Employee_Attrition[[#This Row],[YearsAtCompany]]&lt;=5,"3-5",HR_Employee_Attrition[[#This Row],[YearsAtCompany]]&lt;=10,"6-10",HR_Employee_Attrition[[#This Row],[YearsAtCompany]]&gt;10,"10+")</f>
        <v>3-5</v>
      </c>
      <c r="AL886" t="str" cm="1">
        <f t="array" ref="AL88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86">
        <f>IF(HR_Employee_Attrition[[#This Row],[Attrition]]="Yes",1,0)</f>
        <v>0</v>
      </c>
    </row>
    <row r="887" spans="1:39"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IF(HR_Employee_Attrition[[#This Row],[Age]]&gt;60,"60+",IF(HR_Employee_Attrition[[#This Row],[Age]]&gt;=50,"50-59",IF(HR_Employee_Attrition[[#This Row],[Age]]&gt;=40,"40-49",IF(HR_Employee_Attrition[[#This Row],[Age]]&gt;=30,"30-39",IF(HR_Employee_Attrition[[#This Row],[Age]]&gt;=20,"20-29",IF(HR_Employee_Attrition[[#This Row],[Age]]&gt;=18,"18-20"))))))</f>
        <v>20-29</v>
      </c>
      <c r="AK887" t="str" cm="1">
        <f t="array" ref="AK887">_xlfn.IFS(HR_Employee_Attrition[[#This Row],[YearsAtCompany]]&lt;=2,"0-2",HR_Employee_Attrition[[#This Row],[YearsAtCompany]]&lt;=5,"3-5",HR_Employee_Attrition[[#This Row],[YearsAtCompany]]&lt;=10,"6-10",HR_Employee_Attrition[[#This Row],[YearsAtCompany]]&gt;10,"10+")</f>
        <v>3-5</v>
      </c>
      <c r="AL887" t="str" cm="1">
        <f t="array" ref="AL88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87">
        <f>IF(HR_Employee_Attrition[[#This Row],[Attrition]]="Yes",1,0)</f>
        <v>0</v>
      </c>
    </row>
    <row r="888" spans="1:39"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IF(HR_Employee_Attrition[[#This Row],[Age]]&gt;60,"60+",IF(HR_Employee_Attrition[[#This Row],[Age]]&gt;=50,"50-59",IF(HR_Employee_Attrition[[#This Row],[Age]]&gt;=40,"40-49",IF(HR_Employee_Attrition[[#This Row],[Age]]&gt;=30,"30-39",IF(HR_Employee_Attrition[[#This Row],[Age]]&gt;=20,"20-29",IF(HR_Employee_Attrition[[#This Row],[Age]]&gt;=18,"18-20"))))))</f>
        <v>30-39</v>
      </c>
      <c r="AK888" t="str" cm="1">
        <f t="array" ref="AK888">_xlfn.IFS(HR_Employee_Attrition[[#This Row],[YearsAtCompany]]&lt;=2,"0-2",HR_Employee_Attrition[[#This Row],[YearsAtCompany]]&lt;=5,"3-5",HR_Employee_Attrition[[#This Row],[YearsAtCompany]]&lt;=10,"6-10",HR_Employee_Attrition[[#This Row],[YearsAtCompany]]&gt;10,"10+")</f>
        <v>10+</v>
      </c>
      <c r="AL888" t="str" cm="1">
        <f t="array" ref="AL88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88">
        <f>IF(HR_Employee_Attrition[[#This Row],[Attrition]]="Yes",1,0)</f>
        <v>0</v>
      </c>
    </row>
    <row r="889" spans="1:39"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IF(HR_Employee_Attrition[[#This Row],[Age]]&gt;60,"60+",IF(HR_Employee_Attrition[[#This Row],[Age]]&gt;=50,"50-59",IF(HR_Employee_Attrition[[#This Row],[Age]]&gt;=40,"40-49",IF(HR_Employee_Attrition[[#This Row],[Age]]&gt;=30,"30-39",IF(HR_Employee_Attrition[[#This Row],[Age]]&gt;=20,"20-29",IF(HR_Employee_Attrition[[#This Row],[Age]]&gt;=18,"18-20"))))))</f>
        <v>40-49</v>
      </c>
      <c r="AK889" t="str" cm="1">
        <f t="array" ref="AK889">_xlfn.IFS(HR_Employee_Attrition[[#This Row],[YearsAtCompany]]&lt;=2,"0-2",HR_Employee_Attrition[[#This Row],[YearsAtCompany]]&lt;=5,"3-5",HR_Employee_Attrition[[#This Row],[YearsAtCompany]]&lt;=10,"6-10",HR_Employee_Attrition[[#This Row],[YearsAtCompany]]&gt;10,"10+")</f>
        <v>0-2</v>
      </c>
      <c r="AL889" t="str" cm="1">
        <f t="array" ref="AL88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889">
        <f>IF(HR_Employee_Attrition[[#This Row],[Attrition]]="Yes",1,0)</f>
        <v>0</v>
      </c>
    </row>
    <row r="890" spans="1:39"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IF(HR_Employee_Attrition[[#This Row],[Age]]&gt;60,"60+",IF(HR_Employee_Attrition[[#This Row],[Age]]&gt;=50,"50-59",IF(HR_Employee_Attrition[[#This Row],[Age]]&gt;=40,"40-49",IF(HR_Employee_Attrition[[#This Row],[Age]]&gt;=30,"30-39",IF(HR_Employee_Attrition[[#This Row],[Age]]&gt;=20,"20-29",IF(HR_Employee_Attrition[[#This Row],[Age]]&gt;=18,"18-20"))))))</f>
        <v>30-39</v>
      </c>
      <c r="AK890" t="str" cm="1">
        <f t="array" ref="AK890">_xlfn.IFS(HR_Employee_Attrition[[#This Row],[YearsAtCompany]]&lt;=2,"0-2",HR_Employee_Attrition[[#This Row],[YearsAtCompany]]&lt;=5,"3-5",HR_Employee_Attrition[[#This Row],[YearsAtCompany]]&lt;=10,"6-10",HR_Employee_Attrition[[#This Row],[YearsAtCompany]]&gt;10,"10+")</f>
        <v>10+</v>
      </c>
      <c r="AL890" t="str" cm="1">
        <f t="array" ref="AL89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890">
        <f>IF(HR_Employee_Attrition[[#This Row],[Attrition]]="Yes",1,0)</f>
        <v>0</v>
      </c>
    </row>
    <row r="891" spans="1:39"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IF(HR_Employee_Attrition[[#This Row],[Age]]&gt;60,"60+",IF(HR_Employee_Attrition[[#This Row],[Age]]&gt;=50,"50-59",IF(HR_Employee_Attrition[[#This Row],[Age]]&gt;=40,"40-49",IF(HR_Employee_Attrition[[#This Row],[Age]]&gt;=30,"30-39",IF(HR_Employee_Attrition[[#This Row],[Age]]&gt;=20,"20-29",IF(HR_Employee_Attrition[[#This Row],[Age]]&gt;=18,"18-20"))))))</f>
        <v>20-29</v>
      </c>
      <c r="AK891" t="str" cm="1">
        <f t="array" ref="AK891">_xlfn.IFS(HR_Employee_Attrition[[#This Row],[YearsAtCompany]]&lt;=2,"0-2",HR_Employee_Attrition[[#This Row],[YearsAtCompany]]&lt;=5,"3-5",HR_Employee_Attrition[[#This Row],[YearsAtCompany]]&lt;=10,"6-10",HR_Employee_Attrition[[#This Row],[YearsAtCompany]]&gt;10,"10+")</f>
        <v>6-10</v>
      </c>
      <c r="AL891" t="str" cm="1">
        <f t="array" ref="AL89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91">
        <f>IF(HR_Employee_Attrition[[#This Row],[Attrition]]="Yes",1,0)</f>
        <v>0</v>
      </c>
    </row>
    <row r="892" spans="1:39"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IF(HR_Employee_Attrition[[#This Row],[Age]]&gt;60,"60+",IF(HR_Employee_Attrition[[#This Row],[Age]]&gt;=50,"50-59",IF(HR_Employee_Attrition[[#This Row],[Age]]&gt;=40,"40-49",IF(HR_Employee_Attrition[[#This Row],[Age]]&gt;=30,"30-39",IF(HR_Employee_Attrition[[#This Row],[Age]]&gt;=20,"20-29",IF(HR_Employee_Attrition[[#This Row],[Age]]&gt;=18,"18-20"))))))</f>
        <v>50-59</v>
      </c>
      <c r="AK892" t="str" cm="1">
        <f t="array" ref="AK892">_xlfn.IFS(HR_Employee_Attrition[[#This Row],[YearsAtCompany]]&lt;=2,"0-2",HR_Employee_Attrition[[#This Row],[YearsAtCompany]]&lt;=5,"3-5",HR_Employee_Attrition[[#This Row],[YearsAtCompany]]&lt;=10,"6-10",HR_Employee_Attrition[[#This Row],[YearsAtCompany]]&gt;10,"10+")</f>
        <v>3-5</v>
      </c>
      <c r="AL892" t="str" cm="1">
        <f t="array" ref="AL89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892">
        <f>IF(HR_Employee_Attrition[[#This Row],[Attrition]]="Yes",1,0)</f>
        <v>0</v>
      </c>
    </row>
    <row r="893" spans="1:39"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IF(HR_Employee_Attrition[[#This Row],[Age]]&gt;60,"60+",IF(HR_Employee_Attrition[[#This Row],[Age]]&gt;=50,"50-59",IF(HR_Employee_Attrition[[#This Row],[Age]]&gt;=40,"40-49",IF(HR_Employee_Attrition[[#This Row],[Age]]&gt;=30,"30-39",IF(HR_Employee_Attrition[[#This Row],[Age]]&gt;=20,"20-29",IF(HR_Employee_Attrition[[#This Row],[Age]]&gt;=18,"18-20"))))))</f>
        <v>40-49</v>
      </c>
      <c r="AK893" t="str" cm="1">
        <f t="array" ref="AK893">_xlfn.IFS(HR_Employee_Attrition[[#This Row],[YearsAtCompany]]&lt;=2,"0-2",HR_Employee_Attrition[[#This Row],[YearsAtCompany]]&lt;=5,"3-5",HR_Employee_Attrition[[#This Row],[YearsAtCompany]]&lt;=10,"6-10",HR_Employee_Attrition[[#This Row],[YearsAtCompany]]&gt;10,"10+")</f>
        <v>6-10</v>
      </c>
      <c r="AL893" t="str" cm="1">
        <f t="array" ref="AL89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93">
        <f>IF(HR_Employee_Attrition[[#This Row],[Attrition]]="Yes",1,0)</f>
        <v>0</v>
      </c>
    </row>
    <row r="894" spans="1:39"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IF(HR_Employee_Attrition[[#This Row],[Age]]&gt;60,"60+",IF(HR_Employee_Attrition[[#This Row],[Age]]&gt;=50,"50-59",IF(HR_Employee_Attrition[[#This Row],[Age]]&gt;=40,"40-49",IF(HR_Employee_Attrition[[#This Row],[Age]]&gt;=30,"30-39",IF(HR_Employee_Attrition[[#This Row],[Age]]&gt;=20,"20-29",IF(HR_Employee_Attrition[[#This Row],[Age]]&gt;=18,"18-20"))))))</f>
        <v>18-20</v>
      </c>
      <c r="AK894" t="str" cm="1">
        <f t="array" ref="AK894">_xlfn.IFS(HR_Employee_Attrition[[#This Row],[YearsAtCompany]]&lt;=2,"0-2",HR_Employee_Attrition[[#This Row],[YearsAtCompany]]&lt;=5,"3-5",HR_Employee_Attrition[[#This Row],[YearsAtCompany]]&lt;=10,"6-10",HR_Employee_Attrition[[#This Row],[YearsAtCompany]]&gt;10,"10+")</f>
        <v>0-2</v>
      </c>
      <c r="AL894" t="str" cm="1">
        <f t="array" ref="AL89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94">
        <f>IF(HR_Employee_Attrition[[#This Row],[Attrition]]="Yes",1,0)</f>
        <v>1</v>
      </c>
    </row>
    <row r="895" spans="1:39"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IF(HR_Employee_Attrition[[#This Row],[Age]]&gt;60,"60+",IF(HR_Employee_Attrition[[#This Row],[Age]]&gt;=50,"50-59",IF(HR_Employee_Attrition[[#This Row],[Age]]&gt;=40,"40-49",IF(HR_Employee_Attrition[[#This Row],[Age]]&gt;=30,"30-39",IF(HR_Employee_Attrition[[#This Row],[Age]]&gt;=20,"20-29",IF(HR_Employee_Attrition[[#This Row],[Age]]&gt;=18,"18-20"))))))</f>
        <v>20-29</v>
      </c>
      <c r="AK895" t="str" cm="1">
        <f t="array" ref="AK895">_xlfn.IFS(HR_Employee_Attrition[[#This Row],[YearsAtCompany]]&lt;=2,"0-2",HR_Employee_Attrition[[#This Row],[YearsAtCompany]]&lt;=5,"3-5",HR_Employee_Attrition[[#This Row],[YearsAtCompany]]&lt;=10,"6-10",HR_Employee_Attrition[[#This Row],[YearsAtCompany]]&gt;10,"10+")</f>
        <v>3-5</v>
      </c>
      <c r="AL895" t="str" cm="1">
        <f t="array" ref="AL89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895">
        <f>IF(HR_Employee_Attrition[[#This Row],[Attrition]]="Yes",1,0)</f>
        <v>0</v>
      </c>
    </row>
    <row r="896" spans="1:39"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IF(HR_Employee_Attrition[[#This Row],[Age]]&gt;60,"60+",IF(HR_Employee_Attrition[[#This Row],[Age]]&gt;=50,"50-59",IF(HR_Employee_Attrition[[#This Row],[Age]]&gt;=40,"40-49",IF(HR_Employee_Attrition[[#This Row],[Age]]&gt;=30,"30-39",IF(HR_Employee_Attrition[[#This Row],[Age]]&gt;=20,"20-29",IF(HR_Employee_Attrition[[#This Row],[Age]]&gt;=18,"18-20"))))))</f>
        <v>50-59</v>
      </c>
      <c r="AK896" t="str" cm="1">
        <f t="array" ref="AK896">_xlfn.IFS(HR_Employee_Attrition[[#This Row],[YearsAtCompany]]&lt;=2,"0-2",HR_Employee_Attrition[[#This Row],[YearsAtCompany]]&lt;=5,"3-5",HR_Employee_Attrition[[#This Row],[YearsAtCompany]]&lt;=10,"6-10",HR_Employee_Attrition[[#This Row],[YearsAtCompany]]&gt;10,"10+")</f>
        <v>6-10</v>
      </c>
      <c r="AL896" t="str" cm="1">
        <f t="array" ref="AL89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896">
        <f>IF(HR_Employee_Attrition[[#This Row],[Attrition]]="Yes",1,0)</f>
        <v>0</v>
      </c>
    </row>
    <row r="897" spans="1:39"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IF(HR_Employee_Attrition[[#This Row],[Age]]&gt;60,"60+",IF(HR_Employee_Attrition[[#This Row],[Age]]&gt;=50,"50-59",IF(HR_Employee_Attrition[[#This Row],[Age]]&gt;=40,"40-49",IF(HR_Employee_Attrition[[#This Row],[Age]]&gt;=30,"30-39",IF(HR_Employee_Attrition[[#This Row],[Age]]&gt;=20,"20-29",IF(HR_Employee_Attrition[[#This Row],[Age]]&gt;=18,"18-20"))))))</f>
        <v>30-39</v>
      </c>
      <c r="AK897" t="str" cm="1">
        <f t="array" ref="AK897">_xlfn.IFS(HR_Employee_Attrition[[#This Row],[YearsAtCompany]]&lt;=2,"0-2",HR_Employee_Attrition[[#This Row],[YearsAtCompany]]&lt;=5,"3-5",HR_Employee_Attrition[[#This Row],[YearsAtCompany]]&lt;=10,"6-10",HR_Employee_Attrition[[#This Row],[YearsAtCompany]]&gt;10,"10+")</f>
        <v>6-10</v>
      </c>
      <c r="AL897" t="str" cm="1">
        <f t="array" ref="AL89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97">
        <f>IF(HR_Employee_Attrition[[#This Row],[Attrition]]="Yes",1,0)</f>
        <v>0</v>
      </c>
    </row>
    <row r="898" spans="1:39"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IF(HR_Employee_Attrition[[#This Row],[Age]]&gt;60,"60+",IF(HR_Employee_Attrition[[#This Row],[Age]]&gt;=50,"50-59",IF(HR_Employee_Attrition[[#This Row],[Age]]&gt;=40,"40-49",IF(HR_Employee_Attrition[[#This Row],[Age]]&gt;=30,"30-39",IF(HR_Employee_Attrition[[#This Row],[Age]]&gt;=20,"20-29",IF(HR_Employee_Attrition[[#This Row],[Age]]&gt;=18,"18-20"))))))</f>
        <v>30-39</v>
      </c>
      <c r="AK898" t="str" cm="1">
        <f t="array" ref="AK898">_xlfn.IFS(HR_Employee_Attrition[[#This Row],[YearsAtCompany]]&lt;=2,"0-2",HR_Employee_Attrition[[#This Row],[YearsAtCompany]]&lt;=5,"3-5",HR_Employee_Attrition[[#This Row],[YearsAtCompany]]&lt;=10,"6-10",HR_Employee_Attrition[[#This Row],[YearsAtCompany]]&gt;10,"10+")</f>
        <v>6-10</v>
      </c>
      <c r="AL898" t="str" cm="1">
        <f t="array" ref="AL89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98">
        <f>IF(HR_Employee_Attrition[[#This Row],[Attrition]]="Yes",1,0)</f>
        <v>0</v>
      </c>
    </row>
    <row r="899" spans="1:39"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IF(HR_Employee_Attrition[[#This Row],[Age]]&gt;60,"60+",IF(HR_Employee_Attrition[[#This Row],[Age]]&gt;=50,"50-59",IF(HR_Employee_Attrition[[#This Row],[Age]]&gt;=40,"40-49",IF(HR_Employee_Attrition[[#This Row],[Age]]&gt;=30,"30-39",IF(HR_Employee_Attrition[[#This Row],[Age]]&gt;=20,"20-29",IF(HR_Employee_Attrition[[#This Row],[Age]]&gt;=18,"18-20"))))))</f>
        <v>50-59</v>
      </c>
      <c r="AK899" t="str" cm="1">
        <f t="array" ref="AK899">_xlfn.IFS(HR_Employee_Attrition[[#This Row],[YearsAtCompany]]&lt;=2,"0-2",HR_Employee_Attrition[[#This Row],[YearsAtCompany]]&lt;=5,"3-5",HR_Employee_Attrition[[#This Row],[YearsAtCompany]]&lt;=10,"6-10",HR_Employee_Attrition[[#This Row],[YearsAtCompany]]&gt;10,"10+")</f>
        <v>6-10</v>
      </c>
      <c r="AL899" t="str" cm="1">
        <f t="array" ref="AL89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899">
        <f>IF(HR_Employee_Attrition[[#This Row],[Attrition]]="Yes",1,0)</f>
        <v>0</v>
      </c>
    </row>
    <row r="900" spans="1:39"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IF(HR_Employee_Attrition[[#This Row],[Age]]&gt;60,"60+",IF(HR_Employee_Attrition[[#This Row],[Age]]&gt;=50,"50-59",IF(HR_Employee_Attrition[[#This Row],[Age]]&gt;=40,"40-49",IF(HR_Employee_Attrition[[#This Row],[Age]]&gt;=30,"30-39",IF(HR_Employee_Attrition[[#This Row],[Age]]&gt;=20,"20-29",IF(HR_Employee_Attrition[[#This Row],[Age]]&gt;=18,"18-20"))))))</f>
        <v>40-49</v>
      </c>
      <c r="AK900" t="str" cm="1">
        <f t="array" ref="AK900">_xlfn.IFS(HR_Employee_Attrition[[#This Row],[YearsAtCompany]]&lt;=2,"0-2",HR_Employee_Attrition[[#This Row],[YearsAtCompany]]&lt;=5,"3-5",HR_Employee_Attrition[[#This Row],[YearsAtCompany]]&lt;=10,"6-10",HR_Employee_Attrition[[#This Row],[YearsAtCompany]]&gt;10,"10+")</f>
        <v>6-10</v>
      </c>
      <c r="AL900" t="str" cm="1">
        <f t="array" ref="AL90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00">
        <f>IF(HR_Employee_Attrition[[#This Row],[Attrition]]="Yes",1,0)</f>
        <v>0</v>
      </c>
    </row>
    <row r="901" spans="1:39"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IF(HR_Employee_Attrition[[#This Row],[Age]]&gt;60,"60+",IF(HR_Employee_Attrition[[#This Row],[Age]]&gt;=50,"50-59",IF(HR_Employee_Attrition[[#This Row],[Age]]&gt;=40,"40-49",IF(HR_Employee_Attrition[[#This Row],[Age]]&gt;=30,"30-39",IF(HR_Employee_Attrition[[#This Row],[Age]]&gt;=20,"20-29",IF(HR_Employee_Attrition[[#This Row],[Age]]&gt;=18,"18-20"))))))</f>
        <v>40-49</v>
      </c>
      <c r="AK901" t="str" cm="1">
        <f t="array" ref="AK901">_xlfn.IFS(HR_Employee_Attrition[[#This Row],[YearsAtCompany]]&lt;=2,"0-2",HR_Employee_Attrition[[#This Row],[YearsAtCompany]]&lt;=5,"3-5",HR_Employee_Attrition[[#This Row],[YearsAtCompany]]&lt;=10,"6-10",HR_Employee_Attrition[[#This Row],[YearsAtCompany]]&gt;10,"10+")</f>
        <v>0-2</v>
      </c>
      <c r="AL901" t="str" cm="1">
        <f t="array" ref="AL90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01">
        <f>IF(HR_Employee_Attrition[[#This Row],[Attrition]]="Yes",1,0)</f>
        <v>0</v>
      </c>
    </row>
    <row r="902" spans="1:39"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IF(HR_Employee_Attrition[[#This Row],[Age]]&gt;60,"60+",IF(HR_Employee_Attrition[[#This Row],[Age]]&gt;=50,"50-59",IF(HR_Employee_Attrition[[#This Row],[Age]]&gt;=40,"40-49",IF(HR_Employee_Attrition[[#This Row],[Age]]&gt;=30,"30-39",IF(HR_Employee_Attrition[[#This Row],[Age]]&gt;=20,"20-29",IF(HR_Employee_Attrition[[#This Row],[Age]]&gt;=18,"18-20"))))))</f>
        <v>30-39</v>
      </c>
      <c r="AK902" t="str" cm="1">
        <f t="array" ref="AK902">_xlfn.IFS(HR_Employee_Attrition[[#This Row],[YearsAtCompany]]&lt;=2,"0-2",HR_Employee_Attrition[[#This Row],[YearsAtCompany]]&lt;=5,"3-5",HR_Employee_Attrition[[#This Row],[YearsAtCompany]]&lt;=10,"6-10",HR_Employee_Attrition[[#This Row],[YearsAtCompany]]&gt;10,"10+")</f>
        <v>10+</v>
      </c>
      <c r="AL902" t="str" cm="1">
        <f t="array" ref="AL90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02">
        <f>IF(HR_Employee_Attrition[[#This Row],[Attrition]]="Yes",1,0)</f>
        <v>0</v>
      </c>
    </row>
    <row r="903" spans="1:39"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IF(HR_Employee_Attrition[[#This Row],[Age]]&gt;60,"60+",IF(HR_Employee_Attrition[[#This Row],[Age]]&gt;=50,"50-59",IF(HR_Employee_Attrition[[#This Row],[Age]]&gt;=40,"40-49",IF(HR_Employee_Attrition[[#This Row],[Age]]&gt;=30,"30-39",IF(HR_Employee_Attrition[[#This Row],[Age]]&gt;=20,"20-29",IF(HR_Employee_Attrition[[#This Row],[Age]]&gt;=18,"18-20"))))))</f>
        <v>40-49</v>
      </c>
      <c r="AK903" t="str" cm="1">
        <f t="array" ref="AK903">_xlfn.IFS(HR_Employee_Attrition[[#This Row],[YearsAtCompany]]&lt;=2,"0-2",HR_Employee_Attrition[[#This Row],[YearsAtCompany]]&lt;=5,"3-5",HR_Employee_Attrition[[#This Row],[YearsAtCompany]]&lt;=10,"6-10",HR_Employee_Attrition[[#This Row],[YearsAtCompany]]&gt;10,"10+")</f>
        <v>0-2</v>
      </c>
      <c r="AL903" t="str" cm="1">
        <f t="array" ref="AL90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03">
        <f>IF(HR_Employee_Attrition[[#This Row],[Attrition]]="Yes",1,0)</f>
        <v>0</v>
      </c>
    </row>
    <row r="904" spans="1:39"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IF(HR_Employee_Attrition[[#This Row],[Age]]&gt;60,"60+",IF(HR_Employee_Attrition[[#This Row],[Age]]&gt;=50,"50-59",IF(HR_Employee_Attrition[[#This Row],[Age]]&gt;=40,"40-49",IF(HR_Employee_Attrition[[#This Row],[Age]]&gt;=30,"30-39",IF(HR_Employee_Attrition[[#This Row],[Age]]&gt;=20,"20-29",IF(HR_Employee_Attrition[[#This Row],[Age]]&gt;=18,"18-20"))))))</f>
        <v>20-29</v>
      </c>
      <c r="AK904" t="str" cm="1">
        <f t="array" ref="AK904">_xlfn.IFS(HR_Employee_Attrition[[#This Row],[YearsAtCompany]]&lt;=2,"0-2",HR_Employee_Attrition[[#This Row],[YearsAtCompany]]&lt;=5,"3-5",HR_Employee_Attrition[[#This Row],[YearsAtCompany]]&lt;=10,"6-10",HR_Employee_Attrition[[#This Row],[YearsAtCompany]]&gt;10,"10+")</f>
        <v>3-5</v>
      </c>
      <c r="AL904" t="str" cm="1">
        <f t="array" ref="AL90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04">
        <f>IF(HR_Employee_Attrition[[#This Row],[Attrition]]="Yes",1,0)</f>
        <v>0</v>
      </c>
    </row>
    <row r="905" spans="1:39"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IF(HR_Employee_Attrition[[#This Row],[Age]]&gt;60,"60+",IF(HR_Employee_Attrition[[#This Row],[Age]]&gt;=50,"50-59",IF(HR_Employee_Attrition[[#This Row],[Age]]&gt;=40,"40-49",IF(HR_Employee_Attrition[[#This Row],[Age]]&gt;=30,"30-39",IF(HR_Employee_Attrition[[#This Row],[Age]]&gt;=20,"20-29",IF(HR_Employee_Attrition[[#This Row],[Age]]&gt;=18,"18-20"))))))</f>
        <v>20-29</v>
      </c>
      <c r="AK905" t="str" cm="1">
        <f t="array" ref="AK905">_xlfn.IFS(HR_Employee_Attrition[[#This Row],[YearsAtCompany]]&lt;=2,"0-2",HR_Employee_Attrition[[#This Row],[YearsAtCompany]]&lt;=5,"3-5",HR_Employee_Attrition[[#This Row],[YearsAtCompany]]&lt;=10,"6-10",HR_Employee_Attrition[[#This Row],[YearsAtCompany]]&gt;10,"10+")</f>
        <v>6-10</v>
      </c>
      <c r="AL905" t="str" cm="1">
        <f t="array" ref="AL90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05">
        <f>IF(HR_Employee_Attrition[[#This Row],[Attrition]]="Yes",1,0)</f>
        <v>0</v>
      </c>
    </row>
    <row r="906" spans="1:39"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IF(HR_Employee_Attrition[[#This Row],[Age]]&gt;60,"60+",IF(HR_Employee_Attrition[[#This Row],[Age]]&gt;=50,"50-59",IF(HR_Employee_Attrition[[#This Row],[Age]]&gt;=40,"40-49",IF(HR_Employee_Attrition[[#This Row],[Age]]&gt;=30,"30-39",IF(HR_Employee_Attrition[[#This Row],[Age]]&gt;=20,"20-29",IF(HR_Employee_Attrition[[#This Row],[Age]]&gt;=18,"18-20"))))))</f>
        <v>40-49</v>
      </c>
      <c r="AK906" t="str" cm="1">
        <f t="array" ref="AK906">_xlfn.IFS(HR_Employee_Attrition[[#This Row],[YearsAtCompany]]&lt;=2,"0-2",HR_Employee_Attrition[[#This Row],[YearsAtCompany]]&lt;=5,"3-5",HR_Employee_Attrition[[#This Row],[YearsAtCompany]]&lt;=10,"6-10",HR_Employee_Attrition[[#This Row],[YearsAtCompany]]&gt;10,"10+")</f>
        <v>0-2</v>
      </c>
      <c r="AL906" t="str" cm="1">
        <f t="array" ref="AL90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06">
        <f>IF(HR_Employee_Attrition[[#This Row],[Attrition]]="Yes",1,0)</f>
        <v>0</v>
      </c>
    </row>
    <row r="907" spans="1:39"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IF(HR_Employee_Attrition[[#This Row],[Age]]&gt;60,"60+",IF(HR_Employee_Attrition[[#This Row],[Age]]&gt;=50,"50-59",IF(HR_Employee_Attrition[[#This Row],[Age]]&gt;=40,"40-49",IF(HR_Employee_Attrition[[#This Row],[Age]]&gt;=30,"30-39",IF(HR_Employee_Attrition[[#This Row],[Age]]&gt;=20,"20-29",IF(HR_Employee_Attrition[[#This Row],[Age]]&gt;=18,"18-20"))))))</f>
        <v>20-29</v>
      </c>
      <c r="AK907" t="str" cm="1">
        <f t="array" ref="AK907">_xlfn.IFS(HR_Employee_Attrition[[#This Row],[YearsAtCompany]]&lt;=2,"0-2",HR_Employee_Attrition[[#This Row],[YearsAtCompany]]&lt;=5,"3-5",HR_Employee_Attrition[[#This Row],[YearsAtCompany]]&lt;=10,"6-10",HR_Employee_Attrition[[#This Row],[YearsAtCompany]]&gt;10,"10+")</f>
        <v>6-10</v>
      </c>
      <c r="AL907" t="str" cm="1">
        <f t="array" ref="AL90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07">
        <f>IF(HR_Employee_Attrition[[#This Row],[Attrition]]="Yes",1,0)</f>
        <v>0</v>
      </c>
    </row>
    <row r="908" spans="1:39"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IF(HR_Employee_Attrition[[#This Row],[Age]]&gt;60,"60+",IF(HR_Employee_Attrition[[#This Row],[Age]]&gt;=50,"50-59",IF(HR_Employee_Attrition[[#This Row],[Age]]&gt;=40,"40-49",IF(HR_Employee_Attrition[[#This Row],[Age]]&gt;=30,"30-39",IF(HR_Employee_Attrition[[#This Row],[Age]]&gt;=20,"20-29",IF(HR_Employee_Attrition[[#This Row],[Age]]&gt;=18,"18-20"))))))</f>
        <v>30-39</v>
      </c>
      <c r="AK908" t="str" cm="1">
        <f t="array" ref="AK908">_xlfn.IFS(HR_Employee_Attrition[[#This Row],[YearsAtCompany]]&lt;=2,"0-2",HR_Employee_Attrition[[#This Row],[YearsAtCompany]]&lt;=5,"3-5",HR_Employee_Attrition[[#This Row],[YearsAtCompany]]&lt;=10,"6-10",HR_Employee_Attrition[[#This Row],[YearsAtCompany]]&gt;10,"10+")</f>
        <v>0-2</v>
      </c>
      <c r="AL908" t="str" cm="1">
        <f t="array" ref="AL90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08">
        <f>IF(HR_Employee_Attrition[[#This Row],[Attrition]]="Yes",1,0)</f>
        <v>0</v>
      </c>
    </row>
    <row r="909" spans="1:39"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IF(HR_Employee_Attrition[[#This Row],[Age]]&gt;60,"60+",IF(HR_Employee_Attrition[[#This Row],[Age]]&gt;=50,"50-59",IF(HR_Employee_Attrition[[#This Row],[Age]]&gt;=40,"40-49",IF(HR_Employee_Attrition[[#This Row],[Age]]&gt;=30,"30-39",IF(HR_Employee_Attrition[[#This Row],[Age]]&gt;=20,"20-29",IF(HR_Employee_Attrition[[#This Row],[Age]]&gt;=18,"18-20"))))))</f>
        <v>40-49</v>
      </c>
      <c r="AK909" t="str" cm="1">
        <f t="array" ref="AK909">_xlfn.IFS(HR_Employee_Attrition[[#This Row],[YearsAtCompany]]&lt;=2,"0-2",HR_Employee_Attrition[[#This Row],[YearsAtCompany]]&lt;=5,"3-5",HR_Employee_Attrition[[#This Row],[YearsAtCompany]]&lt;=10,"6-10",HR_Employee_Attrition[[#This Row],[YearsAtCompany]]&gt;10,"10+")</f>
        <v>10+</v>
      </c>
      <c r="AL909" t="str" cm="1">
        <f t="array" ref="AL90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09">
        <f>IF(HR_Employee_Attrition[[#This Row],[Attrition]]="Yes",1,0)</f>
        <v>0</v>
      </c>
    </row>
    <row r="910" spans="1:39"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IF(HR_Employee_Attrition[[#This Row],[Age]]&gt;60,"60+",IF(HR_Employee_Attrition[[#This Row],[Age]]&gt;=50,"50-59",IF(HR_Employee_Attrition[[#This Row],[Age]]&gt;=40,"40-49",IF(HR_Employee_Attrition[[#This Row],[Age]]&gt;=30,"30-39",IF(HR_Employee_Attrition[[#This Row],[Age]]&gt;=20,"20-29",IF(HR_Employee_Attrition[[#This Row],[Age]]&gt;=18,"18-20"))))))</f>
        <v>30-39</v>
      </c>
      <c r="AK910" t="str" cm="1">
        <f t="array" ref="AK910">_xlfn.IFS(HR_Employee_Attrition[[#This Row],[YearsAtCompany]]&lt;=2,"0-2",HR_Employee_Attrition[[#This Row],[YearsAtCompany]]&lt;=5,"3-5",HR_Employee_Attrition[[#This Row],[YearsAtCompany]]&lt;=10,"6-10",HR_Employee_Attrition[[#This Row],[YearsAtCompany]]&gt;10,"10+")</f>
        <v>6-10</v>
      </c>
      <c r="AL910" t="str" cm="1">
        <f t="array" ref="AL9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10">
        <f>IF(HR_Employee_Attrition[[#This Row],[Attrition]]="Yes",1,0)</f>
        <v>0</v>
      </c>
    </row>
    <row r="911" spans="1:39"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IF(HR_Employee_Attrition[[#This Row],[Age]]&gt;60,"60+",IF(HR_Employee_Attrition[[#This Row],[Age]]&gt;=50,"50-59",IF(HR_Employee_Attrition[[#This Row],[Age]]&gt;=40,"40-49",IF(HR_Employee_Attrition[[#This Row],[Age]]&gt;=30,"30-39",IF(HR_Employee_Attrition[[#This Row],[Age]]&gt;=20,"20-29",IF(HR_Employee_Attrition[[#This Row],[Age]]&gt;=18,"18-20"))))))</f>
        <v>18-20</v>
      </c>
      <c r="AK911" t="str" cm="1">
        <f t="array" ref="AK911">_xlfn.IFS(HR_Employee_Attrition[[#This Row],[YearsAtCompany]]&lt;=2,"0-2",HR_Employee_Attrition[[#This Row],[YearsAtCompany]]&lt;=5,"3-5",HR_Employee_Attrition[[#This Row],[YearsAtCompany]]&lt;=10,"6-10",HR_Employee_Attrition[[#This Row],[YearsAtCompany]]&gt;10,"10+")</f>
        <v>0-2</v>
      </c>
      <c r="AL911" t="str" cm="1">
        <f t="array" ref="AL9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11">
        <f>IF(HR_Employee_Attrition[[#This Row],[Attrition]]="Yes",1,0)</f>
        <v>0</v>
      </c>
    </row>
    <row r="912" spans="1:39"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IF(HR_Employee_Attrition[[#This Row],[Age]]&gt;60,"60+",IF(HR_Employee_Attrition[[#This Row],[Age]]&gt;=50,"50-59",IF(HR_Employee_Attrition[[#This Row],[Age]]&gt;=40,"40-49",IF(HR_Employee_Attrition[[#This Row],[Age]]&gt;=30,"30-39",IF(HR_Employee_Attrition[[#This Row],[Age]]&gt;=20,"20-29",IF(HR_Employee_Attrition[[#This Row],[Age]]&gt;=18,"18-20"))))))</f>
        <v>20-29</v>
      </c>
      <c r="AK912" t="str" cm="1">
        <f t="array" ref="AK912">_xlfn.IFS(HR_Employee_Attrition[[#This Row],[YearsAtCompany]]&lt;=2,"0-2",HR_Employee_Attrition[[#This Row],[YearsAtCompany]]&lt;=5,"3-5",HR_Employee_Attrition[[#This Row],[YearsAtCompany]]&lt;=10,"6-10",HR_Employee_Attrition[[#This Row],[YearsAtCompany]]&gt;10,"10+")</f>
        <v>0-2</v>
      </c>
      <c r="AL912" t="str" cm="1">
        <f t="array" ref="AL9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12">
        <f>IF(HR_Employee_Attrition[[#This Row],[Attrition]]="Yes",1,0)</f>
        <v>0</v>
      </c>
    </row>
    <row r="913" spans="1:39"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IF(HR_Employee_Attrition[[#This Row],[Age]]&gt;60,"60+",IF(HR_Employee_Attrition[[#This Row],[Age]]&gt;=50,"50-59",IF(HR_Employee_Attrition[[#This Row],[Age]]&gt;=40,"40-49",IF(HR_Employee_Attrition[[#This Row],[Age]]&gt;=30,"30-39",IF(HR_Employee_Attrition[[#This Row],[Age]]&gt;=20,"20-29",IF(HR_Employee_Attrition[[#This Row],[Age]]&gt;=18,"18-20"))))))</f>
        <v>20-29</v>
      </c>
      <c r="AK913" t="str" cm="1">
        <f t="array" ref="AK913">_xlfn.IFS(HR_Employee_Attrition[[#This Row],[YearsAtCompany]]&lt;=2,"0-2",HR_Employee_Attrition[[#This Row],[YearsAtCompany]]&lt;=5,"3-5",HR_Employee_Attrition[[#This Row],[YearsAtCompany]]&lt;=10,"6-10",HR_Employee_Attrition[[#This Row],[YearsAtCompany]]&gt;10,"10+")</f>
        <v>0-2</v>
      </c>
      <c r="AL913" t="str" cm="1">
        <f t="array" ref="AL9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13">
        <f>IF(HR_Employee_Attrition[[#This Row],[Attrition]]="Yes",1,0)</f>
        <v>1</v>
      </c>
    </row>
    <row r="914" spans="1:39"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IF(HR_Employee_Attrition[[#This Row],[Age]]&gt;60,"60+",IF(HR_Employee_Attrition[[#This Row],[Age]]&gt;=50,"50-59",IF(HR_Employee_Attrition[[#This Row],[Age]]&gt;=40,"40-49",IF(HR_Employee_Attrition[[#This Row],[Age]]&gt;=30,"30-39",IF(HR_Employee_Attrition[[#This Row],[Age]]&gt;=20,"20-29",IF(HR_Employee_Attrition[[#This Row],[Age]]&gt;=18,"18-20"))))))</f>
        <v>20-29</v>
      </c>
      <c r="AK914" t="str" cm="1">
        <f t="array" ref="AK914">_xlfn.IFS(HR_Employee_Attrition[[#This Row],[YearsAtCompany]]&lt;=2,"0-2",HR_Employee_Attrition[[#This Row],[YearsAtCompany]]&lt;=5,"3-5",HR_Employee_Attrition[[#This Row],[YearsAtCompany]]&lt;=10,"6-10",HR_Employee_Attrition[[#This Row],[YearsAtCompany]]&gt;10,"10+")</f>
        <v>6-10</v>
      </c>
      <c r="AL914" t="str" cm="1">
        <f t="array" ref="AL9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14">
        <f>IF(HR_Employee_Attrition[[#This Row],[Attrition]]="Yes",1,0)</f>
        <v>0</v>
      </c>
    </row>
    <row r="915" spans="1:39"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IF(HR_Employee_Attrition[[#This Row],[Age]]&gt;60,"60+",IF(HR_Employee_Attrition[[#This Row],[Age]]&gt;=50,"50-59",IF(HR_Employee_Attrition[[#This Row],[Age]]&gt;=40,"40-49",IF(HR_Employee_Attrition[[#This Row],[Age]]&gt;=30,"30-39",IF(HR_Employee_Attrition[[#This Row],[Age]]&gt;=20,"20-29",IF(HR_Employee_Attrition[[#This Row],[Age]]&gt;=18,"18-20"))))))</f>
        <v>40-49</v>
      </c>
      <c r="AK915" t="str" cm="1">
        <f t="array" ref="AK915">_xlfn.IFS(HR_Employee_Attrition[[#This Row],[YearsAtCompany]]&lt;=2,"0-2",HR_Employee_Attrition[[#This Row],[YearsAtCompany]]&lt;=5,"3-5",HR_Employee_Attrition[[#This Row],[YearsAtCompany]]&lt;=10,"6-10",HR_Employee_Attrition[[#This Row],[YearsAtCompany]]&gt;10,"10+")</f>
        <v>10+</v>
      </c>
      <c r="AL915" t="str" cm="1">
        <f t="array" ref="AL9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15">
        <f>IF(HR_Employee_Attrition[[#This Row],[Attrition]]="Yes",1,0)</f>
        <v>1</v>
      </c>
    </row>
    <row r="916" spans="1:39"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IF(HR_Employee_Attrition[[#This Row],[Age]]&gt;60,"60+",IF(HR_Employee_Attrition[[#This Row],[Age]]&gt;=50,"50-59",IF(HR_Employee_Attrition[[#This Row],[Age]]&gt;=40,"40-49",IF(HR_Employee_Attrition[[#This Row],[Age]]&gt;=30,"30-39",IF(HR_Employee_Attrition[[#This Row],[Age]]&gt;=20,"20-29",IF(HR_Employee_Attrition[[#This Row],[Age]]&gt;=18,"18-20"))))))</f>
        <v>50-59</v>
      </c>
      <c r="AK916" t="str" cm="1">
        <f t="array" ref="AK916">_xlfn.IFS(HR_Employee_Attrition[[#This Row],[YearsAtCompany]]&lt;=2,"0-2",HR_Employee_Attrition[[#This Row],[YearsAtCompany]]&lt;=5,"3-5",HR_Employee_Attrition[[#This Row],[YearsAtCompany]]&lt;=10,"6-10",HR_Employee_Attrition[[#This Row],[YearsAtCompany]]&gt;10,"10+")</f>
        <v>10+</v>
      </c>
      <c r="AL916" t="str" cm="1">
        <f t="array" ref="AL9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16">
        <f>IF(HR_Employee_Attrition[[#This Row],[Attrition]]="Yes",1,0)</f>
        <v>0</v>
      </c>
    </row>
    <row r="917" spans="1:39"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IF(HR_Employee_Attrition[[#This Row],[Age]]&gt;60,"60+",IF(HR_Employee_Attrition[[#This Row],[Age]]&gt;=50,"50-59",IF(HR_Employee_Attrition[[#This Row],[Age]]&gt;=40,"40-49",IF(HR_Employee_Attrition[[#This Row],[Age]]&gt;=30,"30-39",IF(HR_Employee_Attrition[[#This Row],[Age]]&gt;=20,"20-29",IF(HR_Employee_Attrition[[#This Row],[Age]]&gt;=18,"18-20"))))))</f>
        <v>20-29</v>
      </c>
      <c r="AK917" t="str" cm="1">
        <f t="array" ref="AK917">_xlfn.IFS(HR_Employee_Attrition[[#This Row],[YearsAtCompany]]&lt;=2,"0-2",HR_Employee_Attrition[[#This Row],[YearsAtCompany]]&lt;=5,"3-5",HR_Employee_Attrition[[#This Row],[YearsAtCompany]]&lt;=10,"6-10",HR_Employee_Attrition[[#This Row],[YearsAtCompany]]&gt;10,"10+")</f>
        <v>0-2</v>
      </c>
      <c r="AL917" t="str" cm="1">
        <f t="array" ref="AL9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17">
        <f>IF(HR_Employee_Attrition[[#This Row],[Attrition]]="Yes",1,0)</f>
        <v>1</v>
      </c>
    </row>
    <row r="918" spans="1:39"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IF(HR_Employee_Attrition[[#This Row],[Age]]&gt;60,"60+",IF(HR_Employee_Attrition[[#This Row],[Age]]&gt;=50,"50-59",IF(HR_Employee_Attrition[[#This Row],[Age]]&gt;=40,"40-49",IF(HR_Employee_Attrition[[#This Row],[Age]]&gt;=30,"30-39",IF(HR_Employee_Attrition[[#This Row],[Age]]&gt;=20,"20-29",IF(HR_Employee_Attrition[[#This Row],[Age]]&gt;=18,"18-20"))))))</f>
        <v>40-49</v>
      </c>
      <c r="AK918" t="str" cm="1">
        <f t="array" ref="AK918">_xlfn.IFS(HR_Employee_Attrition[[#This Row],[YearsAtCompany]]&lt;=2,"0-2",HR_Employee_Attrition[[#This Row],[YearsAtCompany]]&lt;=5,"3-5",HR_Employee_Attrition[[#This Row],[YearsAtCompany]]&lt;=10,"6-10",HR_Employee_Attrition[[#This Row],[YearsAtCompany]]&gt;10,"10+")</f>
        <v>10+</v>
      </c>
      <c r="AL918" t="str" cm="1">
        <f t="array" ref="AL9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18">
        <f>IF(HR_Employee_Attrition[[#This Row],[Attrition]]="Yes",1,0)</f>
        <v>0</v>
      </c>
    </row>
    <row r="919" spans="1:39"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IF(HR_Employee_Attrition[[#This Row],[Age]]&gt;60,"60+",IF(HR_Employee_Attrition[[#This Row],[Age]]&gt;=50,"50-59",IF(HR_Employee_Attrition[[#This Row],[Age]]&gt;=40,"40-49",IF(HR_Employee_Attrition[[#This Row],[Age]]&gt;=30,"30-39",IF(HR_Employee_Attrition[[#This Row],[Age]]&gt;=20,"20-29",IF(HR_Employee_Attrition[[#This Row],[Age]]&gt;=18,"18-20"))))))</f>
        <v>30-39</v>
      </c>
      <c r="AK919" t="str" cm="1">
        <f t="array" ref="AK919">_xlfn.IFS(HR_Employee_Attrition[[#This Row],[YearsAtCompany]]&lt;=2,"0-2",HR_Employee_Attrition[[#This Row],[YearsAtCompany]]&lt;=5,"3-5",HR_Employee_Attrition[[#This Row],[YearsAtCompany]]&lt;=10,"6-10",HR_Employee_Attrition[[#This Row],[YearsAtCompany]]&gt;10,"10+")</f>
        <v>3-5</v>
      </c>
      <c r="AL919" t="str" cm="1">
        <f t="array" ref="AL9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19">
        <f>IF(HR_Employee_Attrition[[#This Row],[Attrition]]="Yes",1,0)</f>
        <v>0</v>
      </c>
    </row>
    <row r="920" spans="1:39"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IF(HR_Employee_Attrition[[#This Row],[Age]]&gt;60,"60+",IF(HR_Employee_Attrition[[#This Row],[Age]]&gt;=50,"50-59",IF(HR_Employee_Attrition[[#This Row],[Age]]&gt;=40,"40-49",IF(HR_Employee_Attrition[[#This Row],[Age]]&gt;=30,"30-39",IF(HR_Employee_Attrition[[#This Row],[Age]]&gt;=20,"20-29",IF(HR_Employee_Attrition[[#This Row],[Age]]&gt;=18,"18-20"))))))</f>
        <v>50-59</v>
      </c>
      <c r="AK920" t="str" cm="1">
        <f t="array" ref="AK920">_xlfn.IFS(HR_Employee_Attrition[[#This Row],[YearsAtCompany]]&lt;=2,"0-2",HR_Employee_Attrition[[#This Row],[YearsAtCompany]]&lt;=5,"3-5",HR_Employee_Attrition[[#This Row],[YearsAtCompany]]&lt;=10,"6-10",HR_Employee_Attrition[[#This Row],[YearsAtCompany]]&gt;10,"10+")</f>
        <v>10+</v>
      </c>
      <c r="AL920" t="str" cm="1">
        <f t="array" ref="AL9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20">
        <f>IF(HR_Employee_Attrition[[#This Row],[Attrition]]="Yes",1,0)</f>
        <v>0</v>
      </c>
    </row>
    <row r="921" spans="1:39"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IF(HR_Employee_Attrition[[#This Row],[Age]]&gt;60,"60+",IF(HR_Employee_Attrition[[#This Row],[Age]]&gt;=50,"50-59",IF(HR_Employee_Attrition[[#This Row],[Age]]&gt;=40,"40-49",IF(HR_Employee_Attrition[[#This Row],[Age]]&gt;=30,"30-39",IF(HR_Employee_Attrition[[#This Row],[Age]]&gt;=20,"20-29",IF(HR_Employee_Attrition[[#This Row],[Age]]&gt;=18,"18-20"))))))</f>
        <v>50-59</v>
      </c>
      <c r="AK921" t="str" cm="1">
        <f t="array" ref="AK921">_xlfn.IFS(HR_Employee_Attrition[[#This Row],[YearsAtCompany]]&lt;=2,"0-2",HR_Employee_Attrition[[#This Row],[YearsAtCompany]]&lt;=5,"3-5",HR_Employee_Attrition[[#This Row],[YearsAtCompany]]&lt;=10,"6-10",HR_Employee_Attrition[[#This Row],[YearsAtCompany]]&gt;10,"10+")</f>
        <v>6-10</v>
      </c>
      <c r="AL921" t="str" cm="1">
        <f t="array" ref="AL9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21">
        <f>IF(HR_Employee_Attrition[[#This Row],[Attrition]]="Yes",1,0)</f>
        <v>0</v>
      </c>
    </row>
    <row r="922" spans="1:39"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IF(HR_Employee_Attrition[[#This Row],[Age]]&gt;60,"60+",IF(HR_Employee_Attrition[[#This Row],[Age]]&gt;=50,"50-59",IF(HR_Employee_Attrition[[#This Row],[Age]]&gt;=40,"40-49",IF(HR_Employee_Attrition[[#This Row],[Age]]&gt;=30,"30-39",IF(HR_Employee_Attrition[[#This Row],[Age]]&gt;=20,"20-29",IF(HR_Employee_Attrition[[#This Row],[Age]]&gt;=18,"18-20"))))))</f>
        <v>30-39</v>
      </c>
      <c r="AK922" t="str" cm="1">
        <f t="array" ref="AK922">_xlfn.IFS(HR_Employee_Attrition[[#This Row],[YearsAtCompany]]&lt;=2,"0-2",HR_Employee_Attrition[[#This Row],[YearsAtCompany]]&lt;=5,"3-5",HR_Employee_Attrition[[#This Row],[YearsAtCompany]]&lt;=10,"6-10",HR_Employee_Attrition[[#This Row],[YearsAtCompany]]&gt;10,"10+")</f>
        <v>10+</v>
      </c>
      <c r="AL922" t="str" cm="1">
        <f t="array" ref="AL9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22">
        <f>IF(HR_Employee_Attrition[[#This Row],[Attrition]]="Yes",1,0)</f>
        <v>0</v>
      </c>
    </row>
    <row r="923" spans="1:39"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IF(HR_Employee_Attrition[[#This Row],[Age]]&gt;60,"60+",IF(HR_Employee_Attrition[[#This Row],[Age]]&gt;=50,"50-59",IF(HR_Employee_Attrition[[#This Row],[Age]]&gt;=40,"40-49",IF(HR_Employee_Attrition[[#This Row],[Age]]&gt;=30,"30-39",IF(HR_Employee_Attrition[[#This Row],[Age]]&gt;=20,"20-29",IF(HR_Employee_Attrition[[#This Row],[Age]]&gt;=18,"18-20"))))))</f>
        <v>20-29</v>
      </c>
      <c r="AK923" t="str" cm="1">
        <f t="array" ref="AK923">_xlfn.IFS(HR_Employee_Attrition[[#This Row],[YearsAtCompany]]&lt;=2,"0-2",HR_Employee_Attrition[[#This Row],[YearsAtCompany]]&lt;=5,"3-5",HR_Employee_Attrition[[#This Row],[YearsAtCompany]]&lt;=10,"6-10",HR_Employee_Attrition[[#This Row],[YearsAtCompany]]&gt;10,"10+")</f>
        <v>3-5</v>
      </c>
      <c r="AL923" t="str" cm="1">
        <f t="array" ref="AL9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23">
        <f>IF(HR_Employee_Attrition[[#This Row],[Attrition]]="Yes",1,0)</f>
        <v>0</v>
      </c>
    </row>
    <row r="924" spans="1:39"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IF(HR_Employee_Attrition[[#This Row],[Age]]&gt;60,"60+",IF(HR_Employee_Attrition[[#This Row],[Age]]&gt;=50,"50-59",IF(HR_Employee_Attrition[[#This Row],[Age]]&gt;=40,"40-49",IF(HR_Employee_Attrition[[#This Row],[Age]]&gt;=30,"30-39",IF(HR_Employee_Attrition[[#This Row],[Age]]&gt;=20,"20-29",IF(HR_Employee_Attrition[[#This Row],[Age]]&gt;=18,"18-20"))))))</f>
        <v>40-49</v>
      </c>
      <c r="AK924" t="str" cm="1">
        <f t="array" ref="AK924">_xlfn.IFS(HR_Employee_Attrition[[#This Row],[YearsAtCompany]]&lt;=2,"0-2",HR_Employee_Attrition[[#This Row],[YearsAtCompany]]&lt;=5,"3-5",HR_Employee_Attrition[[#This Row],[YearsAtCompany]]&lt;=10,"6-10",HR_Employee_Attrition[[#This Row],[YearsAtCompany]]&gt;10,"10+")</f>
        <v>10+</v>
      </c>
      <c r="AL924" t="str" cm="1">
        <f t="array" ref="AL9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24">
        <f>IF(HR_Employee_Attrition[[#This Row],[Attrition]]="Yes",1,0)</f>
        <v>0</v>
      </c>
    </row>
    <row r="925" spans="1:39"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IF(HR_Employee_Attrition[[#This Row],[Age]]&gt;60,"60+",IF(HR_Employee_Attrition[[#This Row],[Age]]&gt;=50,"50-59",IF(HR_Employee_Attrition[[#This Row],[Age]]&gt;=40,"40-49",IF(HR_Employee_Attrition[[#This Row],[Age]]&gt;=30,"30-39",IF(HR_Employee_Attrition[[#This Row],[Age]]&gt;=20,"20-29",IF(HR_Employee_Attrition[[#This Row],[Age]]&gt;=18,"18-20"))))))</f>
        <v>30-39</v>
      </c>
      <c r="AK925" t="str" cm="1">
        <f t="array" ref="AK925">_xlfn.IFS(HR_Employee_Attrition[[#This Row],[YearsAtCompany]]&lt;=2,"0-2",HR_Employee_Attrition[[#This Row],[YearsAtCompany]]&lt;=5,"3-5",HR_Employee_Attrition[[#This Row],[YearsAtCompany]]&lt;=10,"6-10",HR_Employee_Attrition[[#This Row],[YearsAtCompany]]&gt;10,"10+")</f>
        <v>6-10</v>
      </c>
      <c r="AL925" t="str" cm="1">
        <f t="array" ref="AL9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25">
        <f>IF(HR_Employee_Attrition[[#This Row],[Attrition]]="Yes",1,0)</f>
        <v>0</v>
      </c>
    </row>
    <row r="926" spans="1:39"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IF(HR_Employee_Attrition[[#This Row],[Age]]&gt;60,"60+",IF(HR_Employee_Attrition[[#This Row],[Age]]&gt;=50,"50-59",IF(HR_Employee_Attrition[[#This Row],[Age]]&gt;=40,"40-49",IF(HR_Employee_Attrition[[#This Row],[Age]]&gt;=30,"30-39",IF(HR_Employee_Attrition[[#This Row],[Age]]&gt;=20,"20-29",IF(HR_Employee_Attrition[[#This Row],[Age]]&gt;=18,"18-20"))))))</f>
        <v>30-39</v>
      </c>
      <c r="AK926" t="str" cm="1">
        <f t="array" ref="AK926">_xlfn.IFS(HR_Employee_Attrition[[#This Row],[YearsAtCompany]]&lt;=2,"0-2",HR_Employee_Attrition[[#This Row],[YearsAtCompany]]&lt;=5,"3-5",HR_Employee_Attrition[[#This Row],[YearsAtCompany]]&lt;=10,"6-10",HR_Employee_Attrition[[#This Row],[YearsAtCompany]]&gt;10,"10+")</f>
        <v>3-5</v>
      </c>
      <c r="AL926" t="str" cm="1">
        <f t="array" ref="AL9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26">
        <f>IF(HR_Employee_Attrition[[#This Row],[Attrition]]="Yes",1,0)</f>
        <v>0</v>
      </c>
    </row>
    <row r="927" spans="1:39"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IF(HR_Employee_Attrition[[#This Row],[Age]]&gt;60,"60+",IF(HR_Employee_Attrition[[#This Row],[Age]]&gt;=50,"50-59",IF(HR_Employee_Attrition[[#This Row],[Age]]&gt;=40,"40-49",IF(HR_Employee_Attrition[[#This Row],[Age]]&gt;=30,"30-39",IF(HR_Employee_Attrition[[#This Row],[Age]]&gt;=20,"20-29",IF(HR_Employee_Attrition[[#This Row],[Age]]&gt;=18,"18-20"))))))</f>
        <v>40-49</v>
      </c>
      <c r="AK927" t="str" cm="1">
        <f t="array" ref="AK927">_xlfn.IFS(HR_Employee_Attrition[[#This Row],[YearsAtCompany]]&lt;=2,"0-2",HR_Employee_Attrition[[#This Row],[YearsAtCompany]]&lt;=5,"3-5",HR_Employee_Attrition[[#This Row],[YearsAtCompany]]&lt;=10,"6-10",HR_Employee_Attrition[[#This Row],[YearsAtCompany]]&gt;10,"10+")</f>
        <v>0-2</v>
      </c>
      <c r="AL927" t="str" cm="1">
        <f t="array" ref="AL9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27">
        <f>IF(HR_Employee_Attrition[[#This Row],[Attrition]]="Yes",1,0)</f>
        <v>0</v>
      </c>
    </row>
    <row r="928" spans="1:39"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IF(HR_Employee_Attrition[[#This Row],[Age]]&gt;60,"60+",IF(HR_Employee_Attrition[[#This Row],[Age]]&gt;=50,"50-59",IF(HR_Employee_Attrition[[#This Row],[Age]]&gt;=40,"40-49",IF(HR_Employee_Attrition[[#This Row],[Age]]&gt;=30,"30-39",IF(HR_Employee_Attrition[[#This Row],[Age]]&gt;=20,"20-29",IF(HR_Employee_Attrition[[#This Row],[Age]]&gt;=18,"18-20"))))))</f>
        <v>40-49</v>
      </c>
      <c r="AK928" t="str" cm="1">
        <f t="array" ref="AK928">_xlfn.IFS(HR_Employee_Attrition[[#This Row],[YearsAtCompany]]&lt;=2,"0-2",HR_Employee_Attrition[[#This Row],[YearsAtCompany]]&lt;=5,"3-5",HR_Employee_Attrition[[#This Row],[YearsAtCompany]]&lt;=10,"6-10",HR_Employee_Attrition[[#This Row],[YearsAtCompany]]&gt;10,"10+")</f>
        <v>10+</v>
      </c>
      <c r="AL928" t="str" cm="1">
        <f t="array" ref="AL9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28">
        <f>IF(HR_Employee_Attrition[[#This Row],[Attrition]]="Yes",1,0)</f>
        <v>0</v>
      </c>
    </row>
    <row r="929" spans="1:39"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IF(HR_Employee_Attrition[[#This Row],[Age]]&gt;60,"60+",IF(HR_Employee_Attrition[[#This Row],[Age]]&gt;=50,"50-59",IF(HR_Employee_Attrition[[#This Row],[Age]]&gt;=40,"40-49",IF(HR_Employee_Attrition[[#This Row],[Age]]&gt;=30,"30-39",IF(HR_Employee_Attrition[[#This Row],[Age]]&gt;=20,"20-29",IF(HR_Employee_Attrition[[#This Row],[Age]]&gt;=18,"18-20"))))))</f>
        <v>30-39</v>
      </c>
      <c r="AK929" t="str" cm="1">
        <f t="array" ref="AK929">_xlfn.IFS(HR_Employee_Attrition[[#This Row],[YearsAtCompany]]&lt;=2,"0-2",HR_Employee_Attrition[[#This Row],[YearsAtCompany]]&lt;=5,"3-5",HR_Employee_Attrition[[#This Row],[YearsAtCompany]]&lt;=10,"6-10",HR_Employee_Attrition[[#This Row],[YearsAtCompany]]&gt;10,"10+")</f>
        <v>10+</v>
      </c>
      <c r="AL929" t="str" cm="1">
        <f t="array" ref="AL9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29">
        <f>IF(HR_Employee_Attrition[[#This Row],[Attrition]]="Yes",1,0)</f>
        <v>0</v>
      </c>
    </row>
    <row r="930" spans="1:39"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IF(HR_Employee_Attrition[[#This Row],[Age]]&gt;60,"60+",IF(HR_Employee_Attrition[[#This Row],[Age]]&gt;=50,"50-59",IF(HR_Employee_Attrition[[#This Row],[Age]]&gt;=40,"40-49",IF(HR_Employee_Attrition[[#This Row],[Age]]&gt;=30,"30-39",IF(HR_Employee_Attrition[[#This Row],[Age]]&gt;=20,"20-29",IF(HR_Employee_Attrition[[#This Row],[Age]]&gt;=18,"18-20"))))))</f>
        <v>40-49</v>
      </c>
      <c r="AK930" t="str" cm="1">
        <f t="array" ref="AK930">_xlfn.IFS(HR_Employee_Attrition[[#This Row],[YearsAtCompany]]&lt;=2,"0-2",HR_Employee_Attrition[[#This Row],[YearsAtCompany]]&lt;=5,"3-5",HR_Employee_Attrition[[#This Row],[YearsAtCompany]]&lt;=10,"6-10",HR_Employee_Attrition[[#This Row],[YearsAtCompany]]&gt;10,"10+")</f>
        <v>6-10</v>
      </c>
      <c r="AL930" t="str" cm="1">
        <f t="array" ref="AL9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30">
        <f>IF(HR_Employee_Attrition[[#This Row],[Attrition]]="Yes",1,0)</f>
        <v>1</v>
      </c>
    </row>
    <row r="931" spans="1:39"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IF(HR_Employee_Attrition[[#This Row],[Age]]&gt;60,"60+",IF(HR_Employee_Attrition[[#This Row],[Age]]&gt;=50,"50-59",IF(HR_Employee_Attrition[[#This Row],[Age]]&gt;=40,"40-49",IF(HR_Employee_Attrition[[#This Row],[Age]]&gt;=30,"30-39",IF(HR_Employee_Attrition[[#This Row],[Age]]&gt;=20,"20-29",IF(HR_Employee_Attrition[[#This Row],[Age]]&gt;=18,"18-20"))))))</f>
        <v>20-29</v>
      </c>
      <c r="AK931" t="str" cm="1">
        <f t="array" ref="AK931">_xlfn.IFS(HR_Employee_Attrition[[#This Row],[YearsAtCompany]]&lt;=2,"0-2",HR_Employee_Attrition[[#This Row],[YearsAtCompany]]&lt;=5,"3-5",HR_Employee_Attrition[[#This Row],[YearsAtCompany]]&lt;=10,"6-10",HR_Employee_Attrition[[#This Row],[YearsAtCompany]]&gt;10,"10+")</f>
        <v>0-2</v>
      </c>
      <c r="AL931" t="str" cm="1">
        <f t="array" ref="AL9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31">
        <f>IF(HR_Employee_Attrition[[#This Row],[Attrition]]="Yes",1,0)</f>
        <v>0</v>
      </c>
    </row>
    <row r="932" spans="1:39"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IF(HR_Employee_Attrition[[#This Row],[Age]]&gt;60,"60+",IF(HR_Employee_Attrition[[#This Row],[Age]]&gt;=50,"50-59",IF(HR_Employee_Attrition[[#This Row],[Age]]&gt;=40,"40-49",IF(HR_Employee_Attrition[[#This Row],[Age]]&gt;=30,"30-39",IF(HR_Employee_Attrition[[#This Row],[Age]]&gt;=20,"20-29",IF(HR_Employee_Attrition[[#This Row],[Age]]&gt;=18,"18-20"))))))</f>
        <v>50-59</v>
      </c>
      <c r="AK932" t="str" cm="1">
        <f t="array" ref="AK932">_xlfn.IFS(HR_Employee_Attrition[[#This Row],[YearsAtCompany]]&lt;=2,"0-2",HR_Employee_Attrition[[#This Row],[YearsAtCompany]]&lt;=5,"3-5",HR_Employee_Attrition[[#This Row],[YearsAtCompany]]&lt;=10,"6-10",HR_Employee_Attrition[[#This Row],[YearsAtCompany]]&gt;10,"10+")</f>
        <v>6-10</v>
      </c>
      <c r="AL932" t="str" cm="1">
        <f t="array" ref="AL9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32">
        <f>IF(HR_Employee_Attrition[[#This Row],[Attrition]]="Yes",1,0)</f>
        <v>0</v>
      </c>
    </row>
    <row r="933" spans="1:39"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IF(HR_Employee_Attrition[[#This Row],[Age]]&gt;60,"60+",IF(HR_Employee_Attrition[[#This Row],[Age]]&gt;=50,"50-59",IF(HR_Employee_Attrition[[#This Row],[Age]]&gt;=40,"40-49",IF(HR_Employee_Attrition[[#This Row],[Age]]&gt;=30,"30-39",IF(HR_Employee_Attrition[[#This Row],[Age]]&gt;=20,"20-29",IF(HR_Employee_Attrition[[#This Row],[Age]]&gt;=18,"18-20"))))))</f>
        <v>30-39</v>
      </c>
      <c r="AK933" t="str" cm="1">
        <f t="array" ref="AK933">_xlfn.IFS(HR_Employee_Attrition[[#This Row],[YearsAtCompany]]&lt;=2,"0-2",HR_Employee_Attrition[[#This Row],[YearsAtCompany]]&lt;=5,"3-5",HR_Employee_Attrition[[#This Row],[YearsAtCompany]]&lt;=10,"6-10",HR_Employee_Attrition[[#This Row],[YearsAtCompany]]&gt;10,"10+")</f>
        <v>6-10</v>
      </c>
      <c r="AL933" t="str" cm="1">
        <f t="array" ref="AL9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33">
        <f>IF(HR_Employee_Attrition[[#This Row],[Attrition]]="Yes",1,0)</f>
        <v>0</v>
      </c>
    </row>
    <row r="934" spans="1:39"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IF(HR_Employee_Attrition[[#This Row],[Age]]&gt;60,"60+",IF(HR_Employee_Attrition[[#This Row],[Age]]&gt;=50,"50-59",IF(HR_Employee_Attrition[[#This Row],[Age]]&gt;=40,"40-49",IF(HR_Employee_Attrition[[#This Row],[Age]]&gt;=30,"30-39",IF(HR_Employee_Attrition[[#This Row],[Age]]&gt;=20,"20-29",IF(HR_Employee_Attrition[[#This Row],[Age]]&gt;=18,"18-20"))))))</f>
        <v>20-29</v>
      </c>
      <c r="AK934" t="str" cm="1">
        <f t="array" ref="AK934">_xlfn.IFS(HR_Employee_Attrition[[#This Row],[YearsAtCompany]]&lt;=2,"0-2",HR_Employee_Attrition[[#This Row],[YearsAtCompany]]&lt;=5,"3-5",HR_Employee_Attrition[[#This Row],[YearsAtCompany]]&lt;=10,"6-10",HR_Employee_Attrition[[#This Row],[YearsAtCompany]]&gt;10,"10+")</f>
        <v>6-10</v>
      </c>
      <c r="AL934" t="str" cm="1">
        <f t="array" ref="AL9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34">
        <f>IF(HR_Employee_Attrition[[#This Row],[Attrition]]="Yes",1,0)</f>
        <v>1</v>
      </c>
    </row>
    <row r="935" spans="1:39"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IF(HR_Employee_Attrition[[#This Row],[Age]]&gt;60,"60+",IF(HR_Employee_Attrition[[#This Row],[Age]]&gt;=50,"50-59",IF(HR_Employee_Attrition[[#This Row],[Age]]&gt;=40,"40-49",IF(HR_Employee_Attrition[[#This Row],[Age]]&gt;=30,"30-39",IF(HR_Employee_Attrition[[#This Row],[Age]]&gt;=20,"20-29",IF(HR_Employee_Attrition[[#This Row],[Age]]&gt;=18,"18-20"))))))</f>
        <v>20-29</v>
      </c>
      <c r="AK935" t="str" cm="1">
        <f t="array" ref="AK935">_xlfn.IFS(HR_Employee_Attrition[[#This Row],[YearsAtCompany]]&lt;=2,"0-2",HR_Employee_Attrition[[#This Row],[YearsAtCompany]]&lt;=5,"3-5",HR_Employee_Attrition[[#This Row],[YearsAtCompany]]&lt;=10,"6-10",HR_Employee_Attrition[[#This Row],[YearsAtCompany]]&gt;10,"10+")</f>
        <v>3-5</v>
      </c>
      <c r="AL935" t="str" cm="1">
        <f t="array" ref="AL9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35">
        <f>IF(HR_Employee_Attrition[[#This Row],[Attrition]]="Yes",1,0)</f>
        <v>0</v>
      </c>
    </row>
    <row r="936" spans="1:39"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IF(HR_Employee_Attrition[[#This Row],[Age]]&gt;60,"60+",IF(HR_Employee_Attrition[[#This Row],[Age]]&gt;=50,"50-59",IF(HR_Employee_Attrition[[#This Row],[Age]]&gt;=40,"40-49",IF(HR_Employee_Attrition[[#This Row],[Age]]&gt;=30,"30-39",IF(HR_Employee_Attrition[[#This Row],[Age]]&gt;=20,"20-29",IF(HR_Employee_Attrition[[#This Row],[Age]]&gt;=18,"18-20"))))))</f>
        <v>20-29</v>
      </c>
      <c r="AK936" t="str" cm="1">
        <f t="array" ref="AK936">_xlfn.IFS(HR_Employee_Attrition[[#This Row],[YearsAtCompany]]&lt;=2,"0-2",HR_Employee_Attrition[[#This Row],[YearsAtCompany]]&lt;=5,"3-5",HR_Employee_Attrition[[#This Row],[YearsAtCompany]]&lt;=10,"6-10",HR_Employee_Attrition[[#This Row],[YearsAtCompany]]&gt;10,"10+")</f>
        <v>0-2</v>
      </c>
      <c r="AL936" t="str" cm="1">
        <f t="array" ref="AL9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36">
        <f>IF(HR_Employee_Attrition[[#This Row],[Attrition]]="Yes",1,0)</f>
        <v>0</v>
      </c>
    </row>
    <row r="937" spans="1:39"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IF(HR_Employee_Attrition[[#This Row],[Age]]&gt;60,"60+",IF(HR_Employee_Attrition[[#This Row],[Age]]&gt;=50,"50-59",IF(HR_Employee_Attrition[[#This Row],[Age]]&gt;=40,"40-49",IF(HR_Employee_Attrition[[#This Row],[Age]]&gt;=30,"30-39",IF(HR_Employee_Attrition[[#This Row],[Age]]&gt;=20,"20-29",IF(HR_Employee_Attrition[[#This Row],[Age]]&gt;=18,"18-20"))))))</f>
        <v>30-39</v>
      </c>
      <c r="AK937" t="str" cm="1">
        <f t="array" ref="AK937">_xlfn.IFS(HR_Employee_Attrition[[#This Row],[YearsAtCompany]]&lt;=2,"0-2",HR_Employee_Attrition[[#This Row],[YearsAtCompany]]&lt;=5,"3-5",HR_Employee_Attrition[[#This Row],[YearsAtCompany]]&lt;=10,"6-10",HR_Employee_Attrition[[#This Row],[YearsAtCompany]]&gt;10,"10+")</f>
        <v>6-10</v>
      </c>
      <c r="AL937" t="str" cm="1">
        <f t="array" ref="AL9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37">
        <f>IF(HR_Employee_Attrition[[#This Row],[Attrition]]="Yes",1,0)</f>
        <v>0</v>
      </c>
    </row>
    <row r="938" spans="1:39"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IF(HR_Employee_Attrition[[#This Row],[Age]]&gt;60,"60+",IF(HR_Employee_Attrition[[#This Row],[Age]]&gt;=50,"50-59",IF(HR_Employee_Attrition[[#This Row],[Age]]&gt;=40,"40-49",IF(HR_Employee_Attrition[[#This Row],[Age]]&gt;=30,"30-39",IF(HR_Employee_Attrition[[#This Row],[Age]]&gt;=20,"20-29",IF(HR_Employee_Attrition[[#This Row],[Age]]&gt;=18,"18-20"))))))</f>
        <v>40-49</v>
      </c>
      <c r="AK938" t="str" cm="1">
        <f t="array" ref="AK938">_xlfn.IFS(HR_Employee_Attrition[[#This Row],[YearsAtCompany]]&lt;=2,"0-2",HR_Employee_Attrition[[#This Row],[YearsAtCompany]]&lt;=5,"3-5",HR_Employee_Attrition[[#This Row],[YearsAtCompany]]&lt;=10,"6-10",HR_Employee_Attrition[[#This Row],[YearsAtCompany]]&gt;10,"10+")</f>
        <v>0-2</v>
      </c>
      <c r="AL938" t="str" cm="1">
        <f t="array" ref="AL9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38">
        <f>IF(HR_Employee_Attrition[[#This Row],[Attrition]]="Yes",1,0)</f>
        <v>0</v>
      </c>
    </row>
    <row r="939" spans="1:39"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IF(HR_Employee_Attrition[[#This Row],[Age]]&gt;60,"60+",IF(HR_Employee_Attrition[[#This Row],[Age]]&gt;=50,"50-59",IF(HR_Employee_Attrition[[#This Row],[Age]]&gt;=40,"40-49",IF(HR_Employee_Attrition[[#This Row],[Age]]&gt;=30,"30-39",IF(HR_Employee_Attrition[[#This Row],[Age]]&gt;=20,"20-29",IF(HR_Employee_Attrition[[#This Row],[Age]]&gt;=18,"18-20"))))))</f>
        <v>30-39</v>
      </c>
      <c r="AK939" t="str" cm="1">
        <f t="array" ref="AK939">_xlfn.IFS(HR_Employee_Attrition[[#This Row],[YearsAtCompany]]&lt;=2,"0-2",HR_Employee_Attrition[[#This Row],[YearsAtCompany]]&lt;=5,"3-5",HR_Employee_Attrition[[#This Row],[YearsAtCompany]]&lt;=10,"6-10",HR_Employee_Attrition[[#This Row],[YearsAtCompany]]&gt;10,"10+")</f>
        <v>10+</v>
      </c>
      <c r="AL939" t="str" cm="1">
        <f t="array" ref="AL9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39">
        <f>IF(HR_Employee_Attrition[[#This Row],[Attrition]]="Yes",1,0)</f>
        <v>0</v>
      </c>
    </row>
    <row r="940" spans="1:39"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IF(HR_Employee_Attrition[[#This Row],[Age]]&gt;60,"60+",IF(HR_Employee_Attrition[[#This Row],[Age]]&gt;=50,"50-59",IF(HR_Employee_Attrition[[#This Row],[Age]]&gt;=40,"40-49",IF(HR_Employee_Attrition[[#This Row],[Age]]&gt;=30,"30-39",IF(HR_Employee_Attrition[[#This Row],[Age]]&gt;=20,"20-29",IF(HR_Employee_Attrition[[#This Row],[Age]]&gt;=18,"18-20"))))))</f>
        <v>50-59</v>
      </c>
      <c r="AK940" t="str" cm="1">
        <f t="array" ref="AK940">_xlfn.IFS(HR_Employee_Attrition[[#This Row],[YearsAtCompany]]&lt;=2,"0-2",HR_Employee_Attrition[[#This Row],[YearsAtCompany]]&lt;=5,"3-5",HR_Employee_Attrition[[#This Row],[YearsAtCompany]]&lt;=10,"6-10",HR_Employee_Attrition[[#This Row],[YearsAtCompany]]&gt;10,"10+")</f>
        <v>0-2</v>
      </c>
      <c r="AL940" t="str" cm="1">
        <f t="array" ref="AL9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40">
        <f>IF(HR_Employee_Attrition[[#This Row],[Attrition]]="Yes",1,0)</f>
        <v>0</v>
      </c>
    </row>
    <row r="941" spans="1:39"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IF(HR_Employee_Attrition[[#This Row],[Age]]&gt;60,"60+",IF(HR_Employee_Attrition[[#This Row],[Age]]&gt;=50,"50-59",IF(HR_Employee_Attrition[[#This Row],[Age]]&gt;=40,"40-49",IF(HR_Employee_Attrition[[#This Row],[Age]]&gt;=30,"30-39",IF(HR_Employee_Attrition[[#This Row],[Age]]&gt;=20,"20-29",IF(HR_Employee_Attrition[[#This Row],[Age]]&gt;=18,"18-20"))))))</f>
        <v>30-39</v>
      </c>
      <c r="AK941" t="str" cm="1">
        <f t="array" ref="AK941">_xlfn.IFS(HR_Employee_Attrition[[#This Row],[YearsAtCompany]]&lt;=2,"0-2",HR_Employee_Attrition[[#This Row],[YearsAtCompany]]&lt;=5,"3-5",HR_Employee_Attrition[[#This Row],[YearsAtCompany]]&lt;=10,"6-10",HR_Employee_Attrition[[#This Row],[YearsAtCompany]]&gt;10,"10+")</f>
        <v>6-10</v>
      </c>
      <c r="AL941" t="str" cm="1">
        <f t="array" ref="AL9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41">
        <f>IF(HR_Employee_Attrition[[#This Row],[Attrition]]="Yes",1,0)</f>
        <v>1</v>
      </c>
    </row>
    <row r="942" spans="1:39"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IF(HR_Employee_Attrition[[#This Row],[Age]]&gt;60,"60+",IF(HR_Employee_Attrition[[#This Row],[Age]]&gt;=50,"50-59",IF(HR_Employee_Attrition[[#This Row],[Age]]&gt;=40,"40-49",IF(HR_Employee_Attrition[[#This Row],[Age]]&gt;=30,"30-39",IF(HR_Employee_Attrition[[#This Row],[Age]]&gt;=20,"20-29",IF(HR_Employee_Attrition[[#This Row],[Age]]&gt;=18,"18-20"))))))</f>
        <v>30-39</v>
      </c>
      <c r="AK942" t="str" cm="1">
        <f t="array" ref="AK942">_xlfn.IFS(HR_Employee_Attrition[[#This Row],[YearsAtCompany]]&lt;=2,"0-2",HR_Employee_Attrition[[#This Row],[YearsAtCompany]]&lt;=5,"3-5",HR_Employee_Attrition[[#This Row],[YearsAtCompany]]&lt;=10,"6-10",HR_Employee_Attrition[[#This Row],[YearsAtCompany]]&gt;10,"10+")</f>
        <v>3-5</v>
      </c>
      <c r="AL942" t="str" cm="1">
        <f t="array" ref="AL9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42">
        <f>IF(HR_Employee_Attrition[[#This Row],[Attrition]]="Yes",1,0)</f>
        <v>1</v>
      </c>
    </row>
    <row r="943" spans="1:39"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IF(HR_Employee_Attrition[[#This Row],[Age]]&gt;60,"60+",IF(HR_Employee_Attrition[[#This Row],[Age]]&gt;=50,"50-59",IF(HR_Employee_Attrition[[#This Row],[Age]]&gt;=40,"40-49",IF(HR_Employee_Attrition[[#This Row],[Age]]&gt;=30,"30-39",IF(HR_Employee_Attrition[[#This Row],[Age]]&gt;=20,"20-29",IF(HR_Employee_Attrition[[#This Row],[Age]]&gt;=18,"18-20"))))))</f>
        <v>30-39</v>
      </c>
      <c r="AK943" t="str" cm="1">
        <f t="array" ref="AK943">_xlfn.IFS(HR_Employee_Attrition[[#This Row],[YearsAtCompany]]&lt;=2,"0-2",HR_Employee_Attrition[[#This Row],[YearsAtCompany]]&lt;=5,"3-5",HR_Employee_Attrition[[#This Row],[YearsAtCompany]]&lt;=10,"6-10",HR_Employee_Attrition[[#This Row],[YearsAtCompany]]&gt;10,"10+")</f>
        <v>6-10</v>
      </c>
      <c r="AL943" t="str" cm="1">
        <f t="array" ref="AL9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43">
        <f>IF(HR_Employee_Attrition[[#This Row],[Attrition]]="Yes",1,0)</f>
        <v>0</v>
      </c>
    </row>
    <row r="944" spans="1:39"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IF(HR_Employee_Attrition[[#This Row],[Age]]&gt;60,"60+",IF(HR_Employee_Attrition[[#This Row],[Age]]&gt;=50,"50-59",IF(HR_Employee_Attrition[[#This Row],[Age]]&gt;=40,"40-49",IF(HR_Employee_Attrition[[#This Row],[Age]]&gt;=30,"30-39",IF(HR_Employee_Attrition[[#This Row],[Age]]&gt;=20,"20-29",IF(HR_Employee_Attrition[[#This Row],[Age]]&gt;=18,"18-20"))))))</f>
        <v>30-39</v>
      </c>
      <c r="AK944" t="str" cm="1">
        <f t="array" ref="AK944">_xlfn.IFS(HR_Employee_Attrition[[#This Row],[YearsAtCompany]]&lt;=2,"0-2",HR_Employee_Attrition[[#This Row],[YearsAtCompany]]&lt;=5,"3-5",HR_Employee_Attrition[[#This Row],[YearsAtCompany]]&lt;=10,"6-10",HR_Employee_Attrition[[#This Row],[YearsAtCompany]]&gt;10,"10+")</f>
        <v>6-10</v>
      </c>
      <c r="AL944" t="str" cm="1">
        <f t="array" ref="AL9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44">
        <f>IF(HR_Employee_Attrition[[#This Row],[Attrition]]="Yes",1,0)</f>
        <v>0</v>
      </c>
    </row>
    <row r="945" spans="1:39"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IF(HR_Employee_Attrition[[#This Row],[Age]]&gt;60,"60+",IF(HR_Employee_Attrition[[#This Row],[Age]]&gt;=50,"50-59",IF(HR_Employee_Attrition[[#This Row],[Age]]&gt;=40,"40-49",IF(HR_Employee_Attrition[[#This Row],[Age]]&gt;=30,"30-39",IF(HR_Employee_Attrition[[#This Row],[Age]]&gt;=20,"20-29",IF(HR_Employee_Attrition[[#This Row],[Age]]&gt;=18,"18-20"))))))</f>
        <v>40-49</v>
      </c>
      <c r="AK945" t="str" cm="1">
        <f t="array" ref="AK945">_xlfn.IFS(HR_Employee_Attrition[[#This Row],[YearsAtCompany]]&lt;=2,"0-2",HR_Employee_Attrition[[#This Row],[YearsAtCompany]]&lt;=5,"3-5",HR_Employee_Attrition[[#This Row],[YearsAtCompany]]&lt;=10,"6-10",HR_Employee_Attrition[[#This Row],[YearsAtCompany]]&gt;10,"10+")</f>
        <v>6-10</v>
      </c>
      <c r="AL945" t="str" cm="1">
        <f t="array" ref="AL9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45">
        <f>IF(HR_Employee_Attrition[[#This Row],[Attrition]]="Yes",1,0)</f>
        <v>0</v>
      </c>
    </row>
    <row r="946" spans="1:39"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IF(HR_Employee_Attrition[[#This Row],[Age]]&gt;60,"60+",IF(HR_Employee_Attrition[[#This Row],[Age]]&gt;=50,"50-59",IF(HR_Employee_Attrition[[#This Row],[Age]]&gt;=40,"40-49",IF(HR_Employee_Attrition[[#This Row],[Age]]&gt;=30,"30-39",IF(HR_Employee_Attrition[[#This Row],[Age]]&gt;=20,"20-29",IF(HR_Employee_Attrition[[#This Row],[Age]]&gt;=18,"18-20"))))))</f>
        <v>20-29</v>
      </c>
      <c r="AK946" t="str" cm="1">
        <f t="array" ref="AK946">_xlfn.IFS(HR_Employee_Attrition[[#This Row],[YearsAtCompany]]&lt;=2,"0-2",HR_Employee_Attrition[[#This Row],[YearsAtCompany]]&lt;=5,"3-5",HR_Employee_Attrition[[#This Row],[YearsAtCompany]]&lt;=10,"6-10",HR_Employee_Attrition[[#This Row],[YearsAtCompany]]&gt;10,"10+")</f>
        <v>6-10</v>
      </c>
      <c r="AL946" t="str" cm="1">
        <f t="array" ref="AL9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46">
        <f>IF(HR_Employee_Attrition[[#This Row],[Attrition]]="Yes",1,0)</f>
        <v>0</v>
      </c>
    </row>
    <row r="947" spans="1:39"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IF(HR_Employee_Attrition[[#This Row],[Age]]&gt;60,"60+",IF(HR_Employee_Attrition[[#This Row],[Age]]&gt;=50,"50-59",IF(HR_Employee_Attrition[[#This Row],[Age]]&gt;=40,"40-49",IF(HR_Employee_Attrition[[#This Row],[Age]]&gt;=30,"30-39",IF(HR_Employee_Attrition[[#This Row],[Age]]&gt;=20,"20-29",IF(HR_Employee_Attrition[[#This Row],[Age]]&gt;=18,"18-20"))))))</f>
        <v>50-59</v>
      </c>
      <c r="AK947" t="str" cm="1">
        <f t="array" ref="AK947">_xlfn.IFS(HR_Employee_Attrition[[#This Row],[YearsAtCompany]]&lt;=2,"0-2",HR_Employee_Attrition[[#This Row],[YearsAtCompany]]&lt;=5,"3-5",HR_Employee_Attrition[[#This Row],[YearsAtCompany]]&lt;=10,"6-10",HR_Employee_Attrition[[#This Row],[YearsAtCompany]]&gt;10,"10+")</f>
        <v>3-5</v>
      </c>
      <c r="AL947" t="str" cm="1">
        <f t="array" ref="AL9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47">
        <f>IF(HR_Employee_Attrition[[#This Row],[Attrition]]="Yes",1,0)</f>
        <v>0</v>
      </c>
    </row>
    <row r="948" spans="1:39"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IF(HR_Employee_Attrition[[#This Row],[Age]]&gt;60,"60+",IF(HR_Employee_Attrition[[#This Row],[Age]]&gt;=50,"50-59",IF(HR_Employee_Attrition[[#This Row],[Age]]&gt;=40,"40-49",IF(HR_Employee_Attrition[[#This Row],[Age]]&gt;=30,"30-39",IF(HR_Employee_Attrition[[#This Row],[Age]]&gt;=20,"20-29",IF(HR_Employee_Attrition[[#This Row],[Age]]&gt;=18,"18-20"))))))</f>
        <v>40-49</v>
      </c>
      <c r="AK948" t="str" cm="1">
        <f t="array" ref="AK948">_xlfn.IFS(HR_Employee_Attrition[[#This Row],[YearsAtCompany]]&lt;=2,"0-2",HR_Employee_Attrition[[#This Row],[YearsAtCompany]]&lt;=5,"3-5",HR_Employee_Attrition[[#This Row],[YearsAtCompany]]&lt;=10,"6-10",HR_Employee_Attrition[[#This Row],[YearsAtCompany]]&gt;10,"10+")</f>
        <v>3-5</v>
      </c>
      <c r="AL948" t="str" cm="1">
        <f t="array" ref="AL9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48">
        <f>IF(HR_Employee_Attrition[[#This Row],[Attrition]]="Yes",1,0)</f>
        <v>1</v>
      </c>
    </row>
    <row r="949" spans="1:39"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IF(HR_Employee_Attrition[[#This Row],[Age]]&gt;60,"60+",IF(HR_Employee_Attrition[[#This Row],[Age]]&gt;=50,"50-59",IF(HR_Employee_Attrition[[#This Row],[Age]]&gt;=40,"40-49",IF(HR_Employee_Attrition[[#This Row],[Age]]&gt;=30,"30-39",IF(HR_Employee_Attrition[[#This Row],[Age]]&gt;=20,"20-29",IF(HR_Employee_Attrition[[#This Row],[Age]]&gt;=18,"18-20"))))))</f>
        <v>50-59</v>
      </c>
      <c r="AK949" t="str" cm="1">
        <f t="array" ref="AK949">_xlfn.IFS(HR_Employee_Attrition[[#This Row],[YearsAtCompany]]&lt;=2,"0-2",HR_Employee_Attrition[[#This Row],[YearsAtCompany]]&lt;=5,"3-5",HR_Employee_Attrition[[#This Row],[YearsAtCompany]]&lt;=10,"6-10",HR_Employee_Attrition[[#This Row],[YearsAtCompany]]&gt;10,"10+")</f>
        <v>6-10</v>
      </c>
      <c r="AL949" t="str" cm="1">
        <f t="array" ref="AL9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49">
        <f>IF(HR_Employee_Attrition[[#This Row],[Attrition]]="Yes",1,0)</f>
        <v>1</v>
      </c>
    </row>
    <row r="950" spans="1:39"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IF(HR_Employee_Attrition[[#This Row],[Age]]&gt;60,"60+",IF(HR_Employee_Attrition[[#This Row],[Age]]&gt;=50,"50-59",IF(HR_Employee_Attrition[[#This Row],[Age]]&gt;=40,"40-49",IF(HR_Employee_Attrition[[#This Row],[Age]]&gt;=30,"30-39",IF(HR_Employee_Attrition[[#This Row],[Age]]&gt;=20,"20-29",IF(HR_Employee_Attrition[[#This Row],[Age]]&gt;=18,"18-20"))))))</f>
        <v>30-39</v>
      </c>
      <c r="AK950" t="str" cm="1">
        <f t="array" ref="AK950">_xlfn.IFS(HR_Employee_Attrition[[#This Row],[YearsAtCompany]]&lt;=2,"0-2",HR_Employee_Attrition[[#This Row],[YearsAtCompany]]&lt;=5,"3-5",HR_Employee_Attrition[[#This Row],[YearsAtCompany]]&lt;=10,"6-10",HR_Employee_Attrition[[#This Row],[YearsAtCompany]]&gt;10,"10+")</f>
        <v>6-10</v>
      </c>
      <c r="AL950" t="str" cm="1">
        <f t="array" ref="AL9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50">
        <f>IF(HR_Employee_Attrition[[#This Row],[Attrition]]="Yes",1,0)</f>
        <v>0</v>
      </c>
    </row>
    <row r="951" spans="1:39"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IF(HR_Employee_Attrition[[#This Row],[Age]]&gt;60,"60+",IF(HR_Employee_Attrition[[#This Row],[Age]]&gt;=50,"50-59",IF(HR_Employee_Attrition[[#This Row],[Age]]&gt;=40,"40-49",IF(HR_Employee_Attrition[[#This Row],[Age]]&gt;=30,"30-39",IF(HR_Employee_Attrition[[#This Row],[Age]]&gt;=20,"20-29",IF(HR_Employee_Attrition[[#This Row],[Age]]&gt;=18,"18-20"))))))</f>
        <v>30-39</v>
      </c>
      <c r="AK951" t="str" cm="1">
        <f t="array" ref="AK951">_xlfn.IFS(HR_Employee_Attrition[[#This Row],[YearsAtCompany]]&lt;=2,"0-2",HR_Employee_Attrition[[#This Row],[YearsAtCompany]]&lt;=5,"3-5",HR_Employee_Attrition[[#This Row],[YearsAtCompany]]&lt;=10,"6-10",HR_Employee_Attrition[[#This Row],[YearsAtCompany]]&gt;10,"10+")</f>
        <v>6-10</v>
      </c>
      <c r="AL951" t="str" cm="1">
        <f t="array" ref="AL9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51">
        <f>IF(HR_Employee_Attrition[[#This Row],[Attrition]]="Yes",1,0)</f>
        <v>0</v>
      </c>
    </row>
    <row r="952" spans="1:39"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IF(HR_Employee_Attrition[[#This Row],[Age]]&gt;60,"60+",IF(HR_Employee_Attrition[[#This Row],[Age]]&gt;=50,"50-59",IF(HR_Employee_Attrition[[#This Row],[Age]]&gt;=40,"40-49",IF(HR_Employee_Attrition[[#This Row],[Age]]&gt;=30,"30-39",IF(HR_Employee_Attrition[[#This Row],[Age]]&gt;=20,"20-29",IF(HR_Employee_Attrition[[#This Row],[Age]]&gt;=18,"18-20"))))))</f>
        <v>30-39</v>
      </c>
      <c r="AK952" t="str" cm="1">
        <f t="array" ref="AK952">_xlfn.IFS(HR_Employee_Attrition[[#This Row],[YearsAtCompany]]&lt;=2,"0-2",HR_Employee_Attrition[[#This Row],[YearsAtCompany]]&lt;=5,"3-5",HR_Employee_Attrition[[#This Row],[YearsAtCompany]]&lt;=10,"6-10",HR_Employee_Attrition[[#This Row],[YearsAtCompany]]&gt;10,"10+")</f>
        <v>6-10</v>
      </c>
      <c r="AL952" t="str" cm="1">
        <f t="array" ref="AL9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52">
        <f>IF(HR_Employee_Attrition[[#This Row],[Attrition]]="Yes",1,0)</f>
        <v>0</v>
      </c>
    </row>
    <row r="953" spans="1:39"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IF(HR_Employee_Attrition[[#This Row],[Age]]&gt;60,"60+",IF(HR_Employee_Attrition[[#This Row],[Age]]&gt;=50,"50-59",IF(HR_Employee_Attrition[[#This Row],[Age]]&gt;=40,"40-49",IF(HR_Employee_Attrition[[#This Row],[Age]]&gt;=30,"30-39",IF(HR_Employee_Attrition[[#This Row],[Age]]&gt;=20,"20-29",IF(HR_Employee_Attrition[[#This Row],[Age]]&gt;=18,"18-20"))))))</f>
        <v>40-49</v>
      </c>
      <c r="AK953" t="str" cm="1">
        <f t="array" ref="AK953">_xlfn.IFS(HR_Employee_Attrition[[#This Row],[YearsAtCompany]]&lt;=2,"0-2",HR_Employee_Attrition[[#This Row],[YearsAtCompany]]&lt;=5,"3-5",HR_Employee_Attrition[[#This Row],[YearsAtCompany]]&lt;=10,"6-10",HR_Employee_Attrition[[#This Row],[YearsAtCompany]]&gt;10,"10+")</f>
        <v>10+</v>
      </c>
      <c r="AL953" t="str" cm="1">
        <f t="array" ref="AL9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53">
        <f>IF(HR_Employee_Attrition[[#This Row],[Attrition]]="Yes",1,0)</f>
        <v>0</v>
      </c>
    </row>
    <row r="954" spans="1:39"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IF(HR_Employee_Attrition[[#This Row],[Age]]&gt;60,"60+",IF(HR_Employee_Attrition[[#This Row],[Age]]&gt;=50,"50-59",IF(HR_Employee_Attrition[[#This Row],[Age]]&gt;=40,"40-49",IF(HR_Employee_Attrition[[#This Row],[Age]]&gt;=30,"30-39",IF(HR_Employee_Attrition[[#This Row],[Age]]&gt;=20,"20-29",IF(HR_Employee_Attrition[[#This Row],[Age]]&gt;=18,"18-20"))))))</f>
        <v>30-39</v>
      </c>
      <c r="AK954" t="str" cm="1">
        <f t="array" ref="AK954">_xlfn.IFS(HR_Employee_Attrition[[#This Row],[YearsAtCompany]]&lt;=2,"0-2",HR_Employee_Attrition[[#This Row],[YearsAtCompany]]&lt;=5,"3-5",HR_Employee_Attrition[[#This Row],[YearsAtCompany]]&lt;=10,"6-10",HR_Employee_Attrition[[#This Row],[YearsAtCompany]]&gt;10,"10+")</f>
        <v>3-5</v>
      </c>
      <c r="AL954" t="str" cm="1">
        <f t="array" ref="AL9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54">
        <f>IF(HR_Employee_Attrition[[#This Row],[Attrition]]="Yes",1,0)</f>
        <v>1</v>
      </c>
    </row>
    <row r="955" spans="1:39"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IF(HR_Employee_Attrition[[#This Row],[Age]]&gt;60,"60+",IF(HR_Employee_Attrition[[#This Row],[Age]]&gt;=50,"50-59",IF(HR_Employee_Attrition[[#This Row],[Age]]&gt;=40,"40-49",IF(HR_Employee_Attrition[[#This Row],[Age]]&gt;=30,"30-39",IF(HR_Employee_Attrition[[#This Row],[Age]]&gt;=20,"20-29",IF(HR_Employee_Attrition[[#This Row],[Age]]&gt;=18,"18-20"))))))</f>
        <v>40-49</v>
      </c>
      <c r="AK955" t="str" cm="1">
        <f t="array" ref="AK955">_xlfn.IFS(HR_Employee_Attrition[[#This Row],[YearsAtCompany]]&lt;=2,"0-2",HR_Employee_Attrition[[#This Row],[YearsAtCompany]]&lt;=5,"3-5",HR_Employee_Attrition[[#This Row],[YearsAtCompany]]&lt;=10,"6-10",HR_Employee_Attrition[[#This Row],[YearsAtCompany]]&gt;10,"10+")</f>
        <v>3-5</v>
      </c>
      <c r="AL955" t="str" cm="1">
        <f t="array" ref="AL9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55">
        <f>IF(HR_Employee_Attrition[[#This Row],[Attrition]]="Yes",1,0)</f>
        <v>1</v>
      </c>
    </row>
    <row r="956" spans="1:39"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IF(HR_Employee_Attrition[[#This Row],[Age]]&gt;60,"60+",IF(HR_Employee_Attrition[[#This Row],[Age]]&gt;=50,"50-59",IF(HR_Employee_Attrition[[#This Row],[Age]]&gt;=40,"40-49",IF(HR_Employee_Attrition[[#This Row],[Age]]&gt;=30,"30-39",IF(HR_Employee_Attrition[[#This Row],[Age]]&gt;=20,"20-29",IF(HR_Employee_Attrition[[#This Row],[Age]]&gt;=18,"18-20"))))))</f>
        <v>40-49</v>
      </c>
      <c r="AK956" t="str" cm="1">
        <f t="array" ref="AK956">_xlfn.IFS(HR_Employee_Attrition[[#This Row],[YearsAtCompany]]&lt;=2,"0-2",HR_Employee_Attrition[[#This Row],[YearsAtCompany]]&lt;=5,"3-5",HR_Employee_Attrition[[#This Row],[YearsAtCompany]]&lt;=10,"6-10",HR_Employee_Attrition[[#This Row],[YearsAtCompany]]&gt;10,"10+")</f>
        <v>10+</v>
      </c>
      <c r="AL956" t="str" cm="1">
        <f t="array" ref="AL9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56">
        <f>IF(HR_Employee_Attrition[[#This Row],[Attrition]]="Yes",1,0)</f>
        <v>0</v>
      </c>
    </row>
    <row r="957" spans="1:39"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IF(HR_Employee_Attrition[[#This Row],[Age]]&gt;60,"60+",IF(HR_Employee_Attrition[[#This Row],[Age]]&gt;=50,"50-59",IF(HR_Employee_Attrition[[#This Row],[Age]]&gt;=40,"40-49",IF(HR_Employee_Attrition[[#This Row],[Age]]&gt;=30,"30-39",IF(HR_Employee_Attrition[[#This Row],[Age]]&gt;=20,"20-29",IF(HR_Employee_Attrition[[#This Row],[Age]]&gt;=18,"18-20"))))))</f>
        <v>50-59</v>
      </c>
      <c r="AK957" t="str" cm="1">
        <f t="array" ref="AK957">_xlfn.IFS(HR_Employee_Attrition[[#This Row],[YearsAtCompany]]&lt;=2,"0-2",HR_Employee_Attrition[[#This Row],[YearsAtCompany]]&lt;=5,"3-5",HR_Employee_Attrition[[#This Row],[YearsAtCompany]]&lt;=10,"6-10",HR_Employee_Attrition[[#This Row],[YearsAtCompany]]&gt;10,"10+")</f>
        <v>10+</v>
      </c>
      <c r="AL957" t="str" cm="1">
        <f t="array" ref="AL9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57">
        <f>IF(HR_Employee_Attrition[[#This Row],[Attrition]]="Yes",1,0)</f>
        <v>0</v>
      </c>
    </row>
    <row r="958" spans="1:39"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IF(HR_Employee_Attrition[[#This Row],[Age]]&gt;60,"60+",IF(HR_Employee_Attrition[[#This Row],[Age]]&gt;=50,"50-59",IF(HR_Employee_Attrition[[#This Row],[Age]]&gt;=40,"40-49",IF(HR_Employee_Attrition[[#This Row],[Age]]&gt;=30,"30-39",IF(HR_Employee_Attrition[[#This Row],[Age]]&gt;=20,"20-29",IF(HR_Employee_Attrition[[#This Row],[Age]]&gt;=18,"18-20"))))))</f>
        <v>50-59</v>
      </c>
      <c r="AK958" t="str" cm="1">
        <f t="array" ref="AK958">_xlfn.IFS(HR_Employee_Attrition[[#This Row],[YearsAtCompany]]&lt;=2,"0-2",HR_Employee_Attrition[[#This Row],[YearsAtCompany]]&lt;=5,"3-5",HR_Employee_Attrition[[#This Row],[YearsAtCompany]]&lt;=10,"6-10",HR_Employee_Attrition[[#This Row],[YearsAtCompany]]&gt;10,"10+")</f>
        <v>6-10</v>
      </c>
      <c r="AL958" t="str" cm="1">
        <f t="array" ref="AL9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958">
        <f>IF(HR_Employee_Attrition[[#This Row],[Attrition]]="Yes",1,0)</f>
        <v>0</v>
      </c>
    </row>
    <row r="959" spans="1:39"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IF(HR_Employee_Attrition[[#This Row],[Age]]&gt;60,"60+",IF(HR_Employee_Attrition[[#This Row],[Age]]&gt;=50,"50-59",IF(HR_Employee_Attrition[[#This Row],[Age]]&gt;=40,"40-49",IF(HR_Employee_Attrition[[#This Row],[Age]]&gt;=30,"30-39",IF(HR_Employee_Attrition[[#This Row],[Age]]&gt;=20,"20-29",IF(HR_Employee_Attrition[[#This Row],[Age]]&gt;=18,"18-20"))))))</f>
        <v>40-49</v>
      </c>
      <c r="AK959" t="str" cm="1">
        <f t="array" ref="AK959">_xlfn.IFS(HR_Employee_Attrition[[#This Row],[YearsAtCompany]]&lt;=2,"0-2",HR_Employee_Attrition[[#This Row],[YearsAtCompany]]&lt;=5,"3-5",HR_Employee_Attrition[[#This Row],[YearsAtCompany]]&lt;=10,"6-10",HR_Employee_Attrition[[#This Row],[YearsAtCompany]]&gt;10,"10+")</f>
        <v>3-5</v>
      </c>
      <c r="AL959" t="str" cm="1">
        <f t="array" ref="AL9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59">
        <f>IF(HR_Employee_Attrition[[#This Row],[Attrition]]="Yes",1,0)</f>
        <v>0</v>
      </c>
    </row>
    <row r="960" spans="1:39"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IF(HR_Employee_Attrition[[#This Row],[Age]]&gt;60,"60+",IF(HR_Employee_Attrition[[#This Row],[Age]]&gt;=50,"50-59",IF(HR_Employee_Attrition[[#This Row],[Age]]&gt;=40,"40-49",IF(HR_Employee_Attrition[[#This Row],[Age]]&gt;=30,"30-39",IF(HR_Employee_Attrition[[#This Row],[Age]]&gt;=20,"20-29",IF(HR_Employee_Attrition[[#This Row],[Age]]&gt;=18,"18-20"))))))</f>
        <v>30-39</v>
      </c>
      <c r="AK960" t="str" cm="1">
        <f t="array" ref="AK960">_xlfn.IFS(HR_Employee_Attrition[[#This Row],[YearsAtCompany]]&lt;=2,"0-2",HR_Employee_Attrition[[#This Row],[YearsAtCompany]]&lt;=5,"3-5",HR_Employee_Attrition[[#This Row],[YearsAtCompany]]&lt;=10,"6-10",HR_Employee_Attrition[[#This Row],[YearsAtCompany]]&gt;10,"10+")</f>
        <v>6-10</v>
      </c>
      <c r="AL960" t="str" cm="1">
        <f t="array" ref="AL9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60">
        <f>IF(HR_Employee_Attrition[[#This Row],[Attrition]]="Yes",1,0)</f>
        <v>0</v>
      </c>
    </row>
    <row r="961" spans="1:39"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IF(HR_Employee_Attrition[[#This Row],[Age]]&gt;60,"60+",IF(HR_Employee_Attrition[[#This Row],[Age]]&gt;=50,"50-59",IF(HR_Employee_Attrition[[#This Row],[Age]]&gt;=40,"40-49",IF(HR_Employee_Attrition[[#This Row],[Age]]&gt;=30,"30-39",IF(HR_Employee_Attrition[[#This Row],[Age]]&gt;=20,"20-29",IF(HR_Employee_Attrition[[#This Row],[Age]]&gt;=18,"18-20"))))))</f>
        <v>40-49</v>
      </c>
      <c r="AK961" t="str" cm="1">
        <f t="array" ref="AK961">_xlfn.IFS(HR_Employee_Attrition[[#This Row],[YearsAtCompany]]&lt;=2,"0-2",HR_Employee_Attrition[[#This Row],[YearsAtCompany]]&lt;=5,"3-5",HR_Employee_Attrition[[#This Row],[YearsAtCompany]]&lt;=10,"6-10",HR_Employee_Attrition[[#This Row],[YearsAtCompany]]&gt;10,"10+")</f>
        <v>6-10</v>
      </c>
      <c r="AL961" t="str" cm="1">
        <f t="array" ref="AL9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61">
        <f>IF(HR_Employee_Attrition[[#This Row],[Attrition]]="Yes",1,0)</f>
        <v>0</v>
      </c>
    </row>
    <row r="962" spans="1:39"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IF(HR_Employee_Attrition[[#This Row],[Age]]&gt;60,"60+",IF(HR_Employee_Attrition[[#This Row],[Age]]&gt;=50,"50-59",IF(HR_Employee_Attrition[[#This Row],[Age]]&gt;=40,"40-49",IF(HR_Employee_Attrition[[#This Row],[Age]]&gt;=30,"30-39",IF(HR_Employee_Attrition[[#This Row],[Age]]&gt;=20,"20-29",IF(HR_Employee_Attrition[[#This Row],[Age]]&gt;=18,"18-20"))))))</f>
        <v>40-49</v>
      </c>
      <c r="AK962" t="str" cm="1">
        <f t="array" ref="AK962">_xlfn.IFS(HR_Employee_Attrition[[#This Row],[YearsAtCompany]]&lt;=2,"0-2",HR_Employee_Attrition[[#This Row],[YearsAtCompany]]&lt;=5,"3-5",HR_Employee_Attrition[[#This Row],[YearsAtCompany]]&lt;=10,"6-10",HR_Employee_Attrition[[#This Row],[YearsAtCompany]]&gt;10,"10+")</f>
        <v>6-10</v>
      </c>
      <c r="AL962" t="str" cm="1">
        <f t="array" ref="AL9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62">
        <f>IF(HR_Employee_Attrition[[#This Row],[Attrition]]="Yes",1,0)</f>
        <v>0</v>
      </c>
    </row>
    <row r="963" spans="1:39"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IF(HR_Employee_Attrition[[#This Row],[Age]]&gt;60,"60+",IF(HR_Employee_Attrition[[#This Row],[Age]]&gt;=50,"50-59",IF(HR_Employee_Attrition[[#This Row],[Age]]&gt;=40,"40-49",IF(HR_Employee_Attrition[[#This Row],[Age]]&gt;=30,"30-39",IF(HR_Employee_Attrition[[#This Row],[Age]]&gt;=20,"20-29",IF(HR_Employee_Attrition[[#This Row],[Age]]&gt;=18,"18-20"))))))</f>
        <v>30-39</v>
      </c>
      <c r="AK963" t="str" cm="1">
        <f t="array" ref="AK963">_xlfn.IFS(HR_Employee_Attrition[[#This Row],[YearsAtCompany]]&lt;=2,"0-2",HR_Employee_Attrition[[#This Row],[YearsAtCompany]]&lt;=5,"3-5",HR_Employee_Attrition[[#This Row],[YearsAtCompany]]&lt;=10,"6-10",HR_Employee_Attrition[[#This Row],[YearsAtCompany]]&gt;10,"10+")</f>
        <v>6-10</v>
      </c>
      <c r="AL963" t="str" cm="1">
        <f t="array" ref="AL9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63">
        <f>IF(HR_Employee_Attrition[[#This Row],[Attrition]]="Yes",1,0)</f>
        <v>0</v>
      </c>
    </row>
    <row r="964" spans="1:39"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IF(HR_Employee_Attrition[[#This Row],[Age]]&gt;60,"60+",IF(HR_Employee_Attrition[[#This Row],[Age]]&gt;=50,"50-59",IF(HR_Employee_Attrition[[#This Row],[Age]]&gt;=40,"40-49",IF(HR_Employee_Attrition[[#This Row],[Age]]&gt;=30,"30-39",IF(HR_Employee_Attrition[[#This Row],[Age]]&gt;=20,"20-29",IF(HR_Employee_Attrition[[#This Row],[Age]]&gt;=18,"18-20"))))))</f>
        <v>50-59</v>
      </c>
      <c r="AK964" t="str" cm="1">
        <f t="array" ref="AK964">_xlfn.IFS(HR_Employee_Attrition[[#This Row],[YearsAtCompany]]&lt;=2,"0-2",HR_Employee_Attrition[[#This Row],[YearsAtCompany]]&lt;=5,"3-5",HR_Employee_Attrition[[#This Row],[YearsAtCompany]]&lt;=10,"6-10",HR_Employee_Attrition[[#This Row],[YearsAtCompany]]&gt;10,"10+")</f>
        <v>10+</v>
      </c>
      <c r="AL964" t="str" cm="1">
        <f t="array" ref="AL9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64">
        <f>IF(HR_Employee_Attrition[[#This Row],[Attrition]]="Yes",1,0)</f>
        <v>0</v>
      </c>
    </row>
    <row r="965" spans="1:39"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IF(HR_Employee_Attrition[[#This Row],[Age]]&gt;60,"60+",IF(HR_Employee_Attrition[[#This Row],[Age]]&gt;=50,"50-59",IF(HR_Employee_Attrition[[#This Row],[Age]]&gt;=40,"40-49",IF(HR_Employee_Attrition[[#This Row],[Age]]&gt;=30,"30-39",IF(HR_Employee_Attrition[[#This Row],[Age]]&gt;=20,"20-29",IF(HR_Employee_Attrition[[#This Row],[Age]]&gt;=18,"18-20"))))))</f>
        <v>30-39</v>
      </c>
      <c r="AK965" t="str" cm="1">
        <f t="array" ref="AK965">_xlfn.IFS(HR_Employee_Attrition[[#This Row],[YearsAtCompany]]&lt;=2,"0-2",HR_Employee_Attrition[[#This Row],[YearsAtCompany]]&lt;=5,"3-5",HR_Employee_Attrition[[#This Row],[YearsAtCompany]]&lt;=10,"6-10",HR_Employee_Attrition[[#This Row],[YearsAtCompany]]&gt;10,"10+")</f>
        <v>6-10</v>
      </c>
      <c r="AL965" t="str" cm="1">
        <f t="array" ref="AL9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65">
        <f>IF(HR_Employee_Attrition[[#This Row],[Attrition]]="Yes",1,0)</f>
        <v>0</v>
      </c>
    </row>
    <row r="966" spans="1:39"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IF(HR_Employee_Attrition[[#This Row],[Age]]&gt;60,"60+",IF(HR_Employee_Attrition[[#This Row],[Age]]&gt;=50,"50-59",IF(HR_Employee_Attrition[[#This Row],[Age]]&gt;=40,"40-49",IF(HR_Employee_Attrition[[#This Row],[Age]]&gt;=30,"30-39",IF(HR_Employee_Attrition[[#This Row],[Age]]&gt;=20,"20-29",IF(HR_Employee_Attrition[[#This Row],[Age]]&gt;=18,"18-20"))))))</f>
        <v>30-39</v>
      </c>
      <c r="AK966" t="str" cm="1">
        <f t="array" ref="AK966">_xlfn.IFS(HR_Employee_Attrition[[#This Row],[YearsAtCompany]]&lt;=2,"0-2",HR_Employee_Attrition[[#This Row],[YearsAtCompany]]&lt;=5,"3-5",HR_Employee_Attrition[[#This Row],[YearsAtCompany]]&lt;=10,"6-10",HR_Employee_Attrition[[#This Row],[YearsAtCompany]]&gt;10,"10+")</f>
        <v>6-10</v>
      </c>
      <c r="AL966" t="str" cm="1">
        <f t="array" ref="AL9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66">
        <f>IF(HR_Employee_Attrition[[#This Row],[Attrition]]="Yes",1,0)</f>
        <v>0</v>
      </c>
    </row>
    <row r="967" spans="1:39"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IF(HR_Employee_Attrition[[#This Row],[Age]]&gt;60,"60+",IF(HR_Employee_Attrition[[#This Row],[Age]]&gt;=50,"50-59",IF(HR_Employee_Attrition[[#This Row],[Age]]&gt;=40,"40-49",IF(HR_Employee_Attrition[[#This Row],[Age]]&gt;=30,"30-39",IF(HR_Employee_Attrition[[#This Row],[Age]]&gt;=20,"20-29",IF(HR_Employee_Attrition[[#This Row],[Age]]&gt;=18,"18-20"))))))</f>
        <v>20-29</v>
      </c>
      <c r="AK967" t="str" cm="1">
        <f t="array" ref="AK967">_xlfn.IFS(HR_Employee_Attrition[[#This Row],[YearsAtCompany]]&lt;=2,"0-2",HR_Employee_Attrition[[#This Row],[YearsAtCompany]]&lt;=5,"3-5",HR_Employee_Attrition[[#This Row],[YearsAtCompany]]&lt;=10,"6-10",HR_Employee_Attrition[[#This Row],[YearsAtCompany]]&gt;10,"10+")</f>
        <v>3-5</v>
      </c>
      <c r="AL967" t="str" cm="1">
        <f t="array" ref="AL9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67">
        <f>IF(HR_Employee_Attrition[[#This Row],[Attrition]]="Yes",1,0)</f>
        <v>0</v>
      </c>
    </row>
    <row r="968" spans="1:39"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IF(HR_Employee_Attrition[[#This Row],[Age]]&gt;60,"60+",IF(HR_Employee_Attrition[[#This Row],[Age]]&gt;=50,"50-59",IF(HR_Employee_Attrition[[#This Row],[Age]]&gt;=40,"40-49",IF(HR_Employee_Attrition[[#This Row],[Age]]&gt;=30,"30-39",IF(HR_Employee_Attrition[[#This Row],[Age]]&gt;=20,"20-29",IF(HR_Employee_Attrition[[#This Row],[Age]]&gt;=18,"18-20"))))))</f>
        <v>50-59</v>
      </c>
      <c r="AK968" t="str" cm="1">
        <f t="array" ref="AK968">_xlfn.IFS(HR_Employee_Attrition[[#This Row],[YearsAtCompany]]&lt;=2,"0-2",HR_Employee_Attrition[[#This Row],[YearsAtCompany]]&lt;=5,"3-5",HR_Employee_Attrition[[#This Row],[YearsAtCompany]]&lt;=10,"6-10",HR_Employee_Attrition[[#This Row],[YearsAtCompany]]&gt;10,"10+")</f>
        <v>6-10</v>
      </c>
      <c r="AL968" t="str" cm="1">
        <f t="array" ref="AL9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68">
        <f>IF(HR_Employee_Attrition[[#This Row],[Attrition]]="Yes",1,0)</f>
        <v>1</v>
      </c>
    </row>
    <row r="969" spans="1:39"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IF(HR_Employee_Attrition[[#This Row],[Age]]&gt;60,"60+",IF(HR_Employee_Attrition[[#This Row],[Age]]&gt;=50,"50-59",IF(HR_Employee_Attrition[[#This Row],[Age]]&gt;=40,"40-49",IF(HR_Employee_Attrition[[#This Row],[Age]]&gt;=30,"30-39",IF(HR_Employee_Attrition[[#This Row],[Age]]&gt;=20,"20-29",IF(HR_Employee_Attrition[[#This Row],[Age]]&gt;=18,"18-20"))))))</f>
        <v>40-49</v>
      </c>
      <c r="AK969" t="str" cm="1">
        <f t="array" ref="AK969">_xlfn.IFS(HR_Employee_Attrition[[#This Row],[YearsAtCompany]]&lt;=2,"0-2",HR_Employee_Attrition[[#This Row],[YearsAtCompany]]&lt;=5,"3-5",HR_Employee_Attrition[[#This Row],[YearsAtCompany]]&lt;=10,"6-10",HR_Employee_Attrition[[#This Row],[YearsAtCompany]]&gt;10,"10+")</f>
        <v>3-5</v>
      </c>
      <c r="AL969" t="str" cm="1">
        <f t="array" ref="AL9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69">
        <f>IF(HR_Employee_Attrition[[#This Row],[Attrition]]="Yes",1,0)</f>
        <v>0</v>
      </c>
    </row>
    <row r="970" spans="1:39"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IF(HR_Employee_Attrition[[#This Row],[Age]]&gt;60,"60+",IF(HR_Employee_Attrition[[#This Row],[Age]]&gt;=50,"50-59",IF(HR_Employee_Attrition[[#This Row],[Age]]&gt;=40,"40-49",IF(HR_Employee_Attrition[[#This Row],[Age]]&gt;=30,"30-39",IF(HR_Employee_Attrition[[#This Row],[Age]]&gt;=20,"20-29",IF(HR_Employee_Attrition[[#This Row],[Age]]&gt;=18,"18-20"))))))</f>
        <v>30-39</v>
      </c>
      <c r="AK970" t="str" cm="1">
        <f t="array" ref="AK970">_xlfn.IFS(HR_Employee_Attrition[[#This Row],[YearsAtCompany]]&lt;=2,"0-2",HR_Employee_Attrition[[#This Row],[YearsAtCompany]]&lt;=5,"3-5",HR_Employee_Attrition[[#This Row],[YearsAtCompany]]&lt;=10,"6-10",HR_Employee_Attrition[[#This Row],[YearsAtCompany]]&gt;10,"10+")</f>
        <v>10+</v>
      </c>
      <c r="AL970" t="str" cm="1">
        <f t="array" ref="AL9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70">
        <f>IF(HR_Employee_Attrition[[#This Row],[Attrition]]="Yes",1,0)</f>
        <v>0</v>
      </c>
    </row>
    <row r="971" spans="1:39"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IF(HR_Employee_Attrition[[#This Row],[Age]]&gt;60,"60+",IF(HR_Employee_Attrition[[#This Row],[Age]]&gt;=50,"50-59",IF(HR_Employee_Attrition[[#This Row],[Age]]&gt;=40,"40-49",IF(HR_Employee_Attrition[[#This Row],[Age]]&gt;=30,"30-39",IF(HR_Employee_Attrition[[#This Row],[Age]]&gt;=20,"20-29",IF(HR_Employee_Attrition[[#This Row],[Age]]&gt;=18,"18-20"))))))</f>
        <v>40-49</v>
      </c>
      <c r="AK971" t="str" cm="1">
        <f t="array" ref="AK971">_xlfn.IFS(HR_Employee_Attrition[[#This Row],[YearsAtCompany]]&lt;=2,"0-2",HR_Employee_Attrition[[#This Row],[YearsAtCompany]]&lt;=5,"3-5",HR_Employee_Attrition[[#This Row],[YearsAtCompany]]&lt;=10,"6-10",HR_Employee_Attrition[[#This Row],[YearsAtCompany]]&gt;10,"10+")</f>
        <v>6-10</v>
      </c>
      <c r="AL971" t="str" cm="1">
        <f t="array" ref="AL9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71">
        <f>IF(HR_Employee_Attrition[[#This Row],[Attrition]]="Yes",1,0)</f>
        <v>0</v>
      </c>
    </row>
    <row r="972" spans="1:39"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IF(HR_Employee_Attrition[[#This Row],[Age]]&gt;60,"60+",IF(HR_Employee_Attrition[[#This Row],[Age]]&gt;=50,"50-59",IF(HR_Employee_Attrition[[#This Row],[Age]]&gt;=40,"40-49",IF(HR_Employee_Attrition[[#This Row],[Age]]&gt;=30,"30-39",IF(HR_Employee_Attrition[[#This Row],[Age]]&gt;=20,"20-29",IF(HR_Employee_Attrition[[#This Row],[Age]]&gt;=18,"18-20"))))))</f>
        <v>20-29</v>
      </c>
      <c r="AK972" t="str" cm="1">
        <f t="array" ref="AK972">_xlfn.IFS(HR_Employee_Attrition[[#This Row],[YearsAtCompany]]&lt;=2,"0-2",HR_Employee_Attrition[[#This Row],[YearsAtCompany]]&lt;=5,"3-5",HR_Employee_Attrition[[#This Row],[YearsAtCompany]]&lt;=10,"6-10",HR_Employee_Attrition[[#This Row],[YearsAtCompany]]&gt;10,"10+")</f>
        <v>0-2</v>
      </c>
      <c r="AL972" t="str" cm="1">
        <f t="array" ref="AL97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72">
        <f>IF(HR_Employee_Attrition[[#This Row],[Attrition]]="Yes",1,0)</f>
        <v>0</v>
      </c>
    </row>
    <row r="973" spans="1:39"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IF(HR_Employee_Attrition[[#This Row],[Age]]&gt;60,"60+",IF(HR_Employee_Attrition[[#This Row],[Age]]&gt;=50,"50-59",IF(HR_Employee_Attrition[[#This Row],[Age]]&gt;=40,"40-49",IF(HR_Employee_Attrition[[#This Row],[Age]]&gt;=30,"30-39",IF(HR_Employee_Attrition[[#This Row],[Age]]&gt;=20,"20-29",IF(HR_Employee_Attrition[[#This Row],[Age]]&gt;=18,"18-20"))))))</f>
        <v>50-59</v>
      </c>
      <c r="AK973" t="str" cm="1">
        <f t="array" ref="AK973">_xlfn.IFS(HR_Employee_Attrition[[#This Row],[YearsAtCompany]]&lt;=2,"0-2",HR_Employee_Attrition[[#This Row],[YearsAtCompany]]&lt;=5,"3-5",HR_Employee_Attrition[[#This Row],[YearsAtCompany]]&lt;=10,"6-10",HR_Employee_Attrition[[#This Row],[YearsAtCompany]]&gt;10,"10+")</f>
        <v>3-5</v>
      </c>
      <c r="AL973" t="str" cm="1">
        <f t="array" ref="AL97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73">
        <f>IF(HR_Employee_Attrition[[#This Row],[Attrition]]="Yes",1,0)</f>
        <v>0</v>
      </c>
    </row>
    <row r="974" spans="1:39"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IF(HR_Employee_Attrition[[#This Row],[Age]]&gt;60,"60+",IF(HR_Employee_Attrition[[#This Row],[Age]]&gt;=50,"50-59",IF(HR_Employee_Attrition[[#This Row],[Age]]&gt;=40,"40-49",IF(HR_Employee_Attrition[[#This Row],[Age]]&gt;=30,"30-39",IF(HR_Employee_Attrition[[#This Row],[Age]]&gt;=20,"20-29",IF(HR_Employee_Attrition[[#This Row],[Age]]&gt;=18,"18-20"))))))</f>
        <v>18-20</v>
      </c>
      <c r="AK974" t="str" cm="1">
        <f t="array" ref="AK974">_xlfn.IFS(HR_Employee_Attrition[[#This Row],[YearsAtCompany]]&lt;=2,"0-2",HR_Employee_Attrition[[#This Row],[YearsAtCompany]]&lt;=5,"3-5",HR_Employee_Attrition[[#This Row],[YearsAtCompany]]&lt;=10,"6-10",HR_Employee_Attrition[[#This Row],[YearsAtCompany]]&gt;10,"10+")</f>
        <v>0-2</v>
      </c>
      <c r="AL974" t="str" cm="1">
        <f t="array" ref="AL97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74">
        <f>IF(HR_Employee_Attrition[[#This Row],[Attrition]]="Yes",1,0)</f>
        <v>0</v>
      </c>
    </row>
    <row r="975" spans="1:39"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IF(HR_Employee_Attrition[[#This Row],[Age]]&gt;60,"60+",IF(HR_Employee_Attrition[[#This Row],[Age]]&gt;=50,"50-59",IF(HR_Employee_Attrition[[#This Row],[Age]]&gt;=40,"40-49",IF(HR_Employee_Attrition[[#This Row],[Age]]&gt;=30,"30-39",IF(HR_Employee_Attrition[[#This Row],[Age]]&gt;=20,"20-29",IF(HR_Employee_Attrition[[#This Row],[Age]]&gt;=18,"18-20"))))))</f>
        <v>30-39</v>
      </c>
      <c r="AK975" t="str" cm="1">
        <f t="array" ref="AK975">_xlfn.IFS(HR_Employee_Attrition[[#This Row],[YearsAtCompany]]&lt;=2,"0-2",HR_Employee_Attrition[[#This Row],[YearsAtCompany]]&lt;=5,"3-5",HR_Employee_Attrition[[#This Row],[YearsAtCompany]]&lt;=10,"6-10",HR_Employee_Attrition[[#This Row],[YearsAtCompany]]&gt;10,"10+")</f>
        <v>6-10</v>
      </c>
      <c r="AL975" t="str" cm="1">
        <f t="array" ref="AL97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75">
        <f>IF(HR_Employee_Attrition[[#This Row],[Attrition]]="Yes",1,0)</f>
        <v>0</v>
      </c>
    </row>
    <row r="976" spans="1:39"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IF(HR_Employee_Attrition[[#This Row],[Age]]&gt;60,"60+",IF(HR_Employee_Attrition[[#This Row],[Age]]&gt;=50,"50-59",IF(HR_Employee_Attrition[[#This Row],[Age]]&gt;=40,"40-49",IF(HR_Employee_Attrition[[#This Row],[Age]]&gt;=30,"30-39",IF(HR_Employee_Attrition[[#This Row],[Age]]&gt;=20,"20-29",IF(HR_Employee_Attrition[[#This Row],[Age]]&gt;=18,"18-20"))))))</f>
        <v>20-29</v>
      </c>
      <c r="AK976" t="str" cm="1">
        <f t="array" ref="AK976">_xlfn.IFS(HR_Employee_Attrition[[#This Row],[YearsAtCompany]]&lt;=2,"0-2",HR_Employee_Attrition[[#This Row],[YearsAtCompany]]&lt;=5,"3-5",HR_Employee_Attrition[[#This Row],[YearsAtCompany]]&lt;=10,"6-10",HR_Employee_Attrition[[#This Row],[YearsAtCompany]]&gt;10,"10+")</f>
        <v>6-10</v>
      </c>
      <c r="AL976" t="str" cm="1">
        <f t="array" ref="AL97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76">
        <f>IF(HR_Employee_Attrition[[#This Row],[Attrition]]="Yes",1,0)</f>
        <v>0</v>
      </c>
    </row>
    <row r="977" spans="1:39"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IF(HR_Employee_Attrition[[#This Row],[Age]]&gt;60,"60+",IF(HR_Employee_Attrition[[#This Row],[Age]]&gt;=50,"50-59",IF(HR_Employee_Attrition[[#This Row],[Age]]&gt;=40,"40-49",IF(HR_Employee_Attrition[[#This Row],[Age]]&gt;=30,"30-39",IF(HR_Employee_Attrition[[#This Row],[Age]]&gt;=20,"20-29",IF(HR_Employee_Attrition[[#This Row],[Age]]&gt;=18,"18-20"))))))</f>
        <v>50-59</v>
      </c>
      <c r="AK977" t="str" cm="1">
        <f t="array" ref="AK977">_xlfn.IFS(HR_Employee_Attrition[[#This Row],[YearsAtCompany]]&lt;=2,"0-2",HR_Employee_Attrition[[#This Row],[YearsAtCompany]]&lt;=5,"3-5",HR_Employee_Attrition[[#This Row],[YearsAtCompany]]&lt;=10,"6-10",HR_Employee_Attrition[[#This Row],[YearsAtCompany]]&gt;10,"10+")</f>
        <v>10+</v>
      </c>
      <c r="AL977" t="str" cm="1">
        <f t="array" ref="AL97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77">
        <f>IF(HR_Employee_Attrition[[#This Row],[Attrition]]="Yes",1,0)</f>
        <v>1</v>
      </c>
    </row>
    <row r="978" spans="1:39"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IF(HR_Employee_Attrition[[#This Row],[Age]]&gt;60,"60+",IF(HR_Employee_Attrition[[#This Row],[Age]]&gt;=50,"50-59",IF(HR_Employee_Attrition[[#This Row],[Age]]&gt;=40,"40-49",IF(HR_Employee_Attrition[[#This Row],[Age]]&gt;=30,"30-39",IF(HR_Employee_Attrition[[#This Row],[Age]]&gt;=20,"20-29",IF(HR_Employee_Attrition[[#This Row],[Age]]&gt;=18,"18-20"))))))</f>
        <v>50-59</v>
      </c>
      <c r="AK978" t="str" cm="1">
        <f t="array" ref="AK978">_xlfn.IFS(HR_Employee_Attrition[[#This Row],[YearsAtCompany]]&lt;=2,"0-2",HR_Employee_Attrition[[#This Row],[YearsAtCompany]]&lt;=5,"3-5",HR_Employee_Attrition[[#This Row],[YearsAtCompany]]&lt;=10,"6-10",HR_Employee_Attrition[[#This Row],[YearsAtCompany]]&gt;10,"10+")</f>
        <v>10+</v>
      </c>
      <c r="AL978" t="str" cm="1">
        <f t="array" ref="AL97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78">
        <f>IF(HR_Employee_Attrition[[#This Row],[Attrition]]="Yes",1,0)</f>
        <v>0</v>
      </c>
    </row>
    <row r="979" spans="1:39"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IF(HR_Employee_Attrition[[#This Row],[Age]]&gt;60,"60+",IF(HR_Employee_Attrition[[#This Row],[Age]]&gt;=50,"50-59",IF(HR_Employee_Attrition[[#This Row],[Age]]&gt;=40,"40-49",IF(HR_Employee_Attrition[[#This Row],[Age]]&gt;=30,"30-39",IF(HR_Employee_Attrition[[#This Row],[Age]]&gt;=20,"20-29",IF(HR_Employee_Attrition[[#This Row],[Age]]&gt;=18,"18-20"))))))</f>
        <v>30-39</v>
      </c>
      <c r="AK979" t="str" cm="1">
        <f t="array" ref="AK979">_xlfn.IFS(HR_Employee_Attrition[[#This Row],[YearsAtCompany]]&lt;=2,"0-2",HR_Employee_Attrition[[#This Row],[YearsAtCompany]]&lt;=5,"3-5",HR_Employee_Attrition[[#This Row],[YearsAtCompany]]&lt;=10,"6-10",HR_Employee_Attrition[[#This Row],[YearsAtCompany]]&gt;10,"10+")</f>
        <v>3-5</v>
      </c>
      <c r="AL979" t="str" cm="1">
        <f t="array" ref="AL97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79">
        <f>IF(HR_Employee_Attrition[[#This Row],[Attrition]]="Yes",1,0)</f>
        <v>0</v>
      </c>
    </row>
    <row r="980" spans="1:39"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IF(HR_Employee_Attrition[[#This Row],[Age]]&gt;60,"60+",IF(HR_Employee_Attrition[[#This Row],[Age]]&gt;=50,"50-59",IF(HR_Employee_Attrition[[#This Row],[Age]]&gt;=40,"40-49",IF(HR_Employee_Attrition[[#This Row],[Age]]&gt;=30,"30-39",IF(HR_Employee_Attrition[[#This Row],[Age]]&gt;=20,"20-29",IF(HR_Employee_Attrition[[#This Row],[Age]]&gt;=18,"18-20"))))))</f>
        <v>40-49</v>
      </c>
      <c r="AK980" t="str" cm="1">
        <f t="array" ref="AK980">_xlfn.IFS(HR_Employee_Attrition[[#This Row],[YearsAtCompany]]&lt;=2,"0-2",HR_Employee_Attrition[[#This Row],[YearsAtCompany]]&lt;=5,"3-5",HR_Employee_Attrition[[#This Row],[YearsAtCompany]]&lt;=10,"6-10",HR_Employee_Attrition[[#This Row],[YearsAtCompany]]&gt;10,"10+")</f>
        <v>10+</v>
      </c>
      <c r="AL980" t="str" cm="1">
        <f t="array" ref="AL98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80">
        <f>IF(HR_Employee_Attrition[[#This Row],[Attrition]]="Yes",1,0)</f>
        <v>0</v>
      </c>
    </row>
    <row r="981" spans="1:39"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IF(HR_Employee_Attrition[[#This Row],[Age]]&gt;60,"60+",IF(HR_Employee_Attrition[[#This Row],[Age]]&gt;=50,"50-59",IF(HR_Employee_Attrition[[#This Row],[Age]]&gt;=40,"40-49",IF(HR_Employee_Attrition[[#This Row],[Age]]&gt;=30,"30-39",IF(HR_Employee_Attrition[[#This Row],[Age]]&gt;=20,"20-29",IF(HR_Employee_Attrition[[#This Row],[Age]]&gt;=18,"18-20"))))))</f>
        <v>30-39</v>
      </c>
      <c r="AK981" t="str" cm="1">
        <f t="array" ref="AK981">_xlfn.IFS(HR_Employee_Attrition[[#This Row],[YearsAtCompany]]&lt;=2,"0-2",HR_Employee_Attrition[[#This Row],[YearsAtCompany]]&lt;=5,"3-5",HR_Employee_Attrition[[#This Row],[YearsAtCompany]]&lt;=10,"6-10",HR_Employee_Attrition[[#This Row],[YearsAtCompany]]&gt;10,"10+")</f>
        <v>6-10</v>
      </c>
      <c r="AL981" t="str" cm="1">
        <f t="array" ref="AL98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81">
        <f>IF(HR_Employee_Attrition[[#This Row],[Attrition]]="Yes",1,0)</f>
        <v>0</v>
      </c>
    </row>
    <row r="982" spans="1:39"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IF(HR_Employee_Attrition[[#This Row],[Age]]&gt;60,"60+",IF(HR_Employee_Attrition[[#This Row],[Age]]&gt;=50,"50-59",IF(HR_Employee_Attrition[[#This Row],[Age]]&gt;=40,"40-49",IF(HR_Employee_Attrition[[#This Row],[Age]]&gt;=30,"30-39",IF(HR_Employee_Attrition[[#This Row],[Age]]&gt;=20,"20-29",IF(HR_Employee_Attrition[[#This Row],[Age]]&gt;=18,"18-20"))))))</f>
        <v>30-39</v>
      </c>
      <c r="AK982" t="str" cm="1">
        <f t="array" ref="AK982">_xlfn.IFS(HR_Employee_Attrition[[#This Row],[YearsAtCompany]]&lt;=2,"0-2",HR_Employee_Attrition[[#This Row],[YearsAtCompany]]&lt;=5,"3-5",HR_Employee_Attrition[[#This Row],[YearsAtCompany]]&lt;=10,"6-10",HR_Employee_Attrition[[#This Row],[YearsAtCompany]]&gt;10,"10+")</f>
        <v>0-2</v>
      </c>
      <c r="AL982" t="str" cm="1">
        <f t="array" ref="AL98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82">
        <f>IF(HR_Employee_Attrition[[#This Row],[Attrition]]="Yes",1,0)</f>
        <v>1</v>
      </c>
    </row>
    <row r="983" spans="1:39"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IF(HR_Employee_Attrition[[#This Row],[Age]]&gt;60,"60+",IF(HR_Employee_Attrition[[#This Row],[Age]]&gt;=50,"50-59",IF(HR_Employee_Attrition[[#This Row],[Age]]&gt;=40,"40-49",IF(HR_Employee_Attrition[[#This Row],[Age]]&gt;=30,"30-39",IF(HR_Employee_Attrition[[#This Row],[Age]]&gt;=20,"20-29",IF(HR_Employee_Attrition[[#This Row],[Age]]&gt;=18,"18-20"))))))</f>
        <v>30-39</v>
      </c>
      <c r="AK983" t="str" cm="1">
        <f t="array" ref="AK983">_xlfn.IFS(HR_Employee_Attrition[[#This Row],[YearsAtCompany]]&lt;=2,"0-2",HR_Employee_Attrition[[#This Row],[YearsAtCompany]]&lt;=5,"3-5",HR_Employee_Attrition[[#This Row],[YearsAtCompany]]&lt;=10,"6-10",HR_Employee_Attrition[[#This Row],[YearsAtCompany]]&gt;10,"10+")</f>
        <v>3-5</v>
      </c>
      <c r="AL983" t="str" cm="1">
        <f t="array" ref="AL98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83">
        <f>IF(HR_Employee_Attrition[[#This Row],[Attrition]]="Yes",1,0)</f>
        <v>1</v>
      </c>
    </row>
    <row r="984" spans="1:39"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IF(HR_Employee_Attrition[[#This Row],[Age]]&gt;60,"60+",IF(HR_Employee_Attrition[[#This Row],[Age]]&gt;=50,"50-59",IF(HR_Employee_Attrition[[#This Row],[Age]]&gt;=40,"40-49",IF(HR_Employee_Attrition[[#This Row],[Age]]&gt;=30,"30-39",IF(HR_Employee_Attrition[[#This Row],[Age]]&gt;=20,"20-29",IF(HR_Employee_Attrition[[#This Row],[Age]]&gt;=18,"18-20"))))))</f>
        <v>30-39</v>
      </c>
      <c r="AK984" t="str" cm="1">
        <f t="array" ref="AK984">_xlfn.IFS(HR_Employee_Attrition[[#This Row],[YearsAtCompany]]&lt;=2,"0-2",HR_Employee_Attrition[[#This Row],[YearsAtCompany]]&lt;=5,"3-5",HR_Employee_Attrition[[#This Row],[YearsAtCompany]]&lt;=10,"6-10",HR_Employee_Attrition[[#This Row],[YearsAtCompany]]&gt;10,"10+")</f>
        <v>3-5</v>
      </c>
      <c r="AL984" t="str" cm="1">
        <f t="array" ref="AL98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84">
        <f>IF(HR_Employee_Attrition[[#This Row],[Attrition]]="Yes",1,0)</f>
        <v>0</v>
      </c>
    </row>
    <row r="985" spans="1:39"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IF(HR_Employee_Attrition[[#This Row],[Age]]&gt;60,"60+",IF(HR_Employee_Attrition[[#This Row],[Age]]&gt;=50,"50-59",IF(HR_Employee_Attrition[[#This Row],[Age]]&gt;=40,"40-49",IF(HR_Employee_Attrition[[#This Row],[Age]]&gt;=30,"30-39",IF(HR_Employee_Attrition[[#This Row],[Age]]&gt;=20,"20-29",IF(HR_Employee_Attrition[[#This Row],[Age]]&gt;=18,"18-20"))))))</f>
        <v>30-39</v>
      </c>
      <c r="AK985" t="str" cm="1">
        <f t="array" ref="AK985">_xlfn.IFS(HR_Employee_Attrition[[#This Row],[YearsAtCompany]]&lt;=2,"0-2",HR_Employee_Attrition[[#This Row],[YearsAtCompany]]&lt;=5,"3-5",HR_Employee_Attrition[[#This Row],[YearsAtCompany]]&lt;=10,"6-10",HR_Employee_Attrition[[#This Row],[YearsAtCompany]]&gt;10,"10+")</f>
        <v>10+</v>
      </c>
      <c r="AL985" t="str" cm="1">
        <f t="array" ref="AL98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85">
        <f>IF(HR_Employee_Attrition[[#This Row],[Attrition]]="Yes",1,0)</f>
        <v>0</v>
      </c>
    </row>
    <row r="986" spans="1:39"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IF(HR_Employee_Attrition[[#This Row],[Age]]&gt;60,"60+",IF(HR_Employee_Attrition[[#This Row],[Age]]&gt;=50,"50-59",IF(HR_Employee_Attrition[[#This Row],[Age]]&gt;=40,"40-49",IF(HR_Employee_Attrition[[#This Row],[Age]]&gt;=30,"30-39",IF(HR_Employee_Attrition[[#This Row],[Age]]&gt;=20,"20-29",IF(HR_Employee_Attrition[[#This Row],[Age]]&gt;=18,"18-20"))))))</f>
        <v>20-29</v>
      </c>
      <c r="AK986" t="str" cm="1">
        <f t="array" ref="AK986">_xlfn.IFS(HR_Employee_Attrition[[#This Row],[YearsAtCompany]]&lt;=2,"0-2",HR_Employee_Attrition[[#This Row],[YearsAtCompany]]&lt;=5,"3-5",HR_Employee_Attrition[[#This Row],[YearsAtCompany]]&lt;=10,"6-10",HR_Employee_Attrition[[#This Row],[YearsAtCompany]]&gt;10,"10+")</f>
        <v>3-5</v>
      </c>
      <c r="AL986" t="str" cm="1">
        <f t="array" ref="AL98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86">
        <f>IF(HR_Employee_Attrition[[#This Row],[Attrition]]="Yes",1,0)</f>
        <v>0</v>
      </c>
    </row>
    <row r="987" spans="1:39"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IF(HR_Employee_Attrition[[#This Row],[Age]]&gt;60,"60+",IF(HR_Employee_Attrition[[#This Row],[Age]]&gt;=50,"50-59",IF(HR_Employee_Attrition[[#This Row],[Age]]&gt;=40,"40-49",IF(HR_Employee_Attrition[[#This Row],[Age]]&gt;=30,"30-39",IF(HR_Employee_Attrition[[#This Row],[Age]]&gt;=20,"20-29",IF(HR_Employee_Attrition[[#This Row],[Age]]&gt;=18,"18-20"))))))</f>
        <v>30-39</v>
      </c>
      <c r="AK987" t="str" cm="1">
        <f t="array" ref="AK987">_xlfn.IFS(HR_Employee_Attrition[[#This Row],[YearsAtCompany]]&lt;=2,"0-2",HR_Employee_Attrition[[#This Row],[YearsAtCompany]]&lt;=5,"3-5",HR_Employee_Attrition[[#This Row],[YearsAtCompany]]&lt;=10,"6-10",HR_Employee_Attrition[[#This Row],[YearsAtCompany]]&gt;10,"10+")</f>
        <v>6-10</v>
      </c>
      <c r="AL987" t="str" cm="1">
        <f t="array" ref="AL98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87">
        <f>IF(HR_Employee_Attrition[[#This Row],[Attrition]]="Yes",1,0)</f>
        <v>1</v>
      </c>
    </row>
    <row r="988" spans="1:39"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IF(HR_Employee_Attrition[[#This Row],[Age]]&gt;60,"60+",IF(HR_Employee_Attrition[[#This Row],[Age]]&gt;=50,"50-59",IF(HR_Employee_Attrition[[#This Row],[Age]]&gt;=40,"40-49",IF(HR_Employee_Attrition[[#This Row],[Age]]&gt;=30,"30-39",IF(HR_Employee_Attrition[[#This Row],[Age]]&gt;=20,"20-29",IF(HR_Employee_Attrition[[#This Row],[Age]]&gt;=18,"18-20"))))))</f>
        <v>30-39</v>
      </c>
      <c r="AK988" t="str" cm="1">
        <f t="array" ref="AK988">_xlfn.IFS(HR_Employee_Attrition[[#This Row],[YearsAtCompany]]&lt;=2,"0-2",HR_Employee_Attrition[[#This Row],[YearsAtCompany]]&lt;=5,"3-5",HR_Employee_Attrition[[#This Row],[YearsAtCompany]]&lt;=10,"6-10",HR_Employee_Attrition[[#This Row],[YearsAtCompany]]&gt;10,"10+")</f>
        <v>3-5</v>
      </c>
      <c r="AL988" t="str" cm="1">
        <f t="array" ref="AL98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88">
        <f>IF(HR_Employee_Attrition[[#This Row],[Attrition]]="Yes",1,0)</f>
        <v>0</v>
      </c>
    </row>
    <row r="989" spans="1:39"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IF(HR_Employee_Attrition[[#This Row],[Age]]&gt;60,"60+",IF(HR_Employee_Attrition[[#This Row],[Age]]&gt;=50,"50-59",IF(HR_Employee_Attrition[[#This Row],[Age]]&gt;=40,"40-49",IF(HR_Employee_Attrition[[#This Row],[Age]]&gt;=30,"30-39",IF(HR_Employee_Attrition[[#This Row],[Age]]&gt;=20,"20-29",IF(HR_Employee_Attrition[[#This Row],[Age]]&gt;=18,"18-20"))))))</f>
        <v>50-59</v>
      </c>
      <c r="AK989" t="str" cm="1">
        <f t="array" ref="AK989">_xlfn.IFS(HR_Employee_Attrition[[#This Row],[YearsAtCompany]]&lt;=2,"0-2",HR_Employee_Attrition[[#This Row],[YearsAtCompany]]&lt;=5,"3-5",HR_Employee_Attrition[[#This Row],[YearsAtCompany]]&lt;=10,"6-10",HR_Employee_Attrition[[#This Row],[YearsAtCompany]]&gt;10,"10+")</f>
        <v>3-5</v>
      </c>
      <c r="AL989" t="str" cm="1">
        <f t="array" ref="AL98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89">
        <f>IF(HR_Employee_Attrition[[#This Row],[Attrition]]="Yes",1,0)</f>
        <v>0</v>
      </c>
    </row>
    <row r="990" spans="1:39"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IF(HR_Employee_Attrition[[#This Row],[Age]]&gt;60,"60+",IF(HR_Employee_Attrition[[#This Row],[Age]]&gt;=50,"50-59",IF(HR_Employee_Attrition[[#This Row],[Age]]&gt;=40,"40-49",IF(HR_Employee_Attrition[[#This Row],[Age]]&gt;=30,"30-39",IF(HR_Employee_Attrition[[#This Row],[Age]]&gt;=20,"20-29",IF(HR_Employee_Attrition[[#This Row],[Age]]&gt;=18,"18-20"))))))</f>
        <v>40-49</v>
      </c>
      <c r="AK990" t="str" cm="1">
        <f t="array" ref="AK990">_xlfn.IFS(HR_Employee_Attrition[[#This Row],[YearsAtCompany]]&lt;=2,"0-2",HR_Employee_Attrition[[#This Row],[YearsAtCompany]]&lt;=5,"3-5",HR_Employee_Attrition[[#This Row],[YearsAtCompany]]&lt;=10,"6-10",HR_Employee_Attrition[[#This Row],[YearsAtCompany]]&gt;10,"10+")</f>
        <v>6-10</v>
      </c>
      <c r="AL990" t="str" cm="1">
        <f t="array" ref="AL99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90">
        <f>IF(HR_Employee_Attrition[[#This Row],[Attrition]]="Yes",1,0)</f>
        <v>0</v>
      </c>
    </row>
    <row r="991" spans="1:39"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IF(HR_Employee_Attrition[[#This Row],[Age]]&gt;60,"60+",IF(HR_Employee_Attrition[[#This Row],[Age]]&gt;=50,"50-59",IF(HR_Employee_Attrition[[#This Row],[Age]]&gt;=40,"40-49",IF(HR_Employee_Attrition[[#This Row],[Age]]&gt;=30,"30-39",IF(HR_Employee_Attrition[[#This Row],[Age]]&gt;=20,"20-29",IF(HR_Employee_Attrition[[#This Row],[Age]]&gt;=18,"18-20"))))))</f>
        <v>30-39</v>
      </c>
      <c r="AK991" t="str" cm="1">
        <f t="array" ref="AK991">_xlfn.IFS(HR_Employee_Attrition[[#This Row],[YearsAtCompany]]&lt;=2,"0-2",HR_Employee_Attrition[[#This Row],[YearsAtCompany]]&lt;=5,"3-5",HR_Employee_Attrition[[#This Row],[YearsAtCompany]]&lt;=10,"6-10",HR_Employee_Attrition[[#This Row],[YearsAtCompany]]&gt;10,"10+")</f>
        <v>6-10</v>
      </c>
      <c r="AL991" t="str" cm="1">
        <f t="array" ref="AL99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91">
        <f>IF(HR_Employee_Attrition[[#This Row],[Attrition]]="Yes",1,0)</f>
        <v>0</v>
      </c>
    </row>
    <row r="992" spans="1:39"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IF(HR_Employee_Attrition[[#This Row],[Age]]&gt;60,"60+",IF(HR_Employee_Attrition[[#This Row],[Age]]&gt;=50,"50-59",IF(HR_Employee_Attrition[[#This Row],[Age]]&gt;=40,"40-49",IF(HR_Employee_Attrition[[#This Row],[Age]]&gt;=30,"30-39",IF(HR_Employee_Attrition[[#This Row],[Age]]&gt;=20,"20-29",IF(HR_Employee_Attrition[[#This Row],[Age]]&gt;=18,"18-20"))))))</f>
        <v>30-39</v>
      </c>
      <c r="AK992" t="str" cm="1">
        <f t="array" ref="AK992">_xlfn.IFS(HR_Employee_Attrition[[#This Row],[YearsAtCompany]]&lt;=2,"0-2",HR_Employee_Attrition[[#This Row],[YearsAtCompany]]&lt;=5,"3-5",HR_Employee_Attrition[[#This Row],[YearsAtCompany]]&lt;=10,"6-10",HR_Employee_Attrition[[#This Row],[YearsAtCompany]]&gt;10,"10+")</f>
        <v>3-5</v>
      </c>
      <c r="AL992" t="str" cm="1">
        <f t="array" ref="AL99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92">
        <f>IF(HR_Employee_Attrition[[#This Row],[Attrition]]="Yes",1,0)</f>
        <v>0</v>
      </c>
    </row>
    <row r="993" spans="1:39"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IF(HR_Employee_Attrition[[#This Row],[Age]]&gt;60,"60+",IF(HR_Employee_Attrition[[#This Row],[Age]]&gt;=50,"50-59",IF(HR_Employee_Attrition[[#This Row],[Age]]&gt;=40,"40-49",IF(HR_Employee_Attrition[[#This Row],[Age]]&gt;=30,"30-39",IF(HR_Employee_Attrition[[#This Row],[Age]]&gt;=20,"20-29",IF(HR_Employee_Attrition[[#This Row],[Age]]&gt;=18,"18-20"))))))</f>
        <v>30-39</v>
      </c>
      <c r="AK993" t="str" cm="1">
        <f t="array" ref="AK993">_xlfn.IFS(HR_Employee_Attrition[[#This Row],[YearsAtCompany]]&lt;=2,"0-2",HR_Employee_Attrition[[#This Row],[YearsAtCompany]]&lt;=5,"3-5",HR_Employee_Attrition[[#This Row],[YearsAtCompany]]&lt;=10,"6-10",HR_Employee_Attrition[[#This Row],[YearsAtCompany]]&gt;10,"10+")</f>
        <v>3-5</v>
      </c>
      <c r="AL993" t="str" cm="1">
        <f t="array" ref="AL99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93">
        <f>IF(HR_Employee_Attrition[[#This Row],[Attrition]]="Yes",1,0)</f>
        <v>0</v>
      </c>
    </row>
    <row r="994" spans="1:39"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IF(HR_Employee_Attrition[[#This Row],[Age]]&gt;60,"60+",IF(HR_Employee_Attrition[[#This Row],[Age]]&gt;=50,"50-59",IF(HR_Employee_Attrition[[#This Row],[Age]]&gt;=40,"40-49",IF(HR_Employee_Attrition[[#This Row],[Age]]&gt;=30,"30-39",IF(HR_Employee_Attrition[[#This Row],[Age]]&gt;=20,"20-29",IF(HR_Employee_Attrition[[#This Row],[Age]]&gt;=18,"18-20"))))))</f>
        <v>30-39</v>
      </c>
      <c r="AK994" t="str" cm="1">
        <f t="array" ref="AK994">_xlfn.IFS(HR_Employee_Attrition[[#This Row],[YearsAtCompany]]&lt;=2,"0-2",HR_Employee_Attrition[[#This Row],[YearsAtCompany]]&lt;=5,"3-5",HR_Employee_Attrition[[#This Row],[YearsAtCompany]]&lt;=10,"6-10",HR_Employee_Attrition[[#This Row],[YearsAtCompany]]&gt;10,"10+")</f>
        <v>6-10</v>
      </c>
      <c r="AL994" t="str" cm="1">
        <f t="array" ref="AL99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94">
        <f>IF(HR_Employee_Attrition[[#This Row],[Attrition]]="Yes",1,0)</f>
        <v>0</v>
      </c>
    </row>
    <row r="995" spans="1:39"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IF(HR_Employee_Attrition[[#This Row],[Age]]&gt;60,"60+",IF(HR_Employee_Attrition[[#This Row],[Age]]&gt;=50,"50-59",IF(HR_Employee_Attrition[[#This Row],[Age]]&gt;=40,"40-49",IF(HR_Employee_Attrition[[#This Row],[Age]]&gt;=30,"30-39",IF(HR_Employee_Attrition[[#This Row],[Age]]&gt;=20,"20-29",IF(HR_Employee_Attrition[[#This Row],[Age]]&gt;=18,"18-20"))))))</f>
        <v>20-29</v>
      </c>
      <c r="AK995" t="str" cm="1">
        <f t="array" ref="AK995">_xlfn.IFS(HR_Employee_Attrition[[#This Row],[YearsAtCompany]]&lt;=2,"0-2",HR_Employee_Attrition[[#This Row],[YearsAtCompany]]&lt;=5,"3-5",HR_Employee_Attrition[[#This Row],[YearsAtCompany]]&lt;=10,"6-10",HR_Employee_Attrition[[#This Row],[YearsAtCompany]]&gt;10,"10+")</f>
        <v>3-5</v>
      </c>
      <c r="AL995" t="str" cm="1">
        <f t="array" ref="AL99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95">
        <f>IF(HR_Employee_Attrition[[#This Row],[Attrition]]="Yes",1,0)</f>
        <v>0</v>
      </c>
    </row>
    <row r="996" spans="1:39"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IF(HR_Employee_Attrition[[#This Row],[Age]]&gt;60,"60+",IF(HR_Employee_Attrition[[#This Row],[Age]]&gt;=50,"50-59",IF(HR_Employee_Attrition[[#This Row],[Age]]&gt;=40,"40-49",IF(HR_Employee_Attrition[[#This Row],[Age]]&gt;=30,"30-39",IF(HR_Employee_Attrition[[#This Row],[Age]]&gt;=20,"20-29",IF(HR_Employee_Attrition[[#This Row],[Age]]&gt;=18,"18-20"))))))</f>
        <v>50-59</v>
      </c>
      <c r="AK996" t="str" cm="1">
        <f t="array" ref="AK996">_xlfn.IFS(HR_Employee_Attrition[[#This Row],[YearsAtCompany]]&lt;=2,"0-2",HR_Employee_Attrition[[#This Row],[YearsAtCompany]]&lt;=5,"3-5",HR_Employee_Attrition[[#This Row],[YearsAtCompany]]&lt;=10,"6-10",HR_Employee_Attrition[[#This Row],[YearsAtCompany]]&gt;10,"10+")</f>
        <v>3-5</v>
      </c>
      <c r="AL996" t="str" cm="1">
        <f t="array" ref="AL99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996">
        <f>IF(HR_Employee_Attrition[[#This Row],[Attrition]]="Yes",1,0)</f>
        <v>0</v>
      </c>
    </row>
    <row r="997" spans="1:39"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IF(HR_Employee_Attrition[[#This Row],[Age]]&gt;60,"60+",IF(HR_Employee_Attrition[[#This Row],[Age]]&gt;=50,"50-59",IF(HR_Employee_Attrition[[#This Row],[Age]]&gt;=40,"40-49",IF(HR_Employee_Attrition[[#This Row],[Age]]&gt;=30,"30-39",IF(HR_Employee_Attrition[[#This Row],[Age]]&gt;=20,"20-29",IF(HR_Employee_Attrition[[#This Row],[Age]]&gt;=18,"18-20"))))))</f>
        <v>40-49</v>
      </c>
      <c r="AK997" t="str" cm="1">
        <f t="array" ref="AK997">_xlfn.IFS(HR_Employee_Attrition[[#This Row],[YearsAtCompany]]&lt;=2,"0-2",HR_Employee_Attrition[[#This Row],[YearsAtCompany]]&lt;=5,"3-5",HR_Employee_Attrition[[#This Row],[YearsAtCompany]]&lt;=10,"6-10",HR_Employee_Attrition[[#This Row],[YearsAtCompany]]&gt;10,"10+")</f>
        <v>10+</v>
      </c>
      <c r="AL997" t="str" cm="1">
        <f t="array" ref="AL99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97">
        <f>IF(HR_Employee_Attrition[[#This Row],[Attrition]]="Yes",1,0)</f>
        <v>0</v>
      </c>
    </row>
    <row r="998" spans="1:39"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IF(HR_Employee_Attrition[[#This Row],[Age]]&gt;60,"60+",IF(HR_Employee_Attrition[[#This Row],[Age]]&gt;=50,"50-59",IF(HR_Employee_Attrition[[#This Row],[Age]]&gt;=40,"40-49",IF(HR_Employee_Attrition[[#This Row],[Age]]&gt;=30,"30-39",IF(HR_Employee_Attrition[[#This Row],[Age]]&gt;=20,"20-29",IF(HR_Employee_Attrition[[#This Row],[Age]]&gt;=18,"18-20"))))))</f>
        <v>20-29</v>
      </c>
      <c r="AK998" t="str" cm="1">
        <f t="array" ref="AK998">_xlfn.IFS(HR_Employee_Attrition[[#This Row],[YearsAtCompany]]&lt;=2,"0-2",HR_Employee_Attrition[[#This Row],[YearsAtCompany]]&lt;=5,"3-5",HR_Employee_Attrition[[#This Row],[YearsAtCompany]]&lt;=10,"6-10",HR_Employee_Attrition[[#This Row],[YearsAtCompany]]&gt;10,"10+")</f>
        <v>6-10</v>
      </c>
      <c r="AL998" t="str" cm="1">
        <f t="array" ref="AL99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998">
        <f>IF(HR_Employee_Attrition[[#This Row],[Attrition]]="Yes",1,0)</f>
        <v>0</v>
      </c>
    </row>
    <row r="999" spans="1:39"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IF(HR_Employee_Attrition[[#This Row],[Age]]&gt;60,"60+",IF(HR_Employee_Attrition[[#This Row],[Age]]&gt;=50,"50-59",IF(HR_Employee_Attrition[[#This Row],[Age]]&gt;=40,"40-49",IF(HR_Employee_Attrition[[#This Row],[Age]]&gt;=30,"30-39",IF(HR_Employee_Attrition[[#This Row],[Age]]&gt;=20,"20-29",IF(HR_Employee_Attrition[[#This Row],[Age]]&gt;=18,"18-20"))))))</f>
        <v>20-29</v>
      </c>
      <c r="AK999" t="str" cm="1">
        <f t="array" ref="AK999">_xlfn.IFS(HR_Employee_Attrition[[#This Row],[YearsAtCompany]]&lt;=2,"0-2",HR_Employee_Attrition[[#This Row],[YearsAtCompany]]&lt;=5,"3-5",HR_Employee_Attrition[[#This Row],[YearsAtCompany]]&lt;=10,"6-10",HR_Employee_Attrition[[#This Row],[YearsAtCompany]]&gt;10,"10+")</f>
        <v>6-10</v>
      </c>
      <c r="AL999" t="str" cm="1">
        <f t="array" ref="AL99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999">
        <f>IF(HR_Employee_Attrition[[#This Row],[Attrition]]="Yes",1,0)</f>
        <v>1</v>
      </c>
    </row>
    <row r="1000" spans="1:39"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IF(HR_Employee_Attrition[[#This Row],[Age]]&gt;60,"60+",IF(HR_Employee_Attrition[[#This Row],[Age]]&gt;=50,"50-59",IF(HR_Employee_Attrition[[#This Row],[Age]]&gt;=40,"40-49",IF(HR_Employee_Attrition[[#This Row],[Age]]&gt;=30,"30-39",IF(HR_Employee_Attrition[[#This Row],[Age]]&gt;=20,"20-29",IF(HR_Employee_Attrition[[#This Row],[Age]]&gt;=18,"18-20"))))))</f>
        <v>20-29</v>
      </c>
      <c r="AK1000" t="str" cm="1">
        <f t="array" ref="AK1000">_xlfn.IFS(HR_Employee_Attrition[[#This Row],[YearsAtCompany]]&lt;=2,"0-2",HR_Employee_Attrition[[#This Row],[YearsAtCompany]]&lt;=5,"3-5",HR_Employee_Attrition[[#This Row],[YearsAtCompany]]&lt;=10,"6-10",HR_Employee_Attrition[[#This Row],[YearsAtCompany]]&gt;10,"10+")</f>
        <v>3-5</v>
      </c>
      <c r="AL1000" t="str" cm="1">
        <f t="array" ref="AL100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00">
        <f>IF(HR_Employee_Attrition[[#This Row],[Attrition]]="Yes",1,0)</f>
        <v>0</v>
      </c>
    </row>
    <row r="1001" spans="1:39"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IF(HR_Employee_Attrition[[#This Row],[Age]]&gt;60,"60+",IF(HR_Employee_Attrition[[#This Row],[Age]]&gt;=50,"50-59",IF(HR_Employee_Attrition[[#This Row],[Age]]&gt;=40,"40-49",IF(HR_Employee_Attrition[[#This Row],[Age]]&gt;=30,"30-39",IF(HR_Employee_Attrition[[#This Row],[Age]]&gt;=20,"20-29",IF(HR_Employee_Attrition[[#This Row],[Age]]&gt;=18,"18-20"))))))</f>
        <v>40-49</v>
      </c>
      <c r="AK1001" t="str" cm="1">
        <f t="array" ref="AK1001">_xlfn.IFS(HR_Employee_Attrition[[#This Row],[YearsAtCompany]]&lt;=2,"0-2",HR_Employee_Attrition[[#This Row],[YearsAtCompany]]&lt;=5,"3-5",HR_Employee_Attrition[[#This Row],[YearsAtCompany]]&lt;=10,"6-10",HR_Employee_Attrition[[#This Row],[YearsAtCompany]]&gt;10,"10+")</f>
        <v>10+</v>
      </c>
      <c r="AL1001" t="str" cm="1">
        <f t="array" ref="AL100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001">
        <f>IF(HR_Employee_Attrition[[#This Row],[Attrition]]="Yes",1,0)</f>
        <v>0</v>
      </c>
    </row>
    <row r="1002" spans="1:39"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IF(HR_Employee_Attrition[[#This Row],[Age]]&gt;60,"60+",IF(HR_Employee_Attrition[[#This Row],[Age]]&gt;=50,"50-59",IF(HR_Employee_Attrition[[#This Row],[Age]]&gt;=40,"40-49",IF(HR_Employee_Attrition[[#This Row],[Age]]&gt;=30,"30-39",IF(HR_Employee_Attrition[[#This Row],[Age]]&gt;=20,"20-29",IF(HR_Employee_Attrition[[#This Row],[Age]]&gt;=18,"18-20"))))))</f>
        <v>50-59</v>
      </c>
      <c r="AK1002" t="str" cm="1">
        <f t="array" ref="AK1002">_xlfn.IFS(HR_Employee_Attrition[[#This Row],[YearsAtCompany]]&lt;=2,"0-2",HR_Employee_Attrition[[#This Row],[YearsAtCompany]]&lt;=5,"3-5",HR_Employee_Attrition[[#This Row],[YearsAtCompany]]&lt;=10,"6-10",HR_Employee_Attrition[[#This Row],[YearsAtCompany]]&gt;10,"10+")</f>
        <v>3-5</v>
      </c>
      <c r="AL1002" t="str" cm="1">
        <f t="array" ref="AL100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02">
        <f>IF(HR_Employee_Attrition[[#This Row],[Attrition]]="Yes",1,0)</f>
        <v>0</v>
      </c>
    </row>
    <row r="1003" spans="1:39"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IF(HR_Employee_Attrition[[#This Row],[Age]]&gt;60,"60+",IF(HR_Employee_Attrition[[#This Row],[Age]]&gt;=50,"50-59",IF(HR_Employee_Attrition[[#This Row],[Age]]&gt;=40,"40-49",IF(HR_Employee_Attrition[[#This Row],[Age]]&gt;=30,"30-39",IF(HR_Employee_Attrition[[#This Row],[Age]]&gt;=20,"20-29",IF(HR_Employee_Attrition[[#This Row],[Age]]&gt;=18,"18-20"))))))</f>
        <v>30-39</v>
      </c>
      <c r="AK1003" t="str" cm="1">
        <f t="array" ref="AK1003">_xlfn.IFS(HR_Employee_Attrition[[#This Row],[YearsAtCompany]]&lt;=2,"0-2",HR_Employee_Attrition[[#This Row],[YearsAtCompany]]&lt;=5,"3-5",HR_Employee_Attrition[[#This Row],[YearsAtCompany]]&lt;=10,"6-10",HR_Employee_Attrition[[#This Row],[YearsAtCompany]]&gt;10,"10+")</f>
        <v>3-5</v>
      </c>
      <c r="AL1003" t="str" cm="1">
        <f t="array" ref="AL100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03">
        <f>IF(HR_Employee_Attrition[[#This Row],[Attrition]]="Yes",1,0)</f>
        <v>0</v>
      </c>
    </row>
    <row r="1004" spans="1:39"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IF(HR_Employee_Attrition[[#This Row],[Age]]&gt;60,"60+",IF(HR_Employee_Attrition[[#This Row],[Age]]&gt;=50,"50-59",IF(HR_Employee_Attrition[[#This Row],[Age]]&gt;=40,"40-49",IF(HR_Employee_Attrition[[#This Row],[Age]]&gt;=30,"30-39",IF(HR_Employee_Attrition[[#This Row],[Age]]&gt;=20,"20-29",IF(HR_Employee_Attrition[[#This Row],[Age]]&gt;=18,"18-20"))))))</f>
        <v>30-39</v>
      </c>
      <c r="AK1004" t="str" cm="1">
        <f t="array" ref="AK1004">_xlfn.IFS(HR_Employee_Attrition[[#This Row],[YearsAtCompany]]&lt;=2,"0-2",HR_Employee_Attrition[[#This Row],[YearsAtCompany]]&lt;=5,"3-5",HR_Employee_Attrition[[#This Row],[YearsAtCompany]]&lt;=10,"6-10",HR_Employee_Attrition[[#This Row],[YearsAtCompany]]&gt;10,"10+")</f>
        <v>0-2</v>
      </c>
      <c r="AL1004" t="str" cm="1">
        <f t="array" ref="AL100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04">
        <f>IF(HR_Employee_Attrition[[#This Row],[Attrition]]="Yes",1,0)</f>
        <v>0</v>
      </c>
    </row>
    <row r="1005" spans="1:39"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IF(HR_Employee_Attrition[[#This Row],[Age]]&gt;60,"60+",IF(HR_Employee_Attrition[[#This Row],[Age]]&gt;=50,"50-59",IF(HR_Employee_Attrition[[#This Row],[Age]]&gt;=40,"40-49",IF(HR_Employee_Attrition[[#This Row],[Age]]&gt;=30,"30-39",IF(HR_Employee_Attrition[[#This Row],[Age]]&gt;=20,"20-29",IF(HR_Employee_Attrition[[#This Row],[Age]]&gt;=18,"18-20"))))))</f>
        <v>20-29</v>
      </c>
      <c r="AK1005" t="str" cm="1">
        <f t="array" ref="AK1005">_xlfn.IFS(HR_Employee_Attrition[[#This Row],[YearsAtCompany]]&lt;=2,"0-2",HR_Employee_Attrition[[#This Row],[YearsAtCompany]]&lt;=5,"3-5",HR_Employee_Attrition[[#This Row],[YearsAtCompany]]&lt;=10,"6-10",HR_Employee_Attrition[[#This Row],[YearsAtCompany]]&gt;10,"10+")</f>
        <v>3-5</v>
      </c>
      <c r="AL1005" t="str" cm="1">
        <f t="array" ref="AL100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05">
        <f>IF(HR_Employee_Attrition[[#This Row],[Attrition]]="Yes",1,0)</f>
        <v>0</v>
      </c>
    </row>
    <row r="1006" spans="1:39"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IF(HR_Employee_Attrition[[#This Row],[Age]]&gt;60,"60+",IF(HR_Employee_Attrition[[#This Row],[Age]]&gt;=50,"50-59",IF(HR_Employee_Attrition[[#This Row],[Age]]&gt;=40,"40-49",IF(HR_Employee_Attrition[[#This Row],[Age]]&gt;=30,"30-39",IF(HR_Employee_Attrition[[#This Row],[Age]]&gt;=20,"20-29",IF(HR_Employee_Attrition[[#This Row],[Age]]&gt;=18,"18-20"))))))</f>
        <v>20-29</v>
      </c>
      <c r="AK1006" t="str" cm="1">
        <f t="array" ref="AK1006">_xlfn.IFS(HR_Employee_Attrition[[#This Row],[YearsAtCompany]]&lt;=2,"0-2",HR_Employee_Attrition[[#This Row],[YearsAtCompany]]&lt;=5,"3-5",HR_Employee_Attrition[[#This Row],[YearsAtCompany]]&lt;=10,"6-10",HR_Employee_Attrition[[#This Row],[YearsAtCompany]]&gt;10,"10+")</f>
        <v>6-10</v>
      </c>
      <c r="AL1006" t="str" cm="1">
        <f t="array" ref="AL100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06">
        <f>IF(HR_Employee_Attrition[[#This Row],[Attrition]]="Yes",1,0)</f>
        <v>0</v>
      </c>
    </row>
    <row r="1007" spans="1:39"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IF(HR_Employee_Attrition[[#This Row],[Age]]&gt;60,"60+",IF(HR_Employee_Attrition[[#This Row],[Age]]&gt;=50,"50-59",IF(HR_Employee_Attrition[[#This Row],[Age]]&gt;=40,"40-49",IF(HR_Employee_Attrition[[#This Row],[Age]]&gt;=30,"30-39",IF(HR_Employee_Attrition[[#This Row],[Age]]&gt;=20,"20-29",IF(HR_Employee_Attrition[[#This Row],[Age]]&gt;=18,"18-20"))))))</f>
        <v>20-29</v>
      </c>
      <c r="AK1007" t="str" cm="1">
        <f t="array" ref="AK1007">_xlfn.IFS(HR_Employee_Attrition[[#This Row],[YearsAtCompany]]&lt;=2,"0-2",HR_Employee_Attrition[[#This Row],[YearsAtCompany]]&lt;=5,"3-5",HR_Employee_Attrition[[#This Row],[YearsAtCompany]]&lt;=10,"6-10",HR_Employee_Attrition[[#This Row],[YearsAtCompany]]&gt;10,"10+")</f>
        <v>6-10</v>
      </c>
      <c r="AL1007" t="str" cm="1">
        <f t="array" ref="AL100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07">
        <f>IF(HR_Employee_Attrition[[#This Row],[Attrition]]="Yes",1,0)</f>
        <v>0</v>
      </c>
    </row>
    <row r="1008" spans="1:39"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IF(HR_Employee_Attrition[[#This Row],[Age]]&gt;60,"60+",IF(HR_Employee_Attrition[[#This Row],[Age]]&gt;=50,"50-59",IF(HR_Employee_Attrition[[#This Row],[Age]]&gt;=40,"40-49",IF(HR_Employee_Attrition[[#This Row],[Age]]&gt;=30,"30-39",IF(HR_Employee_Attrition[[#This Row],[Age]]&gt;=20,"20-29",IF(HR_Employee_Attrition[[#This Row],[Age]]&gt;=18,"18-20"))))))</f>
        <v>40-49</v>
      </c>
      <c r="AK1008" t="str" cm="1">
        <f t="array" ref="AK1008">_xlfn.IFS(HR_Employee_Attrition[[#This Row],[YearsAtCompany]]&lt;=2,"0-2",HR_Employee_Attrition[[#This Row],[YearsAtCompany]]&lt;=5,"3-5",HR_Employee_Attrition[[#This Row],[YearsAtCompany]]&lt;=10,"6-10",HR_Employee_Attrition[[#This Row],[YearsAtCompany]]&gt;10,"10+")</f>
        <v>3-5</v>
      </c>
      <c r="AL1008" t="str" cm="1">
        <f t="array" ref="AL100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08">
        <f>IF(HR_Employee_Attrition[[#This Row],[Attrition]]="Yes",1,0)</f>
        <v>1</v>
      </c>
    </row>
    <row r="1009" spans="1:39"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IF(HR_Employee_Attrition[[#This Row],[Age]]&gt;60,"60+",IF(HR_Employee_Attrition[[#This Row],[Age]]&gt;=50,"50-59",IF(HR_Employee_Attrition[[#This Row],[Age]]&gt;=40,"40-49",IF(HR_Employee_Attrition[[#This Row],[Age]]&gt;=30,"30-39",IF(HR_Employee_Attrition[[#This Row],[Age]]&gt;=20,"20-29",IF(HR_Employee_Attrition[[#This Row],[Age]]&gt;=18,"18-20"))))))</f>
        <v>20-29</v>
      </c>
      <c r="AK1009" t="str" cm="1">
        <f t="array" ref="AK1009">_xlfn.IFS(HR_Employee_Attrition[[#This Row],[YearsAtCompany]]&lt;=2,"0-2",HR_Employee_Attrition[[#This Row],[YearsAtCompany]]&lt;=5,"3-5",HR_Employee_Attrition[[#This Row],[YearsAtCompany]]&lt;=10,"6-10",HR_Employee_Attrition[[#This Row],[YearsAtCompany]]&gt;10,"10+")</f>
        <v>6-10</v>
      </c>
      <c r="AL1009" t="str" cm="1">
        <f t="array" ref="AL100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09">
        <f>IF(HR_Employee_Attrition[[#This Row],[Attrition]]="Yes",1,0)</f>
        <v>1</v>
      </c>
    </row>
    <row r="1010" spans="1:39"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IF(HR_Employee_Attrition[[#This Row],[Age]]&gt;60,"60+",IF(HR_Employee_Attrition[[#This Row],[Age]]&gt;=50,"50-59",IF(HR_Employee_Attrition[[#This Row],[Age]]&gt;=40,"40-49",IF(HR_Employee_Attrition[[#This Row],[Age]]&gt;=30,"30-39",IF(HR_Employee_Attrition[[#This Row],[Age]]&gt;=20,"20-29",IF(HR_Employee_Attrition[[#This Row],[Age]]&gt;=18,"18-20"))))))</f>
        <v>50-59</v>
      </c>
      <c r="AK1010" t="str" cm="1">
        <f t="array" ref="AK1010">_xlfn.IFS(HR_Employee_Attrition[[#This Row],[YearsAtCompany]]&lt;=2,"0-2",HR_Employee_Attrition[[#This Row],[YearsAtCompany]]&lt;=5,"3-5",HR_Employee_Attrition[[#This Row],[YearsAtCompany]]&lt;=10,"6-10",HR_Employee_Attrition[[#This Row],[YearsAtCompany]]&gt;10,"10+")</f>
        <v>10+</v>
      </c>
      <c r="AL1010" t="str" cm="1">
        <f t="array" ref="AL10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010">
        <f>IF(HR_Employee_Attrition[[#This Row],[Attrition]]="Yes",1,0)</f>
        <v>0</v>
      </c>
    </row>
    <row r="1011" spans="1:39"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IF(HR_Employee_Attrition[[#This Row],[Age]]&gt;60,"60+",IF(HR_Employee_Attrition[[#This Row],[Age]]&gt;=50,"50-59",IF(HR_Employee_Attrition[[#This Row],[Age]]&gt;=40,"40-49",IF(HR_Employee_Attrition[[#This Row],[Age]]&gt;=30,"30-39",IF(HR_Employee_Attrition[[#This Row],[Age]]&gt;=20,"20-29",IF(HR_Employee_Attrition[[#This Row],[Age]]&gt;=18,"18-20"))))))</f>
        <v>50-59</v>
      </c>
      <c r="AK1011" t="str" cm="1">
        <f t="array" ref="AK1011">_xlfn.IFS(HR_Employee_Attrition[[#This Row],[YearsAtCompany]]&lt;=2,"0-2",HR_Employee_Attrition[[#This Row],[YearsAtCompany]]&lt;=5,"3-5",HR_Employee_Attrition[[#This Row],[YearsAtCompany]]&lt;=10,"6-10",HR_Employee_Attrition[[#This Row],[YearsAtCompany]]&gt;10,"10+")</f>
        <v>6-10</v>
      </c>
      <c r="AL1011" t="str" cm="1">
        <f t="array" ref="AL10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011">
        <f>IF(HR_Employee_Attrition[[#This Row],[Attrition]]="Yes",1,0)</f>
        <v>0</v>
      </c>
    </row>
    <row r="1012" spans="1:39"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IF(HR_Employee_Attrition[[#This Row],[Age]]&gt;60,"60+",IF(HR_Employee_Attrition[[#This Row],[Age]]&gt;=50,"50-59",IF(HR_Employee_Attrition[[#This Row],[Age]]&gt;=40,"40-49",IF(HR_Employee_Attrition[[#This Row],[Age]]&gt;=30,"30-39",IF(HR_Employee_Attrition[[#This Row],[Age]]&gt;=20,"20-29",IF(HR_Employee_Attrition[[#This Row],[Age]]&gt;=18,"18-20"))))))</f>
        <v>50-59</v>
      </c>
      <c r="AK1012" t="str" cm="1">
        <f t="array" ref="AK1012">_xlfn.IFS(HR_Employee_Attrition[[#This Row],[YearsAtCompany]]&lt;=2,"0-2",HR_Employee_Attrition[[#This Row],[YearsAtCompany]]&lt;=5,"3-5",HR_Employee_Attrition[[#This Row],[YearsAtCompany]]&lt;=10,"6-10",HR_Employee_Attrition[[#This Row],[YearsAtCompany]]&gt;10,"10+")</f>
        <v>6-10</v>
      </c>
      <c r="AL1012" t="str" cm="1">
        <f t="array" ref="AL10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012">
        <f>IF(HR_Employee_Attrition[[#This Row],[Attrition]]="Yes",1,0)</f>
        <v>0</v>
      </c>
    </row>
    <row r="1013" spans="1:39"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IF(HR_Employee_Attrition[[#This Row],[Age]]&gt;60,"60+",IF(HR_Employee_Attrition[[#This Row],[Age]]&gt;=50,"50-59",IF(HR_Employee_Attrition[[#This Row],[Age]]&gt;=40,"40-49",IF(HR_Employee_Attrition[[#This Row],[Age]]&gt;=30,"30-39",IF(HR_Employee_Attrition[[#This Row],[Age]]&gt;=20,"20-29",IF(HR_Employee_Attrition[[#This Row],[Age]]&gt;=18,"18-20"))))))</f>
        <v>30-39</v>
      </c>
      <c r="AK1013" t="str" cm="1">
        <f t="array" ref="AK1013">_xlfn.IFS(HR_Employee_Attrition[[#This Row],[YearsAtCompany]]&lt;=2,"0-2",HR_Employee_Attrition[[#This Row],[YearsAtCompany]]&lt;=5,"3-5",HR_Employee_Attrition[[#This Row],[YearsAtCompany]]&lt;=10,"6-10",HR_Employee_Attrition[[#This Row],[YearsAtCompany]]&gt;10,"10+")</f>
        <v>3-5</v>
      </c>
      <c r="AL1013" t="str" cm="1">
        <f t="array" ref="AL10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13">
        <f>IF(HR_Employee_Attrition[[#This Row],[Attrition]]="Yes",1,0)</f>
        <v>0</v>
      </c>
    </row>
    <row r="1014" spans="1:39"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IF(HR_Employee_Attrition[[#This Row],[Age]]&gt;60,"60+",IF(HR_Employee_Attrition[[#This Row],[Age]]&gt;=50,"50-59",IF(HR_Employee_Attrition[[#This Row],[Age]]&gt;=40,"40-49",IF(HR_Employee_Attrition[[#This Row],[Age]]&gt;=30,"30-39",IF(HR_Employee_Attrition[[#This Row],[Age]]&gt;=20,"20-29",IF(HR_Employee_Attrition[[#This Row],[Age]]&gt;=18,"18-20"))))))</f>
        <v>30-39</v>
      </c>
      <c r="AK1014" t="str" cm="1">
        <f t="array" ref="AK1014">_xlfn.IFS(HR_Employee_Attrition[[#This Row],[YearsAtCompany]]&lt;=2,"0-2",HR_Employee_Attrition[[#This Row],[YearsAtCompany]]&lt;=5,"3-5",HR_Employee_Attrition[[#This Row],[YearsAtCompany]]&lt;=10,"6-10",HR_Employee_Attrition[[#This Row],[YearsAtCompany]]&gt;10,"10+")</f>
        <v>0-2</v>
      </c>
      <c r="AL1014" t="str" cm="1">
        <f t="array" ref="AL10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14">
        <f>IF(HR_Employee_Attrition[[#This Row],[Attrition]]="Yes",1,0)</f>
        <v>1</v>
      </c>
    </row>
    <row r="1015" spans="1:39"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IF(HR_Employee_Attrition[[#This Row],[Age]]&gt;60,"60+",IF(HR_Employee_Attrition[[#This Row],[Age]]&gt;=50,"50-59",IF(HR_Employee_Attrition[[#This Row],[Age]]&gt;=40,"40-49",IF(HR_Employee_Attrition[[#This Row],[Age]]&gt;=30,"30-39",IF(HR_Employee_Attrition[[#This Row],[Age]]&gt;=20,"20-29",IF(HR_Employee_Attrition[[#This Row],[Age]]&gt;=18,"18-20"))))))</f>
        <v>30-39</v>
      </c>
      <c r="AK1015" t="str" cm="1">
        <f t="array" ref="AK1015">_xlfn.IFS(HR_Employee_Attrition[[#This Row],[YearsAtCompany]]&lt;=2,"0-2",HR_Employee_Attrition[[#This Row],[YearsAtCompany]]&lt;=5,"3-5",HR_Employee_Attrition[[#This Row],[YearsAtCompany]]&lt;=10,"6-10",HR_Employee_Attrition[[#This Row],[YearsAtCompany]]&gt;10,"10+")</f>
        <v>3-5</v>
      </c>
      <c r="AL1015" t="str" cm="1">
        <f t="array" ref="AL10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15">
        <f>IF(HR_Employee_Attrition[[#This Row],[Attrition]]="Yes",1,0)</f>
        <v>0</v>
      </c>
    </row>
    <row r="1016" spans="1:39"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IF(HR_Employee_Attrition[[#This Row],[Age]]&gt;60,"60+",IF(HR_Employee_Attrition[[#This Row],[Age]]&gt;=50,"50-59",IF(HR_Employee_Attrition[[#This Row],[Age]]&gt;=40,"40-49",IF(HR_Employee_Attrition[[#This Row],[Age]]&gt;=30,"30-39",IF(HR_Employee_Attrition[[#This Row],[Age]]&gt;=20,"20-29",IF(HR_Employee_Attrition[[#This Row],[Age]]&gt;=18,"18-20"))))))</f>
        <v>30-39</v>
      </c>
      <c r="AK1016" t="str" cm="1">
        <f t="array" ref="AK1016">_xlfn.IFS(HR_Employee_Attrition[[#This Row],[YearsAtCompany]]&lt;=2,"0-2",HR_Employee_Attrition[[#This Row],[YearsAtCompany]]&lt;=5,"3-5",HR_Employee_Attrition[[#This Row],[YearsAtCompany]]&lt;=10,"6-10",HR_Employee_Attrition[[#This Row],[YearsAtCompany]]&gt;10,"10+")</f>
        <v>3-5</v>
      </c>
      <c r="AL1016" t="str" cm="1">
        <f t="array" ref="AL10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016">
        <f>IF(HR_Employee_Attrition[[#This Row],[Attrition]]="Yes",1,0)</f>
        <v>0</v>
      </c>
    </row>
    <row r="1017" spans="1:39"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IF(HR_Employee_Attrition[[#This Row],[Age]]&gt;60,"60+",IF(HR_Employee_Attrition[[#This Row],[Age]]&gt;=50,"50-59",IF(HR_Employee_Attrition[[#This Row],[Age]]&gt;=40,"40-49",IF(HR_Employee_Attrition[[#This Row],[Age]]&gt;=30,"30-39",IF(HR_Employee_Attrition[[#This Row],[Age]]&gt;=20,"20-29",IF(HR_Employee_Attrition[[#This Row],[Age]]&gt;=18,"18-20"))))))</f>
        <v>30-39</v>
      </c>
      <c r="AK1017" t="str" cm="1">
        <f t="array" ref="AK1017">_xlfn.IFS(HR_Employee_Attrition[[#This Row],[YearsAtCompany]]&lt;=2,"0-2",HR_Employee_Attrition[[#This Row],[YearsAtCompany]]&lt;=5,"3-5",HR_Employee_Attrition[[#This Row],[YearsAtCompany]]&lt;=10,"6-10",HR_Employee_Attrition[[#This Row],[YearsAtCompany]]&gt;10,"10+")</f>
        <v>3-5</v>
      </c>
      <c r="AL1017" t="str" cm="1">
        <f t="array" ref="AL10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17">
        <f>IF(HR_Employee_Attrition[[#This Row],[Attrition]]="Yes",1,0)</f>
        <v>0</v>
      </c>
    </row>
    <row r="1018" spans="1:39"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IF(HR_Employee_Attrition[[#This Row],[Age]]&gt;60,"60+",IF(HR_Employee_Attrition[[#This Row],[Age]]&gt;=50,"50-59",IF(HR_Employee_Attrition[[#This Row],[Age]]&gt;=40,"40-49",IF(HR_Employee_Attrition[[#This Row],[Age]]&gt;=30,"30-39",IF(HR_Employee_Attrition[[#This Row],[Age]]&gt;=20,"20-29",IF(HR_Employee_Attrition[[#This Row],[Age]]&gt;=18,"18-20"))))))</f>
        <v>30-39</v>
      </c>
      <c r="AK1018" t="str" cm="1">
        <f t="array" ref="AK1018">_xlfn.IFS(HR_Employee_Attrition[[#This Row],[YearsAtCompany]]&lt;=2,"0-2",HR_Employee_Attrition[[#This Row],[YearsAtCompany]]&lt;=5,"3-5",HR_Employee_Attrition[[#This Row],[YearsAtCompany]]&lt;=10,"6-10",HR_Employee_Attrition[[#This Row],[YearsAtCompany]]&gt;10,"10+")</f>
        <v>0-2</v>
      </c>
      <c r="AL1018" t="str" cm="1">
        <f t="array" ref="AL10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18">
        <f>IF(HR_Employee_Attrition[[#This Row],[Attrition]]="Yes",1,0)</f>
        <v>1</v>
      </c>
    </row>
    <row r="1019" spans="1:39"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IF(HR_Employee_Attrition[[#This Row],[Age]]&gt;60,"60+",IF(HR_Employee_Attrition[[#This Row],[Age]]&gt;=50,"50-59",IF(HR_Employee_Attrition[[#This Row],[Age]]&gt;=40,"40-49",IF(HR_Employee_Attrition[[#This Row],[Age]]&gt;=30,"30-39",IF(HR_Employee_Attrition[[#This Row],[Age]]&gt;=20,"20-29",IF(HR_Employee_Attrition[[#This Row],[Age]]&gt;=18,"18-20"))))))</f>
        <v>20-29</v>
      </c>
      <c r="AK1019" t="str" cm="1">
        <f t="array" ref="AK1019">_xlfn.IFS(HR_Employee_Attrition[[#This Row],[YearsAtCompany]]&lt;=2,"0-2",HR_Employee_Attrition[[#This Row],[YearsAtCompany]]&lt;=5,"3-5",HR_Employee_Attrition[[#This Row],[YearsAtCompany]]&lt;=10,"6-10",HR_Employee_Attrition[[#This Row],[YearsAtCompany]]&gt;10,"10+")</f>
        <v>3-5</v>
      </c>
      <c r="AL1019" t="str" cm="1">
        <f t="array" ref="AL10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19">
        <f>IF(HR_Employee_Attrition[[#This Row],[Attrition]]="Yes",1,0)</f>
        <v>0</v>
      </c>
    </row>
    <row r="1020" spans="1:39"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IF(HR_Employee_Attrition[[#This Row],[Age]]&gt;60,"60+",IF(HR_Employee_Attrition[[#This Row],[Age]]&gt;=50,"50-59",IF(HR_Employee_Attrition[[#This Row],[Age]]&gt;=40,"40-49",IF(HR_Employee_Attrition[[#This Row],[Age]]&gt;=30,"30-39",IF(HR_Employee_Attrition[[#This Row],[Age]]&gt;=20,"20-29",IF(HR_Employee_Attrition[[#This Row],[Age]]&gt;=18,"18-20"))))))</f>
        <v>30-39</v>
      </c>
      <c r="AK1020" t="str" cm="1">
        <f t="array" ref="AK1020">_xlfn.IFS(HR_Employee_Attrition[[#This Row],[YearsAtCompany]]&lt;=2,"0-2",HR_Employee_Attrition[[#This Row],[YearsAtCompany]]&lt;=5,"3-5",HR_Employee_Attrition[[#This Row],[YearsAtCompany]]&lt;=10,"6-10",HR_Employee_Attrition[[#This Row],[YearsAtCompany]]&gt;10,"10+")</f>
        <v>6-10</v>
      </c>
      <c r="AL1020" t="str" cm="1">
        <f t="array" ref="AL10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20">
        <f>IF(HR_Employee_Attrition[[#This Row],[Attrition]]="Yes",1,0)</f>
        <v>0</v>
      </c>
    </row>
    <row r="1021" spans="1:39"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IF(HR_Employee_Attrition[[#This Row],[Age]]&gt;60,"60+",IF(HR_Employee_Attrition[[#This Row],[Age]]&gt;=50,"50-59",IF(HR_Employee_Attrition[[#This Row],[Age]]&gt;=40,"40-49",IF(HR_Employee_Attrition[[#This Row],[Age]]&gt;=30,"30-39",IF(HR_Employee_Attrition[[#This Row],[Age]]&gt;=20,"20-29",IF(HR_Employee_Attrition[[#This Row],[Age]]&gt;=18,"18-20"))))))</f>
        <v>30-39</v>
      </c>
      <c r="AK1021" t="str" cm="1">
        <f t="array" ref="AK1021">_xlfn.IFS(HR_Employee_Attrition[[#This Row],[YearsAtCompany]]&lt;=2,"0-2",HR_Employee_Attrition[[#This Row],[YearsAtCompany]]&lt;=5,"3-5",HR_Employee_Attrition[[#This Row],[YearsAtCompany]]&lt;=10,"6-10",HR_Employee_Attrition[[#This Row],[YearsAtCompany]]&gt;10,"10+")</f>
        <v>3-5</v>
      </c>
      <c r="AL1021" t="str" cm="1">
        <f t="array" ref="AL10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21">
        <f>IF(HR_Employee_Attrition[[#This Row],[Attrition]]="Yes",1,0)</f>
        <v>0</v>
      </c>
    </row>
    <row r="1022" spans="1:39"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IF(HR_Employee_Attrition[[#This Row],[Age]]&gt;60,"60+",IF(HR_Employee_Attrition[[#This Row],[Age]]&gt;=50,"50-59",IF(HR_Employee_Attrition[[#This Row],[Age]]&gt;=40,"40-49",IF(HR_Employee_Attrition[[#This Row],[Age]]&gt;=30,"30-39",IF(HR_Employee_Attrition[[#This Row],[Age]]&gt;=20,"20-29",IF(HR_Employee_Attrition[[#This Row],[Age]]&gt;=18,"18-20"))))))</f>
        <v>40-49</v>
      </c>
      <c r="AK1022" t="str" cm="1">
        <f t="array" ref="AK1022">_xlfn.IFS(HR_Employee_Attrition[[#This Row],[YearsAtCompany]]&lt;=2,"0-2",HR_Employee_Attrition[[#This Row],[YearsAtCompany]]&lt;=5,"3-5",HR_Employee_Attrition[[#This Row],[YearsAtCompany]]&lt;=10,"6-10",HR_Employee_Attrition[[#This Row],[YearsAtCompany]]&gt;10,"10+")</f>
        <v>6-10</v>
      </c>
      <c r="AL1022" t="str" cm="1">
        <f t="array" ref="AL10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22">
        <f>IF(HR_Employee_Attrition[[#This Row],[Attrition]]="Yes",1,0)</f>
        <v>0</v>
      </c>
    </row>
    <row r="1023" spans="1:39"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IF(HR_Employee_Attrition[[#This Row],[Age]]&gt;60,"60+",IF(HR_Employee_Attrition[[#This Row],[Age]]&gt;=50,"50-59",IF(HR_Employee_Attrition[[#This Row],[Age]]&gt;=40,"40-49",IF(HR_Employee_Attrition[[#This Row],[Age]]&gt;=30,"30-39",IF(HR_Employee_Attrition[[#This Row],[Age]]&gt;=20,"20-29",IF(HR_Employee_Attrition[[#This Row],[Age]]&gt;=18,"18-20"))))))</f>
        <v>20-29</v>
      </c>
      <c r="AK1023" t="str" cm="1">
        <f t="array" ref="AK1023">_xlfn.IFS(HR_Employee_Attrition[[#This Row],[YearsAtCompany]]&lt;=2,"0-2",HR_Employee_Attrition[[#This Row],[YearsAtCompany]]&lt;=5,"3-5",HR_Employee_Attrition[[#This Row],[YearsAtCompany]]&lt;=10,"6-10",HR_Employee_Attrition[[#This Row],[YearsAtCompany]]&gt;10,"10+")</f>
        <v>3-5</v>
      </c>
      <c r="AL1023" t="str" cm="1">
        <f t="array" ref="AL10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23">
        <f>IF(HR_Employee_Attrition[[#This Row],[Attrition]]="Yes",1,0)</f>
        <v>1</v>
      </c>
    </row>
    <row r="1024" spans="1:39"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IF(HR_Employee_Attrition[[#This Row],[Age]]&gt;60,"60+",IF(HR_Employee_Attrition[[#This Row],[Age]]&gt;=50,"50-59",IF(HR_Employee_Attrition[[#This Row],[Age]]&gt;=40,"40-49",IF(HR_Employee_Attrition[[#This Row],[Age]]&gt;=30,"30-39",IF(HR_Employee_Attrition[[#This Row],[Age]]&gt;=20,"20-29",IF(HR_Employee_Attrition[[#This Row],[Age]]&gt;=18,"18-20"))))))</f>
        <v>30-39</v>
      </c>
      <c r="AK1024" t="str" cm="1">
        <f t="array" ref="AK1024">_xlfn.IFS(HR_Employee_Attrition[[#This Row],[YearsAtCompany]]&lt;=2,"0-2",HR_Employee_Attrition[[#This Row],[YearsAtCompany]]&lt;=5,"3-5",HR_Employee_Attrition[[#This Row],[YearsAtCompany]]&lt;=10,"6-10",HR_Employee_Attrition[[#This Row],[YearsAtCompany]]&gt;10,"10+")</f>
        <v>6-10</v>
      </c>
      <c r="AL1024" t="str" cm="1">
        <f t="array" ref="AL10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24">
        <f>IF(HR_Employee_Attrition[[#This Row],[Attrition]]="Yes",1,0)</f>
        <v>0</v>
      </c>
    </row>
    <row r="1025" spans="1:39"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IF(HR_Employee_Attrition[[#This Row],[Age]]&gt;60,"60+",IF(HR_Employee_Attrition[[#This Row],[Age]]&gt;=50,"50-59",IF(HR_Employee_Attrition[[#This Row],[Age]]&gt;=40,"40-49",IF(HR_Employee_Attrition[[#This Row],[Age]]&gt;=30,"30-39",IF(HR_Employee_Attrition[[#This Row],[Age]]&gt;=20,"20-29",IF(HR_Employee_Attrition[[#This Row],[Age]]&gt;=18,"18-20"))))))</f>
        <v>50-59</v>
      </c>
      <c r="AK1025" t="str" cm="1">
        <f t="array" ref="AK1025">_xlfn.IFS(HR_Employee_Attrition[[#This Row],[YearsAtCompany]]&lt;=2,"0-2",HR_Employee_Attrition[[#This Row],[YearsAtCompany]]&lt;=5,"3-5",HR_Employee_Attrition[[#This Row],[YearsAtCompany]]&lt;=10,"6-10",HR_Employee_Attrition[[#This Row],[YearsAtCompany]]&gt;10,"10+")</f>
        <v>3-5</v>
      </c>
      <c r="AL1025" t="str" cm="1">
        <f t="array" ref="AL10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25">
        <f>IF(HR_Employee_Attrition[[#This Row],[Attrition]]="Yes",1,0)</f>
        <v>0</v>
      </c>
    </row>
    <row r="1026" spans="1:39"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IF(HR_Employee_Attrition[[#This Row],[Age]]&gt;60,"60+",IF(HR_Employee_Attrition[[#This Row],[Age]]&gt;=50,"50-59",IF(HR_Employee_Attrition[[#This Row],[Age]]&gt;=40,"40-49",IF(HR_Employee_Attrition[[#This Row],[Age]]&gt;=30,"30-39",IF(HR_Employee_Attrition[[#This Row],[Age]]&gt;=20,"20-29",IF(HR_Employee_Attrition[[#This Row],[Age]]&gt;=18,"18-20"))))))</f>
        <v>40-49</v>
      </c>
      <c r="AK1026" t="str" cm="1">
        <f t="array" ref="AK1026">_xlfn.IFS(HR_Employee_Attrition[[#This Row],[YearsAtCompany]]&lt;=2,"0-2",HR_Employee_Attrition[[#This Row],[YearsAtCompany]]&lt;=5,"3-5",HR_Employee_Attrition[[#This Row],[YearsAtCompany]]&lt;=10,"6-10",HR_Employee_Attrition[[#This Row],[YearsAtCompany]]&gt;10,"10+")</f>
        <v>10+</v>
      </c>
      <c r="AL1026" t="str" cm="1">
        <f t="array" ref="AL10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026">
        <f>IF(HR_Employee_Attrition[[#This Row],[Attrition]]="Yes",1,0)</f>
        <v>0</v>
      </c>
    </row>
    <row r="1027" spans="1:39"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IF(HR_Employee_Attrition[[#This Row],[Age]]&gt;60,"60+",IF(HR_Employee_Attrition[[#This Row],[Age]]&gt;=50,"50-59",IF(HR_Employee_Attrition[[#This Row],[Age]]&gt;=40,"40-49",IF(HR_Employee_Attrition[[#This Row],[Age]]&gt;=30,"30-39",IF(HR_Employee_Attrition[[#This Row],[Age]]&gt;=20,"20-29",IF(HR_Employee_Attrition[[#This Row],[Age]]&gt;=18,"18-20"))))))</f>
        <v>20-29</v>
      </c>
      <c r="AK1027" t="str" cm="1">
        <f t="array" ref="AK1027">_xlfn.IFS(HR_Employee_Attrition[[#This Row],[YearsAtCompany]]&lt;=2,"0-2",HR_Employee_Attrition[[#This Row],[YearsAtCompany]]&lt;=5,"3-5",HR_Employee_Attrition[[#This Row],[YearsAtCompany]]&lt;=10,"6-10",HR_Employee_Attrition[[#This Row],[YearsAtCompany]]&gt;10,"10+")</f>
        <v>3-5</v>
      </c>
      <c r="AL1027" t="str" cm="1">
        <f t="array" ref="AL10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27">
        <f>IF(HR_Employee_Attrition[[#This Row],[Attrition]]="Yes",1,0)</f>
        <v>0</v>
      </c>
    </row>
    <row r="1028" spans="1:39"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IF(HR_Employee_Attrition[[#This Row],[Age]]&gt;60,"60+",IF(HR_Employee_Attrition[[#This Row],[Age]]&gt;=50,"50-59",IF(HR_Employee_Attrition[[#This Row],[Age]]&gt;=40,"40-49",IF(HR_Employee_Attrition[[#This Row],[Age]]&gt;=30,"30-39",IF(HR_Employee_Attrition[[#This Row],[Age]]&gt;=20,"20-29",IF(HR_Employee_Attrition[[#This Row],[Age]]&gt;=18,"18-20"))))))</f>
        <v>30-39</v>
      </c>
      <c r="AK1028" t="str" cm="1">
        <f t="array" ref="AK1028">_xlfn.IFS(HR_Employee_Attrition[[#This Row],[YearsAtCompany]]&lt;=2,"0-2",HR_Employee_Attrition[[#This Row],[YearsAtCompany]]&lt;=5,"3-5",HR_Employee_Attrition[[#This Row],[YearsAtCompany]]&lt;=10,"6-10",HR_Employee_Attrition[[#This Row],[YearsAtCompany]]&gt;10,"10+")</f>
        <v>3-5</v>
      </c>
      <c r="AL1028" t="str" cm="1">
        <f t="array" ref="AL10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28">
        <f>IF(HR_Employee_Attrition[[#This Row],[Attrition]]="Yes",1,0)</f>
        <v>0</v>
      </c>
    </row>
    <row r="1029" spans="1:39"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IF(HR_Employee_Attrition[[#This Row],[Age]]&gt;60,"60+",IF(HR_Employee_Attrition[[#This Row],[Age]]&gt;=50,"50-59",IF(HR_Employee_Attrition[[#This Row],[Age]]&gt;=40,"40-49",IF(HR_Employee_Attrition[[#This Row],[Age]]&gt;=30,"30-39",IF(HR_Employee_Attrition[[#This Row],[Age]]&gt;=20,"20-29",IF(HR_Employee_Attrition[[#This Row],[Age]]&gt;=18,"18-20"))))))</f>
        <v>30-39</v>
      </c>
      <c r="AK1029" t="str" cm="1">
        <f t="array" ref="AK1029">_xlfn.IFS(HR_Employee_Attrition[[#This Row],[YearsAtCompany]]&lt;=2,"0-2",HR_Employee_Attrition[[#This Row],[YearsAtCompany]]&lt;=5,"3-5",HR_Employee_Attrition[[#This Row],[YearsAtCompany]]&lt;=10,"6-10",HR_Employee_Attrition[[#This Row],[YearsAtCompany]]&gt;10,"10+")</f>
        <v>3-5</v>
      </c>
      <c r="AL1029" t="str" cm="1">
        <f t="array" ref="AL10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29">
        <f>IF(HR_Employee_Attrition[[#This Row],[Attrition]]="Yes",1,0)</f>
        <v>0</v>
      </c>
    </row>
    <row r="1030" spans="1:39"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IF(HR_Employee_Attrition[[#This Row],[Age]]&gt;60,"60+",IF(HR_Employee_Attrition[[#This Row],[Age]]&gt;=50,"50-59",IF(HR_Employee_Attrition[[#This Row],[Age]]&gt;=40,"40-49",IF(HR_Employee_Attrition[[#This Row],[Age]]&gt;=30,"30-39",IF(HR_Employee_Attrition[[#This Row],[Age]]&gt;=20,"20-29",IF(HR_Employee_Attrition[[#This Row],[Age]]&gt;=18,"18-20"))))))</f>
        <v>40-49</v>
      </c>
      <c r="AK1030" t="str" cm="1">
        <f t="array" ref="AK1030">_xlfn.IFS(HR_Employee_Attrition[[#This Row],[YearsAtCompany]]&lt;=2,"0-2",HR_Employee_Attrition[[#This Row],[YearsAtCompany]]&lt;=5,"3-5",HR_Employee_Attrition[[#This Row],[YearsAtCompany]]&lt;=10,"6-10",HR_Employee_Attrition[[#This Row],[YearsAtCompany]]&gt;10,"10+")</f>
        <v>3-5</v>
      </c>
      <c r="AL1030" t="str" cm="1">
        <f t="array" ref="AL10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30">
        <f>IF(HR_Employee_Attrition[[#This Row],[Attrition]]="Yes",1,0)</f>
        <v>0</v>
      </c>
    </row>
    <row r="1031" spans="1:39"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IF(HR_Employee_Attrition[[#This Row],[Age]]&gt;60,"60+",IF(HR_Employee_Attrition[[#This Row],[Age]]&gt;=50,"50-59",IF(HR_Employee_Attrition[[#This Row],[Age]]&gt;=40,"40-49",IF(HR_Employee_Attrition[[#This Row],[Age]]&gt;=30,"30-39",IF(HR_Employee_Attrition[[#This Row],[Age]]&gt;=20,"20-29",IF(HR_Employee_Attrition[[#This Row],[Age]]&gt;=18,"18-20"))))))</f>
        <v>40-49</v>
      </c>
      <c r="AK1031" t="str" cm="1">
        <f t="array" ref="AK1031">_xlfn.IFS(HR_Employee_Attrition[[#This Row],[YearsAtCompany]]&lt;=2,"0-2",HR_Employee_Attrition[[#This Row],[YearsAtCompany]]&lt;=5,"3-5",HR_Employee_Attrition[[#This Row],[YearsAtCompany]]&lt;=10,"6-10",HR_Employee_Attrition[[#This Row],[YearsAtCompany]]&gt;10,"10+")</f>
        <v>6-10</v>
      </c>
      <c r="AL1031" t="str" cm="1">
        <f t="array" ref="AL10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31">
        <f>IF(HR_Employee_Attrition[[#This Row],[Attrition]]="Yes",1,0)</f>
        <v>0</v>
      </c>
    </row>
    <row r="1032" spans="1:39"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IF(HR_Employee_Attrition[[#This Row],[Age]]&gt;60,"60+",IF(HR_Employee_Attrition[[#This Row],[Age]]&gt;=50,"50-59",IF(HR_Employee_Attrition[[#This Row],[Age]]&gt;=40,"40-49",IF(HR_Employee_Attrition[[#This Row],[Age]]&gt;=30,"30-39",IF(HR_Employee_Attrition[[#This Row],[Age]]&gt;=20,"20-29",IF(HR_Employee_Attrition[[#This Row],[Age]]&gt;=18,"18-20"))))))</f>
        <v>30-39</v>
      </c>
      <c r="AK1032" t="str" cm="1">
        <f t="array" ref="AK1032">_xlfn.IFS(HR_Employee_Attrition[[#This Row],[YearsAtCompany]]&lt;=2,"0-2",HR_Employee_Attrition[[#This Row],[YearsAtCompany]]&lt;=5,"3-5",HR_Employee_Attrition[[#This Row],[YearsAtCompany]]&lt;=10,"6-10",HR_Employee_Attrition[[#This Row],[YearsAtCompany]]&gt;10,"10+")</f>
        <v>10+</v>
      </c>
      <c r="AL1032" t="str" cm="1">
        <f t="array" ref="AL10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032">
        <f>IF(HR_Employee_Attrition[[#This Row],[Attrition]]="Yes",1,0)</f>
        <v>0</v>
      </c>
    </row>
    <row r="1033" spans="1:39"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IF(HR_Employee_Attrition[[#This Row],[Age]]&gt;60,"60+",IF(HR_Employee_Attrition[[#This Row],[Age]]&gt;=50,"50-59",IF(HR_Employee_Attrition[[#This Row],[Age]]&gt;=40,"40-49",IF(HR_Employee_Attrition[[#This Row],[Age]]&gt;=30,"30-39",IF(HR_Employee_Attrition[[#This Row],[Age]]&gt;=20,"20-29",IF(HR_Employee_Attrition[[#This Row],[Age]]&gt;=18,"18-20"))))))</f>
        <v>40-49</v>
      </c>
      <c r="AK1033" t="str" cm="1">
        <f t="array" ref="AK1033">_xlfn.IFS(HR_Employee_Attrition[[#This Row],[YearsAtCompany]]&lt;=2,"0-2",HR_Employee_Attrition[[#This Row],[YearsAtCompany]]&lt;=5,"3-5",HR_Employee_Attrition[[#This Row],[YearsAtCompany]]&lt;=10,"6-10",HR_Employee_Attrition[[#This Row],[YearsAtCompany]]&gt;10,"10+")</f>
        <v>6-10</v>
      </c>
      <c r="AL1033" t="str" cm="1">
        <f t="array" ref="AL10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033">
        <f>IF(HR_Employee_Attrition[[#This Row],[Attrition]]="Yes",1,0)</f>
        <v>1</v>
      </c>
    </row>
    <row r="1034" spans="1:39"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IF(HR_Employee_Attrition[[#This Row],[Age]]&gt;60,"60+",IF(HR_Employee_Attrition[[#This Row],[Age]]&gt;=50,"50-59",IF(HR_Employee_Attrition[[#This Row],[Age]]&gt;=40,"40-49",IF(HR_Employee_Attrition[[#This Row],[Age]]&gt;=30,"30-39",IF(HR_Employee_Attrition[[#This Row],[Age]]&gt;=20,"20-29",IF(HR_Employee_Attrition[[#This Row],[Age]]&gt;=18,"18-20"))))))</f>
        <v>30-39</v>
      </c>
      <c r="AK1034" t="str" cm="1">
        <f t="array" ref="AK1034">_xlfn.IFS(HR_Employee_Attrition[[#This Row],[YearsAtCompany]]&lt;=2,"0-2",HR_Employee_Attrition[[#This Row],[YearsAtCompany]]&lt;=5,"3-5",HR_Employee_Attrition[[#This Row],[YearsAtCompany]]&lt;=10,"6-10",HR_Employee_Attrition[[#This Row],[YearsAtCompany]]&gt;10,"10+")</f>
        <v>0-2</v>
      </c>
      <c r="AL1034" t="str" cm="1">
        <f t="array" ref="AL10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34">
        <f>IF(HR_Employee_Attrition[[#This Row],[Attrition]]="Yes",1,0)</f>
        <v>1</v>
      </c>
    </row>
    <row r="1035" spans="1:39"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IF(HR_Employee_Attrition[[#This Row],[Age]]&gt;60,"60+",IF(HR_Employee_Attrition[[#This Row],[Age]]&gt;=50,"50-59",IF(HR_Employee_Attrition[[#This Row],[Age]]&gt;=40,"40-49",IF(HR_Employee_Attrition[[#This Row],[Age]]&gt;=30,"30-39",IF(HR_Employee_Attrition[[#This Row],[Age]]&gt;=20,"20-29",IF(HR_Employee_Attrition[[#This Row],[Age]]&gt;=18,"18-20"))))))</f>
        <v>30-39</v>
      </c>
      <c r="AK1035" t="str" cm="1">
        <f t="array" ref="AK1035">_xlfn.IFS(HR_Employee_Attrition[[#This Row],[YearsAtCompany]]&lt;=2,"0-2",HR_Employee_Attrition[[#This Row],[YearsAtCompany]]&lt;=5,"3-5",HR_Employee_Attrition[[#This Row],[YearsAtCompany]]&lt;=10,"6-10",HR_Employee_Attrition[[#This Row],[YearsAtCompany]]&gt;10,"10+")</f>
        <v>6-10</v>
      </c>
      <c r="AL1035" t="str" cm="1">
        <f t="array" ref="AL10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35">
        <f>IF(HR_Employee_Attrition[[#This Row],[Attrition]]="Yes",1,0)</f>
        <v>1</v>
      </c>
    </row>
    <row r="1036" spans="1:39"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IF(HR_Employee_Attrition[[#This Row],[Age]]&gt;60,"60+",IF(HR_Employee_Attrition[[#This Row],[Age]]&gt;=50,"50-59",IF(HR_Employee_Attrition[[#This Row],[Age]]&gt;=40,"40-49",IF(HR_Employee_Attrition[[#This Row],[Age]]&gt;=30,"30-39",IF(HR_Employee_Attrition[[#This Row],[Age]]&gt;=20,"20-29",IF(HR_Employee_Attrition[[#This Row],[Age]]&gt;=18,"18-20"))))))</f>
        <v>40-49</v>
      </c>
      <c r="AK1036" t="str" cm="1">
        <f t="array" ref="AK1036">_xlfn.IFS(HR_Employee_Attrition[[#This Row],[YearsAtCompany]]&lt;=2,"0-2",HR_Employee_Attrition[[#This Row],[YearsAtCompany]]&lt;=5,"3-5",HR_Employee_Attrition[[#This Row],[YearsAtCompany]]&lt;=10,"6-10",HR_Employee_Attrition[[#This Row],[YearsAtCompany]]&gt;10,"10+")</f>
        <v>6-10</v>
      </c>
      <c r="AL1036" t="str" cm="1">
        <f t="array" ref="AL10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036">
        <f>IF(HR_Employee_Attrition[[#This Row],[Attrition]]="Yes",1,0)</f>
        <v>0</v>
      </c>
    </row>
    <row r="1037" spans="1:39"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IF(HR_Employee_Attrition[[#This Row],[Age]]&gt;60,"60+",IF(HR_Employee_Attrition[[#This Row],[Age]]&gt;=50,"50-59",IF(HR_Employee_Attrition[[#This Row],[Age]]&gt;=40,"40-49",IF(HR_Employee_Attrition[[#This Row],[Age]]&gt;=30,"30-39",IF(HR_Employee_Attrition[[#This Row],[Age]]&gt;=20,"20-29",IF(HR_Employee_Attrition[[#This Row],[Age]]&gt;=18,"18-20"))))))</f>
        <v>30-39</v>
      </c>
      <c r="AK1037" t="str" cm="1">
        <f t="array" ref="AK1037">_xlfn.IFS(HR_Employee_Attrition[[#This Row],[YearsAtCompany]]&lt;=2,"0-2",HR_Employee_Attrition[[#This Row],[YearsAtCompany]]&lt;=5,"3-5",HR_Employee_Attrition[[#This Row],[YearsAtCompany]]&lt;=10,"6-10",HR_Employee_Attrition[[#This Row],[YearsAtCompany]]&gt;10,"10+")</f>
        <v>3-5</v>
      </c>
      <c r="AL1037" t="str" cm="1">
        <f t="array" ref="AL10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37">
        <f>IF(HR_Employee_Attrition[[#This Row],[Attrition]]="Yes",1,0)</f>
        <v>0</v>
      </c>
    </row>
    <row r="1038" spans="1:39"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IF(HR_Employee_Attrition[[#This Row],[Age]]&gt;60,"60+",IF(HR_Employee_Attrition[[#This Row],[Age]]&gt;=50,"50-59",IF(HR_Employee_Attrition[[#This Row],[Age]]&gt;=40,"40-49",IF(HR_Employee_Attrition[[#This Row],[Age]]&gt;=30,"30-39",IF(HR_Employee_Attrition[[#This Row],[Age]]&gt;=20,"20-29",IF(HR_Employee_Attrition[[#This Row],[Age]]&gt;=18,"18-20"))))))</f>
        <v>30-39</v>
      </c>
      <c r="AK1038" t="str" cm="1">
        <f t="array" ref="AK1038">_xlfn.IFS(HR_Employee_Attrition[[#This Row],[YearsAtCompany]]&lt;=2,"0-2",HR_Employee_Attrition[[#This Row],[YearsAtCompany]]&lt;=5,"3-5",HR_Employee_Attrition[[#This Row],[YearsAtCompany]]&lt;=10,"6-10",HR_Employee_Attrition[[#This Row],[YearsAtCompany]]&gt;10,"10+")</f>
        <v>0-2</v>
      </c>
      <c r="AL1038" t="str" cm="1">
        <f t="array" ref="AL10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38">
        <f>IF(HR_Employee_Attrition[[#This Row],[Attrition]]="Yes",1,0)</f>
        <v>1</v>
      </c>
    </row>
    <row r="1039" spans="1:39"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IF(HR_Employee_Attrition[[#This Row],[Age]]&gt;60,"60+",IF(HR_Employee_Attrition[[#This Row],[Age]]&gt;=50,"50-59",IF(HR_Employee_Attrition[[#This Row],[Age]]&gt;=40,"40-49",IF(HR_Employee_Attrition[[#This Row],[Age]]&gt;=30,"30-39",IF(HR_Employee_Attrition[[#This Row],[Age]]&gt;=20,"20-29",IF(HR_Employee_Attrition[[#This Row],[Age]]&gt;=18,"18-20"))))))</f>
        <v>40-49</v>
      </c>
      <c r="AK1039" t="str" cm="1">
        <f t="array" ref="AK1039">_xlfn.IFS(HR_Employee_Attrition[[#This Row],[YearsAtCompany]]&lt;=2,"0-2",HR_Employee_Attrition[[#This Row],[YearsAtCompany]]&lt;=5,"3-5",HR_Employee_Attrition[[#This Row],[YearsAtCompany]]&lt;=10,"6-10",HR_Employee_Attrition[[#This Row],[YearsAtCompany]]&gt;10,"10+")</f>
        <v>3-5</v>
      </c>
      <c r="AL1039" t="str" cm="1">
        <f t="array" ref="AL10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39">
        <f>IF(HR_Employee_Attrition[[#This Row],[Attrition]]="Yes",1,0)</f>
        <v>0</v>
      </c>
    </row>
    <row r="1040" spans="1:39"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IF(HR_Employee_Attrition[[#This Row],[Age]]&gt;60,"60+",IF(HR_Employee_Attrition[[#This Row],[Age]]&gt;=50,"50-59",IF(HR_Employee_Attrition[[#This Row],[Age]]&gt;=40,"40-49",IF(HR_Employee_Attrition[[#This Row],[Age]]&gt;=30,"30-39",IF(HR_Employee_Attrition[[#This Row],[Age]]&gt;=20,"20-29",IF(HR_Employee_Attrition[[#This Row],[Age]]&gt;=18,"18-20"))))))</f>
        <v>40-49</v>
      </c>
      <c r="AK1040" t="str" cm="1">
        <f t="array" ref="AK1040">_xlfn.IFS(HR_Employee_Attrition[[#This Row],[YearsAtCompany]]&lt;=2,"0-2",HR_Employee_Attrition[[#This Row],[YearsAtCompany]]&lt;=5,"3-5",HR_Employee_Attrition[[#This Row],[YearsAtCompany]]&lt;=10,"6-10",HR_Employee_Attrition[[#This Row],[YearsAtCompany]]&gt;10,"10+")</f>
        <v>0-2</v>
      </c>
      <c r="AL1040" t="str" cm="1">
        <f t="array" ref="AL10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40">
        <f>IF(HR_Employee_Attrition[[#This Row],[Attrition]]="Yes",1,0)</f>
        <v>0</v>
      </c>
    </row>
    <row r="1041" spans="1:39"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IF(HR_Employee_Attrition[[#This Row],[Age]]&gt;60,"60+",IF(HR_Employee_Attrition[[#This Row],[Age]]&gt;=50,"50-59",IF(HR_Employee_Attrition[[#This Row],[Age]]&gt;=40,"40-49",IF(HR_Employee_Attrition[[#This Row],[Age]]&gt;=30,"30-39",IF(HR_Employee_Attrition[[#This Row],[Age]]&gt;=20,"20-29",IF(HR_Employee_Attrition[[#This Row],[Age]]&gt;=18,"18-20"))))))</f>
        <v>30-39</v>
      </c>
      <c r="AK1041" t="str" cm="1">
        <f t="array" ref="AK1041">_xlfn.IFS(HR_Employee_Attrition[[#This Row],[YearsAtCompany]]&lt;=2,"0-2",HR_Employee_Attrition[[#This Row],[YearsAtCompany]]&lt;=5,"3-5",HR_Employee_Attrition[[#This Row],[YearsAtCompany]]&lt;=10,"6-10",HR_Employee_Attrition[[#This Row],[YearsAtCompany]]&gt;10,"10+")</f>
        <v>0-2</v>
      </c>
      <c r="AL1041" t="str" cm="1">
        <f t="array" ref="AL10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41">
        <f>IF(HR_Employee_Attrition[[#This Row],[Attrition]]="Yes",1,0)</f>
        <v>1</v>
      </c>
    </row>
    <row r="1042" spans="1:39"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IF(HR_Employee_Attrition[[#This Row],[Age]]&gt;60,"60+",IF(HR_Employee_Attrition[[#This Row],[Age]]&gt;=50,"50-59",IF(HR_Employee_Attrition[[#This Row],[Age]]&gt;=40,"40-49",IF(HR_Employee_Attrition[[#This Row],[Age]]&gt;=30,"30-39",IF(HR_Employee_Attrition[[#This Row],[Age]]&gt;=20,"20-29",IF(HR_Employee_Attrition[[#This Row],[Age]]&gt;=18,"18-20"))))))</f>
        <v>40-49</v>
      </c>
      <c r="AK1042" t="str" cm="1">
        <f t="array" ref="AK1042">_xlfn.IFS(HR_Employee_Attrition[[#This Row],[YearsAtCompany]]&lt;=2,"0-2",HR_Employee_Attrition[[#This Row],[YearsAtCompany]]&lt;=5,"3-5",HR_Employee_Attrition[[#This Row],[YearsAtCompany]]&lt;=10,"6-10",HR_Employee_Attrition[[#This Row],[YearsAtCompany]]&gt;10,"10+")</f>
        <v>6-10</v>
      </c>
      <c r="AL1042" t="str" cm="1">
        <f t="array" ref="AL10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042">
        <f>IF(HR_Employee_Attrition[[#This Row],[Attrition]]="Yes",1,0)</f>
        <v>0</v>
      </c>
    </row>
    <row r="1043" spans="1:39"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IF(HR_Employee_Attrition[[#This Row],[Age]]&gt;60,"60+",IF(HR_Employee_Attrition[[#This Row],[Age]]&gt;=50,"50-59",IF(HR_Employee_Attrition[[#This Row],[Age]]&gt;=40,"40-49",IF(HR_Employee_Attrition[[#This Row],[Age]]&gt;=30,"30-39",IF(HR_Employee_Attrition[[#This Row],[Age]]&gt;=20,"20-29",IF(HR_Employee_Attrition[[#This Row],[Age]]&gt;=18,"18-20"))))))</f>
        <v>20-29</v>
      </c>
      <c r="AK1043" t="str" cm="1">
        <f t="array" ref="AK1043">_xlfn.IFS(HR_Employee_Attrition[[#This Row],[YearsAtCompany]]&lt;=2,"0-2",HR_Employee_Attrition[[#This Row],[YearsAtCompany]]&lt;=5,"3-5",HR_Employee_Attrition[[#This Row],[YearsAtCompany]]&lt;=10,"6-10",HR_Employee_Attrition[[#This Row],[YearsAtCompany]]&gt;10,"10+")</f>
        <v>3-5</v>
      </c>
      <c r="AL1043" t="str" cm="1">
        <f t="array" ref="AL10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43">
        <f>IF(HR_Employee_Attrition[[#This Row],[Attrition]]="Yes",1,0)</f>
        <v>0</v>
      </c>
    </row>
    <row r="1044" spans="1:39"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IF(HR_Employee_Attrition[[#This Row],[Age]]&gt;60,"60+",IF(HR_Employee_Attrition[[#This Row],[Age]]&gt;=50,"50-59",IF(HR_Employee_Attrition[[#This Row],[Age]]&gt;=40,"40-49",IF(HR_Employee_Attrition[[#This Row],[Age]]&gt;=30,"30-39",IF(HR_Employee_Attrition[[#This Row],[Age]]&gt;=20,"20-29",IF(HR_Employee_Attrition[[#This Row],[Age]]&gt;=18,"18-20"))))))</f>
        <v>40-49</v>
      </c>
      <c r="AK1044" t="str" cm="1">
        <f t="array" ref="AK1044">_xlfn.IFS(HR_Employee_Attrition[[#This Row],[YearsAtCompany]]&lt;=2,"0-2",HR_Employee_Attrition[[#This Row],[YearsAtCompany]]&lt;=5,"3-5",HR_Employee_Attrition[[#This Row],[YearsAtCompany]]&lt;=10,"6-10",HR_Employee_Attrition[[#This Row],[YearsAtCompany]]&gt;10,"10+")</f>
        <v>3-5</v>
      </c>
      <c r="AL1044" t="str" cm="1">
        <f t="array" ref="AL10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44">
        <f>IF(HR_Employee_Attrition[[#This Row],[Attrition]]="Yes",1,0)</f>
        <v>0</v>
      </c>
    </row>
    <row r="1045" spans="1:39"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IF(HR_Employee_Attrition[[#This Row],[Age]]&gt;60,"60+",IF(HR_Employee_Attrition[[#This Row],[Age]]&gt;=50,"50-59",IF(HR_Employee_Attrition[[#This Row],[Age]]&gt;=40,"40-49",IF(HR_Employee_Attrition[[#This Row],[Age]]&gt;=30,"30-39",IF(HR_Employee_Attrition[[#This Row],[Age]]&gt;=20,"20-29",IF(HR_Employee_Attrition[[#This Row],[Age]]&gt;=18,"18-20"))))))</f>
        <v>50-59</v>
      </c>
      <c r="AK1045" t="str" cm="1">
        <f t="array" ref="AK1045">_xlfn.IFS(HR_Employee_Attrition[[#This Row],[YearsAtCompany]]&lt;=2,"0-2",HR_Employee_Attrition[[#This Row],[YearsAtCompany]]&lt;=5,"3-5",HR_Employee_Attrition[[#This Row],[YearsAtCompany]]&lt;=10,"6-10",HR_Employee_Attrition[[#This Row],[YearsAtCompany]]&gt;10,"10+")</f>
        <v>6-10</v>
      </c>
      <c r="AL1045" t="str" cm="1">
        <f t="array" ref="AL10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045">
        <f>IF(HR_Employee_Attrition[[#This Row],[Attrition]]="Yes",1,0)</f>
        <v>0</v>
      </c>
    </row>
    <row r="1046" spans="1:39"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IF(HR_Employee_Attrition[[#This Row],[Age]]&gt;60,"60+",IF(HR_Employee_Attrition[[#This Row],[Age]]&gt;=50,"50-59",IF(HR_Employee_Attrition[[#This Row],[Age]]&gt;=40,"40-49",IF(HR_Employee_Attrition[[#This Row],[Age]]&gt;=30,"30-39",IF(HR_Employee_Attrition[[#This Row],[Age]]&gt;=20,"20-29",IF(HR_Employee_Attrition[[#This Row],[Age]]&gt;=18,"18-20"))))))</f>
        <v>40-49</v>
      </c>
      <c r="AK1046" t="str" cm="1">
        <f t="array" ref="AK1046">_xlfn.IFS(HR_Employee_Attrition[[#This Row],[YearsAtCompany]]&lt;=2,"0-2",HR_Employee_Attrition[[#This Row],[YearsAtCompany]]&lt;=5,"3-5",HR_Employee_Attrition[[#This Row],[YearsAtCompany]]&lt;=10,"6-10",HR_Employee_Attrition[[#This Row],[YearsAtCompany]]&gt;10,"10+")</f>
        <v>3-5</v>
      </c>
      <c r="AL1046" t="str" cm="1">
        <f t="array" ref="AL10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46">
        <f>IF(HR_Employee_Attrition[[#This Row],[Attrition]]="Yes",1,0)</f>
        <v>0</v>
      </c>
    </row>
    <row r="1047" spans="1:39"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IF(HR_Employee_Attrition[[#This Row],[Age]]&gt;60,"60+",IF(HR_Employee_Attrition[[#This Row],[Age]]&gt;=50,"50-59",IF(HR_Employee_Attrition[[#This Row],[Age]]&gt;=40,"40-49",IF(HR_Employee_Attrition[[#This Row],[Age]]&gt;=30,"30-39",IF(HR_Employee_Attrition[[#This Row],[Age]]&gt;=20,"20-29",IF(HR_Employee_Attrition[[#This Row],[Age]]&gt;=18,"18-20"))))))</f>
        <v>40-49</v>
      </c>
      <c r="AK1047" t="str" cm="1">
        <f t="array" ref="AK1047">_xlfn.IFS(HR_Employee_Attrition[[#This Row],[YearsAtCompany]]&lt;=2,"0-2",HR_Employee_Attrition[[#This Row],[YearsAtCompany]]&lt;=5,"3-5",HR_Employee_Attrition[[#This Row],[YearsAtCompany]]&lt;=10,"6-10",HR_Employee_Attrition[[#This Row],[YearsAtCompany]]&gt;10,"10+")</f>
        <v>3-5</v>
      </c>
      <c r="AL1047" t="str" cm="1">
        <f t="array" ref="AL10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47">
        <f>IF(HR_Employee_Attrition[[#This Row],[Attrition]]="Yes",1,0)</f>
        <v>0</v>
      </c>
    </row>
    <row r="1048" spans="1:39"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IF(HR_Employee_Attrition[[#This Row],[Age]]&gt;60,"60+",IF(HR_Employee_Attrition[[#This Row],[Age]]&gt;=50,"50-59",IF(HR_Employee_Attrition[[#This Row],[Age]]&gt;=40,"40-49",IF(HR_Employee_Attrition[[#This Row],[Age]]&gt;=30,"30-39",IF(HR_Employee_Attrition[[#This Row],[Age]]&gt;=20,"20-29",IF(HR_Employee_Attrition[[#This Row],[Age]]&gt;=18,"18-20"))))))</f>
        <v>40-49</v>
      </c>
      <c r="AK1048" t="str" cm="1">
        <f t="array" ref="AK1048">_xlfn.IFS(HR_Employee_Attrition[[#This Row],[YearsAtCompany]]&lt;=2,"0-2",HR_Employee_Attrition[[#This Row],[YearsAtCompany]]&lt;=5,"3-5",HR_Employee_Attrition[[#This Row],[YearsAtCompany]]&lt;=10,"6-10",HR_Employee_Attrition[[#This Row],[YearsAtCompany]]&gt;10,"10+")</f>
        <v>3-5</v>
      </c>
      <c r="AL1048" t="str" cm="1">
        <f t="array" ref="AL10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48">
        <f>IF(HR_Employee_Attrition[[#This Row],[Attrition]]="Yes",1,0)</f>
        <v>0</v>
      </c>
    </row>
    <row r="1049" spans="1:39"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IF(HR_Employee_Attrition[[#This Row],[Age]]&gt;60,"60+",IF(HR_Employee_Attrition[[#This Row],[Age]]&gt;=50,"50-59",IF(HR_Employee_Attrition[[#This Row],[Age]]&gt;=40,"40-49",IF(HR_Employee_Attrition[[#This Row],[Age]]&gt;=30,"30-39",IF(HR_Employee_Attrition[[#This Row],[Age]]&gt;=20,"20-29",IF(HR_Employee_Attrition[[#This Row],[Age]]&gt;=18,"18-20"))))))</f>
        <v>30-39</v>
      </c>
      <c r="AK1049" t="str" cm="1">
        <f t="array" ref="AK1049">_xlfn.IFS(HR_Employee_Attrition[[#This Row],[YearsAtCompany]]&lt;=2,"0-2",HR_Employee_Attrition[[#This Row],[YearsAtCompany]]&lt;=5,"3-5",HR_Employee_Attrition[[#This Row],[YearsAtCompany]]&lt;=10,"6-10",HR_Employee_Attrition[[#This Row],[YearsAtCompany]]&gt;10,"10+")</f>
        <v>3-5</v>
      </c>
      <c r="AL1049" t="str" cm="1">
        <f t="array" ref="AL10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49">
        <f>IF(HR_Employee_Attrition[[#This Row],[Attrition]]="Yes",1,0)</f>
        <v>0</v>
      </c>
    </row>
    <row r="1050" spans="1:39"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IF(HR_Employee_Attrition[[#This Row],[Age]]&gt;60,"60+",IF(HR_Employee_Attrition[[#This Row],[Age]]&gt;=50,"50-59",IF(HR_Employee_Attrition[[#This Row],[Age]]&gt;=40,"40-49",IF(HR_Employee_Attrition[[#This Row],[Age]]&gt;=30,"30-39",IF(HR_Employee_Attrition[[#This Row],[Age]]&gt;=20,"20-29",IF(HR_Employee_Attrition[[#This Row],[Age]]&gt;=18,"18-20"))))))</f>
        <v>30-39</v>
      </c>
      <c r="AK1050" t="str" cm="1">
        <f t="array" ref="AK1050">_xlfn.IFS(HR_Employee_Attrition[[#This Row],[YearsAtCompany]]&lt;=2,"0-2",HR_Employee_Attrition[[#This Row],[YearsAtCompany]]&lt;=5,"3-5",HR_Employee_Attrition[[#This Row],[YearsAtCompany]]&lt;=10,"6-10",HR_Employee_Attrition[[#This Row],[YearsAtCompany]]&gt;10,"10+")</f>
        <v>10+</v>
      </c>
      <c r="AL1050" t="str" cm="1">
        <f t="array" ref="AL10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50">
        <f>IF(HR_Employee_Attrition[[#This Row],[Attrition]]="Yes",1,0)</f>
        <v>0</v>
      </c>
    </row>
    <row r="1051" spans="1:39"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IF(HR_Employee_Attrition[[#This Row],[Age]]&gt;60,"60+",IF(HR_Employee_Attrition[[#This Row],[Age]]&gt;=50,"50-59",IF(HR_Employee_Attrition[[#This Row],[Age]]&gt;=40,"40-49",IF(HR_Employee_Attrition[[#This Row],[Age]]&gt;=30,"30-39",IF(HR_Employee_Attrition[[#This Row],[Age]]&gt;=20,"20-29",IF(HR_Employee_Attrition[[#This Row],[Age]]&gt;=18,"18-20"))))))</f>
        <v>30-39</v>
      </c>
      <c r="AK1051" t="str" cm="1">
        <f t="array" ref="AK1051">_xlfn.IFS(HR_Employee_Attrition[[#This Row],[YearsAtCompany]]&lt;=2,"0-2",HR_Employee_Attrition[[#This Row],[YearsAtCompany]]&lt;=5,"3-5",HR_Employee_Attrition[[#This Row],[YearsAtCompany]]&lt;=10,"6-10",HR_Employee_Attrition[[#This Row],[YearsAtCompany]]&gt;10,"10+")</f>
        <v>0-2</v>
      </c>
      <c r="AL1051" t="str" cm="1">
        <f t="array" ref="AL10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51">
        <f>IF(HR_Employee_Attrition[[#This Row],[Attrition]]="Yes",1,0)</f>
        <v>0</v>
      </c>
    </row>
    <row r="1052" spans="1:39"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IF(HR_Employee_Attrition[[#This Row],[Age]]&gt;60,"60+",IF(HR_Employee_Attrition[[#This Row],[Age]]&gt;=50,"50-59",IF(HR_Employee_Attrition[[#This Row],[Age]]&gt;=40,"40-49",IF(HR_Employee_Attrition[[#This Row],[Age]]&gt;=30,"30-39",IF(HR_Employee_Attrition[[#This Row],[Age]]&gt;=20,"20-29",IF(HR_Employee_Attrition[[#This Row],[Age]]&gt;=18,"18-20"))))))</f>
        <v>40-49</v>
      </c>
      <c r="AK1052" t="str" cm="1">
        <f t="array" ref="AK1052">_xlfn.IFS(HR_Employee_Attrition[[#This Row],[YearsAtCompany]]&lt;=2,"0-2",HR_Employee_Attrition[[#This Row],[YearsAtCompany]]&lt;=5,"3-5",HR_Employee_Attrition[[#This Row],[YearsAtCompany]]&lt;=10,"6-10",HR_Employee_Attrition[[#This Row],[YearsAtCompany]]&gt;10,"10+")</f>
        <v>10+</v>
      </c>
      <c r="AL1052" t="str" cm="1">
        <f t="array" ref="AL10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52">
        <f>IF(HR_Employee_Attrition[[#This Row],[Attrition]]="Yes",1,0)</f>
        <v>0</v>
      </c>
    </row>
    <row r="1053" spans="1:39"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IF(HR_Employee_Attrition[[#This Row],[Age]]&gt;60,"60+",IF(HR_Employee_Attrition[[#This Row],[Age]]&gt;=50,"50-59",IF(HR_Employee_Attrition[[#This Row],[Age]]&gt;=40,"40-49",IF(HR_Employee_Attrition[[#This Row],[Age]]&gt;=30,"30-39",IF(HR_Employee_Attrition[[#This Row],[Age]]&gt;=20,"20-29",IF(HR_Employee_Attrition[[#This Row],[Age]]&gt;=18,"18-20"))))))</f>
        <v>40-49</v>
      </c>
      <c r="AK1053" t="str" cm="1">
        <f t="array" ref="AK1053">_xlfn.IFS(HR_Employee_Attrition[[#This Row],[YearsAtCompany]]&lt;=2,"0-2",HR_Employee_Attrition[[#This Row],[YearsAtCompany]]&lt;=5,"3-5",HR_Employee_Attrition[[#This Row],[YearsAtCompany]]&lt;=10,"6-10",HR_Employee_Attrition[[#This Row],[YearsAtCompany]]&gt;10,"10+")</f>
        <v>0-2</v>
      </c>
      <c r="AL1053" t="str" cm="1">
        <f t="array" ref="AL10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53">
        <f>IF(HR_Employee_Attrition[[#This Row],[Attrition]]="Yes",1,0)</f>
        <v>0</v>
      </c>
    </row>
    <row r="1054" spans="1:39"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IF(HR_Employee_Attrition[[#This Row],[Age]]&gt;60,"60+",IF(HR_Employee_Attrition[[#This Row],[Age]]&gt;=50,"50-59",IF(HR_Employee_Attrition[[#This Row],[Age]]&gt;=40,"40-49",IF(HR_Employee_Attrition[[#This Row],[Age]]&gt;=30,"30-39",IF(HR_Employee_Attrition[[#This Row],[Age]]&gt;=20,"20-29",IF(HR_Employee_Attrition[[#This Row],[Age]]&gt;=18,"18-20"))))))</f>
        <v>30-39</v>
      </c>
      <c r="AK1054" t="str" cm="1">
        <f t="array" ref="AK1054">_xlfn.IFS(HR_Employee_Attrition[[#This Row],[YearsAtCompany]]&lt;=2,"0-2",HR_Employee_Attrition[[#This Row],[YearsAtCompany]]&lt;=5,"3-5",HR_Employee_Attrition[[#This Row],[YearsAtCompany]]&lt;=10,"6-10",HR_Employee_Attrition[[#This Row],[YearsAtCompany]]&gt;10,"10+")</f>
        <v>0-2</v>
      </c>
      <c r="AL1054" t="str" cm="1">
        <f t="array" ref="AL10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54">
        <f>IF(HR_Employee_Attrition[[#This Row],[Attrition]]="Yes",1,0)</f>
        <v>0</v>
      </c>
    </row>
    <row r="1055" spans="1:39"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IF(HR_Employee_Attrition[[#This Row],[Age]]&gt;60,"60+",IF(HR_Employee_Attrition[[#This Row],[Age]]&gt;=50,"50-59",IF(HR_Employee_Attrition[[#This Row],[Age]]&gt;=40,"40-49",IF(HR_Employee_Attrition[[#This Row],[Age]]&gt;=30,"30-39",IF(HR_Employee_Attrition[[#This Row],[Age]]&gt;=20,"20-29",IF(HR_Employee_Attrition[[#This Row],[Age]]&gt;=18,"18-20"))))))</f>
        <v>50-59</v>
      </c>
      <c r="AK1055" t="str" cm="1">
        <f t="array" ref="AK1055">_xlfn.IFS(HR_Employee_Attrition[[#This Row],[YearsAtCompany]]&lt;=2,"0-2",HR_Employee_Attrition[[#This Row],[YearsAtCompany]]&lt;=5,"3-5",HR_Employee_Attrition[[#This Row],[YearsAtCompany]]&lt;=10,"6-10",HR_Employee_Attrition[[#This Row],[YearsAtCompany]]&gt;10,"10+")</f>
        <v>10+</v>
      </c>
      <c r="AL1055" t="str" cm="1">
        <f t="array" ref="AL10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55">
        <f>IF(HR_Employee_Attrition[[#This Row],[Attrition]]="Yes",1,0)</f>
        <v>0</v>
      </c>
    </row>
    <row r="1056" spans="1:39"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IF(HR_Employee_Attrition[[#This Row],[Age]]&gt;60,"60+",IF(HR_Employee_Attrition[[#This Row],[Age]]&gt;=50,"50-59",IF(HR_Employee_Attrition[[#This Row],[Age]]&gt;=40,"40-49",IF(HR_Employee_Attrition[[#This Row],[Age]]&gt;=30,"30-39",IF(HR_Employee_Attrition[[#This Row],[Age]]&gt;=20,"20-29",IF(HR_Employee_Attrition[[#This Row],[Age]]&gt;=18,"18-20"))))))</f>
        <v>40-49</v>
      </c>
      <c r="AK1056" t="str" cm="1">
        <f t="array" ref="AK1056">_xlfn.IFS(HR_Employee_Attrition[[#This Row],[YearsAtCompany]]&lt;=2,"0-2",HR_Employee_Attrition[[#This Row],[YearsAtCompany]]&lt;=5,"3-5",HR_Employee_Attrition[[#This Row],[YearsAtCompany]]&lt;=10,"6-10",HR_Employee_Attrition[[#This Row],[YearsAtCompany]]&gt;10,"10+")</f>
        <v>6-10</v>
      </c>
      <c r="AL1056" t="str" cm="1">
        <f t="array" ref="AL10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056">
        <f>IF(HR_Employee_Attrition[[#This Row],[Attrition]]="Yes",1,0)</f>
        <v>0</v>
      </c>
    </row>
    <row r="1057" spans="1:39"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IF(HR_Employee_Attrition[[#This Row],[Age]]&gt;60,"60+",IF(HR_Employee_Attrition[[#This Row],[Age]]&gt;=50,"50-59",IF(HR_Employee_Attrition[[#This Row],[Age]]&gt;=40,"40-49",IF(HR_Employee_Attrition[[#This Row],[Age]]&gt;=30,"30-39",IF(HR_Employee_Attrition[[#This Row],[Age]]&gt;=20,"20-29",IF(HR_Employee_Attrition[[#This Row],[Age]]&gt;=18,"18-20"))))))</f>
        <v>30-39</v>
      </c>
      <c r="AK1057" t="str" cm="1">
        <f t="array" ref="AK1057">_xlfn.IFS(HR_Employee_Attrition[[#This Row],[YearsAtCompany]]&lt;=2,"0-2",HR_Employee_Attrition[[#This Row],[YearsAtCompany]]&lt;=5,"3-5",HR_Employee_Attrition[[#This Row],[YearsAtCompany]]&lt;=10,"6-10",HR_Employee_Attrition[[#This Row],[YearsAtCompany]]&gt;10,"10+")</f>
        <v>10+</v>
      </c>
      <c r="AL1057" t="str" cm="1">
        <f t="array" ref="AL10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057">
        <f>IF(HR_Employee_Attrition[[#This Row],[Attrition]]="Yes",1,0)</f>
        <v>0</v>
      </c>
    </row>
    <row r="1058" spans="1:39"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IF(HR_Employee_Attrition[[#This Row],[Age]]&gt;60,"60+",IF(HR_Employee_Attrition[[#This Row],[Age]]&gt;=50,"50-59",IF(HR_Employee_Attrition[[#This Row],[Age]]&gt;=40,"40-49",IF(HR_Employee_Attrition[[#This Row],[Age]]&gt;=30,"30-39",IF(HR_Employee_Attrition[[#This Row],[Age]]&gt;=20,"20-29",IF(HR_Employee_Attrition[[#This Row],[Age]]&gt;=18,"18-20"))))))</f>
        <v>20-29</v>
      </c>
      <c r="AK1058" t="str" cm="1">
        <f t="array" ref="AK1058">_xlfn.IFS(HR_Employee_Attrition[[#This Row],[YearsAtCompany]]&lt;=2,"0-2",HR_Employee_Attrition[[#This Row],[YearsAtCompany]]&lt;=5,"3-5",HR_Employee_Attrition[[#This Row],[YearsAtCompany]]&lt;=10,"6-10",HR_Employee_Attrition[[#This Row],[YearsAtCompany]]&gt;10,"10+")</f>
        <v>3-5</v>
      </c>
      <c r="AL1058" t="str" cm="1">
        <f t="array" ref="AL10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58">
        <f>IF(HR_Employee_Attrition[[#This Row],[Attrition]]="Yes",1,0)</f>
        <v>1</v>
      </c>
    </row>
    <row r="1059" spans="1:39"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IF(HR_Employee_Attrition[[#This Row],[Age]]&gt;60,"60+",IF(HR_Employee_Attrition[[#This Row],[Age]]&gt;=50,"50-59",IF(HR_Employee_Attrition[[#This Row],[Age]]&gt;=40,"40-49",IF(HR_Employee_Attrition[[#This Row],[Age]]&gt;=30,"30-39",IF(HR_Employee_Attrition[[#This Row],[Age]]&gt;=20,"20-29",IF(HR_Employee_Attrition[[#This Row],[Age]]&gt;=18,"18-20"))))))</f>
        <v>20-29</v>
      </c>
      <c r="AK1059" t="str" cm="1">
        <f t="array" ref="AK1059">_xlfn.IFS(HR_Employee_Attrition[[#This Row],[YearsAtCompany]]&lt;=2,"0-2",HR_Employee_Attrition[[#This Row],[YearsAtCompany]]&lt;=5,"3-5",HR_Employee_Attrition[[#This Row],[YearsAtCompany]]&lt;=10,"6-10",HR_Employee_Attrition[[#This Row],[YearsAtCompany]]&gt;10,"10+")</f>
        <v>3-5</v>
      </c>
      <c r="AL1059" t="str" cm="1">
        <f t="array" ref="AL10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59">
        <f>IF(HR_Employee_Attrition[[#This Row],[Attrition]]="Yes",1,0)</f>
        <v>1</v>
      </c>
    </row>
    <row r="1060" spans="1:39"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IF(HR_Employee_Attrition[[#This Row],[Age]]&gt;60,"60+",IF(HR_Employee_Attrition[[#This Row],[Age]]&gt;=50,"50-59",IF(HR_Employee_Attrition[[#This Row],[Age]]&gt;=40,"40-49",IF(HR_Employee_Attrition[[#This Row],[Age]]&gt;=30,"30-39",IF(HR_Employee_Attrition[[#This Row],[Age]]&gt;=20,"20-29",IF(HR_Employee_Attrition[[#This Row],[Age]]&gt;=18,"18-20"))))))</f>
        <v>30-39</v>
      </c>
      <c r="AK1060" t="str" cm="1">
        <f t="array" ref="AK1060">_xlfn.IFS(HR_Employee_Attrition[[#This Row],[YearsAtCompany]]&lt;=2,"0-2",HR_Employee_Attrition[[#This Row],[YearsAtCompany]]&lt;=5,"3-5",HR_Employee_Attrition[[#This Row],[YearsAtCompany]]&lt;=10,"6-10",HR_Employee_Attrition[[#This Row],[YearsAtCompany]]&gt;10,"10+")</f>
        <v>10+</v>
      </c>
      <c r="AL1060" t="str" cm="1">
        <f t="array" ref="AL10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60">
        <f>IF(HR_Employee_Attrition[[#This Row],[Attrition]]="Yes",1,0)</f>
        <v>1</v>
      </c>
    </row>
    <row r="1061" spans="1:39"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IF(HR_Employee_Attrition[[#This Row],[Age]]&gt;60,"60+",IF(HR_Employee_Attrition[[#This Row],[Age]]&gt;=50,"50-59",IF(HR_Employee_Attrition[[#This Row],[Age]]&gt;=40,"40-49",IF(HR_Employee_Attrition[[#This Row],[Age]]&gt;=30,"30-39",IF(HR_Employee_Attrition[[#This Row],[Age]]&gt;=20,"20-29",IF(HR_Employee_Attrition[[#This Row],[Age]]&gt;=18,"18-20"))))))</f>
        <v>30-39</v>
      </c>
      <c r="AK1061" t="str" cm="1">
        <f t="array" ref="AK1061">_xlfn.IFS(HR_Employee_Attrition[[#This Row],[YearsAtCompany]]&lt;=2,"0-2",HR_Employee_Attrition[[#This Row],[YearsAtCompany]]&lt;=5,"3-5",HR_Employee_Attrition[[#This Row],[YearsAtCompany]]&lt;=10,"6-10",HR_Employee_Attrition[[#This Row],[YearsAtCompany]]&gt;10,"10+")</f>
        <v>0-2</v>
      </c>
      <c r="AL1061" t="str" cm="1">
        <f t="array" ref="AL10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61">
        <f>IF(HR_Employee_Attrition[[#This Row],[Attrition]]="Yes",1,0)</f>
        <v>0</v>
      </c>
    </row>
    <row r="1062" spans="1:39"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IF(HR_Employee_Attrition[[#This Row],[Age]]&gt;60,"60+",IF(HR_Employee_Attrition[[#This Row],[Age]]&gt;=50,"50-59",IF(HR_Employee_Attrition[[#This Row],[Age]]&gt;=40,"40-49",IF(HR_Employee_Attrition[[#This Row],[Age]]&gt;=30,"30-39",IF(HR_Employee_Attrition[[#This Row],[Age]]&gt;=20,"20-29",IF(HR_Employee_Attrition[[#This Row],[Age]]&gt;=18,"18-20"))))))</f>
        <v>20-29</v>
      </c>
      <c r="AK1062" t="str" cm="1">
        <f t="array" ref="AK1062">_xlfn.IFS(HR_Employee_Attrition[[#This Row],[YearsAtCompany]]&lt;=2,"0-2",HR_Employee_Attrition[[#This Row],[YearsAtCompany]]&lt;=5,"3-5",HR_Employee_Attrition[[#This Row],[YearsAtCompany]]&lt;=10,"6-10",HR_Employee_Attrition[[#This Row],[YearsAtCompany]]&gt;10,"10+")</f>
        <v>0-2</v>
      </c>
      <c r="AL1062" t="str" cm="1">
        <f t="array" ref="AL10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62">
        <f>IF(HR_Employee_Attrition[[#This Row],[Attrition]]="Yes",1,0)</f>
        <v>1</v>
      </c>
    </row>
    <row r="1063" spans="1:39"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IF(HR_Employee_Attrition[[#This Row],[Age]]&gt;60,"60+",IF(HR_Employee_Attrition[[#This Row],[Age]]&gt;=50,"50-59",IF(HR_Employee_Attrition[[#This Row],[Age]]&gt;=40,"40-49",IF(HR_Employee_Attrition[[#This Row],[Age]]&gt;=30,"30-39",IF(HR_Employee_Attrition[[#This Row],[Age]]&gt;=20,"20-29",IF(HR_Employee_Attrition[[#This Row],[Age]]&gt;=18,"18-20"))))))</f>
        <v>20-29</v>
      </c>
      <c r="AK1063" t="str" cm="1">
        <f t="array" ref="AK1063">_xlfn.IFS(HR_Employee_Attrition[[#This Row],[YearsAtCompany]]&lt;=2,"0-2",HR_Employee_Attrition[[#This Row],[YearsAtCompany]]&lt;=5,"3-5",HR_Employee_Attrition[[#This Row],[YearsAtCompany]]&lt;=10,"6-10",HR_Employee_Attrition[[#This Row],[YearsAtCompany]]&gt;10,"10+")</f>
        <v>0-2</v>
      </c>
      <c r="AL1063" t="str" cm="1">
        <f t="array" ref="AL10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63">
        <f>IF(HR_Employee_Attrition[[#This Row],[Attrition]]="Yes",1,0)</f>
        <v>0</v>
      </c>
    </row>
    <row r="1064" spans="1:39"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IF(HR_Employee_Attrition[[#This Row],[Age]]&gt;60,"60+",IF(HR_Employee_Attrition[[#This Row],[Age]]&gt;=50,"50-59",IF(HR_Employee_Attrition[[#This Row],[Age]]&gt;=40,"40-49",IF(HR_Employee_Attrition[[#This Row],[Age]]&gt;=30,"30-39",IF(HR_Employee_Attrition[[#This Row],[Age]]&gt;=20,"20-29",IF(HR_Employee_Attrition[[#This Row],[Age]]&gt;=18,"18-20"))))))</f>
        <v>40-49</v>
      </c>
      <c r="AK1064" t="str" cm="1">
        <f t="array" ref="AK1064">_xlfn.IFS(HR_Employee_Attrition[[#This Row],[YearsAtCompany]]&lt;=2,"0-2",HR_Employee_Attrition[[#This Row],[YearsAtCompany]]&lt;=5,"3-5",HR_Employee_Attrition[[#This Row],[YearsAtCompany]]&lt;=10,"6-10",HR_Employee_Attrition[[#This Row],[YearsAtCompany]]&gt;10,"10+")</f>
        <v>0-2</v>
      </c>
      <c r="AL1064" t="str" cm="1">
        <f t="array" ref="AL10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064">
        <f>IF(HR_Employee_Attrition[[#This Row],[Attrition]]="Yes",1,0)</f>
        <v>0</v>
      </c>
    </row>
    <row r="1065" spans="1:39"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IF(HR_Employee_Attrition[[#This Row],[Age]]&gt;60,"60+",IF(HR_Employee_Attrition[[#This Row],[Age]]&gt;=50,"50-59",IF(HR_Employee_Attrition[[#This Row],[Age]]&gt;=40,"40-49",IF(HR_Employee_Attrition[[#This Row],[Age]]&gt;=30,"30-39",IF(HR_Employee_Attrition[[#This Row],[Age]]&gt;=20,"20-29",IF(HR_Employee_Attrition[[#This Row],[Age]]&gt;=18,"18-20"))))))</f>
        <v>20-29</v>
      </c>
      <c r="AK1065" t="str" cm="1">
        <f t="array" ref="AK1065">_xlfn.IFS(HR_Employee_Attrition[[#This Row],[YearsAtCompany]]&lt;=2,"0-2",HR_Employee_Attrition[[#This Row],[YearsAtCompany]]&lt;=5,"3-5",HR_Employee_Attrition[[#This Row],[YearsAtCompany]]&lt;=10,"6-10",HR_Employee_Attrition[[#This Row],[YearsAtCompany]]&gt;10,"10+")</f>
        <v>6-10</v>
      </c>
      <c r="AL1065" t="str" cm="1">
        <f t="array" ref="AL10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65">
        <f>IF(HR_Employee_Attrition[[#This Row],[Attrition]]="Yes",1,0)</f>
        <v>0</v>
      </c>
    </row>
    <row r="1066" spans="1:39"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IF(HR_Employee_Attrition[[#This Row],[Age]]&gt;60,"60+",IF(HR_Employee_Attrition[[#This Row],[Age]]&gt;=50,"50-59",IF(HR_Employee_Attrition[[#This Row],[Age]]&gt;=40,"40-49",IF(HR_Employee_Attrition[[#This Row],[Age]]&gt;=30,"30-39",IF(HR_Employee_Attrition[[#This Row],[Age]]&gt;=20,"20-29",IF(HR_Employee_Attrition[[#This Row],[Age]]&gt;=18,"18-20"))))))</f>
        <v>30-39</v>
      </c>
      <c r="AK1066" t="str" cm="1">
        <f t="array" ref="AK1066">_xlfn.IFS(HR_Employee_Attrition[[#This Row],[YearsAtCompany]]&lt;=2,"0-2",HR_Employee_Attrition[[#This Row],[YearsAtCompany]]&lt;=5,"3-5",HR_Employee_Attrition[[#This Row],[YearsAtCompany]]&lt;=10,"6-10",HR_Employee_Attrition[[#This Row],[YearsAtCompany]]&gt;10,"10+")</f>
        <v>3-5</v>
      </c>
      <c r="AL1066" t="str" cm="1">
        <f t="array" ref="AL10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66">
        <f>IF(HR_Employee_Attrition[[#This Row],[Attrition]]="Yes",1,0)</f>
        <v>0</v>
      </c>
    </row>
    <row r="1067" spans="1:39"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IF(HR_Employee_Attrition[[#This Row],[Age]]&gt;60,"60+",IF(HR_Employee_Attrition[[#This Row],[Age]]&gt;=50,"50-59",IF(HR_Employee_Attrition[[#This Row],[Age]]&gt;=40,"40-49",IF(HR_Employee_Attrition[[#This Row],[Age]]&gt;=30,"30-39",IF(HR_Employee_Attrition[[#This Row],[Age]]&gt;=20,"20-29",IF(HR_Employee_Attrition[[#This Row],[Age]]&gt;=18,"18-20"))))))</f>
        <v>50-59</v>
      </c>
      <c r="AK1067" t="str" cm="1">
        <f t="array" ref="AK1067">_xlfn.IFS(HR_Employee_Attrition[[#This Row],[YearsAtCompany]]&lt;=2,"0-2",HR_Employee_Attrition[[#This Row],[YearsAtCompany]]&lt;=5,"3-5",HR_Employee_Attrition[[#This Row],[YearsAtCompany]]&lt;=10,"6-10",HR_Employee_Attrition[[#This Row],[YearsAtCompany]]&gt;10,"10+")</f>
        <v>3-5</v>
      </c>
      <c r="AL1067" t="str" cm="1">
        <f t="array" ref="AL10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67">
        <f>IF(HR_Employee_Attrition[[#This Row],[Attrition]]="Yes",1,0)</f>
        <v>0</v>
      </c>
    </row>
    <row r="1068" spans="1:39"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IF(HR_Employee_Attrition[[#This Row],[Age]]&gt;60,"60+",IF(HR_Employee_Attrition[[#This Row],[Age]]&gt;=50,"50-59",IF(HR_Employee_Attrition[[#This Row],[Age]]&gt;=40,"40-49",IF(HR_Employee_Attrition[[#This Row],[Age]]&gt;=30,"30-39",IF(HR_Employee_Attrition[[#This Row],[Age]]&gt;=20,"20-29",IF(HR_Employee_Attrition[[#This Row],[Age]]&gt;=18,"18-20"))))))</f>
        <v>30-39</v>
      </c>
      <c r="AK1068" t="str" cm="1">
        <f t="array" ref="AK1068">_xlfn.IFS(HR_Employee_Attrition[[#This Row],[YearsAtCompany]]&lt;=2,"0-2",HR_Employee_Attrition[[#This Row],[YearsAtCompany]]&lt;=5,"3-5",HR_Employee_Attrition[[#This Row],[YearsAtCompany]]&lt;=10,"6-10",HR_Employee_Attrition[[#This Row],[YearsAtCompany]]&gt;10,"10+")</f>
        <v>3-5</v>
      </c>
      <c r="AL1068" t="str" cm="1">
        <f t="array" ref="AL10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68">
        <f>IF(HR_Employee_Attrition[[#This Row],[Attrition]]="Yes",1,0)</f>
        <v>0</v>
      </c>
    </row>
    <row r="1069" spans="1:39"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IF(HR_Employee_Attrition[[#This Row],[Age]]&gt;60,"60+",IF(HR_Employee_Attrition[[#This Row],[Age]]&gt;=50,"50-59",IF(HR_Employee_Attrition[[#This Row],[Age]]&gt;=40,"40-49",IF(HR_Employee_Attrition[[#This Row],[Age]]&gt;=30,"30-39",IF(HR_Employee_Attrition[[#This Row],[Age]]&gt;=20,"20-29",IF(HR_Employee_Attrition[[#This Row],[Age]]&gt;=18,"18-20"))))))</f>
        <v>40-49</v>
      </c>
      <c r="AK1069" t="str" cm="1">
        <f t="array" ref="AK1069">_xlfn.IFS(HR_Employee_Attrition[[#This Row],[YearsAtCompany]]&lt;=2,"0-2",HR_Employee_Attrition[[#This Row],[YearsAtCompany]]&lt;=5,"3-5",HR_Employee_Attrition[[#This Row],[YearsAtCompany]]&lt;=10,"6-10",HR_Employee_Attrition[[#This Row],[YearsAtCompany]]&gt;10,"10+")</f>
        <v>3-5</v>
      </c>
      <c r="AL1069" t="str" cm="1">
        <f t="array" ref="AL10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69">
        <f>IF(HR_Employee_Attrition[[#This Row],[Attrition]]="Yes",1,0)</f>
        <v>0</v>
      </c>
    </row>
    <row r="1070" spans="1:39"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IF(HR_Employee_Attrition[[#This Row],[Age]]&gt;60,"60+",IF(HR_Employee_Attrition[[#This Row],[Age]]&gt;=50,"50-59",IF(HR_Employee_Attrition[[#This Row],[Age]]&gt;=40,"40-49",IF(HR_Employee_Attrition[[#This Row],[Age]]&gt;=30,"30-39",IF(HR_Employee_Attrition[[#This Row],[Age]]&gt;=20,"20-29",IF(HR_Employee_Attrition[[#This Row],[Age]]&gt;=18,"18-20"))))))</f>
        <v>20-29</v>
      </c>
      <c r="AK1070" t="str" cm="1">
        <f t="array" ref="AK1070">_xlfn.IFS(HR_Employee_Attrition[[#This Row],[YearsAtCompany]]&lt;=2,"0-2",HR_Employee_Attrition[[#This Row],[YearsAtCompany]]&lt;=5,"3-5",HR_Employee_Attrition[[#This Row],[YearsAtCompany]]&lt;=10,"6-10",HR_Employee_Attrition[[#This Row],[YearsAtCompany]]&gt;10,"10+")</f>
        <v>0-2</v>
      </c>
      <c r="AL1070" t="str" cm="1">
        <f t="array" ref="AL10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70">
        <f>IF(HR_Employee_Attrition[[#This Row],[Attrition]]="Yes",1,0)</f>
        <v>1</v>
      </c>
    </row>
    <row r="1071" spans="1:39"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IF(HR_Employee_Attrition[[#This Row],[Age]]&gt;60,"60+",IF(HR_Employee_Attrition[[#This Row],[Age]]&gt;=50,"50-59",IF(HR_Employee_Attrition[[#This Row],[Age]]&gt;=40,"40-49",IF(HR_Employee_Attrition[[#This Row],[Age]]&gt;=30,"30-39",IF(HR_Employee_Attrition[[#This Row],[Age]]&gt;=20,"20-29",IF(HR_Employee_Attrition[[#This Row],[Age]]&gt;=18,"18-20"))))))</f>
        <v>20-29</v>
      </c>
      <c r="AK1071" t="str" cm="1">
        <f t="array" ref="AK1071">_xlfn.IFS(HR_Employee_Attrition[[#This Row],[YearsAtCompany]]&lt;=2,"0-2",HR_Employee_Attrition[[#This Row],[YearsAtCompany]]&lt;=5,"3-5",HR_Employee_Attrition[[#This Row],[YearsAtCompany]]&lt;=10,"6-10",HR_Employee_Attrition[[#This Row],[YearsAtCompany]]&gt;10,"10+")</f>
        <v>0-2</v>
      </c>
      <c r="AL1071" t="str" cm="1">
        <f t="array" ref="AL10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71">
        <f>IF(HR_Employee_Attrition[[#This Row],[Attrition]]="Yes",1,0)</f>
        <v>0</v>
      </c>
    </row>
    <row r="1072" spans="1:39"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IF(HR_Employee_Attrition[[#This Row],[Age]]&gt;60,"60+",IF(HR_Employee_Attrition[[#This Row],[Age]]&gt;=50,"50-59",IF(HR_Employee_Attrition[[#This Row],[Age]]&gt;=40,"40-49",IF(HR_Employee_Attrition[[#This Row],[Age]]&gt;=30,"30-39",IF(HR_Employee_Attrition[[#This Row],[Age]]&gt;=20,"20-29",IF(HR_Employee_Attrition[[#This Row],[Age]]&gt;=18,"18-20"))))))</f>
        <v>20-29</v>
      </c>
      <c r="AK1072" t="str" cm="1">
        <f t="array" ref="AK1072">_xlfn.IFS(HR_Employee_Attrition[[#This Row],[YearsAtCompany]]&lt;=2,"0-2",HR_Employee_Attrition[[#This Row],[YearsAtCompany]]&lt;=5,"3-5",HR_Employee_Attrition[[#This Row],[YearsAtCompany]]&lt;=10,"6-10",HR_Employee_Attrition[[#This Row],[YearsAtCompany]]&gt;10,"10+")</f>
        <v>3-5</v>
      </c>
      <c r="AL1072" t="str" cm="1">
        <f t="array" ref="AL107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72">
        <f>IF(HR_Employee_Attrition[[#This Row],[Attrition]]="Yes",1,0)</f>
        <v>0</v>
      </c>
    </row>
    <row r="1073" spans="1:39"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IF(HR_Employee_Attrition[[#This Row],[Age]]&gt;60,"60+",IF(HR_Employee_Attrition[[#This Row],[Age]]&gt;=50,"50-59",IF(HR_Employee_Attrition[[#This Row],[Age]]&gt;=40,"40-49",IF(HR_Employee_Attrition[[#This Row],[Age]]&gt;=30,"30-39",IF(HR_Employee_Attrition[[#This Row],[Age]]&gt;=20,"20-29",IF(HR_Employee_Attrition[[#This Row],[Age]]&gt;=18,"18-20"))))))</f>
        <v>40-49</v>
      </c>
      <c r="AK1073" t="str" cm="1">
        <f t="array" ref="AK1073">_xlfn.IFS(HR_Employee_Attrition[[#This Row],[YearsAtCompany]]&lt;=2,"0-2",HR_Employee_Attrition[[#This Row],[YearsAtCompany]]&lt;=5,"3-5",HR_Employee_Attrition[[#This Row],[YearsAtCompany]]&lt;=10,"6-10",HR_Employee_Attrition[[#This Row],[YearsAtCompany]]&gt;10,"10+")</f>
        <v>3-5</v>
      </c>
      <c r="AL1073" t="str" cm="1">
        <f t="array" ref="AL107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73">
        <f>IF(HR_Employee_Attrition[[#This Row],[Attrition]]="Yes",1,0)</f>
        <v>0</v>
      </c>
    </row>
    <row r="1074" spans="1:39"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IF(HR_Employee_Attrition[[#This Row],[Age]]&gt;60,"60+",IF(HR_Employee_Attrition[[#This Row],[Age]]&gt;=50,"50-59",IF(HR_Employee_Attrition[[#This Row],[Age]]&gt;=40,"40-49",IF(HR_Employee_Attrition[[#This Row],[Age]]&gt;=30,"30-39",IF(HR_Employee_Attrition[[#This Row],[Age]]&gt;=20,"20-29",IF(HR_Employee_Attrition[[#This Row],[Age]]&gt;=18,"18-20"))))))</f>
        <v>20-29</v>
      </c>
      <c r="AK1074" t="str" cm="1">
        <f t="array" ref="AK1074">_xlfn.IFS(HR_Employee_Attrition[[#This Row],[YearsAtCompany]]&lt;=2,"0-2",HR_Employee_Attrition[[#This Row],[YearsAtCompany]]&lt;=5,"3-5",HR_Employee_Attrition[[#This Row],[YearsAtCompany]]&lt;=10,"6-10",HR_Employee_Attrition[[#This Row],[YearsAtCompany]]&gt;10,"10+")</f>
        <v>3-5</v>
      </c>
      <c r="AL1074" t="str" cm="1">
        <f t="array" ref="AL107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74">
        <f>IF(HR_Employee_Attrition[[#This Row],[Attrition]]="Yes",1,0)</f>
        <v>0</v>
      </c>
    </row>
    <row r="1075" spans="1:39"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IF(HR_Employee_Attrition[[#This Row],[Age]]&gt;60,"60+",IF(HR_Employee_Attrition[[#This Row],[Age]]&gt;=50,"50-59",IF(HR_Employee_Attrition[[#This Row],[Age]]&gt;=40,"40-49",IF(HR_Employee_Attrition[[#This Row],[Age]]&gt;=30,"30-39",IF(HR_Employee_Attrition[[#This Row],[Age]]&gt;=20,"20-29",IF(HR_Employee_Attrition[[#This Row],[Age]]&gt;=18,"18-20"))))))</f>
        <v>20-29</v>
      </c>
      <c r="AK1075" t="str" cm="1">
        <f t="array" ref="AK1075">_xlfn.IFS(HR_Employee_Attrition[[#This Row],[YearsAtCompany]]&lt;=2,"0-2",HR_Employee_Attrition[[#This Row],[YearsAtCompany]]&lt;=5,"3-5",HR_Employee_Attrition[[#This Row],[YearsAtCompany]]&lt;=10,"6-10",HR_Employee_Attrition[[#This Row],[YearsAtCompany]]&gt;10,"10+")</f>
        <v>6-10</v>
      </c>
      <c r="AL1075" t="str" cm="1">
        <f t="array" ref="AL107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75">
        <f>IF(HR_Employee_Attrition[[#This Row],[Attrition]]="Yes",1,0)</f>
        <v>0</v>
      </c>
    </row>
    <row r="1076" spans="1:39"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IF(HR_Employee_Attrition[[#This Row],[Age]]&gt;60,"60+",IF(HR_Employee_Attrition[[#This Row],[Age]]&gt;=50,"50-59",IF(HR_Employee_Attrition[[#This Row],[Age]]&gt;=40,"40-49",IF(HR_Employee_Attrition[[#This Row],[Age]]&gt;=30,"30-39",IF(HR_Employee_Attrition[[#This Row],[Age]]&gt;=20,"20-29",IF(HR_Employee_Attrition[[#This Row],[Age]]&gt;=18,"18-20"))))))</f>
        <v>30-39</v>
      </c>
      <c r="AK1076" t="str" cm="1">
        <f t="array" ref="AK1076">_xlfn.IFS(HR_Employee_Attrition[[#This Row],[YearsAtCompany]]&lt;=2,"0-2",HR_Employee_Attrition[[#This Row],[YearsAtCompany]]&lt;=5,"3-5",HR_Employee_Attrition[[#This Row],[YearsAtCompany]]&lt;=10,"6-10",HR_Employee_Attrition[[#This Row],[YearsAtCompany]]&gt;10,"10+")</f>
        <v>0-2</v>
      </c>
      <c r="AL1076" t="str" cm="1">
        <f t="array" ref="AL107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76">
        <f>IF(HR_Employee_Attrition[[#This Row],[Attrition]]="Yes",1,0)</f>
        <v>0</v>
      </c>
    </row>
    <row r="1077" spans="1:39"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IF(HR_Employee_Attrition[[#This Row],[Age]]&gt;60,"60+",IF(HR_Employee_Attrition[[#This Row],[Age]]&gt;=50,"50-59",IF(HR_Employee_Attrition[[#This Row],[Age]]&gt;=40,"40-49",IF(HR_Employee_Attrition[[#This Row],[Age]]&gt;=30,"30-39",IF(HR_Employee_Attrition[[#This Row],[Age]]&gt;=20,"20-29",IF(HR_Employee_Attrition[[#This Row],[Age]]&gt;=18,"18-20"))))))</f>
        <v>30-39</v>
      </c>
      <c r="AK1077" t="str" cm="1">
        <f t="array" ref="AK1077">_xlfn.IFS(HR_Employee_Attrition[[#This Row],[YearsAtCompany]]&lt;=2,"0-2",HR_Employee_Attrition[[#This Row],[YearsAtCompany]]&lt;=5,"3-5",HR_Employee_Attrition[[#This Row],[YearsAtCompany]]&lt;=10,"6-10",HR_Employee_Attrition[[#This Row],[YearsAtCompany]]&gt;10,"10+")</f>
        <v>3-5</v>
      </c>
      <c r="AL1077" t="str" cm="1">
        <f t="array" ref="AL107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077">
        <f>IF(HR_Employee_Attrition[[#This Row],[Attrition]]="Yes",1,0)</f>
        <v>0</v>
      </c>
    </row>
    <row r="1078" spans="1:39"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IF(HR_Employee_Attrition[[#This Row],[Age]]&gt;60,"60+",IF(HR_Employee_Attrition[[#This Row],[Age]]&gt;=50,"50-59",IF(HR_Employee_Attrition[[#This Row],[Age]]&gt;=40,"40-49",IF(HR_Employee_Attrition[[#This Row],[Age]]&gt;=30,"30-39",IF(HR_Employee_Attrition[[#This Row],[Age]]&gt;=20,"20-29",IF(HR_Employee_Attrition[[#This Row],[Age]]&gt;=18,"18-20"))))))</f>
        <v>50-59</v>
      </c>
      <c r="AK1078" t="str" cm="1">
        <f t="array" ref="AK1078">_xlfn.IFS(HR_Employee_Attrition[[#This Row],[YearsAtCompany]]&lt;=2,"0-2",HR_Employee_Attrition[[#This Row],[YearsAtCompany]]&lt;=5,"3-5",HR_Employee_Attrition[[#This Row],[YearsAtCompany]]&lt;=10,"6-10",HR_Employee_Attrition[[#This Row],[YearsAtCompany]]&gt;10,"10+")</f>
        <v>10+</v>
      </c>
      <c r="AL1078" t="str" cm="1">
        <f t="array" ref="AL107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078">
        <f>IF(HR_Employee_Attrition[[#This Row],[Attrition]]="Yes",1,0)</f>
        <v>0</v>
      </c>
    </row>
    <row r="1079" spans="1:39"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IF(HR_Employee_Attrition[[#This Row],[Age]]&gt;60,"60+",IF(HR_Employee_Attrition[[#This Row],[Age]]&gt;=50,"50-59",IF(HR_Employee_Attrition[[#This Row],[Age]]&gt;=40,"40-49",IF(HR_Employee_Attrition[[#This Row],[Age]]&gt;=30,"30-39",IF(HR_Employee_Attrition[[#This Row],[Age]]&gt;=20,"20-29",IF(HR_Employee_Attrition[[#This Row],[Age]]&gt;=18,"18-20"))))))</f>
        <v>20-29</v>
      </c>
      <c r="AK1079" t="str" cm="1">
        <f t="array" ref="AK1079">_xlfn.IFS(HR_Employee_Attrition[[#This Row],[YearsAtCompany]]&lt;=2,"0-2",HR_Employee_Attrition[[#This Row],[YearsAtCompany]]&lt;=5,"3-5",HR_Employee_Attrition[[#This Row],[YearsAtCompany]]&lt;=10,"6-10",HR_Employee_Attrition[[#This Row],[YearsAtCompany]]&gt;10,"10+")</f>
        <v>6-10</v>
      </c>
      <c r="AL1079" t="str" cm="1">
        <f t="array" ref="AL107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79">
        <f>IF(HR_Employee_Attrition[[#This Row],[Attrition]]="Yes",1,0)</f>
        <v>1</v>
      </c>
    </row>
    <row r="1080" spans="1:39"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IF(HR_Employee_Attrition[[#This Row],[Age]]&gt;60,"60+",IF(HR_Employee_Attrition[[#This Row],[Age]]&gt;=50,"50-59",IF(HR_Employee_Attrition[[#This Row],[Age]]&gt;=40,"40-49",IF(HR_Employee_Attrition[[#This Row],[Age]]&gt;=30,"30-39",IF(HR_Employee_Attrition[[#This Row],[Age]]&gt;=20,"20-29",IF(HR_Employee_Attrition[[#This Row],[Age]]&gt;=18,"18-20"))))))</f>
        <v>40-49</v>
      </c>
      <c r="AK1080" t="str" cm="1">
        <f t="array" ref="AK1080">_xlfn.IFS(HR_Employee_Attrition[[#This Row],[YearsAtCompany]]&lt;=2,"0-2",HR_Employee_Attrition[[#This Row],[YearsAtCompany]]&lt;=5,"3-5",HR_Employee_Attrition[[#This Row],[YearsAtCompany]]&lt;=10,"6-10",HR_Employee_Attrition[[#This Row],[YearsAtCompany]]&gt;10,"10+")</f>
        <v>10+</v>
      </c>
      <c r="AL1080" t="str" cm="1">
        <f t="array" ref="AL108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080">
        <f>IF(HR_Employee_Attrition[[#This Row],[Attrition]]="Yes",1,0)</f>
        <v>0</v>
      </c>
    </row>
    <row r="1081" spans="1:39"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IF(HR_Employee_Attrition[[#This Row],[Age]]&gt;60,"60+",IF(HR_Employee_Attrition[[#This Row],[Age]]&gt;=50,"50-59",IF(HR_Employee_Attrition[[#This Row],[Age]]&gt;=40,"40-49",IF(HR_Employee_Attrition[[#This Row],[Age]]&gt;=30,"30-39",IF(HR_Employee_Attrition[[#This Row],[Age]]&gt;=20,"20-29",IF(HR_Employee_Attrition[[#This Row],[Age]]&gt;=18,"18-20"))))))</f>
        <v>30-39</v>
      </c>
      <c r="AK1081" t="str" cm="1">
        <f t="array" ref="AK1081">_xlfn.IFS(HR_Employee_Attrition[[#This Row],[YearsAtCompany]]&lt;=2,"0-2",HR_Employee_Attrition[[#This Row],[YearsAtCompany]]&lt;=5,"3-5",HR_Employee_Attrition[[#This Row],[YearsAtCompany]]&lt;=10,"6-10",HR_Employee_Attrition[[#This Row],[YearsAtCompany]]&gt;10,"10+")</f>
        <v>0-2</v>
      </c>
      <c r="AL1081" t="str" cm="1">
        <f t="array" ref="AL108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81">
        <f>IF(HR_Employee_Attrition[[#This Row],[Attrition]]="Yes",1,0)</f>
        <v>0</v>
      </c>
    </row>
    <row r="1082" spans="1:39"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IF(HR_Employee_Attrition[[#This Row],[Age]]&gt;60,"60+",IF(HR_Employee_Attrition[[#This Row],[Age]]&gt;=50,"50-59",IF(HR_Employee_Attrition[[#This Row],[Age]]&gt;=40,"40-49",IF(HR_Employee_Attrition[[#This Row],[Age]]&gt;=30,"30-39",IF(HR_Employee_Attrition[[#This Row],[Age]]&gt;=20,"20-29",IF(HR_Employee_Attrition[[#This Row],[Age]]&gt;=18,"18-20"))))))</f>
        <v>40-49</v>
      </c>
      <c r="AK1082" t="str" cm="1">
        <f t="array" ref="AK1082">_xlfn.IFS(HR_Employee_Attrition[[#This Row],[YearsAtCompany]]&lt;=2,"0-2",HR_Employee_Attrition[[#This Row],[YearsAtCompany]]&lt;=5,"3-5",HR_Employee_Attrition[[#This Row],[YearsAtCompany]]&lt;=10,"6-10",HR_Employee_Attrition[[#This Row],[YearsAtCompany]]&gt;10,"10+")</f>
        <v>10+</v>
      </c>
      <c r="AL1082" t="str" cm="1">
        <f t="array" ref="AL108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082">
        <f>IF(HR_Employee_Attrition[[#This Row],[Attrition]]="Yes",1,0)</f>
        <v>0</v>
      </c>
    </row>
    <row r="1083" spans="1:39"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IF(HR_Employee_Attrition[[#This Row],[Age]]&gt;60,"60+",IF(HR_Employee_Attrition[[#This Row],[Age]]&gt;=50,"50-59",IF(HR_Employee_Attrition[[#This Row],[Age]]&gt;=40,"40-49",IF(HR_Employee_Attrition[[#This Row],[Age]]&gt;=30,"30-39",IF(HR_Employee_Attrition[[#This Row],[Age]]&gt;=20,"20-29",IF(HR_Employee_Attrition[[#This Row],[Age]]&gt;=18,"18-20"))))))</f>
        <v>30-39</v>
      </c>
      <c r="AK1083" t="str" cm="1">
        <f t="array" ref="AK1083">_xlfn.IFS(HR_Employee_Attrition[[#This Row],[YearsAtCompany]]&lt;=2,"0-2",HR_Employee_Attrition[[#This Row],[YearsAtCompany]]&lt;=5,"3-5",HR_Employee_Attrition[[#This Row],[YearsAtCompany]]&lt;=10,"6-10",HR_Employee_Attrition[[#This Row],[YearsAtCompany]]&gt;10,"10+")</f>
        <v>10+</v>
      </c>
      <c r="AL1083" t="str" cm="1">
        <f t="array" ref="AL108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83">
        <f>IF(HR_Employee_Attrition[[#This Row],[Attrition]]="Yes",1,0)</f>
        <v>0</v>
      </c>
    </row>
    <row r="1084" spans="1:39"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IF(HR_Employee_Attrition[[#This Row],[Age]]&gt;60,"60+",IF(HR_Employee_Attrition[[#This Row],[Age]]&gt;=50,"50-59",IF(HR_Employee_Attrition[[#This Row],[Age]]&gt;=40,"40-49",IF(HR_Employee_Attrition[[#This Row],[Age]]&gt;=30,"30-39",IF(HR_Employee_Attrition[[#This Row],[Age]]&gt;=20,"20-29",IF(HR_Employee_Attrition[[#This Row],[Age]]&gt;=18,"18-20"))))))</f>
        <v>20-29</v>
      </c>
      <c r="AK1084" t="str" cm="1">
        <f t="array" ref="AK1084">_xlfn.IFS(HR_Employee_Attrition[[#This Row],[YearsAtCompany]]&lt;=2,"0-2",HR_Employee_Attrition[[#This Row],[YearsAtCompany]]&lt;=5,"3-5",HR_Employee_Attrition[[#This Row],[YearsAtCompany]]&lt;=10,"6-10",HR_Employee_Attrition[[#This Row],[YearsAtCompany]]&gt;10,"10+")</f>
        <v>3-5</v>
      </c>
      <c r="AL1084" t="str" cm="1">
        <f t="array" ref="AL108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84">
        <f>IF(HR_Employee_Attrition[[#This Row],[Attrition]]="Yes",1,0)</f>
        <v>0</v>
      </c>
    </row>
    <row r="1085" spans="1:39"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IF(HR_Employee_Attrition[[#This Row],[Age]]&gt;60,"60+",IF(HR_Employee_Attrition[[#This Row],[Age]]&gt;=50,"50-59",IF(HR_Employee_Attrition[[#This Row],[Age]]&gt;=40,"40-49",IF(HR_Employee_Attrition[[#This Row],[Age]]&gt;=30,"30-39",IF(HR_Employee_Attrition[[#This Row],[Age]]&gt;=20,"20-29",IF(HR_Employee_Attrition[[#This Row],[Age]]&gt;=18,"18-20"))))))</f>
        <v>40-49</v>
      </c>
      <c r="AK1085" t="str" cm="1">
        <f t="array" ref="AK1085">_xlfn.IFS(HR_Employee_Attrition[[#This Row],[YearsAtCompany]]&lt;=2,"0-2",HR_Employee_Attrition[[#This Row],[YearsAtCompany]]&lt;=5,"3-5",HR_Employee_Attrition[[#This Row],[YearsAtCompany]]&lt;=10,"6-10",HR_Employee_Attrition[[#This Row],[YearsAtCompany]]&gt;10,"10+")</f>
        <v>3-5</v>
      </c>
      <c r="AL1085" t="str" cm="1">
        <f t="array" ref="AL108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85">
        <f>IF(HR_Employee_Attrition[[#This Row],[Attrition]]="Yes",1,0)</f>
        <v>1</v>
      </c>
    </row>
    <row r="1086" spans="1:39"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IF(HR_Employee_Attrition[[#This Row],[Age]]&gt;60,"60+",IF(HR_Employee_Attrition[[#This Row],[Age]]&gt;=50,"50-59",IF(HR_Employee_Attrition[[#This Row],[Age]]&gt;=40,"40-49",IF(HR_Employee_Attrition[[#This Row],[Age]]&gt;=30,"30-39",IF(HR_Employee_Attrition[[#This Row],[Age]]&gt;=20,"20-29",IF(HR_Employee_Attrition[[#This Row],[Age]]&gt;=18,"18-20"))))))</f>
        <v>30-39</v>
      </c>
      <c r="AK1086" t="str" cm="1">
        <f t="array" ref="AK1086">_xlfn.IFS(HR_Employee_Attrition[[#This Row],[YearsAtCompany]]&lt;=2,"0-2",HR_Employee_Attrition[[#This Row],[YearsAtCompany]]&lt;=5,"3-5",HR_Employee_Attrition[[#This Row],[YearsAtCompany]]&lt;=10,"6-10",HR_Employee_Attrition[[#This Row],[YearsAtCompany]]&gt;10,"10+")</f>
        <v>6-10</v>
      </c>
      <c r="AL1086" t="str" cm="1">
        <f t="array" ref="AL108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86">
        <f>IF(HR_Employee_Attrition[[#This Row],[Attrition]]="Yes",1,0)</f>
        <v>0</v>
      </c>
    </row>
    <row r="1087" spans="1:39"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IF(HR_Employee_Attrition[[#This Row],[Age]]&gt;60,"60+",IF(HR_Employee_Attrition[[#This Row],[Age]]&gt;=50,"50-59",IF(HR_Employee_Attrition[[#This Row],[Age]]&gt;=40,"40-49",IF(HR_Employee_Attrition[[#This Row],[Age]]&gt;=30,"30-39",IF(HR_Employee_Attrition[[#This Row],[Age]]&gt;=20,"20-29",IF(HR_Employee_Attrition[[#This Row],[Age]]&gt;=18,"18-20"))))))</f>
        <v>30-39</v>
      </c>
      <c r="AK1087" t="str" cm="1">
        <f t="array" ref="AK1087">_xlfn.IFS(HR_Employee_Attrition[[#This Row],[YearsAtCompany]]&lt;=2,"0-2",HR_Employee_Attrition[[#This Row],[YearsAtCompany]]&lt;=5,"3-5",HR_Employee_Attrition[[#This Row],[YearsAtCompany]]&lt;=10,"6-10",HR_Employee_Attrition[[#This Row],[YearsAtCompany]]&gt;10,"10+")</f>
        <v>6-10</v>
      </c>
      <c r="AL1087" t="str" cm="1">
        <f t="array" ref="AL108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87">
        <f>IF(HR_Employee_Attrition[[#This Row],[Attrition]]="Yes",1,0)</f>
        <v>1</v>
      </c>
    </row>
    <row r="1088" spans="1:39"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IF(HR_Employee_Attrition[[#This Row],[Age]]&gt;60,"60+",IF(HR_Employee_Attrition[[#This Row],[Age]]&gt;=50,"50-59",IF(HR_Employee_Attrition[[#This Row],[Age]]&gt;=40,"40-49",IF(HR_Employee_Attrition[[#This Row],[Age]]&gt;=30,"30-39",IF(HR_Employee_Attrition[[#This Row],[Age]]&gt;=20,"20-29",IF(HR_Employee_Attrition[[#This Row],[Age]]&gt;=18,"18-20"))))))</f>
        <v>50-59</v>
      </c>
      <c r="AK1088" t="str" cm="1">
        <f t="array" ref="AK1088">_xlfn.IFS(HR_Employee_Attrition[[#This Row],[YearsAtCompany]]&lt;=2,"0-2",HR_Employee_Attrition[[#This Row],[YearsAtCompany]]&lt;=5,"3-5",HR_Employee_Attrition[[#This Row],[YearsAtCompany]]&lt;=10,"6-10",HR_Employee_Attrition[[#This Row],[YearsAtCompany]]&gt;10,"10+")</f>
        <v>10+</v>
      </c>
      <c r="AL1088" t="str" cm="1">
        <f t="array" ref="AL108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088">
        <f>IF(HR_Employee_Attrition[[#This Row],[Attrition]]="Yes",1,0)</f>
        <v>0</v>
      </c>
    </row>
    <row r="1089" spans="1:39"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IF(HR_Employee_Attrition[[#This Row],[Age]]&gt;60,"60+",IF(HR_Employee_Attrition[[#This Row],[Age]]&gt;=50,"50-59",IF(HR_Employee_Attrition[[#This Row],[Age]]&gt;=40,"40-49",IF(HR_Employee_Attrition[[#This Row],[Age]]&gt;=30,"30-39",IF(HR_Employee_Attrition[[#This Row],[Age]]&gt;=20,"20-29",IF(HR_Employee_Attrition[[#This Row],[Age]]&gt;=18,"18-20"))))))</f>
        <v>30-39</v>
      </c>
      <c r="AK1089" t="str" cm="1">
        <f t="array" ref="AK1089">_xlfn.IFS(HR_Employee_Attrition[[#This Row],[YearsAtCompany]]&lt;=2,"0-2",HR_Employee_Attrition[[#This Row],[YearsAtCompany]]&lt;=5,"3-5",HR_Employee_Attrition[[#This Row],[YearsAtCompany]]&lt;=10,"6-10",HR_Employee_Attrition[[#This Row],[YearsAtCompany]]&gt;10,"10+")</f>
        <v>10+</v>
      </c>
      <c r="AL1089" t="str" cm="1">
        <f t="array" ref="AL108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89">
        <f>IF(HR_Employee_Attrition[[#This Row],[Attrition]]="Yes",1,0)</f>
        <v>0</v>
      </c>
    </row>
    <row r="1090" spans="1:39"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IF(HR_Employee_Attrition[[#This Row],[Age]]&gt;60,"60+",IF(HR_Employee_Attrition[[#This Row],[Age]]&gt;=50,"50-59",IF(HR_Employee_Attrition[[#This Row],[Age]]&gt;=40,"40-49",IF(HR_Employee_Attrition[[#This Row],[Age]]&gt;=30,"30-39",IF(HR_Employee_Attrition[[#This Row],[Age]]&gt;=20,"20-29",IF(HR_Employee_Attrition[[#This Row],[Age]]&gt;=18,"18-20"))))))</f>
        <v>40-49</v>
      </c>
      <c r="AK1090" t="str" cm="1">
        <f t="array" ref="AK1090">_xlfn.IFS(HR_Employee_Attrition[[#This Row],[YearsAtCompany]]&lt;=2,"0-2",HR_Employee_Attrition[[#This Row],[YearsAtCompany]]&lt;=5,"3-5",HR_Employee_Attrition[[#This Row],[YearsAtCompany]]&lt;=10,"6-10",HR_Employee_Attrition[[#This Row],[YearsAtCompany]]&gt;10,"10+")</f>
        <v>0-2</v>
      </c>
      <c r="AL1090" t="str" cm="1">
        <f t="array" ref="AL109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90">
        <f>IF(HR_Employee_Attrition[[#This Row],[Attrition]]="Yes",1,0)</f>
        <v>0</v>
      </c>
    </row>
    <row r="1091" spans="1:39"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IF(HR_Employee_Attrition[[#This Row],[Age]]&gt;60,"60+",IF(HR_Employee_Attrition[[#This Row],[Age]]&gt;=50,"50-59",IF(HR_Employee_Attrition[[#This Row],[Age]]&gt;=40,"40-49",IF(HR_Employee_Attrition[[#This Row],[Age]]&gt;=30,"30-39",IF(HR_Employee_Attrition[[#This Row],[Age]]&gt;=20,"20-29",IF(HR_Employee_Attrition[[#This Row],[Age]]&gt;=18,"18-20"))))))</f>
        <v>30-39</v>
      </c>
      <c r="AK1091" t="str" cm="1">
        <f t="array" ref="AK1091">_xlfn.IFS(HR_Employee_Attrition[[#This Row],[YearsAtCompany]]&lt;=2,"0-2",HR_Employee_Attrition[[#This Row],[YearsAtCompany]]&lt;=5,"3-5",HR_Employee_Attrition[[#This Row],[YearsAtCompany]]&lt;=10,"6-10",HR_Employee_Attrition[[#This Row],[YearsAtCompany]]&gt;10,"10+")</f>
        <v>6-10</v>
      </c>
      <c r="AL1091" t="str" cm="1">
        <f t="array" ref="AL109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91">
        <f>IF(HR_Employee_Attrition[[#This Row],[Attrition]]="Yes",1,0)</f>
        <v>0</v>
      </c>
    </row>
    <row r="1092" spans="1:39"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IF(HR_Employee_Attrition[[#This Row],[Age]]&gt;60,"60+",IF(HR_Employee_Attrition[[#This Row],[Age]]&gt;=50,"50-59",IF(HR_Employee_Attrition[[#This Row],[Age]]&gt;=40,"40-49",IF(HR_Employee_Attrition[[#This Row],[Age]]&gt;=30,"30-39",IF(HR_Employee_Attrition[[#This Row],[Age]]&gt;=20,"20-29",IF(HR_Employee_Attrition[[#This Row],[Age]]&gt;=18,"18-20"))))))</f>
        <v>20-29</v>
      </c>
      <c r="AK1092" t="str" cm="1">
        <f t="array" ref="AK1092">_xlfn.IFS(HR_Employee_Attrition[[#This Row],[YearsAtCompany]]&lt;=2,"0-2",HR_Employee_Attrition[[#This Row],[YearsAtCompany]]&lt;=5,"3-5",HR_Employee_Attrition[[#This Row],[YearsAtCompany]]&lt;=10,"6-10",HR_Employee_Attrition[[#This Row],[YearsAtCompany]]&gt;10,"10+")</f>
        <v>6-10</v>
      </c>
      <c r="AL1092" t="str" cm="1">
        <f t="array" ref="AL109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92">
        <f>IF(HR_Employee_Attrition[[#This Row],[Attrition]]="Yes",1,0)</f>
        <v>0</v>
      </c>
    </row>
    <row r="1093" spans="1:39"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IF(HR_Employee_Attrition[[#This Row],[Age]]&gt;60,"60+",IF(HR_Employee_Attrition[[#This Row],[Age]]&gt;=50,"50-59",IF(HR_Employee_Attrition[[#This Row],[Age]]&gt;=40,"40-49",IF(HR_Employee_Attrition[[#This Row],[Age]]&gt;=30,"30-39",IF(HR_Employee_Attrition[[#This Row],[Age]]&gt;=20,"20-29",IF(HR_Employee_Attrition[[#This Row],[Age]]&gt;=18,"18-20"))))))</f>
        <v>30-39</v>
      </c>
      <c r="AK1093" t="str" cm="1">
        <f t="array" ref="AK1093">_xlfn.IFS(HR_Employee_Attrition[[#This Row],[YearsAtCompany]]&lt;=2,"0-2",HR_Employee_Attrition[[#This Row],[YearsAtCompany]]&lt;=5,"3-5",HR_Employee_Attrition[[#This Row],[YearsAtCompany]]&lt;=10,"6-10",HR_Employee_Attrition[[#This Row],[YearsAtCompany]]&gt;10,"10+")</f>
        <v>3-5</v>
      </c>
      <c r="AL1093" t="str" cm="1">
        <f t="array" ref="AL109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93">
        <f>IF(HR_Employee_Attrition[[#This Row],[Attrition]]="Yes",1,0)</f>
        <v>0</v>
      </c>
    </row>
    <row r="1094" spans="1:39"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IF(HR_Employee_Attrition[[#This Row],[Age]]&gt;60,"60+",IF(HR_Employee_Attrition[[#This Row],[Age]]&gt;=50,"50-59",IF(HR_Employee_Attrition[[#This Row],[Age]]&gt;=40,"40-49",IF(HR_Employee_Attrition[[#This Row],[Age]]&gt;=30,"30-39",IF(HR_Employee_Attrition[[#This Row],[Age]]&gt;=20,"20-29",IF(HR_Employee_Attrition[[#This Row],[Age]]&gt;=18,"18-20"))))))</f>
        <v>40-49</v>
      </c>
      <c r="AK1094" t="str" cm="1">
        <f t="array" ref="AK1094">_xlfn.IFS(HR_Employee_Attrition[[#This Row],[YearsAtCompany]]&lt;=2,"0-2",HR_Employee_Attrition[[#This Row],[YearsAtCompany]]&lt;=5,"3-5",HR_Employee_Attrition[[#This Row],[YearsAtCompany]]&lt;=10,"6-10",HR_Employee_Attrition[[#This Row],[YearsAtCompany]]&gt;10,"10+")</f>
        <v>3-5</v>
      </c>
      <c r="AL1094" t="str" cm="1">
        <f t="array" ref="AL109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94">
        <f>IF(HR_Employee_Attrition[[#This Row],[Attrition]]="Yes",1,0)</f>
        <v>0</v>
      </c>
    </row>
    <row r="1095" spans="1:39"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IF(HR_Employee_Attrition[[#This Row],[Age]]&gt;60,"60+",IF(HR_Employee_Attrition[[#This Row],[Age]]&gt;=50,"50-59",IF(HR_Employee_Attrition[[#This Row],[Age]]&gt;=40,"40-49",IF(HR_Employee_Attrition[[#This Row],[Age]]&gt;=30,"30-39",IF(HR_Employee_Attrition[[#This Row],[Age]]&gt;=20,"20-29",IF(HR_Employee_Attrition[[#This Row],[Age]]&gt;=18,"18-20"))))))</f>
        <v>40-49</v>
      </c>
      <c r="AK1095" t="str" cm="1">
        <f t="array" ref="AK1095">_xlfn.IFS(HR_Employee_Attrition[[#This Row],[YearsAtCompany]]&lt;=2,"0-2",HR_Employee_Attrition[[#This Row],[YearsAtCompany]]&lt;=5,"3-5",HR_Employee_Attrition[[#This Row],[YearsAtCompany]]&lt;=10,"6-10",HR_Employee_Attrition[[#This Row],[YearsAtCompany]]&gt;10,"10+")</f>
        <v>10+</v>
      </c>
      <c r="AL1095" t="str" cm="1">
        <f t="array" ref="AL109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095">
        <f>IF(HR_Employee_Attrition[[#This Row],[Attrition]]="Yes",1,0)</f>
        <v>0</v>
      </c>
    </row>
    <row r="1096" spans="1:39"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IF(HR_Employee_Attrition[[#This Row],[Age]]&gt;60,"60+",IF(HR_Employee_Attrition[[#This Row],[Age]]&gt;=50,"50-59",IF(HR_Employee_Attrition[[#This Row],[Age]]&gt;=40,"40-49",IF(HR_Employee_Attrition[[#This Row],[Age]]&gt;=30,"30-39",IF(HR_Employee_Attrition[[#This Row],[Age]]&gt;=20,"20-29",IF(HR_Employee_Attrition[[#This Row],[Age]]&gt;=18,"18-20"))))))</f>
        <v>40-49</v>
      </c>
      <c r="AK1096" t="str" cm="1">
        <f t="array" ref="AK1096">_xlfn.IFS(HR_Employee_Attrition[[#This Row],[YearsAtCompany]]&lt;=2,"0-2",HR_Employee_Attrition[[#This Row],[YearsAtCompany]]&lt;=5,"3-5",HR_Employee_Attrition[[#This Row],[YearsAtCompany]]&lt;=10,"6-10",HR_Employee_Attrition[[#This Row],[YearsAtCompany]]&gt;10,"10+")</f>
        <v>6-10</v>
      </c>
      <c r="AL1096" t="str" cm="1">
        <f t="array" ref="AL109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96">
        <f>IF(HR_Employee_Attrition[[#This Row],[Attrition]]="Yes",1,0)</f>
        <v>0</v>
      </c>
    </row>
    <row r="1097" spans="1:39"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IF(HR_Employee_Attrition[[#This Row],[Age]]&gt;60,"60+",IF(HR_Employee_Attrition[[#This Row],[Age]]&gt;=50,"50-59",IF(HR_Employee_Attrition[[#This Row],[Age]]&gt;=40,"40-49",IF(HR_Employee_Attrition[[#This Row],[Age]]&gt;=30,"30-39",IF(HR_Employee_Attrition[[#This Row],[Age]]&gt;=20,"20-29",IF(HR_Employee_Attrition[[#This Row],[Age]]&gt;=18,"18-20"))))))</f>
        <v>30-39</v>
      </c>
      <c r="AK1097" t="str" cm="1">
        <f t="array" ref="AK1097">_xlfn.IFS(HR_Employee_Attrition[[#This Row],[YearsAtCompany]]&lt;=2,"0-2",HR_Employee_Attrition[[#This Row],[YearsAtCompany]]&lt;=5,"3-5",HR_Employee_Attrition[[#This Row],[YearsAtCompany]]&lt;=10,"6-10",HR_Employee_Attrition[[#This Row],[YearsAtCompany]]&gt;10,"10+")</f>
        <v>10+</v>
      </c>
      <c r="AL1097" t="str" cm="1">
        <f t="array" ref="AL109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097">
        <f>IF(HR_Employee_Attrition[[#This Row],[Attrition]]="Yes",1,0)</f>
        <v>0</v>
      </c>
    </row>
    <row r="1098" spans="1:39"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IF(HR_Employee_Attrition[[#This Row],[Age]]&gt;60,"60+",IF(HR_Employee_Attrition[[#This Row],[Age]]&gt;=50,"50-59",IF(HR_Employee_Attrition[[#This Row],[Age]]&gt;=40,"40-49",IF(HR_Employee_Attrition[[#This Row],[Age]]&gt;=30,"30-39",IF(HR_Employee_Attrition[[#This Row],[Age]]&gt;=20,"20-29",IF(HR_Employee_Attrition[[#This Row],[Age]]&gt;=18,"18-20"))))))</f>
        <v>40-49</v>
      </c>
      <c r="AK1098" t="str" cm="1">
        <f t="array" ref="AK1098">_xlfn.IFS(HR_Employee_Attrition[[#This Row],[YearsAtCompany]]&lt;=2,"0-2",HR_Employee_Attrition[[#This Row],[YearsAtCompany]]&lt;=5,"3-5",HR_Employee_Attrition[[#This Row],[YearsAtCompany]]&lt;=10,"6-10",HR_Employee_Attrition[[#This Row],[YearsAtCompany]]&gt;10,"10+")</f>
        <v>10+</v>
      </c>
      <c r="AL1098" t="str" cm="1">
        <f t="array" ref="AL109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098">
        <f>IF(HR_Employee_Attrition[[#This Row],[Attrition]]="Yes",1,0)</f>
        <v>0</v>
      </c>
    </row>
    <row r="1099" spans="1:39"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IF(HR_Employee_Attrition[[#This Row],[Age]]&gt;60,"60+",IF(HR_Employee_Attrition[[#This Row],[Age]]&gt;=50,"50-59",IF(HR_Employee_Attrition[[#This Row],[Age]]&gt;=40,"40-49",IF(HR_Employee_Attrition[[#This Row],[Age]]&gt;=30,"30-39",IF(HR_Employee_Attrition[[#This Row],[Age]]&gt;=20,"20-29",IF(HR_Employee_Attrition[[#This Row],[Age]]&gt;=18,"18-20"))))))</f>
        <v>20-29</v>
      </c>
      <c r="AK1099" t="str" cm="1">
        <f t="array" ref="AK1099">_xlfn.IFS(HR_Employee_Attrition[[#This Row],[YearsAtCompany]]&lt;=2,"0-2",HR_Employee_Attrition[[#This Row],[YearsAtCompany]]&lt;=5,"3-5",HR_Employee_Attrition[[#This Row],[YearsAtCompany]]&lt;=10,"6-10",HR_Employee_Attrition[[#This Row],[YearsAtCompany]]&gt;10,"10+")</f>
        <v>0-2</v>
      </c>
      <c r="AL1099" t="str" cm="1">
        <f t="array" ref="AL109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099">
        <f>IF(HR_Employee_Attrition[[#This Row],[Attrition]]="Yes",1,0)</f>
        <v>0</v>
      </c>
    </row>
    <row r="1100" spans="1:39"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IF(HR_Employee_Attrition[[#This Row],[Age]]&gt;60,"60+",IF(HR_Employee_Attrition[[#This Row],[Age]]&gt;=50,"50-59",IF(HR_Employee_Attrition[[#This Row],[Age]]&gt;=40,"40-49",IF(HR_Employee_Attrition[[#This Row],[Age]]&gt;=30,"30-39",IF(HR_Employee_Attrition[[#This Row],[Age]]&gt;=20,"20-29",IF(HR_Employee_Attrition[[#This Row],[Age]]&gt;=18,"18-20"))))))</f>
        <v>40-49</v>
      </c>
      <c r="AK1100" t="str" cm="1">
        <f t="array" ref="AK1100">_xlfn.IFS(HR_Employee_Attrition[[#This Row],[YearsAtCompany]]&lt;=2,"0-2",HR_Employee_Attrition[[#This Row],[YearsAtCompany]]&lt;=5,"3-5",HR_Employee_Attrition[[#This Row],[YearsAtCompany]]&lt;=10,"6-10",HR_Employee_Attrition[[#This Row],[YearsAtCompany]]&gt;10,"10+")</f>
        <v>0-2</v>
      </c>
      <c r="AL1100" t="str" cm="1">
        <f t="array" ref="AL110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00">
        <f>IF(HR_Employee_Attrition[[#This Row],[Attrition]]="Yes",1,0)</f>
        <v>0</v>
      </c>
    </row>
    <row r="1101" spans="1:39"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IF(HR_Employee_Attrition[[#This Row],[Age]]&gt;60,"60+",IF(HR_Employee_Attrition[[#This Row],[Age]]&gt;=50,"50-59",IF(HR_Employee_Attrition[[#This Row],[Age]]&gt;=40,"40-49",IF(HR_Employee_Attrition[[#This Row],[Age]]&gt;=30,"30-39",IF(HR_Employee_Attrition[[#This Row],[Age]]&gt;=20,"20-29",IF(HR_Employee_Attrition[[#This Row],[Age]]&gt;=18,"18-20"))))))</f>
        <v>40-49</v>
      </c>
      <c r="AK1101" t="str" cm="1">
        <f t="array" ref="AK1101">_xlfn.IFS(HR_Employee_Attrition[[#This Row],[YearsAtCompany]]&lt;=2,"0-2",HR_Employee_Attrition[[#This Row],[YearsAtCompany]]&lt;=5,"3-5",HR_Employee_Attrition[[#This Row],[YearsAtCompany]]&lt;=10,"6-10",HR_Employee_Attrition[[#This Row],[YearsAtCompany]]&gt;10,"10+")</f>
        <v>6-10</v>
      </c>
      <c r="AL1101" t="str" cm="1">
        <f t="array" ref="AL110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01">
        <f>IF(HR_Employee_Attrition[[#This Row],[Attrition]]="Yes",1,0)</f>
        <v>0</v>
      </c>
    </row>
    <row r="1102" spans="1:39"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IF(HR_Employee_Attrition[[#This Row],[Age]]&gt;60,"60+",IF(HR_Employee_Attrition[[#This Row],[Age]]&gt;=50,"50-59",IF(HR_Employee_Attrition[[#This Row],[Age]]&gt;=40,"40-49",IF(HR_Employee_Attrition[[#This Row],[Age]]&gt;=30,"30-39",IF(HR_Employee_Attrition[[#This Row],[Age]]&gt;=20,"20-29",IF(HR_Employee_Attrition[[#This Row],[Age]]&gt;=18,"18-20"))))))</f>
        <v>30-39</v>
      </c>
      <c r="AK1102" t="str" cm="1">
        <f t="array" ref="AK1102">_xlfn.IFS(HR_Employee_Attrition[[#This Row],[YearsAtCompany]]&lt;=2,"0-2",HR_Employee_Attrition[[#This Row],[YearsAtCompany]]&lt;=5,"3-5",HR_Employee_Attrition[[#This Row],[YearsAtCompany]]&lt;=10,"6-10",HR_Employee_Attrition[[#This Row],[YearsAtCompany]]&gt;10,"10+")</f>
        <v>3-5</v>
      </c>
      <c r="AL1102" t="str" cm="1">
        <f t="array" ref="AL110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02">
        <f>IF(HR_Employee_Attrition[[#This Row],[Attrition]]="Yes",1,0)</f>
        <v>0</v>
      </c>
    </row>
    <row r="1103" spans="1:39"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IF(HR_Employee_Attrition[[#This Row],[Age]]&gt;60,"60+",IF(HR_Employee_Attrition[[#This Row],[Age]]&gt;=50,"50-59",IF(HR_Employee_Attrition[[#This Row],[Age]]&gt;=40,"40-49",IF(HR_Employee_Attrition[[#This Row],[Age]]&gt;=30,"30-39",IF(HR_Employee_Attrition[[#This Row],[Age]]&gt;=20,"20-29",IF(HR_Employee_Attrition[[#This Row],[Age]]&gt;=18,"18-20"))))))</f>
        <v>30-39</v>
      </c>
      <c r="AK1103" t="str" cm="1">
        <f t="array" ref="AK1103">_xlfn.IFS(HR_Employee_Attrition[[#This Row],[YearsAtCompany]]&lt;=2,"0-2",HR_Employee_Attrition[[#This Row],[YearsAtCompany]]&lt;=5,"3-5",HR_Employee_Attrition[[#This Row],[YearsAtCompany]]&lt;=10,"6-10",HR_Employee_Attrition[[#This Row],[YearsAtCompany]]&gt;10,"10+")</f>
        <v>6-10</v>
      </c>
      <c r="AL1103" t="str" cm="1">
        <f t="array" ref="AL110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03">
        <f>IF(HR_Employee_Attrition[[#This Row],[Attrition]]="Yes",1,0)</f>
        <v>0</v>
      </c>
    </row>
    <row r="1104" spans="1:39"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IF(HR_Employee_Attrition[[#This Row],[Age]]&gt;60,"60+",IF(HR_Employee_Attrition[[#This Row],[Age]]&gt;=50,"50-59",IF(HR_Employee_Attrition[[#This Row],[Age]]&gt;=40,"40-49",IF(HR_Employee_Attrition[[#This Row],[Age]]&gt;=30,"30-39",IF(HR_Employee_Attrition[[#This Row],[Age]]&gt;=20,"20-29",IF(HR_Employee_Attrition[[#This Row],[Age]]&gt;=18,"18-20"))))))</f>
        <v>30-39</v>
      </c>
      <c r="AK1104" t="str" cm="1">
        <f t="array" ref="AK1104">_xlfn.IFS(HR_Employee_Attrition[[#This Row],[YearsAtCompany]]&lt;=2,"0-2",HR_Employee_Attrition[[#This Row],[YearsAtCompany]]&lt;=5,"3-5",HR_Employee_Attrition[[#This Row],[YearsAtCompany]]&lt;=10,"6-10",HR_Employee_Attrition[[#This Row],[YearsAtCompany]]&gt;10,"10+")</f>
        <v>3-5</v>
      </c>
      <c r="AL1104" t="str" cm="1">
        <f t="array" ref="AL110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04">
        <f>IF(HR_Employee_Attrition[[#This Row],[Attrition]]="Yes",1,0)</f>
        <v>0</v>
      </c>
    </row>
    <row r="1105" spans="1:39"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IF(HR_Employee_Attrition[[#This Row],[Age]]&gt;60,"60+",IF(HR_Employee_Attrition[[#This Row],[Age]]&gt;=50,"50-59",IF(HR_Employee_Attrition[[#This Row],[Age]]&gt;=40,"40-49",IF(HR_Employee_Attrition[[#This Row],[Age]]&gt;=30,"30-39",IF(HR_Employee_Attrition[[#This Row],[Age]]&gt;=20,"20-29",IF(HR_Employee_Attrition[[#This Row],[Age]]&gt;=18,"18-20"))))))</f>
        <v>40-49</v>
      </c>
      <c r="AK1105" t="str" cm="1">
        <f t="array" ref="AK1105">_xlfn.IFS(HR_Employee_Attrition[[#This Row],[YearsAtCompany]]&lt;=2,"0-2",HR_Employee_Attrition[[#This Row],[YearsAtCompany]]&lt;=5,"3-5",HR_Employee_Attrition[[#This Row],[YearsAtCompany]]&lt;=10,"6-10",HR_Employee_Attrition[[#This Row],[YearsAtCompany]]&gt;10,"10+")</f>
        <v>6-10</v>
      </c>
      <c r="AL1105" t="str" cm="1">
        <f t="array" ref="AL110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05">
        <f>IF(HR_Employee_Attrition[[#This Row],[Attrition]]="Yes",1,0)</f>
        <v>0</v>
      </c>
    </row>
    <row r="1106" spans="1:39"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IF(HR_Employee_Attrition[[#This Row],[Age]]&gt;60,"60+",IF(HR_Employee_Attrition[[#This Row],[Age]]&gt;=50,"50-59",IF(HR_Employee_Attrition[[#This Row],[Age]]&gt;=40,"40-49",IF(HR_Employee_Attrition[[#This Row],[Age]]&gt;=30,"30-39",IF(HR_Employee_Attrition[[#This Row],[Age]]&gt;=20,"20-29",IF(HR_Employee_Attrition[[#This Row],[Age]]&gt;=18,"18-20"))))))</f>
        <v>20-29</v>
      </c>
      <c r="AK1106" t="str" cm="1">
        <f t="array" ref="AK1106">_xlfn.IFS(HR_Employee_Attrition[[#This Row],[YearsAtCompany]]&lt;=2,"0-2",HR_Employee_Attrition[[#This Row],[YearsAtCompany]]&lt;=5,"3-5",HR_Employee_Attrition[[#This Row],[YearsAtCompany]]&lt;=10,"6-10",HR_Employee_Attrition[[#This Row],[YearsAtCompany]]&gt;10,"10+")</f>
        <v>0-2</v>
      </c>
      <c r="AL1106" t="str" cm="1">
        <f t="array" ref="AL110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06">
        <f>IF(HR_Employee_Attrition[[#This Row],[Attrition]]="Yes",1,0)</f>
        <v>0</v>
      </c>
    </row>
    <row r="1107" spans="1:39"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IF(HR_Employee_Attrition[[#This Row],[Age]]&gt;60,"60+",IF(HR_Employee_Attrition[[#This Row],[Age]]&gt;=50,"50-59",IF(HR_Employee_Attrition[[#This Row],[Age]]&gt;=40,"40-49",IF(HR_Employee_Attrition[[#This Row],[Age]]&gt;=30,"30-39",IF(HR_Employee_Attrition[[#This Row],[Age]]&gt;=20,"20-29",IF(HR_Employee_Attrition[[#This Row],[Age]]&gt;=18,"18-20"))))))</f>
        <v>30-39</v>
      </c>
      <c r="AK1107" t="str" cm="1">
        <f t="array" ref="AK1107">_xlfn.IFS(HR_Employee_Attrition[[#This Row],[YearsAtCompany]]&lt;=2,"0-2",HR_Employee_Attrition[[#This Row],[YearsAtCompany]]&lt;=5,"3-5",HR_Employee_Attrition[[#This Row],[YearsAtCompany]]&lt;=10,"6-10",HR_Employee_Attrition[[#This Row],[YearsAtCompany]]&gt;10,"10+")</f>
        <v>0-2</v>
      </c>
      <c r="AL1107" t="str" cm="1">
        <f t="array" ref="AL110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07">
        <f>IF(HR_Employee_Attrition[[#This Row],[Attrition]]="Yes",1,0)</f>
        <v>0</v>
      </c>
    </row>
    <row r="1108" spans="1:39"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IF(HR_Employee_Attrition[[#This Row],[Age]]&gt;60,"60+",IF(HR_Employee_Attrition[[#This Row],[Age]]&gt;=50,"50-59",IF(HR_Employee_Attrition[[#This Row],[Age]]&gt;=40,"40-49",IF(HR_Employee_Attrition[[#This Row],[Age]]&gt;=30,"30-39",IF(HR_Employee_Attrition[[#This Row],[Age]]&gt;=20,"20-29",IF(HR_Employee_Attrition[[#This Row],[Age]]&gt;=18,"18-20"))))))</f>
        <v>30-39</v>
      </c>
      <c r="AK1108" t="str" cm="1">
        <f t="array" ref="AK1108">_xlfn.IFS(HR_Employee_Attrition[[#This Row],[YearsAtCompany]]&lt;=2,"0-2",HR_Employee_Attrition[[#This Row],[YearsAtCompany]]&lt;=5,"3-5",HR_Employee_Attrition[[#This Row],[YearsAtCompany]]&lt;=10,"6-10",HR_Employee_Attrition[[#This Row],[YearsAtCompany]]&gt;10,"10+")</f>
        <v>6-10</v>
      </c>
      <c r="AL1108" t="str" cm="1">
        <f t="array" ref="AL110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08">
        <f>IF(HR_Employee_Attrition[[#This Row],[Attrition]]="Yes",1,0)</f>
        <v>1</v>
      </c>
    </row>
    <row r="1109" spans="1:39"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IF(HR_Employee_Attrition[[#This Row],[Age]]&gt;60,"60+",IF(HR_Employee_Attrition[[#This Row],[Age]]&gt;=50,"50-59",IF(HR_Employee_Attrition[[#This Row],[Age]]&gt;=40,"40-49",IF(HR_Employee_Attrition[[#This Row],[Age]]&gt;=30,"30-39",IF(HR_Employee_Attrition[[#This Row],[Age]]&gt;=20,"20-29",IF(HR_Employee_Attrition[[#This Row],[Age]]&gt;=18,"18-20"))))))</f>
        <v>30-39</v>
      </c>
      <c r="AK1109" t="str" cm="1">
        <f t="array" ref="AK1109">_xlfn.IFS(HR_Employee_Attrition[[#This Row],[YearsAtCompany]]&lt;=2,"0-2",HR_Employee_Attrition[[#This Row],[YearsAtCompany]]&lt;=5,"3-5",HR_Employee_Attrition[[#This Row],[YearsAtCompany]]&lt;=10,"6-10",HR_Employee_Attrition[[#This Row],[YearsAtCompany]]&gt;10,"10+")</f>
        <v>6-10</v>
      </c>
      <c r="AL1109" t="str" cm="1">
        <f t="array" ref="AL110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09">
        <f>IF(HR_Employee_Attrition[[#This Row],[Attrition]]="Yes",1,0)</f>
        <v>0</v>
      </c>
    </row>
    <row r="1110" spans="1:39"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IF(HR_Employee_Attrition[[#This Row],[Age]]&gt;60,"60+",IF(HR_Employee_Attrition[[#This Row],[Age]]&gt;=50,"50-59",IF(HR_Employee_Attrition[[#This Row],[Age]]&gt;=40,"40-49",IF(HR_Employee_Attrition[[#This Row],[Age]]&gt;=30,"30-39",IF(HR_Employee_Attrition[[#This Row],[Age]]&gt;=20,"20-29",IF(HR_Employee_Attrition[[#This Row],[Age]]&gt;=18,"18-20"))))))</f>
        <v>30-39</v>
      </c>
      <c r="AK1110" t="str" cm="1">
        <f t="array" ref="AK1110">_xlfn.IFS(HR_Employee_Attrition[[#This Row],[YearsAtCompany]]&lt;=2,"0-2",HR_Employee_Attrition[[#This Row],[YearsAtCompany]]&lt;=5,"3-5",HR_Employee_Attrition[[#This Row],[YearsAtCompany]]&lt;=10,"6-10",HR_Employee_Attrition[[#This Row],[YearsAtCompany]]&gt;10,"10+")</f>
        <v>3-5</v>
      </c>
      <c r="AL1110" t="str" cm="1">
        <f t="array" ref="AL11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10">
        <f>IF(HR_Employee_Attrition[[#This Row],[Attrition]]="Yes",1,0)</f>
        <v>0</v>
      </c>
    </row>
    <row r="1111" spans="1:39"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IF(HR_Employee_Attrition[[#This Row],[Age]]&gt;60,"60+",IF(HR_Employee_Attrition[[#This Row],[Age]]&gt;=50,"50-59",IF(HR_Employee_Attrition[[#This Row],[Age]]&gt;=40,"40-49",IF(HR_Employee_Attrition[[#This Row],[Age]]&gt;=30,"30-39",IF(HR_Employee_Attrition[[#This Row],[Age]]&gt;=20,"20-29",IF(HR_Employee_Attrition[[#This Row],[Age]]&gt;=18,"18-20"))))))</f>
        <v>30-39</v>
      </c>
      <c r="AK1111" t="str" cm="1">
        <f t="array" ref="AK1111">_xlfn.IFS(HR_Employee_Attrition[[#This Row],[YearsAtCompany]]&lt;=2,"0-2",HR_Employee_Attrition[[#This Row],[YearsAtCompany]]&lt;=5,"3-5",HR_Employee_Attrition[[#This Row],[YearsAtCompany]]&lt;=10,"6-10",HR_Employee_Attrition[[#This Row],[YearsAtCompany]]&gt;10,"10+")</f>
        <v>3-5</v>
      </c>
      <c r="AL1111" t="str" cm="1">
        <f t="array" ref="AL11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11">
        <f>IF(HR_Employee_Attrition[[#This Row],[Attrition]]="Yes",1,0)</f>
        <v>0</v>
      </c>
    </row>
    <row r="1112" spans="1:39"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IF(HR_Employee_Attrition[[#This Row],[Age]]&gt;60,"60+",IF(HR_Employee_Attrition[[#This Row],[Age]]&gt;=50,"50-59",IF(HR_Employee_Attrition[[#This Row],[Age]]&gt;=40,"40-49",IF(HR_Employee_Attrition[[#This Row],[Age]]&gt;=30,"30-39",IF(HR_Employee_Attrition[[#This Row],[Age]]&gt;=20,"20-29",IF(HR_Employee_Attrition[[#This Row],[Age]]&gt;=18,"18-20"))))))</f>
        <v>30-39</v>
      </c>
      <c r="AK1112" t="str" cm="1">
        <f t="array" ref="AK1112">_xlfn.IFS(HR_Employee_Attrition[[#This Row],[YearsAtCompany]]&lt;=2,"0-2",HR_Employee_Attrition[[#This Row],[YearsAtCompany]]&lt;=5,"3-5",HR_Employee_Attrition[[#This Row],[YearsAtCompany]]&lt;=10,"6-10",HR_Employee_Attrition[[#This Row],[YearsAtCompany]]&gt;10,"10+")</f>
        <v>0-2</v>
      </c>
      <c r="AL1112" t="str" cm="1">
        <f t="array" ref="AL11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12">
        <f>IF(HR_Employee_Attrition[[#This Row],[Attrition]]="Yes",1,0)</f>
        <v>1</v>
      </c>
    </row>
    <row r="1113" spans="1:39"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IF(HR_Employee_Attrition[[#This Row],[Age]]&gt;60,"60+",IF(HR_Employee_Attrition[[#This Row],[Age]]&gt;=50,"50-59",IF(HR_Employee_Attrition[[#This Row],[Age]]&gt;=40,"40-49",IF(HR_Employee_Attrition[[#This Row],[Age]]&gt;=30,"30-39",IF(HR_Employee_Attrition[[#This Row],[Age]]&gt;=20,"20-29",IF(HR_Employee_Attrition[[#This Row],[Age]]&gt;=18,"18-20"))))))</f>
        <v>50-59</v>
      </c>
      <c r="AK1113" t="str" cm="1">
        <f t="array" ref="AK1113">_xlfn.IFS(HR_Employee_Attrition[[#This Row],[YearsAtCompany]]&lt;=2,"0-2",HR_Employee_Attrition[[#This Row],[YearsAtCompany]]&lt;=5,"3-5",HR_Employee_Attrition[[#This Row],[YearsAtCompany]]&lt;=10,"6-10",HR_Employee_Attrition[[#This Row],[YearsAtCompany]]&gt;10,"10+")</f>
        <v>10+</v>
      </c>
      <c r="AL1113" t="str" cm="1">
        <f t="array" ref="AL11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113">
        <f>IF(HR_Employee_Attrition[[#This Row],[Attrition]]="Yes",1,0)</f>
        <v>1</v>
      </c>
    </row>
    <row r="1114" spans="1:39"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IF(HR_Employee_Attrition[[#This Row],[Age]]&gt;60,"60+",IF(HR_Employee_Attrition[[#This Row],[Age]]&gt;=50,"50-59",IF(HR_Employee_Attrition[[#This Row],[Age]]&gt;=40,"40-49",IF(HR_Employee_Attrition[[#This Row],[Age]]&gt;=30,"30-39",IF(HR_Employee_Attrition[[#This Row],[Age]]&gt;=20,"20-29",IF(HR_Employee_Attrition[[#This Row],[Age]]&gt;=18,"18-20"))))))</f>
        <v>30-39</v>
      </c>
      <c r="AK1114" t="str" cm="1">
        <f t="array" ref="AK1114">_xlfn.IFS(HR_Employee_Attrition[[#This Row],[YearsAtCompany]]&lt;=2,"0-2",HR_Employee_Attrition[[#This Row],[YearsAtCompany]]&lt;=5,"3-5",HR_Employee_Attrition[[#This Row],[YearsAtCompany]]&lt;=10,"6-10",HR_Employee_Attrition[[#This Row],[YearsAtCompany]]&gt;10,"10+")</f>
        <v>3-5</v>
      </c>
      <c r="AL1114" t="str" cm="1">
        <f t="array" ref="AL11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14">
        <f>IF(HR_Employee_Attrition[[#This Row],[Attrition]]="Yes",1,0)</f>
        <v>1</v>
      </c>
    </row>
    <row r="1115" spans="1:39"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IF(HR_Employee_Attrition[[#This Row],[Age]]&gt;60,"60+",IF(HR_Employee_Attrition[[#This Row],[Age]]&gt;=50,"50-59",IF(HR_Employee_Attrition[[#This Row],[Age]]&gt;=40,"40-49",IF(HR_Employee_Attrition[[#This Row],[Age]]&gt;=30,"30-39",IF(HR_Employee_Attrition[[#This Row],[Age]]&gt;=20,"20-29",IF(HR_Employee_Attrition[[#This Row],[Age]]&gt;=18,"18-20"))))))</f>
        <v>30-39</v>
      </c>
      <c r="AK1115" t="str" cm="1">
        <f t="array" ref="AK1115">_xlfn.IFS(HR_Employee_Attrition[[#This Row],[YearsAtCompany]]&lt;=2,"0-2",HR_Employee_Attrition[[#This Row],[YearsAtCompany]]&lt;=5,"3-5",HR_Employee_Attrition[[#This Row],[YearsAtCompany]]&lt;=10,"6-10",HR_Employee_Attrition[[#This Row],[YearsAtCompany]]&gt;10,"10+")</f>
        <v>6-10</v>
      </c>
      <c r="AL1115" t="str" cm="1">
        <f t="array" ref="AL11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15">
        <f>IF(HR_Employee_Attrition[[#This Row],[Attrition]]="Yes",1,0)</f>
        <v>0</v>
      </c>
    </row>
    <row r="1116" spans="1:39"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IF(HR_Employee_Attrition[[#This Row],[Age]]&gt;60,"60+",IF(HR_Employee_Attrition[[#This Row],[Age]]&gt;=50,"50-59",IF(HR_Employee_Attrition[[#This Row],[Age]]&gt;=40,"40-49",IF(HR_Employee_Attrition[[#This Row],[Age]]&gt;=30,"30-39",IF(HR_Employee_Attrition[[#This Row],[Age]]&gt;=20,"20-29",IF(HR_Employee_Attrition[[#This Row],[Age]]&gt;=18,"18-20"))))))</f>
        <v>40-49</v>
      </c>
      <c r="AK1116" t="str" cm="1">
        <f t="array" ref="AK1116">_xlfn.IFS(HR_Employee_Attrition[[#This Row],[YearsAtCompany]]&lt;=2,"0-2",HR_Employee_Attrition[[#This Row],[YearsAtCompany]]&lt;=5,"3-5",HR_Employee_Attrition[[#This Row],[YearsAtCompany]]&lt;=10,"6-10",HR_Employee_Attrition[[#This Row],[YearsAtCompany]]&gt;10,"10+")</f>
        <v>6-10</v>
      </c>
      <c r="AL1116" t="str" cm="1">
        <f t="array" ref="AL11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16">
        <f>IF(HR_Employee_Attrition[[#This Row],[Attrition]]="Yes",1,0)</f>
        <v>0</v>
      </c>
    </row>
    <row r="1117" spans="1:39"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IF(HR_Employee_Attrition[[#This Row],[Age]]&gt;60,"60+",IF(HR_Employee_Attrition[[#This Row],[Age]]&gt;=50,"50-59",IF(HR_Employee_Attrition[[#This Row],[Age]]&gt;=40,"40-49",IF(HR_Employee_Attrition[[#This Row],[Age]]&gt;=30,"30-39",IF(HR_Employee_Attrition[[#This Row],[Age]]&gt;=20,"20-29",IF(HR_Employee_Attrition[[#This Row],[Age]]&gt;=18,"18-20"))))))</f>
        <v>30-39</v>
      </c>
      <c r="AK1117" t="str" cm="1">
        <f t="array" ref="AK1117">_xlfn.IFS(HR_Employee_Attrition[[#This Row],[YearsAtCompany]]&lt;=2,"0-2",HR_Employee_Attrition[[#This Row],[YearsAtCompany]]&lt;=5,"3-5",HR_Employee_Attrition[[#This Row],[YearsAtCompany]]&lt;=10,"6-10",HR_Employee_Attrition[[#This Row],[YearsAtCompany]]&gt;10,"10+")</f>
        <v>0-2</v>
      </c>
      <c r="AL1117" t="str" cm="1">
        <f t="array" ref="AL11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17">
        <f>IF(HR_Employee_Attrition[[#This Row],[Attrition]]="Yes",1,0)</f>
        <v>0</v>
      </c>
    </row>
    <row r="1118" spans="1:39"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IF(HR_Employee_Attrition[[#This Row],[Age]]&gt;60,"60+",IF(HR_Employee_Attrition[[#This Row],[Age]]&gt;=50,"50-59",IF(HR_Employee_Attrition[[#This Row],[Age]]&gt;=40,"40-49",IF(HR_Employee_Attrition[[#This Row],[Age]]&gt;=30,"30-39",IF(HR_Employee_Attrition[[#This Row],[Age]]&gt;=20,"20-29",IF(HR_Employee_Attrition[[#This Row],[Age]]&gt;=18,"18-20"))))))</f>
        <v>50-59</v>
      </c>
      <c r="AK1118" t="str" cm="1">
        <f t="array" ref="AK1118">_xlfn.IFS(HR_Employee_Attrition[[#This Row],[YearsAtCompany]]&lt;=2,"0-2",HR_Employee_Attrition[[#This Row],[YearsAtCompany]]&lt;=5,"3-5",HR_Employee_Attrition[[#This Row],[YearsAtCompany]]&lt;=10,"6-10",HR_Employee_Attrition[[#This Row],[YearsAtCompany]]&gt;10,"10+")</f>
        <v>10+</v>
      </c>
      <c r="AL1118" t="str" cm="1">
        <f t="array" ref="AL11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118">
        <f>IF(HR_Employee_Attrition[[#This Row],[Attrition]]="Yes",1,0)</f>
        <v>0</v>
      </c>
    </row>
    <row r="1119" spans="1:39"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IF(HR_Employee_Attrition[[#This Row],[Age]]&gt;60,"60+",IF(HR_Employee_Attrition[[#This Row],[Age]]&gt;=50,"50-59",IF(HR_Employee_Attrition[[#This Row],[Age]]&gt;=40,"40-49",IF(HR_Employee_Attrition[[#This Row],[Age]]&gt;=30,"30-39",IF(HR_Employee_Attrition[[#This Row],[Age]]&gt;=20,"20-29",IF(HR_Employee_Attrition[[#This Row],[Age]]&gt;=18,"18-20"))))))</f>
        <v>30-39</v>
      </c>
      <c r="AK1119" t="str" cm="1">
        <f t="array" ref="AK1119">_xlfn.IFS(HR_Employee_Attrition[[#This Row],[YearsAtCompany]]&lt;=2,"0-2",HR_Employee_Attrition[[#This Row],[YearsAtCompany]]&lt;=5,"3-5",HR_Employee_Attrition[[#This Row],[YearsAtCompany]]&lt;=10,"6-10",HR_Employee_Attrition[[#This Row],[YearsAtCompany]]&gt;10,"10+")</f>
        <v>0-2</v>
      </c>
      <c r="AL1119" t="str" cm="1">
        <f t="array" ref="AL11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19">
        <f>IF(HR_Employee_Attrition[[#This Row],[Attrition]]="Yes",1,0)</f>
        <v>0</v>
      </c>
    </row>
    <row r="1120" spans="1:39"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IF(HR_Employee_Attrition[[#This Row],[Age]]&gt;60,"60+",IF(HR_Employee_Attrition[[#This Row],[Age]]&gt;=50,"50-59",IF(HR_Employee_Attrition[[#This Row],[Age]]&gt;=40,"40-49",IF(HR_Employee_Attrition[[#This Row],[Age]]&gt;=30,"30-39",IF(HR_Employee_Attrition[[#This Row],[Age]]&gt;=20,"20-29",IF(HR_Employee_Attrition[[#This Row],[Age]]&gt;=18,"18-20"))))))</f>
        <v>20-29</v>
      </c>
      <c r="AK1120" t="str" cm="1">
        <f t="array" ref="AK1120">_xlfn.IFS(HR_Employee_Attrition[[#This Row],[YearsAtCompany]]&lt;=2,"0-2",HR_Employee_Attrition[[#This Row],[YearsAtCompany]]&lt;=5,"3-5",HR_Employee_Attrition[[#This Row],[YearsAtCompany]]&lt;=10,"6-10",HR_Employee_Attrition[[#This Row],[YearsAtCompany]]&gt;10,"10+")</f>
        <v>0-2</v>
      </c>
      <c r="AL1120" t="str" cm="1">
        <f t="array" ref="AL11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20">
        <f>IF(HR_Employee_Attrition[[#This Row],[Attrition]]="Yes",1,0)</f>
        <v>0</v>
      </c>
    </row>
    <row r="1121" spans="1:39"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IF(HR_Employee_Attrition[[#This Row],[Age]]&gt;60,"60+",IF(HR_Employee_Attrition[[#This Row],[Age]]&gt;=50,"50-59",IF(HR_Employee_Attrition[[#This Row],[Age]]&gt;=40,"40-49",IF(HR_Employee_Attrition[[#This Row],[Age]]&gt;=30,"30-39",IF(HR_Employee_Attrition[[#This Row],[Age]]&gt;=20,"20-29",IF(HR_Employee_Attrition[[#This Row],[Age]]&gt;=18,"18-20"))))))</f>
        <v>30-39</v>
      </c>
      <c r="AK1121" t="str" cm="1">
        <f t="array" ref="AK1121">_xlfn.IFS(HR_Employee_Attrition[[#This Row],[YearsAtCompany]]&lt;=2,"0-2",HR_Employee_Attrition[[#This Row],[YearsAtCompany]]&lt;=5,"3-5",HR_Employee_Attrition[[#This Row],[YearsAtCompany]]&lt;=10,"6-10",HR_Employee_Attrition[[#This Row],[YearsAtCompany]]&gt;10,"10+")</f>
        <v>6-10</v>
      </c>
      <c r="AL1121" t="str" cm="1">
        <f t="array" ref="AL11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21">
        <f>IF(HR_Employee_Attrition[[#This Row],[Attrition]]="Yes",1,0)</f>
        <v>0</v>
      </c>
    </row>
    <row r="1122" spans="1:39"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IF(HR_Employee_Attrition[[#This Row],[Age]]&gt;60,"60+",IF(HR_Employee_Attrition[[#This Row],[Age]]&gt;=50,"50-59",IF(HR_Employee_Attrition[[#This Row],[Age]]&gt;=40,"40-49",IF(HR_Employee_Attrition[[#This Row],[Age]]&gt;=30,"30-39",IF(HR_Employee_Attrition[[#This Row],[Age]]&gt;=20,"20-29",IF(HR_Employee_Attrition[[#This Row],[Age]]&gt;=18,"18-20"))))))</f>
        <v>30-39</v>
      </c>
      <c r="AK1122" t="str" cm="1">
        <f t="array" ref="AK1122">_xlfn.IFS(HR_Employee_Attrition[[#This Row],[YearsAtCompany]]&lt;=2,"0-2",HR_Employee_Attrition[[#This Row],[YearsAtCompany]]&lt;=5,"3-5",HR_Employee_Attrition[[#This Row],[YearsAtCompany]]&lt;=10,"6-10",HR_Employee_Attrition[[#This Row],[YearsAtCompany]]&gt;10,"10+")</f>
        <v>3-5</v>
      </c>
      <c r="AL1122" t="str" cm="1">
        <f t="array" ref="AL11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22">
        <f>IF(HR_Employee_Attrition[[#This Row],[Attrition]]="Yes",1,0)</f>
        <v>0</v>
      </c>
    </row>
    <row r="1123" spans="1:39"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IF(HR_Employee_Attrition[[#This Row],[Age]]&gt;60,"60+",IF(HR_Employee_Attrition[[#This Row],[Age]]&gt;=50,"50-59",IF(HR_Employee_Attrition[[#This Row],[Age]]&gt;=40,"40-49",IF(HR_Employee_Attrition[[#This Row],[Age]]&gt;=30,"30-39",IF(HR_Employee_Attrition[[#This Row],[Age]]&gt;=20,"20-29",IF(HR_Employee_Attrition[[#This Row],[Age]]&gt;=18,"18-20"))))))</f>
        <v>30-39</v>
      </c>
      <c r="AK1123" t="str" cm="1">
        <f t="array" ref="AK1123">_xlfn.IFS(HR_Employee_Attrition[[#This Row],[YearsAtCompany]]&lt;=2,"0-2",HR_Employee_Attrition[[#This Row],[YearsAtCompany]]&lt;=5,"3-5",HR_Employee_Attrition[[#This Row],[YearsAtCompany]]&lt;=10,"6-10",HR_Employee_Attrition[[#This Row],[YearsAtCompany]]&gt;10,"10+")</f>
        <v>0-2</v>
      </c>
      <c r="AL1123" t="str" cm="1">
        <f t="array" ref="AL11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23">
        <f>IF(HR_Employee_Attrition[[#This Row],[Attrition]]="Yes",1,0)</f>
        <v>0</v>
      </c>
    </row>
    <row r="1124" spans="1:39"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IF(HR_Employee_Attrition[[#This Row],[Age]]&gt;60,"60+",IF(HR_Employee_Attrition[[#This Row],[Age]]&gt;=50,"50-59",IF(HR_Employee_Attrition[[#This Row],[Age]]&gt;=40,"40-49",IF(HR_Employee_Attrition[[#This Row],[Age]]&gt;=30,"30-39",IF(HR_Employee_Attrition[[#This Row],[Age]]&gt;=20,"20-29",IF(HR_Employee_Attrition[[#This Row],[Age]]&gt;=18,"18-20"))))))</f>
        <v>20-29</v>
      </c>
      <c r="AK1124" t="str" cm="1">
        <f t="array" ref="AK1124">_xlfn.IFS(HR_Employee_Attrition[[#This Row],[YearsAtCompany]]&lt;=2,"0-2",HR_Employee_Attrition[[#This Row],[YearsAtCompany]]&lt;=5,"3-5",HR_Employee_Attrition[[#This Row],[YearsAtCompany]]&lt;=10,"6-10",HR_Employee_Attrition[[#This Row],[YearsAtCompany]]&gt;10,"10+")</f>
        <v>6-10</v>
      </c>
      <c r="AL1124" t="str" cm="1">
        <f t="array" ref="AL11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24">
        <f>IF(HR_Employee_Attrition[[#This Row],[Attrition]]="Yes",1,0)</f>
        <v>0</v>
      </c>
    </row>
    <row r="1125" spans="1:39"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IF(HR_Employee_Attrition[[#This Row],[Age]]&gt;60,"60+",IF(HR_Employee_Attrition[[#This Row],[Age]]&gt;=50,"50-59",IF(HR_Employee_Attrition[[#This Row],[Age]]&gt;=40,"40-49",IF(HR_Employee_Attrition[[#This Row],[Age]]&gt;=30,"30-39",IF(HR_Employee_Attrition[[#This Row],[Age]]&gt;=20,"20-29",IF(HR_Employee_Attrition[[#This Row],[Age]]&gt;=18,"18-20"))))))</f>
        <v>30-39</v>
      </c>
      <c r="AK1125" t="str" cm="1">
        <f t="array" ref="AK1125">_xlfn.IFS(HR_Employee_Attrition[[#This Row],[YearsAtCompany]]&lt;=2,"0-2",HR_Employee_Attrition[[#This Row],[YearsAtCompany]]&lt;=5,"3-5",HR_Employee_Attrition[[#This Row],[YearsAtCompany]]&lt;=10,"6-10",HR_Employee_Attrition[[#This Row],[YearsAtCompany]]&gt;10,"10+")</f>
        <v>3-5</v>
      </c>
      <c r="AL1125" t="str" cm="1">
        <f t="array" ref="AL11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25">
        <f>IF(HR_Employee_Attrition[[#This Row],[Attrition]]="Yes",1,0)</f>
        <v>0</v>
      </c>
    </row>
    <row r="1126" spans="1:39"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IF(HR_Employee_Attrition[[#This Row],[Age]]&gt;60,"60+",IF(HR_Employee_Attrition[[#This Row],[Age]]&gt;=50,"50-59",IF(HR_Employee_Attrition[[#This Row],[Age]]&gt;=40,"40-49",IF(HR_Employee_Attrition[[#This Row],[Age]]&gt;=30,"30-39",IF(HR_Employee_Attrition[[#This Row],[Age]]&gt;=20,"20-29",IF(HR_Employee_Attrition[[#This Row],[Age]]&gt;=18,"18-20"))))))</f>
        <v>30-39</v>
      </c>
      <c r="AK1126" t="str" cm="1">
        <f t="array" ref="AK1126">_xlfn.IFS(HR_Employee_Attrition[[#This Row],[YearsAtCompany]]&lt;=2,"0-2",HR_Employee_Attrition[[#This Row],[YearsAtCompany]]&lt;=5,"3-5",HR_Employee_Attrition[[#This Row],[YearsAtCompany]]&lt;=10,"6-10",HR_Employee_Attrition[[#This Row],[YearsAtCompany]]&gt;10,"10+")</f>
        <v>6-10</v>
      </c>
      <c r="AL1126" t="str" cm="1">
        <f t="array" ref="AL11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26">
        <f>IF(HR_Employee_Attrition[[#This Row],[Attrition]]="Yes",1,0)</f>
        <v>0</v>
      </c>
    </row>
    <row r="1127" spans="1:39"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IF(HR_Employee_Attrition[[#This Row],[Age]]&gt;60,"60+",IF(HR_Employee_Attrition[[#This Row],[Age]]&gt;=50,"50-59",IF(HR_Employee_Attrition[[#This Row],[Age]]&gt;=40,"40-49",IF(HR_Employee_Attrition[[#This Row],[Age]]&gt;=30,"30-39",IF(HR_Employee_Attrition[[#This Row],[Age]]&gt;=20,"20-29",IF(HR_Employee_Attrition[[#This Row],[Age]]&gt;=18,"18-20"))))))</f>
        <v>20-29</v>
      </c>
      <c r="AK1127" t="str" cm="1">
        <f t="array" ref="AK1127">_xlfn.IFS(HR_Employee_Attrition[[#This Row],[YearsAtCompany]]&lt;=2,"0-2",HR_Employee_Attrition[[#This Row],[YearsAtCompany]]&lt;=5,"3-5",HR_Employee_Attrition[[#This Row],[YearsAtCompany]]&lt;=10,"6-10",HR_Employee_Attrition[[#This Row],[YearsAtCompany]]&gt;10,"10+")</f>
        <v>6-10</v>
      </c>
      <c r="AL1127" t="str" cm="1">
        <f t="array" ref="AL11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27">
        <f>IF(HR_Employee_Attrition[[#This Row],[Attrition]]="Yes",1,0)</f>
        <v>0</v>
      </c>
    </row>
    <row r="1128" spans="1:39"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IF(HR_Employee_Attrition[[#This Row],[Age]]&gt;60,"60+",IF(HR_Employee_Attrition[[#This Row],[Age]]&gt;=50,"50-59",IF(HR_Employee_Attrition[[#This Row],[Age]]&gt;=40,"40-49",IF(HR_Employee_Attrition[[#This Row],[Age]]&gt;=30,"30-39",IF(HR_Employee_Attrition[[#This Row],[Age]]&gt;=20,"20-29",IF(HR_Employee_Attrition[[#This Row],[Age]]&gt;=18,"18-20"))))))</f>
        <v>50-59</v>
      </c>
      <c r="AK1128" t="str" cm="1">
        <f t="array" ref="AK1128">_xlfn.IFS(HR_Employee_Attrition[[#This Row],[YearsAtCompany]]&lt;=2,"0-2",HR_Employee_Attrition[[#This Row],[YearsAtCompany]]&lt;=5,"3-5",HR_Employee_Attrition[[#This Row],[YearsAtCompany]]&lt;=10,"6-10",HR_Employee_Attrition[[#This Row],[YearsAtCompany]]&gt;10,"10+")</f>
        <v>0-2</v>
      </c>
      <c r="AL1128" t="str" cm="1">
        <f t="array" ref="AL11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128">
        <f>IF(HR_Employee_Attrition[[#This Row],[Attrition]]="Yes",1,0)</f>
        <v>0</v>
      </c>
    </row>
    <row r="1129" spans="1:39"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IF(HR_Employee_Attrition[[#This Row],[Age]]&gt;60,"60+",IF(HR_Employee_Attrition[[#This Row],[Age]]&gt;=50,"50-59",IF(HR_Employee_Attrition[[#This Row],[Age]]&gt;=40,"40-49",IF(HR_Employee_Attrition[[#This Row],[Age]]&gt;=30,"30-39",IF(HR_Employee_Attrition[[#This Row],[Age]]&gt;=20,"20-29",IF(HR_Employee_Attrition[[#This Row],[Age]]&gt;=18,"18-20"))))))</f>
        <v>20-29</v>
      </c>
      <c r="AK1129" t="str" cm="1">
        <f t="array" ref="AK1129">_xlfn.IFS(HR_Employee_Attrition[[#This Row],[YearsAtCompany]]&lt;=2,"0-2",HR_Employee_Attrition[[#This Row],[YearsAtCompany]]&lt;=5,"3-5",HR_Employee_Attrition[[#This Row],[YearsAtCompany]]&lt;=10,"6-10",HR_Employee_Attrition[[#This Row],[YearsAtCompany]]&gt;10,"10+")</f>
        <v>0-2</v>
      </c>
      <c r="AL1129" t="str" cm="1">
        <f t="array" ref="AL11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29">
        <f>IF(HR_Employee_Attrition[[#This Row],[Attrition]]="Yes",1,0)</f>
        <v>0</v>
      </c>
    </row>
    <row r="1130" spans="1:39"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IF(HR_Employee_Attrition[[#This Row],[Age]]&gt;60,"60+",IF(HR_Employee_Attrition[[#This Row],[Age]]&gt;=50,"50-59",IF(HR_Employee_Attrition[[#This Row],[Age]]&gt;=40,"40-49",IF(HR_Employee_Attrition[[#This Row],[Age]]&gt;=30,"30-39",IF(HR_Employee_Attrition[[#This Row],[Age]]&gt;=20,"20-29",IF(HR_Employee_Attrition[[#This Row],[Age]]&gt;=18,"18-20"))))))</f>
        <v>30-39</v>
      </c>
      <c r="AK1130" t="str" cm="1">
        <f t="array" ref="AK1130">_xlfn.IFS(HR_Employee_Attrition[[#This Row],[YearsAtCompany]]&lt;=2,"0-2",HR_Employee_Attrition[[#This Row],[YearsAtCompany]]&lt;=5,"3-5",HR_Employee_Attrition[[#This Row],[YearsAtCompany]]&lt;=10,"6-10",HR_Employee_Attrition[[#This Row],[YearsAtCompany]]&gt;10,"10+")</f>
        <v>3-5</v>
      </c>
      <c r="AL1130" t="str" cm="1">
        <f t="array" ref="AL11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30">
        <f>IF(HR_Employee_Attrition[[#This Row],[Attrition]]="Yes",1,0)</f>
        <v>0</v>
      </c>
    </row>
    <row r="1131" spans="1:39"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IF(HR_Employee_Attrition[[#This Row],[Age]]&gt;60,"60+",IF(HR_Employee_Attrition[[#This Row],[Age]]&gt;=50,"50-59",IF(HR_Employee_Attrition[[#This Row],[Age]]&gt;=40,"40-49",IF(HR_Employee_Attrition[[#This Row],[Age]]&gt;=30,"30-39",IF(HR_Employee_Attrition[[#This Row],[Age]]&gt;=20,"20-29",IF(HR_Employee_Attrition[[#This Row],[Age]]&gt;=18,"18-20"))))))</f>
        <v>40-49</v>
      </c>
      <c r="AK1131" t="str" cm="1">
        <f t="array" ref="AK1131">_xlfn.IFS(HR_Employee_Attrition[[#This Row],[YearsAtCompany]]&lt;=2,"0-2",HR_Employee_Attrition[[#This Row],[YearsAtCompany]]&lt;=5,"3-5",HR_Employee_Attrition[[#This Row],[YearsAtCompany]]&lt;=10,"6-10",HR_Employee_Attrition[[#This Row],[YearsAtCompany]]&gt;10,"10+")</f>
        <v>0-2</v>
      </c>
      <c r="AL1131" t="str" cm="1">
        <f t="array" ref="AL11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131">
        <f>IF(HR_Employee_Attrition[[#This Row],[Attrition]]="Yes",1,0)</f>
        <v>0</v>
      </c>
    </row>
    <row r="1132" spans="1:39"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IF(HR_Employee_Attrition[[#This Row],[Age]]&gt;60,"60+",IF(HR_Employee_Attrition[[#This Row],[Age]]&gt;=50,"50-59",IF(HR_Employee_Attrition[[#This Row],[Age]]&gt;=40,"40-49",IF(HR_Employee_Attrition[[#This Row],[Age]]&gt;=30,"30-39",IF(HR_Employee_Attrition[[#This Row],[Age]]&gt;=20,"20-29",IF(HR_Employee_Attrition[[#This Row],[Age]]&gt;=18,"18-20"))))))</f>
        <v>30-39</v>
      </c>
      <c r="AK1132" t="str" cm="1">
        <f t="array" ref="AK1132">_xlfn.IFS(HR_Employee_Attrition[[#This Row],[YearsAtCompany]]&lt;=2,"0-2",HR_Employee_Attrition[[#This Row],[YearsAtCompany]]&lt;=5,"3-5",HR_Employee_Attrition[[#This Row],[YearsAtCompany]]&lt;=10,"6-10",HR_Employee_Attrition[[#This Row],[YearsAtCompany]]&gt;10,"10+")</f>
        <v>6-10</v>
      </c>
      <c r="AL1132" t="str" cm="1">
        <f t="array" ref="AL11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32">
        <f>IF(HR_Employee_Attrition[[#This Row],[Attrition]]="Yes",1,0)</f>
        <v>0</v>
      </c>
    </row>
    <row r="1133" spans="1:39"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IF(HR_Employee_Attrition[[#This Row],[Age]]&gt;60,"60+",IF(HR_Employee_Attrition[[#This Row],[Age]]&gt;=50,"50-59",IF(HR_Employee_Attrition[[#This Row],[Age]]&gt;=40,"40-49",IF(HR_Employee_Attrition[[#This Row],[Age]]&gt;=30,"30-39",IF(HR_Employee_Attrition[[#This Row],[Age]]&gt;=20,"20-29",IF(HR_Employee_Attrition[[#This Row],[Age]]&gt;=18,"18-20"))))))</f>
        <v>30-39</v>
      </c>
      <c r="AK1133" t="str" cm="1">
        <f t="array" ref="AK1133">_xlfn.IFS(HR_Employee_Attrition[[#This Row],[YearsAtCompany]]&lt;=2,"0-2",HR_Employee_Attrition[[#This Row],[YearsAtCompany]]&lt;=5,"3-5",HR_Employee_Attrition[[#This Row],[YearsAtCompany]]&lt;=10,"6-10",HR_Employee_Attrition[[#This Row],[YearsAtCompany]]&gt;10,"10+")</f>
        <v>6-10</v>
      </c>
      <c r="AL1133" t="str" cm="1">
        <f t="array" ref="AL11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33">
        <f>IF(HR_Employee_Attrition[[#This Row],[Attrition]]="Yes",1,0)</f>
        <v>0</v>
      </c>
    </row>
    <row r="1134" spans="1:39"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IF(HR_Employee_Attrition[[#This Row],[Age]]&gt;60,"60+",IF(HR_Employee_Attrition[[#This Row],[Age]]&gt;=50,"50-59",IF(HR_Employee_Attrition[[#This Row],[Age]]&gt;=40,"40-49",IF(HR_Employee_Attrition[[#This Row],[Age]]&gt;=30,"30-39",IF(HR_Employee_Attrition[[#This Row],[Age]]&gt;=20,"20-29",IF(HR_Employee_Attrition[[#This Row],[Age]]&gt;=18,"18-20"))))))</f>
        <v>40-49</v>
      </c>
      <c r="AK1134" t="str" cm="1">
        <f t="array" ref="AK1134">_xlfn.IFS(HR_Employee_Attrition[[#This Row],[YearsAtCompany]]&lt;=2,"0-2",HR_Employee_Attrition[[#This Row],[YearsAtCompany]]&lt;=5,"3-5",HR_Employee_Attrition[[#This Row],[YearsAtCompany]]&lt;=10,"6-10",HR_Employee_Attrition[[#This Row],[YearsAtCompany]]&gt;10,"10+")</f>
        <v>3-5</v>
      </c>
      <c r="AL1134" t="str" cm="1">
        <f t="array" ref="AL11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34">
        <f>IF(HR_Employee_Attrition[[#This Row],[Attrition]]="Yes",1,0)</f>
        <v>0</v>
      </c>
    </row>
    <row r="1135" spans="1:39"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IF(HR_Employee_Attrition[[#This Row],[Age]]&gt;60,"60+",IF(HR_Employee_Attrition[[#This Row],[Age]]&gt;=50,"50-59",IF(HR_Employee_Attrition[[#This Row],[Age]]&gt;=40,"40-49",IF(HR_Employee_Attrition[[#This Row],[Age]]&gt;=30,"30-39",IF(HR_Employee_Attrition[[#This Row],[Age]]&gt;=20,"20-29",IF(HR_Employee_Attrition[[#This Row],[Age]]&gt;=18,"18-20"))))))</f>
        <v>40-49</v>
      </c>
      <c r="AK1135" t="str" cm="1">
        <f t="array" ref="AK1135">_xlfn.IFS(HR_Employee_Attrition[[#This Row],[YearsAtCompany]]&lt;=2,"0-2",HR_Employee_Attrition[[#This Row],[YearsAtCompany]]&lt;=5,"3-5",HR_Employee_Attrition[[#This Row],[YearsAtCompany]]&lt;=10,"6-10",HR_Employee_Attrition[[#This Row],[YearsAtCompany]]&gt;10,"10+")</f>
        <v>6-10</v>
      </c>
      <c r="AL1135" t="str" cm="1">
        <f t="array" ref="AL11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35">
        <f>IF(HR_Employee_Attrition[[#This Row],[Attrition]]="Yes",1,0)</f>
        <v>0</v>
      </c>
    </row>
    <row r="1136" spans="1:39"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IF(HR_Employee_Attrition[[#This Row],[Age]]&gt;60,"60+",IF(HR_Employee_Attrition[[#This Row],[Age]]&gt;=50,"50-59",IF(HR_Employee_Attrition[[#This Row],[Age]]&gt;=40,"40-49",IF(HR_Employee_Attrition[[#This Row],[Age]]&gt;=30,"30-39",IF(HR_Employee_Attrition[[#This Row],[Age]]&gt;=20,"20-29",IF(HR_Employee_Attrition[[#This Row],[Age]]&gt;=18,"18-20"))))))</f>
        <v>30-39</v>
      </c>
      <c r="AK1136" t="str" cm="1">
        <f t="array" ref="AK1136">_xlfn.IFS(HR_Employee_Attrition[[#This Row],[YearsAtCompany]]&lt;=2,"0-2",HR_Employee_Attrition[[#This Row],[YearsAtCompany]]&lt;=5,"3-5",HR_Employee_Attrition[[#This Row],[YearsAtCompany]]&lt;=10,"6-10",HR_Employee_Attrition[[#This Row],[YearsAtCompany]]&gt;10,"10+")</f>
        <v>0-2</v>
      </c>
      <c r="AL1136" t="str" cm="1">
        <f t="array" ref="AL11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36">
        <f>IF(HR_Employee_Attrition[[#This Row],[Attrition]]="Yes",1,0)</f>
        <v>0</v>
      </c>
    </row>
    <row r="1137" spans="1:39"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IF(HR_Employee_Attrition[[#This Row],[Age]]&gt;60,"60+",IF(HR_Employee_Attrition[[#This Row],[Age]]&gt;=50,"50-59",IF(HR_Employee_Attrition[[#This Row],[Age]]&gt;=40,"40-49",IF(HR_Employee_Attrition[[#This Row],[Age]]&gt;=30,"30-39",IF(HR_Employee_Attrition[[#This Row],[Age]]&gt;=20,"20-29",IF(HR_Employee_Attrition[[#This Row],[Age]]&gt;=18,"18-20"))))))</f>
        <v>40-49</v>
      </c>
      <c r="AK1137" t="str" cm="1">
        <f t="array" ref="AK1137">_xlfn.IFS(HR_Employee_Attrition[[#This Row],[YearsAtCompany]]&lt;=2,"0-2",HR_Employee_Attrition[[#This Row],[YearsAtCompany]]&lt;=5,"3-5",HR_Employee_Attrition[[#This Row],[YearsAtCompany]]&lt;=10,"6-10",HR_Employee_Attrition[[#This Row],[YearsAtCompany]]&gt;10,"10+")</f>
        <v>10+</v>
      </c>
      <c r="AL1137" t="str" cm="1">
        <f t="array" ref="AL11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137">
        <f>IF(HR_Employee_Attrition[[#This Row],[Attrition]]="Yes",1,0)</f>
        <v>0</v>
      </c>
    </row>
    <row r="1138" spans="1:39"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IF(HR_Employee_Attrition[[#This Row],[Age]]&gt;60,"60+",IF(HR_Employee_Attrition[[#This Row],[Age]]&gt;=50,"50-59",IF(HR_Employee_Attrition[[#This Row],[Age]]&gt;=40,"40-49",IF(HR_Employee_Attrition[[#This Row],[Age]]&gt;=30,"30-39",IF(HR_Employee_Attrition[[#This Row],[Age]]&gt;=20,"20-29",IF(HR_Employee_Attrition[[#This Row],[Age]]&gt;=18,"18-20"))))))</f>
        <v>20-29</v>
      </c>
      <c r="AK1138" t="str" cm="1">
        <f t="array" ref="AK1138">_xlfn.IFS(HR_Employee_Attrition[[#This Row],[YearsAtCompany]]&lt;=2,"0-2",HR_Employee_Attrition[[#This Row],[YearsAtCompany]]&lt;=5,"3-5",HR_Employee_Attrition[[#This Row],[YearsAtCompany]]&lt;=10,"6-10",HR_Employee_Attrition[[#This Row],[YearsAtCompany]]&gt;10,"10+")</f>
        <v>0-2</v>
      </c>
      <c r="AL1138" t="str" cm="1">
        <f t="array" ref="AL11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38">
        <f>IF(HR_Employee_Attrition[[#This Row],[Attrition]]="Yes",1,0)</f>
        <v>1</v>
      </c>
    </row>
    <row r="1139" spans="1:39"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IF(HR_Employee_Attrition[[#This Row],[Age]]&gt;60,"60+",IF(HR_Employee_Attrition[[#This Row],[Age]]&gt;=50,"50-59",IF(HR_Employee_Attrition[[#This Row],[Age]]&gt;=40,"40-49",IF(HR_Employee_Attrition[[#This Row],[Age]]&gt;=30,"30-39",IF(HR_Employee_Attrition[[#This Row],[Age]]&gt;=20,"20-29",IF(HR_Employee_Attrition[[#This Row],[Age]]&gt;=18,"18-20"))))))</f>
        <v>20-29</v>
      </c>
      <c r="AK1139" t="str" cm="1">
        <f t="array" ref="AK1139">_xlfn.IFS(HR_Employee_Attrition[[#This Row],[YearsAtCompany]]&lt;=2,"0-2",HR_Employee_Attrition[[#This Row],[YearsAtCompany]]&lt;=5,"3-5",HR_Employee_Attrition[[#This Row],[YearsAtCompany]]&lt;=10,"6-10",HR_Employee_Attrition[[#This Row],[YearsAtCompany]]&gt;10,"10+")</f>
        <v>3-5</v>
      </c>
      <c r="AL1139" t="str" cm="1">
        <f t="array" ref="AL11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39">
        <f>IF(HR_Employee_Attrition[[#This Row],[Attrition]]="Yes",1,0)</f>
        <v>0</v>
      </c>
    </row>
    <row r="1140" spans="1:39"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IF(HR_Employee_Attrition[[#This Row],[Age]]&gt;60,"60+",IF(HR_Employee_Attrition[[#This Row],[Age]]&gt;=50,"50-59",IF(HR_Employee_Attrition[[#This Row],[Age]]&gt;=40,"40-49",IF(HR_Employee_Attrition[[#This Row],[Age]]&gt;=30,"30-39",IF(HR_Employee_Attrition[[#This Row],[Age]]&gt;=20,"20-29",IF(HR_Employee_Attrition[[#This Row],[Age]]&gt;=18,"18-20"))))))</f>
        <v>50-59</v>
      </c>
      <c r="AK1140" t="str" cm="1">
        <f t="array" ref="AK1140">_xlfn.IFS(HR_Employee_Attrition[[#This Row],[YearsAtCompany]]&lt;=2,"0-2",HR_Employee_Attrition[[#This Row],[YearsAtCompany]]&lt;=5,"3-5",HR_Employee_Attrition[[#This Row],[YearsAtCompany]]&lt;=10,"6-10",HR_Employee_Attrition[[#This Row],[YearsAtCompany]]&gt;10,"10+")</f>
        <v>10+</v>
      </c>
      <c r="AL1140" t="str" cm="1">
        <f t="array" ref="AL11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140">
        <f>IF(HR_Employee_Attrition[[#This Row],[Attrition]]="Yes",1,0)</f>
        <v>0</v>
      </c>
    </row>
    <row r="1141" spans="1:39"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IF(HR_Employee_Attrition[[#This Row],[Age]]&gt;60,"60+",IF(HR_Employee_Attrition[[#This Row],[Age]]&gt;=50,"50-59",IF(HR_Employee_Attrition[[#This Row],[Age]]&gt;=40,"40-49",IF(HR_Employee_Attrition[[#This Row],[Age]]&gt;=30,"30-39",IF(HR_Employee_Attrition[[#This Row],[Age]]&gt;=20,"20-29",IF(HR_Employee_Attrition[[#This Row],[Age]]&gt;=18,"18-20"))))))</f>
        <v>30-39</v>
      </c>
      <c r="AK1141" t="str" cm="1">
        <f t="array" ref="AK1141">_xlfn.IFS(HR_Employee_Attrition[[#This Row],[YearsAtCompany]]&lt;=2,"0-2",HR_Employee_Attrition[[#This Row],[YearsAtCompany]]&lt;=5,"3-5",HR_Employee_Attrition[[#This Row],[YearsAtCompany]]&lt;=10,"6-10",HR_Employee_Attrition[[#This Row],[YearsAtCompany]]&gt;10,"10+")</f>
        <v>3-5</v>
      </c>
      <c r="AL1141" t="str" cm="1">
        <f t="array" ref="AL11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41">
        <f>IF(HR_Employee_Attrition[[#This Row],[Attrition]]="Yes",1,0)</f>
        <v>0</v>
      </c>
    </row>
    <row r="1142" spans="1:39"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IF(HR_Employee_Attrition[[#This Row],[Age]]&gt;60,"60+",IF(HR_Employee_Attrition[[#This Row],[Age]]&gt;=50,"50-59",IF(HR_Employee_Attrition[[#This Row],[Age]]&gt;=40,"40-49",IF(HR_Employee_Attrition[[#This Row],[Age]]&gt;=30,"30-39",IF(HR_Employee_Attrition[[#This Row],[Age]]&gt;=20,"20-29",IF(HR_Employee_Attrition[[#This Row],[Age]]&gt;=18,"18-20"))))))</f>
        <v>40-49</v>
      </c>
      <c r="AK1142" t="str" cm="1">
        <f t="array" ref="AK1142">_xlfn.IFS(HR_Employee_Attrition[[#This Row],[YearsAtCompany]]&lt;=2,"0-2",HR_Employee_Attrition[[#This Row],[YearsAtCompany]]&lt;=5,"3-5",HR_Employee_Attrition[[#This Row],[YearsAtCompany]]&lt;=10,"6-10",HR_Employee_Attrition[[#This Row],[YearsAtCompany]]&gt;10,"10+")</f>
        <v>10+</v>
      </c>
      <c r="AL1142" t="str" cm="1">
        <f t="array" ref="AL11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142">
        <f>IF(HR_Employee_Attrition[[#This Row],[Attrition]]="Yes",1,0)</f>
        <v>0</v>
      </c>
    </row>
    <row r="1143" spans="1:39"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IF(HR_Employee_Attrition[[#This Row],[Age]]&gt;60,"60+",IF(HR_Employee_Attrition[[#This Row],[Age]]&gt;=50,"50-59",IF(HR_Employee_Attrition[[#This Row],[Age]]&gt;=40,"40-49",IF(HR_Employee_Attrition[[#This Row],[Age]]&gt;=30,"30-39",IF(HR_Employee_Attrition[[#This Row],[Age]]&gt;=20,"20-29",IF(HR_Employee_Attrition[[#This Row],[Age]]&gt;=18,"18-20"))))))</f>
        <v>30-39</v>
      </c>
      <c r="AK1143" t="str" cm="1">
        <f t="array" ref="AK1143">_xlfn.IFS(HR_Employee_Attrition[[#This Row],[YearsAtCompany]]&lt;=2,"0-2",HR_Employee_Attrition[[#This Row],[YearsAtCompany]]&lt;=5,"3-5",HR_Employee_Attrition[[#This Row],[YearsAtCompany]]&lt;=10,"6-10",HR_Employee_Attrition[[#This Row],[YearsAtCompany]]&gt;10,"10+")</f>
        <v>6-10</v>
      </c>
      <c r="AL1143" t="str" cm="1">
        <f t="array" ref="AL11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43">
        <f>IF(HR_Employee_Attrition[[#This Row],[Attrition]]="Yes",1,0)</f>
        <v>0</v>
      </c>
    </row>
    <row r="1144" spans="1:39"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IF(HR_Employee_Attrition[[#This Row],[Age]]&gt;60,"60+",IF(HR_Employee_Attrition[[#This Row],[Age]]&gt;=50,"50-59",IF(HR_Employee_Attrition[[#This Row],[Age]]&gt;=40,"40-49",IF(HR_Employee_Attrition[[#This Row],[Age]]&gt;=30,"30-39",IF(HR_Employee_Attrition[[#This Row],[Age]]&gt;=20,"20-29",IF(HR_Employee_Attrition[[#This Row],[Age]]&gt;=18,"18-20"))))))</f>
        <v>40-49</v>
      </c>
      <c r="AK1144" t="str" cm="1">
        <f t="array" ref="AK1144">_xlfn.IFS(HR_Employee_Attrition[[#This Row],[YearsAtCompany]]&lt;=2,"0-2",HR_Employee_Attrition[[#This Row],[YearsAtCompany]]&lt;=5,"3-5",HR_Employee_Attrition[[#This Row],[YearsAtCompany]]&lt;=10,"6-10",HR_Employee_Attrition[[#This Row],[YearsAtCompany]]&gt;10,"10+")</f>
        <v>6-10</v>
      </c>
      <c r="AL1144" t="str" cm="1">
        <f t="array" ref="AL11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44">
        <f>IF(HR_Employee_Attrition[[#This Row],[Attrition]]="Yes",1,0)</f>
        <v>0</v>
      </c>
    </row>
    <row r="1145" spans="1:39"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IF(HR_Employee_Attrition[[#This Row],[Age]]&gt;60,"60+",IF(HR_Employee_Attrition[[#This Row],[Age]]&gt;=50,"50-59",IF(HR_Employee_Attrition[[#This Row],[Age]]&gt;=40,"40-49",IF(HR_Employee_Attrition[[#This Row],[Age]]&gt;=30,"30-39",IF(HR_Employee_Attrition[[#This Row],[Age]]&gt;=20,"20-29",IF(HR_Employee_Attrition[[#This Row],[Age]]&gt;=18,"18-20"))))))</f>
        <v>40-49</v>
      </c>
      <c r="AK1145" t="str" cm="1">
        <f t="array" ref="AK1145">_xlfn.IFS(HR_Employee_Attrition[[#This Row],[YearsAtCompany]]&lt;=2,"0-2",HR_Employee_Attrition[[#This Row],[YearsAtCompany]]&lt;=5,"3-5",HR_Employee_Attrition[[#This Row],[YearsAtCompany]]&lt;=10,"6-10",HR_Employee_Attrition[[#This Row],[YearsAtCompany]]&gt;10,"10+")</f>
        <v>6-10</v>
      </c>
      <c r="AL1145" t="str" cm="1">
        <f t="array" ref="AL11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45">
        <f>IF(HR_Employee_Attrition[[#This Row],[Attrition]]="Yes",1,0)</f>
        <v>0</v>
      </c>
    </row>
    <row r="1146" spans="1:39"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IF(HR_Employee_Attrition[[#This Row],[Age]]&gt;60,"60+",IF(HR_Employee_Attrition[[#This Row],[Age]]&gt;=50,"50-59",IF(HR_Employee_Attrition[[#This Row],[Age]]&gt;=40,"40-49",IF(HR_Employee_Attrition[[#This Row],[Age]]&gt;=30,"30-39",IF(HR_Employee_Attrition[[#This Row],[Age]]&gt;=20,"20-29",IF(HR_Employee_Attrition[[#This Row],[Age]]&gt;=18,"18-20"))))))</f>
        <v>30-39</v>
      </c>
      <c r="AK1146" t="str" cm="1">
        <f t="array" ref="AK1146">_xlfn.IFS(HR_Employee_Attrition[[#This Row],[YearsAtCompany]]&lt;=2,"0-2",HR_Employee_Attrition[[#This Row],[YearsAtCompany]]&lt;=5,"3-5",HR_Employee_Attrition[[#This Row],[YearsAtCompany]]&lt;=10,"6-10",HR_Employee_Attrition[[#This Row],[YearsAtCompany]]&gt;10,"10+")</f>
        <v>3-5</v>
      </c>
      <c r="AL1146" t="str" cm="1">
        <f t="array" ref="AL11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46">
        <f>IF(HR_Employee_Attrition[[#This Row],[Attrition]]="Yes",1,0)</f>
        <v>0</v>
      </c>
    </row>
    <row r="1147" spans="1:39"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IF(HR_Employee_Attrition[[#This Row],[Age]]&gt;60,"60+",IF(HR_Employee_Attrition[[#This Row],[Age]]&gt;=50,"50-59",IF(HR_Employee_Attrition[[#This Row],[Age]]&gt;=40,"40-49",IF(HR_Employee_Attrition[[#This Row],[Age]]&gt;=30,"30-39",IF(HR_Employee_Attrition[[#This Row],[Age]]&gt;=20,"20-29",IF(HR_Employee_Attrition[[#This Row],[Age]]&gt;=18,"18-20"))))))</f>
        <v>30-39</v>
      </c>
      <c r="AK1147" t="str" cm="1">
        <f t="array" ref="AK1147">_xlfn.IFS(HR_Employee_Attrition[[#This Row],[YearsAtCompany]]&lt;=2,"0-2",HR_Employee_Attrition[[#This Row],[YearsAtCompany]]&lt;=5,"3-5",HR_Employee_Attrition[[#This Row],[YearsAtCompany]]&lt;=10,"6-10",HR_Employee_Attrition[[#This Row],[YearsAtCompany]]&gt;10,"10+")</f>
        <v>3-5</v>
      </c>
      <c r="AL1147" t="str" cm="1">
        <f t="array" ref="AL11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47">
        <f>IF(HR_Employee_Attrition[[#This Row],[Attrition]]="Yes",1,0)</f>
        <v>0</v>
      </c>
    </row>
    <row r="1148" spans="1:39"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IF(HR_Employee_Attrition[[#This Row],[Age]]&gt;60,"60+",IF(HR_Employee_Attrition[[#This Row],[Age]]&gt;=50,"50-59",IF(HR_Employee_Attrition[[#This Row],[Age]]&gt;=40,"40-49",IF(HR_Employee_Attrition[[#This Row],[Age]]&gt;=30,"30-39",IF(HR_Employee_Attrition[[#This Row],[Age]]&gt;=20,"20-29",IF(HR_Employee_Attrition[[#This Row],[Age]]&gt;=18,"18-20"))))))</f>
        <v>30-39</v>
      </c>
      <c r="AK1148" t="str" cm="1">
        <f t="array" ref="AK1148">_xlfn.IFS(HR_Employee_Attrition[[#This Row],[YearsAtCompany]]&lt;=2,"0-2",HR_Employee_Attrition[[#This Row],[YearsAtCompany]]&lt;=5,"3-5",HR_Employee_Attrition[[#This Row],[YearsAtCompany]]&lt;=10,"6-10",HR_Employee_Attrition[[#This Row],[YearsAtCompany]]&gt;10,"10+")</f>
        <v>6-10</v>
      </c>
      <c r="AL1148" t="str" cm="1">
        <f t="array" ref="AL11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48">
        <f>IF(HR_Employee_Attrition[[#This Row],[Attrition]]="Yes",1,0)</f>
        <v>0</v>
      </c>
    </row>
    <row r="1149" spans="1:39"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IF(HR_Employee_Attrition[[#This Row],[Age]]&gt;60,"60+",IF(HR_Employee_Attrition[[#This Row],[Age]]&gt;=50,"50-59",IF(HR_Employee_Attrition[[#This Row],[Age]]&gt;=40,"40-49",IF(HR_Employee_Attrition[[#This Row],[Age]]&gt;=30,"30-39",IF(HR_Employee_Attrition[[#This Row],[Age]]&gt;=20,"20-29",IF(HR_Employee_Attrition[[#This Row],[Age]]&gt;=18,"18-20"))))))</f>
        <v>40-49</v>
      </c>
      <c r="AK1149" t="str" cm="1">
        <f t="array" ref="AK1149">_xlfn.IFS(HR_Employee_Attrition[[#This Row],[YearsAtCompany]]&lt;=2,"0-2",HR_Employee_Attrition[[#This Row],[YearsAtCompany]]&lt;=5,"3-5",HR_Employee_Attrition[[#This Row],[YearsAtCompany]]&lt;=10,"6-10",HR_Employee_Attrition[[#This Row],[YearsAtCompany]]&gt;10,"10+")</f>
        <v>6-10</v>
      </c>
      <c r="AL1149" t="str" cm="1">
        <f t="array" ref="AL11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49">
        <f>IF(HR_Employee_Attrition[[#This Row],[Attrition]]="Yes",1,0)</f>
        <v>0</v>
      </c>
    </row>
    <row r="1150" spans="1:39"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IF(HR_Employee_Attrition[[#This Row],[Age]]&gt;60,"60+",IF(HR_Employee_Attrition[[#This Row],[Age]]&gt;=50,"50-59",IF(HR_Employee_Attrition[[#This Row],[Age]]&gt;=40,"40-49",IF(HR_Employee_Attrition[[#This Row],[Age]]&gt;=30,"30-39",IF(HR_Employee_Attrition[[#This Row],[Age]]&gt;=20,"20-29",IF(HR_Employee_Attrition[[#This Row],[Age]]&gt;=18,"18-20"))))))</f>
        <v>30-39</v>
      </c>
      <c r="AK1150" t="str" cm="1">
        <f t="array" ref="AK1150">_xlfn.IFS(HR_Employee_Attrition[[#This Row],[YearsAtCompany]]&lt;=2,"0-2",HR_Employee_Attrition[[#This Row],[YearsAtCompany]]&lt;=5,"3-5",HR_Employee_Attrition[[#This Row],[YearsAtCompany]]&lt;=10,"6-10",HR_Employee_Attrition[[#This Row],[YearsAtCompany]]&gt;10,"10+")</f>
        <v>6-10</v>
      </c>
      <c r="AL1150" t="str" cm="1">
        <f t="array" ref="AL11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50">
        <f>IF(HR_Employee_Attrition[[#This Row],[Attrition]]="Yes",1,0)</f>
        <v>0</v>
      </c>
    </row>
    <row r="1151" spans="1:39"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IF(HR_Employee_Attrition[[#This Row],[Age]]&gt;60,"60+",IF(HR_Employee_Attrition[[#This Row],[Age]]&gt;=50,"50-59",IF(HR_Employee_Attrition[[#This Row],[Age]]&gt;=40,"40-49",IF(HR_Employee_Attrition[[#This Row],[Age]]&gt;=30,"30-39",IF(HR_Employee_Attrition[[#This Row],[Age]]&gt;=20,"20-29",IF(HR_Employee_Attrition[[#This Row],[Age]]&gt;=18,"18-20"))))))</f>
        <v>20-29</v>
      </c>
      <c r="AK1151" t="str" cm="1">
        <f t="array" ref="AK1151">_xlfn.IFS(HR_Employee_Attrition[[#This Row],[YearsAtCompany]]&lt;=2,"0-2",HR_Employee_Attrition[[#This Row],[YearsAtCompany]]&lt;=5,"3-5",HR_Employee_Attrition[[#This Row],[YearsAtCompany]]&lt;=10,"6-10",HR_Employee_Attrition[[#This Row],[YearsAtCompany]]&gt;10,"10+")</f>
        <v>6-10</v>
      </c>
      <c r="AL1151" t="str" cm="1">
        <f t="array" ref="AL11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51">
        <f>IF(HR_Employee_Attrition[[#This Row],[Attrition]]="Yes",1,0)</f>
        <v>0</v>
      </c>
    </row>
    <row r="1152" spans="1:39"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IF(HR_Employee_Attrition[[#This Row],[Age]]&gt;60,"60+",IF(HR_Employee_Attrition[[#This Row],[Age]]&gt;=50,"50-59",IF(HR_Employee_Attrition[[#This Row],[Age]]&gt;=40,"40-49",IF(HR_Employee_Attrition[[#This Row],[Age]]&gt;=30,"30-39",IF(HR_Employee_Attrition[[#This Row],[Age]]&gt;=20,"20-29",IF(HR_Employee_Attrition[[#This Row],[Age]]&gt;=18,"18-20"))))))</f>
        <v>30-39</v>
      </c>
      <c r="AK1152" t="str" cm="1">
        <f t="array" ref="AK1152">_xlfn.IFS(HR_Employee_Attrition[[#This Row],[YearsAtCompany]]&lt;=2,"0-2",HR_Employee_Attrition[[#This Row],[YearsAtCompany]]&lt;=5,"3-5",HR_Employee_Attrition[[#This Row],[YearsAtCompany]]&lt;=10,"6-10",HR_Employee_Attrition[[#This Row],[YearsAtCompany]]&gt;10,"10+")</f>
        <v>10+</v>
      </c>
      <c r="AL1152" t="str" cm="1">
        <f t="array" ref="AL11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52">
        <f>IF(HR_Employee_Attrition[[#This Row],[Attrition]]="Yes",1,0)</f>
        <v>0</v>
      </c>
    </row>
    <row r="1153" spans="1:39"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IF(HR_Employee_Attrition[[#This Row],[Age]]&gt;60,"60+",IF(HR_Employee_Attrition[[#This Row],[Age]]&gt;=50,"50-59",IF(HR_Employee_Attrition[[#This Row],[Age]]&gt;=40,"40-49",IF(HR_Employee_Attrition[[#This Row],[Age]]&gt;=30,"30-39",IF(HR_Employee_Attrition[[#This Row],[Age]]&gt;=20,"20-29",IF(HR_Employee_Attrition[[#This Row],[Age]]&gt;=18,"18-20"))))))</f>
        <v>20-29</v>
      </c>
      <c r="AK1153" t="str" cm="1">
        <f t="array" ref="AK1153">_xlfn.IFS(HR_Employee_Attrition[[#This Row],[YearsAtCompany]]&lt;=2,"0-2",HR_Employee_Attrition[[#This Row],[YearsAtCompany]]&lt;=5,"3-5",HR_Employee_Attrition[[#This Row],[YearsAtCompany]]&lt;=10,"6-10",HR_Employee_Attrition[[#This Row],[YearsAtCompany]]&gt;10,"10+")</f>
        <v>3-5</v>
      </c>
      <c r="AL1153" t="str" cm="1">
        <f t="array" ref="AL11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53">
        <f>IF(HR_Employee_Attrition[[#This Row],[Attrition]]="Yes",1,0)</f>
        <v>0</v>
      </c>
    </row>
    <row r="1154" spans="1:39"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IF(HR_Employee_Attrition[[#This Row],[Age]]&gt;60,"60+",IF(HR_Employee_Attrition[[#This Row],[Age]]&gt;=50,"50-59",IF(HR_Employee_Attrition[[#This Row],[Age]]&gt;=40,"40-49",IF(HR_Employee_Attrition[[#This Row],[Age]]&gt;=30,"30-39",IF(HR_Employee_Attrition[[#This Row],[Age]]&gt;=20,"20-29",IF(HR_Employee_Attrition[[#This Row],[Age]]&gt;=18,"18-20"))))))</f>
        <v>20-29</v>
      </c>
      <c r="AK1154" t="str" cm="1">
        <f t="array" ref="AK1154">_xlfn.IFS(HR_Employee_Attrition[[#This Row],[YearsAtCompany]]&lt;=2,"0-2",HR_Employee_Attrition[[#This Row],[YearsAtCompany]]&lt;=5,"3-5",HR_Employee_Attrition[[#This Row],[YearsAtCompany]]&lt;=10,"6-10",HR_Employee_Attrition[[#This Row],[YearsAtCompany]]&gt;10,"10+")</f>
        <v>0-2</v>
      </c>
      <c r="AL1154" t="str" cm="1">
        <f t="array" ref="AL11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54">
        <f>IF(HR_Employee_Attrition[[#This Row],[Attrition]]="Yes",1,0)</f>
        <v>0</v>
      </c>
    </row>
    <row r="1155" spans="1:39"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IF(HR_Employee_Attrition[[#This Row],[Age]]&gt;60,"60+",IF(HR_Employee_Attrition[[#This Row],[Age]]&gt;=50,"50-59",IF(HR_Employee_Attrition[[#This Row],[Age]]&gt;=40,"40-49",IF(HR_Employee_Attrition[[#This Row],[Age]]&gt;=30,"30-39",IF(HR_Employee_Attrition[[#This Row],[Age]]&gt;=20,"20-29",IF(HR_Employee_Attrition[[#This Row],[Age]]&gt;=18,"18-20"))))))</f>
        <v>18-20</v>
      </c>
      <c r="AK1155" t="str" cm="1">
        <f t="array" ref="AK1155">_xlfn.IFS(HR_Employee_Attrition[[#This Row],[YearsAtCompany]]&lt;=2,"0-2",HR_Employee_Attrition[[#This Row],[YearsAtCompany]]&lt;=5,"3-5",HR_Employee_Attrition[[#This Row],[YearsAtCompany]]&lt;=10,"6-10",HR_Employee_Attrition[[#This Row],[YearsAtCompany]]&gt;10,"10+")</f>
        <v>0-2</v>
      </c>
      <c r="AL1155" t="str" cm="1">
        <f t="array" ref="AL11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55">
        <f>IF(HR_Employee_Attrition[[#This Row],[Attrition]]="Yes",1,0)</f>
        <v>1</v>
      </c>
    </row>
    <row r="1156" spans="1:39"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IF(HR_Employee_Attrition[[#This Row],[Age]]&gt;60,"60+",IF(HR_Employee_Attrition[[#This Row],[Age]]&gt;=50,"50-59",IF(HR_Employee_Attrition[[#This Row],[Age]]&gt;=40,"40-49",IF(HR_Employee_Attrition[[#This Row],[Age]]&gt;=30,"30-39",IF(HR_Employee_Attrition[[#This Row],[Age]]&gt;=20,"20-29",IF(HR_Employee_Attrition[[#This Row],[Age]]&gt;=18,"18-20"))))))</f>
        <v>40-49</v>
      </c>
      <c r="AK1156" t="str" cm="1">
        <f t="array" ref="AK1156">_xlfn.IFS(HR_Employee_Attrition[[#This Row],[YearsAtCompany]]&lt;=2,"0-2",HR_Employee_Attrition[[#This Row],[YearsAtCompany]]&lt;=5,"3-5",HR_Employee_Attrition[[#This Row],[YearsAtCompany]]&lt;=10,"6-10",HR_Employee_Attrition[[#This Row],[YearsAtCompany]]&gt;10,"10+")</f>
        <v>3-5</v>
      </c>
      <c r="AL1156" t="str" cm="1">
        <f t="array" ref="AL11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156">
        <f>IF(HR_Employee_Attrition[[#This Row],[Attrition]]="Yes",1,0)</f>
        <v>0</v>
      </c>
    </row>
    <row r="1157" spans="1:39"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IF(HR_Employee_Attrition[[#This Row],[Age]]&gt;60,"60+",IF(HR_Employee_Attrition[[#This Row],[Age]]&gt;=50,"50-59",IF(HR_Employee_Attrition[[#This Row],[Age]]&gt;=40,"40-49",IF(HR_Employee_Attrition[[#This Row],[Age]]&gt;=30,"30-39",IF(HR_Employee_Attrition[[#This Row],[Age]]&gt;=20,"20-29",IF(HR_Employee_Attrition[[#This Row],[Age]]&gt;=18,"18-20"))))))</f>
        <v>30-39</v>
      </c>
      <c r="AK1157" t="str" cm="1">
        <f t="array" ref="AK1157">_xlfn.IFS(HR_Employee_Attrition[[#This Row],[YearsAtCompany]]&lt;=2,"0-2",HR_Employee_Attrition[[#This Row],[YearsAtCompany]]&lt;=5,"3-5",HR_Employee_Attrition[[#This Row],[YearsAtCompany]]&lt;=10,"6-10",HR_Employee_Attrition[[#This Row],[YearsAtCompany]]&gt;10,"10+")</f>
        <v>6-10</v>
      </c>
      <c r="AL1157" t="str" cm="1">
        <f t="array" ref="AL11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57">
        <f>IF(HR_Employee_Attrition[[#This Row],[Attrition]]="Yes",1,0)</f>
        <v>0</v>
      </c>
    </row>
    <row r="1158" spans="1:39"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IF(HR_Employee_Attrition[[#This Row],[Age]]&gt;60,"60+",IF(HR_Employee_Attrition[[#This Row],[Age]]&gt;=50,"50-59",IF(HR_Employee_Attrition[[#This Row],[Age]]&gt;=40,"40-49",IF(HR_Employee_Attrition[[#This Row],[Age]]&gt;=30,"30-39",IF(HR_Employee_Attrition[[#This Row],[Age]]&gt;=20,"20-29",IF(HR_Employee_Attrition[[#This Row],[Age]]&gt;=18,"18-20"))))))</f>
        <v>40-49</v>
      </c>
      <c r="AK1158" t="str" cm="1">
        <f t="array" ref="AK1158">_xlfn.IFS(HR_Employee_Attrition[[#This Row],[YearsAtCompany]]&lt;=2,"0-2",HR_Employee_Attrition[[#This Row],[YearsAtCompany]]&lt;=5,"3-5",HR_Employee_Attrition[[#This Row],[YearsAtCompany]]&lt;=10,"6-10",HR_Employee_Attrition[[#This Row],[YearsAtCompany]]&gt;10,"10+")</f>
        <v>10+</v>
      </c>
      <c r="AL1158" t="str" cm="1">
        <f t="array" ref="AL11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158">
        <f>IF(HR_Employee_Attrition[[#This Row],[Attrition]]="Yes",1,0)</f>
        <v>0</v>
      </c>
    </row>
    <row r="1159" spans="1:39"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IF(HR_Employee_Attrition[[#This Row],[Age]]&gt;60,"60+",IF(HR_Employee_Attrition[[#This Row],[Age]]&gt;=50,"50-59",IF(HR_Employee_Attrition[[#This Row],[Age]]&gt;=40,"40-49",IF(HR_Employee_Attrition[[#This Row],[Age]]&gt;=30,"30-39",IF(HR_Employee_Attrition[[#This Row],[Age]]&gt;=20,"20-29",IF(HR_Employee_Attrition[[#This Row],[Age]]&gt;=18,"18-20"))))))</f>
        <v>30-39</v>
      </c>
      <c r="AK1159" t="str" cm="1">
        <f t="array" ref="AK1159">_xlfn.IFS(HR_Employee_Attrition[[#This Row],[YearsAtCompany]]&lt;=2,"0-2",HR_Employee_Attrition[[#This Row],[YearsAtCompany]]&lt;=5,"3-5",HR_Employee_Attrition[[#This Row],[YearsAtCompany]]&lt;=10,"6-10",HR_Employee_Attrition[[#This Row],[YearsAtCompany]]&gt;10,"10+")</f>
        <v>10+</v>
      </c>
      <c r="AL1159" t="str" cm="1">
        <f t="array" ref="AL11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59">
        <f>IF(HR_Employee_Attrition[[#This Row],[Attrition]]="Yes",1,0)</f>
        <v>0</v>
      </c>
    </row>
    <row r="1160" spans="1:39"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IF(HR_Employee_Attrition[[#This Row],[Age]]&gt;60,"60+",IF(HR_Employee_Attrition[[#This Row],[Age]]&gt;=50,"50-59",IF(HR_Employee_Attrition[[#This Row],[Age]]&gt;=40,"40-49",IF(HR_Employee_Attrition[[#This Row],[Age]]&gt;=30,"30-39",IF(HR_Employee_Attrition[[#This Row],[Age]]&gt;=20,"20-29",IF(HR_Employee_Attrition[[#This Row],[Age]]&gt;=18,"18-20"))))))</f>
        <v>30-39</v>
      </c>
      <c r="AK1160" t="str" cm="1">
        <f t="array" ref="AK1160">_xlfn.IFS(HR_Employee_Attrition[[#This Row],[YearsAtCompany]]&lt;=2,"0-2",HR_Employee_Attrition[[#This Row],[YearsAtCompany]]&lt;=5,"3-5",HR_Employee_Attrition[[#This Row],[YearsAtCompany]]&lt;=10,"6-10",HR_Employee_Attrition[[#This Row],[YearsAtCompany]]&gt;10,"10+")</f>
        <v>3-5</v>
      </c>
      <c r="AL1160" t="str" cm="1">
        <f t="array" ref="AL11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60">
        <f>IF(HR_Employee_Attrition[[#This Row],[Attrition]]="Yes",1,0)</f>
        <v>0</v>
      </c>
    </row>
    <row r="1161" spans="1:39"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IF(HR_Employee_Attrition[[#This Row],[Age]]&gt;60,"60+",IF(HR_Employee_Attrition[[#This Row],[Age]]&gt;=50,"50-59",IF(HR_Employee_Attrition[[#This Row],[Age]]&gt;=40,"40-49",IF(HR_Employee_Attrition[[#This Row],[Age]]&gt;=30,"30-39",IF(HR_Employee_Attrition[[#This Row],[Age]]&gt;=20,"20-29",IF(HR_Employee_Attrition[[#This Row],[Age]]&gt;=18,"18-20"))))))</f>
        <v>30-39</v>
      </c>
      <c r="AK1161" t="str" cm="1">
        <f t="array" ref="AK1161">_xlfn.IFS(HR_Employee_Attrition[[#This Row],[YearsAtCompany]]&lt;=2,"0-2",HR_Employee_Attrition[[#This Row],[YearsAtCompany]]&lt;=5,"3-5",HR_Employee_Attrition[[#This Row],[YearsAtCompany]]&lt;=10,"6-10",HR_Employee_Attrition[[#This Row],[YearsAtCompany]]&gt;10,"10+")</f>
        <v>6-10</v>
      </c>
      <c r="AL1161" t="str" cm="1">
        <f t="array" ref="AL11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61">
        <f>IF(HR_Employee_Attrition[[#This Row],[Attrition]]="Yes",1,0)</f>
        <v>0</v>
      </c>
    </row>
    <row r="1162" spans="1:39"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IF(HR_Employee_Attrition[[#This Row],[Age]]&gt;60,"60+",IF(HR_Employee_Attrition[[#This Row],[Age]]&gt;=50,"50-59",IF(HR_Employee_Attrition[[#This Row],[Age]]&gt;=40,"40-49",IF(HR_Employee_Attrition[[#This Row],[Age]]&gt;=30,"30-39",IF(HR_Employee_Attrition[[#This Row],[Age]]&gt;=20,"20-29",IF(HR_Employee_Attrition[[#This Row],[Age]]&gt;=18,"18-20"))))))</f>
        <v>40-49</v>
      </c>
      <c r="AK1162" t="str" cm="1">
        <f t="array" ref="AK1162">_xlfn.IFS(HR_Employee_Attrition[[#This Row],[YearsAtCompany]]&lt;=2,"0-2",HR_Employee_Attrition[[#This Row],[YearsAtCompany]]&lt;=5,"3-5",HR_Employee_Attrition[[#This Row],[YearsAtCompany]]&lt;=10,"6-10",HR_Employee_Attrition[[#This Row],[YearsAtCompany]]&gt;10,"10+")</f>
        <v>6-10</v>
      </c>
      <c r="AL1162" t="str" cm="1">
        <f t="array" ref="AL11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62">
        <f>IF(HR_Employee_Attrition[[#This Row],[Attrition]]="Yes",1,0)</f>
        <v>0</v>
      </c>
    </row>
    <row r="1163" spans="1:39"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IF(HR_Employee_Attrition[[#This Row],[Age]]&gt;60,"60+",IF(HR_Employee_Attrition[[#This Row],[Age]]&gt;=50,"50-59",IF(HR_Employee_Attrition[[#This Row],[Age]]&gt;=40,"40-49",IF(HR_Employee_Attrition[[#This Row],[Age]]&gt;=30,"30-39",IF(HR_Employee_Attrition[[#This Row],[Age]]&gt;=20,"20-29",IF(HR_Employee_Attrition[[#This Row],[Age]]&gt;=18,"18-20"))))))</f>
        <v>30-39</v>
      </c>
      <c r="AK1163" t="str" cm="1">
        <f t="array" ref="AK1163">_xlfn.IFS(HR_Employee_Attrition[[#This Row],[YearsAtCompany]]&lt;=2,"0-2",HR_Employee_Attrition[[#This Row],[YearsAtCompany]]&lt;=5,"3-5",HR_Employee_Attrition[[#This Row],[YearsAtCompany]]&lt;=10,"6-10",HR_Employee_Attrition[[#This Row],[YearsAtCompany]]&gt;10,"10+")</f>
        <v>3-5</v>
      </c>
      <c r="AL1163" t="str" cm="1">
        <f t="array" ref="AL11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63">
        <f>IF(HR_Employee_Attrition[[#This Row],[Attrition]]="Yes",1,0)</f>
        <v>0</v>
      </c>
    </row>
    <row r="1164" spans="1:39"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IF(HR_Employee_Attrition[[#This Row],[Age]]&gt;60,"60+",IF(HR_Employee_Attrition[[#This Row],[Age]]&gt;=50,"50-59",IF(HR_Employee_Attrition[[#This Row],[Age]]&gt;=40,"40-49",IF(HR_Employee_Attrition[[#This Row],[Age]]&gt;=30,"30-39",IF(HR_Employee_Attrition[[#This Row],[Age]]&gt;=20,"20-29",IF(HR_Employee_Attrition[[#This Row],[Age]]&gt;=18,"18-20"))))))</f>
        <v>30-39</v>
      </c>
      <c r="AK1164" t="str" cm="1">
        <f t="array" ref="AK1164">_xlfn.IFS(HR_Employee_Attrition[[#This Row],[YearsAtCompany]]&lt;=2,"0-2",HR_Employee_Attrition[[#This Row],[YearsAtCompany]]&lt;=5,"3-5",HR_Employee_Attrition[[#This Row],[YearsAtCompany]]&lt;=10,"6-10",HR_Employee_Attrition[[#This Row],[YearsAtCompany]]&gt;10,"10+")</f>
        <v>10+</v>
      </c>
      <c r="AL1164" t="str" cm="1">
        <f t="array" ref="AL11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164">
        <f>IF(HR_Employee_Attrition[[#This Row],[Attrition]]="Yes",1,0)</f>
        <v>1</v>
      </c>
    </row>
    <row r="1165" spans="1:39"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IF(HR_Employee_Attrition[[#This Row],[Age]]&gt;60,"60+",IF(HR_Employee_Attrition[[#This Row],[Age]]&gt;=50,"50-59",IF(HR_Employee_Attrition[[#This Row],[Age]]&gt;=40,"40-49",IF(HR_Employee_Attrition[[#This Row],[Age]]&gt;=30,"30-39",IF(HR_Employee_Attrition[[#This Row],[Age]]&gt;=20,"20-29",IF(HR_Employee_Attrition[[#This Row],[Age]]&gt;=18,"18-20"))))))</f>
        <v>30-39</v>
      </c>
      <c r="AK1165" t="str" cm="1">
        <f t="array" ref="AK1165">_xlfn.IFS(HR_Employee_Attrition[[#This Row],[YearsAtCompany]]&lt;=2,"0-2",HR_Employee_Attrition[[#This Row],[YearsAtCompany]]&lt;=5,"3-5",HR_Employee_Attrition[[#This Row],[YearsAtCompany]]&lt;=10,"6-10",HR_Employee_Attrition[[#This Row],[YearsAtCompany]]&gt;10,"10+")</f>
        <v>6-10</v>
      </c>
      <c r="AL1165" t="str" cm="1">
        <f t="array" ref="AL11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65">
        <f>IF(HR_Employee_Attrition[[#This Row],[Attrition]]="Yes",1,0)</f>
        <v>0</v>
      </c>
    </row>
    <row r="1166" spans="1:39"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IF(HR_Employee_Attrition[[#This Row],[Age]]&gt;60,"60+",IF(HR_Employee_Attrition[[#This Row],[Age]]&gt;=50,"50-59",IF(HR_Employee_Attrition[[#This Row],[Age]]&gt;=40,"40-49",IF(HR_Employee_Attrition[[#This Row],[Age]]&gt;=30,"30-39",IF(HR_Employee_Attrition[[#This Row],[Age]]&gt;=20,"20-29",IF(HR_Employee_Attrition[[#This Row],[Age]]&gt;=18,"18-20"))))))</f>
        <v>40-49</v>
      </c>
      <c r="AK1166" t="str" cm="1">
        <f t="array" ref="AK1166">_xlfn.IFS(HR_Employee_Attrition[[#This Row],[YearsAtCompany]]&lt;=2,"0-2",HR_Employee_Attrition[[#This Row],[YearsAtCompany]]&lt;=5,"3-5",HR_Employee_Attrition[[#This Row],[YearsAtCompany]]&lt;=10,"6-10",HR_Employee_Attrition[[#This Row],[YearsAtCompany]]&gt;10,"10+")</f>
        <v>3-5</v>
      </c>
      <c r="AL1166" t="str" cm="1">
        <f t="array" ref="AL11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66">
        <f>IF(HR_Employee_Attrition[[#This Row],[Attrition]]="Yes",1,0)</f>
        <v>0</v>
      </c>
    </row>
    <row r="1167" spans="1:39"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IF(HR_Employee_Attrition[[#This Row],[Age]]&gt;60,"60+",IF(HR_Employee_Attrition[[#This Row],[Age]]&gt;=50,"50-59",IF(HR_Employee_Attrition[[#This Row],[Age]]&gt;=40,"40-49",IF(HR_Employee_Attrition[[#This Row],[Age]]&gt;=30,"30-39",IF(HR_Employee_Attrition[[#This Row],[Age]]&gt;=20,"20-29",IF(HR_Employee_Attrition[[#This Row],[Age]]&gt;=18,"18-20"))))))</f>
        <v>40-49</v>
      </c>
      <c r="AK1167" t="str" cm="1">
        <f t="array" ref="AK1167">_xlfn.IFS(HR_Employee_Attrition[[#This Row],[YearsAtCompany]]&lt;=2,"0-2",HR_Employee_Attrition[[#This Row],[YearsAtCompany]]&lt;=5,"3-5",HR_Employee_Attrition[[#This Row],[YearsAtCompany]]&lt;=10,"6-10",HR_Employee_Attrition[[#This Row],[YearsAtCompany]]&gt;10,"10+")</f>
        <v>6-10</v>
      </c>
      <c r="AL1167" t="str" cm="1">
        <f t="array" ref="AL11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67">
        <f>IF(HR_Employee_Attrition[[#This Row],[Attrition]]="Yes",1,0)</f>
        <v>0</v>
      </c>
    </row>
    <row r="1168" spans="1:39"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IF(HR_Employee_Attrition[[#This Row],[Age]]&gt;60,"60+",IF(HR_Employee_Attrition[[#This Row],[Age]]&gt;=50,"50-59",IF(HR_Employee_Attrition[[#This Row],[Age]]&gt;=40,"40-49",IF(HR_Employee_Attrition[[#This Row],[Age]]&gt;=30,"30-39",IF(HR_Employee_Attrition[[#This Row],[Age]]&gt;=20,"20-29",IF(HR_Employee_Attrition[[#This Row],[Age]]&gt;=18,"18-20"))))))</f>
        <v>40-49</v>
      </c>
      <c r="AK1168" t="str" cm="1">
        <f t="array" ref="AK1168">_xlfn.IFS(HR_Employee_Attrition[[#This Row],[YearsAtCompany]]&lt;=2,"0-2",HR_Employee_Attrition[[#This Row],[YearsAtCompany]]&lt;=5,"3-5",HR_Employee_Attrition[[#This Row],[YearsAtCompany]]&lt;=10,"6-10",HR_Employee_Attrition[[#This Row],[YearsAtCompany]]&gt;10,"10+")</f>
        <v>0-2</v>
      </c>
      <c r="AL1168" t="str" cm="1">
        <f t="array" ref="AL11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168">
        <f>IF(HR_Employee_Attrition[[#This Row],[Attrition]]="Yes",1,0)</f>
        <v>0</v>
      </c>
    </row>
    <row r="1169" spans="1:39"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IF(HR_Employee_Attrition[[#This Row],[Age]]&gt;60,"60+",IF(HR_Employee_Attrition[[#This Row],[Age]]&gt;=50,"50-59",IF(HR_Employee_Attrition[[#This Row],[Age]]&gt;=40,"40-49",IF(HR_Employee_Attrition[[#This Row],[Age]]&gt;=30,"30-39",IF(HR_Employee_Attrition[[#This Row],[Age]]&gt;=20,"20-29",IF(HR_Employee_Attrition[[#This Row],[Age]]&gt;=18,"18-20"))))))</f>
        <v>30-39</v>
      </c>
      <c r="AK1169" t="str" cm="1">
        <f t="array" ref="AK1169">_xlfn.IFS(HR_Employee_Attrition[[#This Row],[YearsAtCompany]]&lt;=2,"0-2",HR_Employee_Attrition[[#This Row],[YearsAtCompany]]&lt;=5,"3-5",HR_Employee_Attrition[[#This Row],[YearsAtCompany]]&lt;=10,"6-10",HR_Employee_Attrition[[#This Row],[YearsAtCompany]]&gt;10,"10+")</f>
        <v>0-2</v>
      </c>
      <c r="AL1169" t="str" cm="1">
        <f t="array" ref="AL11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69">
        <f>IF(HR_Employee_Attrition[[#This Row],[Attrition]]="Yes",1,0)</f>
        <v>1</v>
      </c>
    </row>
    <row r="1170" spans="1:39"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IF(HR_Employee_Attrition[[#This Row],[Age]]&gt;60,"60+",IF(HR_Employee_Attrition[[#This Row],[Age]]&gt;=50,"50-59",IF(HR_Employee_Attrition[[#This Row],[Age]]&gt;=40,"40-49",IF(HR_Employee_Attrition[[#This Row],[Age]]&gt;=30,"30-39",IF(HR_Employee_Attrition[[#This Row],[Age]]&gt;=20,"20-29",IF(HR_Employee_Attrition[[#This Row],[Age]]&gt;=18,"18-20"))))))</f>
        <v>20-29</v>
      </c>
      <c r="AK1170" t="str" cm="1">
        <f t="array" ref="AK1170">_xlfn.IFS(HR_Employee_Attrition[[#This Row],[YearsAtCompany]]&lt;=2,"0-2",HR_Employee_Attrition[[#This Row],[YearsAtCompany]]&lt;=5,"3-5",HR_Employee_Attrition[[#This Row],[YearsAtCompany]]&lt;=10,"6-10",HR_Employee_Attrition[[#This Row],[YearsAtCompany]]&gt;10,"10+")</f>
        <v>6-10</v>
      </c>
      <c r="AL1170" t="str" cm="1">
        <f t="array" ref="AL11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70">
        <f>IF(HR_Employee_Attrition[[#This Row],[Attrition]]="Yes",1,0)</f>
        <v>0</v>
      </c>
    </row>
    <row r="1171" spans="1:39"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IF(HR_Employee_Attrition[[#This Row],[Age]]&gt;60,"60+",IF(HR_Employee_Attrition[[#This Row],[Age]]&gt;=50,"50-59",IF(HR_Employee_Attrition[[#This Row],[Age]]&gt;=40,"40-49",IF(HR_Employee_Attrition[[#This Row],[Age]]&gt;=30,"30-39",IF(HR_Employee_Attrition[[#This Row],[Age]]&gt;=20,"20-29",IF(HR_Employee_Attrition[[#This Row],[Age]]&gt;=18,"18-20"))))))</f>
        <v>20-29</v>
      </c>
      <c r="AK1171" t="str" cm="1">
        <f t="array" ref="AK1171">_xlfn.IFS(HR_Employee_Attrition[[#This Row],[YearsAtCompany]]&lt;=2,"0-2",HR_Employee_Attrition[[#This Row],[YearsAtCompany]]&lt;=5,"3-5",HR_Employee_Attrition[[#This Row],[YearsAtCompany]]&lt;=10,"6-10",HR_Employee_Attrition[[#This Row],[YearsAtCompany]]&gt;10,"10+")</f>
        <v>3-5</v>
      </c>
      <c r="AL1171" t="str" cm="1">
        <f t="array" ref="AL11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71">
        <f>IF(HR_Employee_Attrition[[#This Row],[Attrition]]="Yes",1,0)</f>
        <v>0</v>
      </c>
    </row>
    <row r="1172" spans="1:39"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IF(HR_Employee_Attrition[[#This Row],[Age]]&gt;60,"60+",IF(HR_Employee_Attrition[[#This Row],[Age]]&gt;=50,"50-59",IF(HR_Employee_Attrition[[#This Row],[Age]]&gt;=40,"40-49",IF(HR_Employee_Attrition[[#This Row],[Age]]&gt;=30,"30-39",IF(HR_Employee_Attrition[[#This Row],[Age]]&gt;=20,"20-29",IF(HR_Employee_Attrition[[#This Row],[Age]]&gt;=18,"18-20"))))))</f>
        <v>20-29</v>
      </c>
      <c r="AK1172" t="str" cm="1">
        <f t="array" ref="AK1172">_xlfn.IFS(HR_Employee_Attrition[[#This Row],[YearsAtCompany]]&lt;=2,"0-2",HR_Employee_Attrition[[#This Row],[YearsAtCompany]]&lt;=5,"3-5",HR_Employee_Attrition[[#This Row],[YearsAtCompany]]&lt;=10,"6-10",HR_Employee_Attrition[[#This Row],[YearsAtCompany]]&gt;10,"10+")</f>
        <v>3-5</v>
      </c>
      <c r="AL1172" t="str" cm="1">
        <f t="array" ref="AL117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72">
        <f>IF(HR_Employee_Attrition[[#This Row],[Attrition]]="Yes",1,0)</f>
        <v>0</v>
      </c>
    </row>
    <row r="1173" spans="1:39"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IF(HR_Employee_Attrition[[#This Row],[Age]]&gt;60,"60+",IF(HR_Employee_Attrition[[#This Row],[Age]]&gt;=50,"50-59",IF(HR_Employee_Attrition[[#This Row],[Age]]&gt;=40,"40-49",IF(HR_Employee_Attrition[[#This Row],[Age]]&gt;=30,"30-39",IF(HR_Employee_Attrition[[#This Row],[Age]]&gt;=20,"20-29",IF(HR_Employee_Attrition[[#This Row],[Age]]&gt;=18,"18-20"))))))</f>
        <v>40-49</v>
      </c>
      <c r="AK1173" t="str" cm="1">
        <f t="array" ref="AK1173">_xlfn.IFS(HR_Employee_Attrition[[#This Row],[YearsAtCompany]]&lt;=2,"0-2",HR_Employee_Attrition[[#This Row],[YearsAtCompany]]&lt;=5,"3-5",HR_Employee_Attrition[[#This Row],[YearsAtCompany]]&lt;=10,"6-10",HR_Employee_Attrition[[#This Row],[YearsAtCompany]]&gt;10,"10+")</f>
        <v>3-5</v>
      </c>
      <c r="AL1173" t="str" cm="1">
        <f t="array" ref="AL117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73">
        <f>IF(HR_Employee_Attrition[[#This Row],[Attrition]]="Yes",1,0)</f>
        <v>1</v>
      </c>
    </row>
    <row r="1174" spans="1:39"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IF(HR_Employee_Attrition[[#This Row],[Age]]&gt;60,"60+",IF(HR_Employee_Attrition[[#This Row],[Age]]&gt;=50,"50-59",IF(HR_Employee_Attrition[[#This Row],[Age]]&gt;=40,"40-49",IF(HR_Employee_Attrition[[#This Row],[Age]]&gt;=30,"30-39",IF(HR_Employee_Attrition[[#This Row],[Age]]&gt;=20,"20-29",IF(HR_Employee_Attrition[[#This Row],[Age]]&gt;=18,"18-20"))))))</f>
        <v>20-29</v>
      </c>
      <c r="AK1174" t="str" cm="1">
        <f t="array" ref="AK1174">_xlfn.IFS(HR_Employee_Attrition[[#This Row],[YearsAtCompany]]&lt;=2,"0-2",HR_Employee_Attrition[[#This Row],[YearsAtCompany]]&lt;=5,"3-5",HR_Employee_Attrition[[#This Row],[YearsAtCompany]]&lt;=10,"6-10",HR_Employee_Attrition[[#This Row],[YearsAtCompany]]&gt;10,"10+")</f>
        <v>3-5</v>
      </c>
      <c r="AL1174" t="str" cm="1">
        <f t="array" ref="AL117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74">
        <f>IF(HR_Employee_Attrition[[#This Row],[Attrition]]="Yes",1,0)</f>
        <v>0</v>
      </c>
    </row>
    <row r="1175" spans="1:39"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IF(HR_Employee_Attrition[[#This Row],[Age]]&gt;60,"60+",IF(HR_Employee_Attrition[[#This Row],[Age]]&gt;=50,"50-59",IF(HR_Employee_Attrition[[#This Row],[Age]]&gt;=40,"40-49",IF(HR_Employee_Attrition[[#This Row],[Age]]&gt;=30,"30-39",IF(HR_Employee_Attrition[[#This Row],[Age]]&gt;=20,"20-29",IF(HR_Employee_Attrition[[#This Row],[Age]]&gt;=18,"18-20"))))))</f>
        <v>30-39</v>
      </c>
      <c r="AK1175" t="str" cm="1">
        <f t="array" ref="AK1175">_xlfn.IFS(HR_Employee_Attrition[[#This Row],[YearsAtCompany]]&lt;=2,"0-2",HR_Employee_Attrition[[#This Row],[YearsAtCompany]]&lt;=5,"3-5",HR_Employee_Attrition[[#This Row],[YearsAtCompany]]&lt;=10,"6-10",HR_Employee_Attrition[[#This Row],[YearsAtCompany]]&gt;10,"10+")</f>
        <v>3-5</v>
      </c>
      <c r="AL1175" t="str" cm="1">
        <f t="array" ref="AL117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75">
        <f>IF(HR_Employee_Attrition[[#This Row],[Attrition]]="Yes",1,0)</f>
        <v>0</v>
      </c>
    </row>
    <row r="1176" spans="1:39"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IF(HR_Employee_Attrition[[#This Row],[Age]]&gt;60,"60+",IF(HR_Employee_Attrition[[#This Row],[Age]]&gt;=50,"50-59",IF(HR_Employee_Attrition[[#This Row],[Age]]&gt;=40,"40-49",IF(HR_Employee_Attrition[[#This Row],[Age]]&gt;=30,"30-39",IF(HR_Employee_Attrition[[#This Row],[Age]]&gt;=20,"20-29",IF(HR_Employee_Attrition[[#This Row],[Age]]&gt;=18,"18-20"))))))</f>
        <v>20-29</v>
      </c>
      <c r="AK1176" t="str" cm="1">
        <f t="array" ref="AK1176">_xlfn.IFS(HR_Employee_Attrition[[#This Row],[YearsAtCompany]]&lt;=2,"0-2",HR_Employee_Attrition[[#This Row],[YearsAtCompany]]&lt;=5,"3-5",HR_Employee_Attrition[[#This Row],[YearsAtCompany]]&lt;=10,"6-10",HR_Employee_Attrition[[#This Row],[YearsAtCompany]]&gt;10,"10+")</f>
        <v>6-10</v>
      </c>
      <c r="AL1176" t="str" cm="1">
        <f t="array" ref="AL117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76">
        <f>IF(HR_Employee_Attrition[[#This Row],[Attrition]]="Yes",1,0)</f>
        <v>0</v>
      </c>
    </row>
    <row r="1177" spans="1:39"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IF(HR_Employee_Attrition[[#This Row],[Age]]&gt;60,"60+",IF(HR_Employee_Attrition[[#This Row],[Age]]&gt;=50,"50-59",IF(HR_Employee_Attrition[[#This Row],[Age]]&gt;=40,"40-49",IF(HR_Employee_Attrition[[#This Row],[Age]]&gt;=30,"30-39",IF(HR_Employee_Attrition[[#This Row],[Age]]&gt;=20,"20-29",IF(HR_Employee_Attrition[[#This Row],[Age]]&gt;=18,"18-20"))))))</f>
        <v>30-39</v>
      </c>
      <c r="AK1177" t="str" cm="1">
        <f t="array" ref="AK1177">_xlfn.IFS(HR_Employee_Attrition[[#This Row],[YearsAtCompany]]&lt;=2,"0-2",HR_Employee_Attrition[[#This Row],[YearsAtCompany]]&lt;=5,"3-5",HR_Employee_Attrition[[#This Row],[YearsAtCompany]]&lt;=10,"6-10",HR_Employee_Attrition[[#This Row],[YearsAtCompany]]&gt;10,"10+")</f>
        <v>3-5</v>
      </c>
      <c r="AL1177" t="str" cm="1">
        <f t="array" ref="AL117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77">
        <f>IF(HR_Employee_Attrition[[#This Row],[Attrition]]="Yes",1,0)</f>
        <v>0</v>
      </c>
    </row>
    <row r="1178" spans="1:39"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IF(HR_Employee_Attrition[[#This Row],[Age]]&gt;60,"60+",IF(HR_Employee_Attrition[[#This Row],[Age]]&gt;=50,"50-59",IF(HR_Employee_Attrition[[#This Row],[Age]]&gt;=40,"40-49",IF(HR_Employee_Attrition[[#This Row],[Age]]&gt;=30,"30-39",IF(HR_Employee_Attrition[[#This Row],[Age]]&gt;=20,"20-29",IF(HR_Employee_Attrition[[#This Row],[Age]]&gt;=18,"18-20"))))))</f>
        <v>40-49</v>
      </c>
      <c r="AK1178" t="str" cm="1">
        <f t="array" ref="AK1178">_xlfn.IFS(HR_Employee_Attrition[[#This Row],[YearsAtCompany]]&lt;=2,"0-2",HR_Employee_Attrition[[#This Row],[YearsAtCompany]]&lt;=5,"3-5",HR_Employee_Attrition[[#This Row],[YearsAtCompany]]&lt;=10,"6-10",HR_Employee_Attrition[[#This Row],[YearsAtCompany]]&gt;10,"10+")</f>
        <v>3-5</v>
      </c>
      <c r="AL1178" t="str" cm="1">
        <f t="array" ref="AL117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178">
        <f>IF(HR_Employee_Attrition[[#This Row],[Attrition]]="Yes",1,0)</f>
        <v>0</v>
      </c>
    </row>
    <row r="1179" spans="1:39"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IF(HR_Employee_Attrition[[#This Row],[Age]]&gt;60,"60+",IF(HR_Employee_Attrition[[#This Row],[Age]]&gt;=50,"50-59",IF(HR_Employee_Attrition[[#This Row],[Age]]&gt;=40,"40-49",IF(HR_Employee_Attrition[[#This Row],[Age]]&gt;=30,"30-39",IF(HR_Employee_Attrition[[#This Row],[Age]]&gt;=20,"20-29",IF(HR_Employee_Attrition[[#This Row],[Age]]&gt;=18,"18-20"))))))</f>
        <v>50-59</v>
      </c>
      <c r="AK1179" t="str" cm="1">
        <f t="array" ref="AK1179">_xlfn.IFS(HR_Employee_Attrition[[#This Row],[YearsAtCompany]]&lt;=2,"0-2",HR_Employee_Attrition[[#This Row],[YearsAtCompany]]&lt;=5,"3-5",HR_Employee_Attrition[[#This Row],[YearsAtCompany]]&lt;=10,"6-10",HR_Employee_Attrition[[#This Row],[YearsAtCompany]]&gt;10,"10+")</f>
        <v>10+</v>
      </c>
      <c r="AL1179" t="str" cm="1">
        <f t="array" ref="AL117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179">
        <f>IF(HR_Employee_Attrition[[#This Row],[Attrition]]="Yes",1,0)</f>
        <v>0</v>
      </c>
    </row>
    <row r="1180" spans="1:39"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IF(HR_Employee_Attrition[[#This Row],[Age]]&gt;60,"60+",IF(HR_Employee_Attrition[[#This Row],[Age]]&gt;=50,"50-59",IF(HR_Employee_Attrition[[#This Row],[Age]]&gt;=40,"40-49",IF(HR_Employee_Attrition[[#This Row],[Age]]&gt;=30,"30-39",IF(HR_Employee_Attrition[[#This Row],[Age]]&gt;=20,"20-29",IF(HR_Employee_Attrition[[#This Row],[Age]]&gt;=18,"18-20"))))))</f>
        <v>20-29</v>
      </c>
      <c r="AK1180" t="str" cm="1">
        <f t="array" ref="AK1180">_xlfn.IFS(HR_Employee_Attrition[[#This Row],[YearsAtCompany]]&lt;=2,"0-2",HR_Employee_Attrition[[#This Row],[YearsAtCompany]]&lt;=5,"3-5",HR_Employee_Attrition[[#This Row],[YearsAtCompany]]&lt;=10,"6-10",HR_Employee_Attrition[[#This Row],[YearsAtCompany]]&gt;10,"10+")</f>
        <v>0-2</v>
      </c>
      <c r="AL1180" t="str" cm="1">
        <f t="array" ref="AL118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80">
        <f>IF(HR_Employee_Attrition[[#This Row],[Attrition]]="Yes",1,0)</f>
        <v>0</v>
      </c>
    </row>
    <row r="1181" spans="1:39"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IF(HR_Employee_Attrition[[#This Row],[Age]]&gt;60,"60+",IF(HR_Employee_Attrition[[#This Row],[Age]]&gt;=50,"50-59",IF(HR_Employee_Attrition[[#This Row],[Age]]&gt;=40,"40-49",IF(HR_Employee_Attrition[[#This Row],[Age]]&gt;=30,"30-39",IF(HR_Employee_Attrition[[#This Row],[Age]]&gt;=20,"20-29",IF(HR_Employee_Attrition[[#This Row],[Age]]&gt;=18,"18-20"))))))</f>
        <v>30-39</v>
      </c>
      <c r="AK1181" t="str" cm="1">
        <f t="array" ref="AK1181">_xlfn.IFS(HR_Employee_Attrition[[#This Row],[YearsAtCompany]]&lt;=2,"0-2",HR_Employee_Attrition[[#This Row],[YearsAtCompany]]&lt;=5,"3-5",HR_Employee_Attrition[[#This Row],[YearsAtCompany]]&lt;=10,"6-10",HR_Employee_Attrition[[#This Row],[YearsAtCompany]]&gt;10,"10+")</f>
        <v>10+</v>
      </c>
      <c r="AL1181" t="str" cm="1">
        <f t="array" ref="AL118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81">
        <f>IF(HR_Employee_Attrition[[#This Row],[Attrition]]="Yes",1,0)</f>
        <v>0</v>
      </c>
    </row>
    <row r="1182" spans="1:39"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IF(HR_Employee_Attrition[[#This Row],[Age]]&gt;60,"60+",IF(HR_Employee_Attrition[[#This Row],[Age]]&gt;=50,"50-59",IF(HR_Employee_Attrition[[#This Row],[Age]]&gt;=40,"40-49",IF(HR_Employee_Attrition[[#This Row],[Age]]&gt;=30,"30-39",IF(HR_Employee_Attrition[[#This Row],[Age]]&gt;=20,"20-29",IF(HR_Employee_Attrition[[#This Row],[Age]]&gt;=18,"18-20"))))))</f>
        <v>30-39</v>
      </c>
      <c r="AK1182" t="str" cm="1">
        <f t="array" ref="AK1182">_xlfn.IFS(HR_Employee_Attrition[[#This Row],[YearsAtCompany]]&lt;=2,"0-2",HR_Employee_Attrition[[#This Row],[YearsAtCompany]]&lt;=5,"3-5",HR_Employee_Attrition[[#This Row],[YearsAtCompany]]&lt;=10,"6-10",HR_Employee_Attrition[[#This Row],[YearsAtCompany]]&gt;10,"10+")</f>
        <v>3-5</v>
      </c>
      <c r="AL1182" t="str" cm="1">
        <f t="array" ref="AL118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82">
        <f>IF(HR_Employee_Attrition[[#This Row],[Attrition]]="Yes",1,0)</f>
        <v>0</v>
      </c>
    </row>
    <row r="1183" spans="1:39"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IF(HR_Employee_Attrition[[#This Row],[Age]]&gt;60,"60+",IF(HR_Employee_Attrition[[#This Row],[Age]]&gt;=50,"50-59",IF(HR_Employee_Attrition[[#This Row],[Age]]&gt;=40,"40-49",IF(HR_Employee_Attrition[[#This Row],[Age]]&gt;=30,"30-39",IF(HR_Employee_Attrition[[#This Row],[Age]]&gt;=20,"20-29",IF(HR_Employee_Attrition[[#This Row],[Age]]&gt;=18,"18-20"))))))</f>
        <v>40-49</v>
      </c>
      <c r="AK1183" t="str" cm="1">
        <f t="array" ref="AK1183">_xlfn.IFS(HR_Employee_Attrition[[#This Row],[YearsAtCompany]]&lt;=2,"0-2",HR_Employee_Attrition[[#This Row],[YearsAtCompany]]&lt;=5,"3-5",HR_Employee_Attrition[[#This Row],[YearsAtCompany]]&lt;=10,"6-10",HR_Employee_Attrition[[#This Row],[YearsAtCompany]]&gt;10,"10+")</f>
        <v>10+</v>
      </c>
      <c r="AL1183" t="str" cm="1">
        <f t="array" ref="AL118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183">
        <f>IF(HR_Employee_Attrition[[#This Row],[Attrition]]="Yes",1,0)</f>
        <v>0</v>
      </c>
    </row>
    <row r="1184" spans="1:39"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IF(HR_Employee_Attrition[[#This Row],[Age]]&gt;60,"60+",IF(HR_Employee_Attrition[[#This Row],[Age]]&gt;=50,"50-59",IF(HR_Employee_Attrition[[#This Row],[Age]]&gt;=40,"40-49",IF(HR_Employee_Attrition[[#This Row],[Age]]&gt;=30,"30-39",IF(HR_Employee_Attrition[[#This Row],[Age]]&gt;=20,"20-29",IF(HR_Employee_Attrition[[#This Row],[Age]]&gt;=18,"18-20"))))))</f>
        <v>30-39</v>
      </c>
      <c r="AK1184" t="str" cm="1">
        <f t="array" ref="AK1184">_xlfn.IFS(HR_Employee_Attrition[[#This Row],[YearsAtCompany]]&lt;=2,"0-2",HR_Employee_Attrition[[#This Row],[YearsAtCompany]]&lt;=5,"3-5",HR_Employee_Attrition[[#This Row],[YearsAtCompany]]&lt;=10,"6-10",HR_Employee_Attrition[[#This Row],[YearsAtCompany]]&gt;10,"10+")</f>
        <v>3-5</v>
      </c>
      <c r="AL1184" t="str" cm="1">
        <f t="array" ref="AL118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84">
        <f>IF(HR_Employee_Attrition[[#This Row],[Attrition]]="Yes",1,0)</f>
        <v>0</v>
      </c>
    </row>
    <row r="1185" spans="1:39"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IF(HR_Employee_Attrition[[#This Row],[Age]]&gt;60,"60+",IF(HR_Employee_Attrition[[#This Row],[Age]]&gt;=50,"50-59",IF(HR_Employee_Attrition[[#This Row],[Age]]&gt;=40,"40-49",IF(HR_Employee_Attrition[[#This Row],[Age]]&gt;=30,"30-39",IF(HR_Employee_Attrition[[#This Row],[Age]]&gt;=20,"20-29",IF(HR_Employee_Attrition[[#This Row],[Age]]&gt;=18,"18-20"))))))</f>
        <v>30-39</v>
      </c>
      <c r="AK1185" t="str" cm="1">
        <f t="array" ref="AK1185">_xlfn.IFS(HR_Employee_Attrition[[#This Row],[YearsAtCompany]]&lt;=2,"0-2",HR_Employee_Attrition[[#This Row],[YearsAtCompany]]&lt;=5,"3-5",HR_Employee_Attrition[[#This Row],[YearsAtCompany]]&lt;=10,"6-10",HR_Employee_Attrition[[#This Row],[YearsAtCompany]]&gt;10,"10+")</f>
        <v>3-5</v>
      </c>
      <c r="AL1185" t="str" cm="1">
        <f t="array" ref="AL118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85">
        <f>IF(HR_Employee_Attrition[[#This Row],[Attrition]]="Yes",1,0)</f>
        <v>0</v>
      </c>
    </row>
    <row r="1186" spans="1:39"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IF(HR_Employee_Attrition[[#This Row],[Age]]&gt;60,"60+",IF(HR_Employee_Attrition[[#This Row],[Age]]&gt;=50,"50-59",IF(HR_Employee_Attrition[[#This Row],[Age]]&gt;=40,"40-49",IF(HR_Employee_Attrition[[#This Row],[Age]]&gt;=30,"30-39",IF(HR_Employee_Attrition[[#This Row],[Age]]&gt;=20,"20-29",IF(HR_Employee_Attrition[[#This Row],[Age]]&gt;=18,"18-20"))))))</f>
        <v>50-59</v>
      </c>
      <c r="AK1186" t="str" cm="1">
        <f t="array" ref="AK1186">_xlfn.IFS(HR_Employee_Attrition[[#This Row],[YearsAtCompany]]&lt;=2,"0-2",HR_Employee_Attrition[[#This Row],[YearsAtCompany]]&lt;=5,"3-5",HR_Employee_Attrition[[#This Row],[YearsAtCompany]]&lt;=10,"6-10",HR_Employee_Attrition[[#This Row],[YearsAtCompany]]&gt;10,"10+")</f>
        <v>6-10</v>
      </c>
      <c r="AL1186" t="str" cm="1">
        <f t="array" ref="AL118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186">
        <f>IF(HR_Employee_Attrition[[#This Row],[Attrition]]="Yes",1,0)</f>
        <v>0</v>
      </c>
    </row>
    <row r="1187" spans="1:39"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IF(HR_Employee_Attrition[[#This Row],[Age]]&gt;60,"60+",IF(HR_Employee_Attrition[[#This Row],[Age]]&gt;=50,"50-59",IF(HR_Employee_Attrition[[#This Row],[Age]]&gt;=40,"40-49",IF(HR_Employee_Attrition[[#This Row],[Age]]&gt;=30,"30-39",IF(HR_Employee_Attrition[[#This Row],[Age]]&gt;=20,"20-29",IF(HR_Employee_Attrition[[#This Row],[Age]]&gt;=18,"18-20"))))))</f>
        <v>40-49</v>
      </c>
      <c r="AK1187" t="str" cm="1">
        <f t="array" ref="AK1187">_xlfn.IFS(HR_Employee_Attrition[[#This Row],[YearsAtCompany]]&lt;=2,"0-2",HR_Employee_Attrition[[#This Row],[YearsAtCompany]]&lt;=5,"3-5",HR_Employee_Attrition[[#This Row],[YearsAtCompany]]&lt;=10,"6-10",HR_Employee_Attrition[[#This Row],[YearsAtCompany]]&gt;10,"10+")</f>
        <v>10+</v>
      </c>
      <c r="AL1187" t="str" cm="1">
        <f t="array" ref="AL118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187">
        <f>IF(HR_Employee_Attrition[[#This Row],[Attrition]]="Yes",1,0)</f>
        <v>0</v>
      </c>
    </row>
    <row r="1188" spans="1:39"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IF(HR_Employee_Attrition[[#This Row],[Age]]&gt;60,"60+",IF(HR_Employee_Attrition[[#This Row],[Age]]&gt;=50,"50-59",IF(HR_Employee_Attrition[[#This Row],[Age]]&gt;=40,"40-49",IF(HR_Employee_Attrition[[#This Row],[Age]]&gt;=30,"30-39",IF(HR_Employee_Attrition[[#This Row],[Age]]&gt;=20,"20-29",IF(HR_Employee_Attrition[[#This Row],[Age]]&gt;=18,"18-20"))))))</f>
        <v>30-39</v>
      </c>
      <c r="AK1188" t="str" cm="1">
        <f t="array" ref="AK1188">_xlfn.IFS(HR_Employee_Attrition[[#This Row],[YearsAtCompany]]&lt;=2,"0-2",HR_Employee_Attrition[[#This Row],[YearsAtCompany]]&lt;=5,"3-5",HR_Employee_Attrition[[#This Row],[YearsAtCompany]]&lt;=10,"6-10",HR_Employee_Attrition[[#This Row],[YearsAtCompany]]&gt;10,"10+")</f>
        <v>10+</v>
      </c>
      <c r="AL1188" t="str" cm="1">
        <f t="array" ref="AL118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88">
        <f>IF(HR_Employee_Attrition[[#This Row],[Attrition]]="Yes",1,0)</f>
        <v>1</v>
      </c>
    </row>
    <row r="1189" spans="1:39"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IF(HR_Employee_Attrition[[#This Row],[Age]]&gt;60,"60+",IF(HR_Employee_Attrition[[#This Row],[Age]]&gt;=50,"50-59",IF(HR_Employee_Attrition[[#This Row],[Age]]&gt;=40,"40-49",IF(HR_Employee_Attrition[[#This Row],[Age]]&gt;=30,"30-39",IF(HR_Employee_Attrition[[#This Row],[Age]]&gt;=20,"20-29",IF(HR_Employee_Attrition[[#This Row],[Age]]&gt;=18,"18-20"))))))</f>
        <v>30-39</v>
      </c>
      <c r="AK1189" t="str" cm="1">
        <f t="array" ref="AK1189">_xlfn.IFS(HR_Employee_Attrition[[#This Row],[YearsAtCompany]]&lt;=2,"0-2",HR_Employee_Attrition[[#This Row],[YearsAtCompany]]&lt;=5,"3-5",HR_Employee_Attrition[[#This Row],[YearsAtCompany]]&lt;=10,"6-10",HR_Employee_Attrition[[#This Row],[YearsAtCompany]]&gt;10,"10+")</f>
        <v>10+</v>
      </c>
      <c r="AL1189" t="str" cm="1">
        <f t="array" ref="AL118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89">
        <f>IF(HR_Employee_Attrition[[#This Row],[Attrition]]="Yes",1,0)</f>
        <v>0</v>
      </c>
    </row>
    <row r="1190" spans="1:39"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IF(HR_Employee_Attrition[[#This Row],[Age]]&gt;60,"60+",IF(HR_Employee_Attrition[[#This Row],[Age]]&gt;=50,"50-59",IF(HR_Employee_Attrition[[#This Row],[Age]]&gt;=40,"40-49",IF(HR_Employee_Attrition[[#This Row],[Age]]&gt;=30,"30-39",IF(HR_Employee_Attrition[[#This Row],[Age]]&gt;=20,"20-29",IF(HR_Employee_Attrition[[#This Row],[Age]]&gt;=18,"18-20"))))))</f>
        <v>20-29</v>
      </c>
      <c r="AK1190" t="str" cm="1">
        <f t="array" ref="AK1190">_xlfn.IFS(HR_Employee_Attrition[[#This Row],[YearsAtCompany]]&lt;=2,"0-2",HR_Employee_Attrition[[#This Row],[YearsAtCompany]]&lt;=5,"3-5",HR_Employee_Attrition[[#This Row],[YearsAtCompany]]&lt;=10,"6-10",HR_Employee_Attrition[[#This Row],[YearsAtCompany]]&gt;10,"10+")</f>
        <v>6-10</v>
      </c>
      <c r="AL1190" t="str" cm="1">
        <f t="array" ref="AL119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90">
        <f>IF(HR_Employee_Attrition[[#This Row],[Attrition]]="Yes",1,0)</f>
        <v>0</v>
      </c>
    </row>
    <row r="1191" spans="1:39"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IF(HR_Employee_Attrition[[#This Row],[Age]]&gt;60,"60+",IF(HR_Employee_Attrition[[#This Row],[Age]]&gt;=50,"50-59",IF(HR_Employee_Attrition[[#This Row],[Age]]&gt;=40,"40-49",IF(HR_Employee_Attrition[[#This Row],[Age]]&gt;=30,"30-39",IF(HR_Employee_Attrition[[#This Row],[Age]]&gt;=20,"20-29",IF(HR_Employee_Attrition[[#This Row],[Age]]&gt;=18,"18-20"))))))</f>
        <v>30-39</v>
      </c>
      <c r="AK1191" t="str" cm="1">
        <f t="array" ref="AK1191">_xlfn.IFS(HR_Employee_Attrition[[#This Row],[YearsAtCompany]]&lt;=2,"0-2",HR_Employee_Attrition[[#This Row],[YearsAtCompany]]&lt;=5,"3-5",HR_Employee_Attrition[[#This Row],[YearsAtCompany]]&lt;=10,"6-10",HR_Employee_Attrition[[#This Row],[YearsAtCompany]]&gt;10,"10+")</f>
        <v>6-10</v>
      </c>
      <c r="AL1191" t="str" cm="1">
        <f t="array" ref="AL119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91">
        <f>IF(HR_Employee_Attrition[[#This Row],[Attrition]]="Yes",1,0)</f>
        <v>0</v>
      </c>
    </row>
    <row r="1192" spans="1:39"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IF(HR_Employee_Attrition[[#This Row],[Age]]&gt;60,"60+",IF(HR_Employee_Attrition[[#This Row],[Age]]&gt;=50,"50-59",IF(HR_Employee_Attrition[[#This Row],[Age]]&gt;=40,"40-49",IF(HR_Employee_Attrition[[#This Row],[Age]]&gt;=30,"30-39",IF(HR_Employee_Attrition[[#This Row],[Age]]&gt;=20,"20-29",IF(HR_Employee_Attrition[[#This Row],[Age]]&gt;=18,"18-20"))))))</f>
        <v>30-39</v>
      </c>
      <c r="AK1192" t="str" cm="1">
        <f t="array" ref="AK1192">_xlfn.IFS(HR_Employee_Attrition[[#This Row],[YearsAtCompany]]&lt;=2,"0-2",HR_Employee_Attrition[[#This Row],[YearsAtCompany]]&lt;=5,"3-5",HR_Employee_Attrition[[#This Row],[YearsAtCompany]]&lt;=10,"6-10",HR_Employee_Attrition[[#This Row],[YearsAtCompany]]&gt;10,"10+")</f>
        <v>6-10</v>
      </c>
      <c r="AL1192" t="str" cm="1">
        <f t="array" ref="AL119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92">
        <f>IF(HR_Employee_Attrition[[#This Row],[Attrition]]="Yes",1,0)</f>
        <v>0</v>
      </c>
    </row>
    <row r="1193" spans="1:39"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IF(HR_Employee_Attrition[[#This Row],[Age]]&gt;60,"60+",IF(HR_Employee_Attrition[[#This Row],[Age]]&gt;=50,"50-59",IF(HR_Employee_Attrition[[#This Row],[Age]]&gt;=40,"40-49",IF(HR_Employee_Attrition[[#This Row],[Age]]&gt;=30,"30-39",IF(HR_Employee_Attrition[[#This Row],[Age]]&gt;=20,"20-29",IF(HR_Employee_Attrition[[#This Row],[Age]]&gt;=18,"18-20"))))))</f>
        <v>30-39</v>
      </c>
      <c r="AK1193" t="str" cm="1">
        <f t="array" ref="AK1193">_xlfn.IFS(HR_Employee_Attrition[[#This Row],[YearsAtCompany]]&lt;=2,"0-2",HR_Employee_Attrition[[#This Row],[YearsAtCompany]]&lt;=5,"3-5",HR_Employee_Attrition[[#This Row],[YearsAtCompany]]&lt;=10,"6-10",HR_Employee_Attrition[[#This Row],[YearsAtCompany]]&gt;10,"10+")</f>
        <v>6-10</v>
      </c>
      <c r="AL1193" t="str" cm="1">
        <f t="array" ref="AL119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93">
        <f>IF(HR_Employee_Attrition[[#This Row],[Attrition]]="Yes",1,0)</f>
        <v>0</v>
      </c>
    </row>
    <row r="1194" spans="1:39"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IF(HR_Employee_Attrition[[#This Row],[Age]]&gt;60,"60+",IF(HR_Employee_Attrition[[#This Row],[Age]]&gt;=50,"50-59",IF(HR_Employee_Attrition[[#This Row],[Age]]&gt;=40,"40-49",IF(HR_Employee_Attrition[[#This Row],[Age]]&gt;=30,"30-39",IF(HR_Employee_Attrition[[#This Row],[Age]]&gt;=20,"20-29",IF(HR_Employee_Attrition[[#This Row],[Age]]&gt;=18,"18-20"))))))</f>
        <v>40-49</v>
      </c>
      <c r="AK1194" t="str" cm="1">
        <f t="array" ref="AK1194">_xlfn.IFS(HR_Employee_Attrition[[#This Row],[YearsAtCompany]]&lt;=2,"0-2",HR_Employee_Attrition[[#This Row],[YearsAtCompany]]&lt;=5,"3-5",HR_Employee_Attrition[[#This Row],[YearsAtCompany]]&lt;=10,"6-10",HR_Employee_Attrition[[#This Row],[YearsAtCompany]]&gt;10,"10+")</f>
        <v>0-2</v>
      </c>
      <c r="AL1194" t="str" cm="1">
        <f t="array" ref="AL119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94">
        <f>IF(HR_Employee_Attrition[[#This Row],[Attrition]]="Yes",1,0)</f>
        <v>0</v>
      </c>
    </row>
    <row r="1195" spans="1:39"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IF(HR_Employee_Attrition[[#This Row],[Age]]&gt;60,"60+",IF(HR_Employee_Attrition[[#This Row],[Age]]&gt;=50,"50-59",IF(HR_Employee_Attrition[[#This Row],[Age]]&gt;=40,"40-49",IF(HR_Employee_Attrition[[#This Row],[Age]]&gt;=30,"30-39",IF(HR_Employee_Attrition[[#This Row],[Age]]&gt;=20,"20-29",IF(HR_Employee_Attrition[[#This Row],[Age]]&gt;=18,"18-20"))))))</f>
        <v>30-39</v>
      </c>
      <c r="AK1195" t="str" cm="1">
        <f t="array" ref="AK1195">_xlfn.IFS(HR_Employee_Attrition[[#This Row],[YearsAtCompany]]&lt;=2,"0-2",HR_Employee_Attrition[[#This Row],[YearsAtCompany]]&lt;=5,"3-5",HR_Employee_Attrition[[#This Row],[YearsAtCompany]]&lt;=10,"6-10",HR_Employee_Attrition[[#This Row],[YearsAtCompany]]&gt;10,"10+")</f>
        <v>3-5</v>
      </c>
      <c r="AL1195" t="str" cm="1">
        <f t="array" ref="AL119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95">
        <f>IF(HR_Employee_Attrition[[#This Row],[Attrition]]="Yes",1,0)</f>
        <v>0</v>
      </c>
    </row>
    <row r="1196" spans="1:39"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IF(HR_Employee_Attrition[[#This Row],[Age]]&gt;60,"60+",IF(HR_Employee_Attrition[[#This Row],[Age]]&gt;=50,"50-59",IF(HR_Employee_Attrition[[#This Row],[Age]]&gt;=40,"40-49",IF(HR_Employee_Attrition[[#This Row],[Age]]&gt;=30,"30-39",IF(HR_Employee_Attrition[[#This Row],[Age]]&gt;=20,"20-29",IF(HR_Employee_Attrition[[#This Row],[Age]]&gt;=18,"18-20"))))))</f>
        <v>40-49</v>
      </c>
      <c r="AK1196" t="str" cm="1">
        <f t="array" ref="AK1196">_xlfn.IFS(HR_Employee_Attrition[[#This Row],[YearsAtCompany]]&lt;=2,"0-2",HR_Employee_Attrition[[#This Row],[YearsAtCompany]]&lt;=5,"3-5",HR_Employee_Attrition[[#This Row],[YearsAtCompany]]&lt;=10,"6-10",HR_Employee_Attrition[[#This Row],[YearsAtCompany]]&gt;10,"10+")</f>
        <v>3-5</v>
      </c>
      <c r="AL1196" t="str" cm="1">
        <f t="array" ref="AL119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196">
        <f>IF(HR_Employee_Attrition[[#This Row],[Attrition]]="Yes",1,0)</f>
        <v>0</v>
      </c>
    </row>
    <row r="1197" spans="1:39"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IF(HR_Employee_Attrition[[#This Row],[Age]]&gt;60,"60+",IF(HR_Employee_Attrition[[#This Row],[Age]]&gt;=50,"50-59",IF(HR_Employee_Attrition[[#This Row],[Age]]&gt;=40,"40-49",IF(HR_Employee_Attrition[[#This Row],[Age]]&gt;=30,"30-39",IF(HR_Employee_Attrition[[#This Row],[Age]]&gt;=20,"20-29",IF(HR_Employee_Attrition[[#This Row],[Age]]&gt;=18,"18-20"))))))</f>
        <v>40-49</v>
      </c>
      <c r="AK1197" t="str" cm="1">
        <f t="array" ref="AK1197">_xlfn.IFS(HR_Employee_Attrition[[#This Row],[YearsAtCompany]]&lt;=2,"0-2",HR_Employee_Attrition[[#This Row],[YearsAtCompany]]&lt;=5,"3-5",HR_Employee_Attrition[[#This Row],[YearsAtCompany]]&lt;=10,"6-10",HR_Employee_Attrition[[#This Row],[YearsAtCompany]]&gt;10,"10+")</f>
        <v>6-10</v>
      </c>
      <c r="AL1197" t="str" cm="1">
        <f t="array" ref="AL119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197">
        <f>IF(HR_Employee_Attrition[[#This Row],[Attrition]]="Yes",1,0)</f>
        <v>0</v>
      </c>
    </row>
    <row r="1198" spans="1:39"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IF(HR_Employee_Attrition[[#This Row],[Age]]&gt;60,"60+",IF(HR_Employee_Attrition[[#This Row],[Age]]&gt;=50,"50-59",IF(HR_Employee_Attrition[[#This Row],[Age]]&gt;=40,"40-49",IF(HR_Employee_Attrition[[#This Row],[Age]]&gt;=30,"30-39",IF(HR_Employee_Attrition[[#This Row],[Age]]&gt;=20,"20-29",IF(HR_Employee_Attrition[[#This Row],[Age]]&gt;=18,"18-20"))))))</f>
        <v>40-49</v>
      </c>
      <c r="AK1198" t="str" cm="1">
        <f t="array" ref="AK1198">_xlfn.IFS(HR_Employee_Attrition[[#This Row],[YearsAtCompany]]&lt;=2,"0-2",HR_Employee_Attrition[[#This Row],[YearsAtCompany]]&lt;=5,"3-5",HR_Employee_Attrition[[#This Row],[YearsAtCompany]]&lt;=10,"6-10",HR_Employee_Attrition[[#This Row],[YearsAtCompany]]&gt;10,"10+")</f>
        <v>0-2</v>
      </c>
      <c r="AL1198" t="str" cm="1">
        <f t="array" ref="AL119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198">
        <f>IF(HR_Employee_Attrition[[#This Row],[Attrition]]="Yes",1,0)</f>
        <v>0</v>
      </c>
    </row>
    <row r="1199" spans="1:39"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IF(HR_Employee_Attrition[[#This Row],[Age]]&gt;60,"60+",IF(HR_Employee_Attrition[[#This Row],[Age]]&gt;=50,"50-59",IF(HR_Employee_Attrition[[#This Row],[Age]]&gt;=40,"40-49",IF(HR_Employee_Attrition[[#This Row],[Age]]&gt;=30,"30-39",IF(HR_Employee_Attrition[[#This Row],[Age]]&gt;=20,"20-29",IF(HR_Employee_Attrition[[#This Row],[Age]]&gt;=18,"18-20"))))))</f>
        <v>20-29</v>
      </c>
      <c r="AK1199" t="str" cm="1">
        <f t="array" ref="AK1199">_xlfn.IFS(HR_Employee_Attrition[[#This Row],[YearsAtCompany]]&lt;=2,"0-2",HR_Employee_Attrition[[#This Row],[YearsAtCompany]]&lt;=5,"3-5",HR_Employee_Attrition[[#This Row],[YearsAtCompany]]&lt;=10,"6-10",HR_Employee_Attrition[[#This Row],[YearsAtCompany]]&gt;10,"10+")</f>
        <v>0-2</v>
      </c>
      <c r="AL1199" t="str" cm="1">
        <f t="array" ref="AL119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199">
        <f>IF(HR_Employee_Attrition[[#This Row],[Attrition]]="Yes",1,0)</f>
        <v>0</v>
      </c>
    </row>
    <row r="1200" spans="1:39"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IF(HR_Employee_Attrition[[#This Row],[Age]]&gt;60,"60+",IF(HR_Employee_Attrition[[#This Row],[Age]]&gt;=50,"50-59",IF(HR_Employee_Attrition[[#This Row],[Age]]&gt;=40,"40-49",IF(HR_Employee_Attrition[[#This Row],[Age]]&gt;=30,"30-39",IF(HR_Employee_Attrition[[#This Row],[Age]]&gt;=20,"20-29",IF(HR_Employee_Attrition[[#This Row],[Age]]&gt;=18,"18-20"))))))</f>
        <v>30-39</v>
      </c>
      <c r="AK1200" t="str" cm="1">
        <f t="array" ref="AK1200">_xlfn.IFS(HR_Employee_Attrition[[#This Row],[YearsAtCompany]]&lt;=2,"0-2",HR_Employee_Attrition[[#This Row],[YearsAtCompany]]&lt;=5,"3-5",HR_Employee_Attrition[[#This Row],[YearsAtCompany]]&lt;=10,"6-10",HR_Employee_Attrition[[#This Row],[YearsAtCompany]]&gt;10,"10+")</f>
        <v>6-10</v>
      </c>
      <c r="AL1200" t="str" cm="1">
        <f t="array" ref="AL120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00">
        <f>IF(HR_Employee_Attrition[[#This Row],[Attrition]]="Yes",1,0)</f>
        <v>0</v>
      </c>
    </row>
    <row r="1201" spans="1:39"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IF(HR_Employee_Attrition[[#This Row],[Age]]&gt;60,"60+",IF(HR_Employee_Attrition[[#This Row],[Age]]&gt;=50,"50-59",IF(HR_Employee_Attrition[[#This Row],[Age]]&gt;=40,"40-49",IF(HR_Employee_Attrition[[#This Row],[Age]]&gt;=30,"30-39",IF(HR_Employee_Attrition[[#This Row],[Age]]&gt;=20,"20-29",IF(HR_Employee_Attrition[[#This Row],[Age]]&gt;=18,"18-20"))))))</f>
        <v>30-39</v>
      </c>
      <c r="AK1201" t="str" cm="1">
        <f t="array" ref="AK1201">_xlfn.IFS(HR_Employee_Attrition[[#This Row],[YearsAtCompany]]&lt;=2,"0-2",HR_Employee_Attrition[[#This Row],[YearsAtCompany]]&lt;=5,"3-5",HR_Employee_Attrition[[#This Row],[YearsAtCompany]]&lt;=10,"6-10",HR_Employee_Attrition[[#This Row],[YearsAtCompany]]&gt;10,"10+")</f>
        <v>3-5</v>
      </c>
      <c r="AL1201" t="str" cm="1">
        <f t="array" ref="AL120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01">
        <f>IF(HR_Employee_Attrition[[#This Row],[Attrition]]="Yes",1,0)</f>
        <v>0</v>
      </c>
    </row>
    <row r="1202" spans="1:39"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IF(HR_Employee_Attrition[[#This Row],[Age]]&gt;60,"60+",IF(HR_Employee_Attrition[[#This Row],[Age]]&gt;=50,"50-59",IF(HR_Employee_Attrition[[#This Row],[Age]]&gt;=40,"40-49",IF(HR_Employee_Attrition[[#This Row],[Age]]&gt;=30,"30-39",IF(HR_Employee_Attrition[[#This Row],[Age]]&gt;=20,"20-29",IF(HR_Employee_Attrition[[#This Row],[Age]]&gt;=18,"18-20"))))))</f>
        <v>40-49</v>
      </c>
      <c r="AK1202" t="str" cm="1">
        <f t="array" ref="AK1202">_xlfn.IFS(HR_Employee_Attrition[[#This Row],[YearsAtCompany]]&lt;=2,"0-2",HR_Employee_Attrition[[#This Row],[YearsAtCompany]]&lt;=5,"3-5",HR_Employee_Attrition[[#This Row],[YearsAtCompany]]&lt;=10,"6-10",HR_Employee_Attrition[[#This Row],[YearsAtCompany]]&gt;10,"10+")</f>
        <v>0-2</v>
      </c>
      <c r="AL1202" t="str" cm="1">
        <f t="array" ref="AL120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02">
        <f>IF(HR_Employee_Attrition[[#This Row],[Attrition]]="Yes",1,0)</f>
        <v>0</v>
      </c>
    </row>
    <row r="1203" spans="1:39"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IF(HR_Employee_Attrition[[#This Row],[Age]]&gt;60,"60+",IF(HR_Employee_Attrition[[#This Row],[Age]]&gt;=50,"50-59",IF(HR_Employee_Attrition[[#This Row],[Age]]&gt;=40,"40-49",IF(HR_Employee_Attrition[[#This Row],[Age]]&gt;=30,"30-39",IF(HR_Employee_Attrition[[#This Row],[Age]]&gt;=20,"20-29",IF(HR_Employee_Attrition[[#This Row],[Age]]&gt;=18,"18-20"))))))</f>
        <v>20-29</v>
      </c>
      <c r="AK1203" t="str" cm="1">
        <f t="array" ref="AK1203">_xlfn.IFS(HR_Employee_Attrition[[#This Row],[YearsAtCompany]]&lt;=2,"0-2",HR_Employee_Attrition[[#This Row],[YearsAtCompany]]&lt;=5,"3-5",HR_Employee_Attrition[[#This Row],[YearsAtCompany]]&lt;=10,"6-10",HR_Employee_Attrition[[#This Row],[YearsAtCompany]]&gt;10,"10+")</f>
        <v>3-5</v>
      </c>
      <c r="AL1203" t="str" cm="1">
        <f t="array" ref="AL120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03">
        <f>IF(HR_Employee_Attrition[[#This Row],[Attrition]]="Yes",1,0)</f>
        <v>1</v>
      </c>
    </row>
    <row r="1204" spans="1:39"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IF(HR_Employee_Attrition[[#This Row],[Age]]&gt;60,"60+",IF(HR_Employee_Attrition[[#This Row],[Age]]&gt;=50,"50-59",IF(HR_Employee_Attrition[[#This Row],[Age]]&gt;=40,"40-49",IF(HR_Employee_Attrition[[#This Row],[Age]]&gt;=30,"30-39",IF(HR_Employee_Attrition[[#This Row],[Age]]&gt;=20,"20-29",IF(HR_Employee_Attrition[[#This Row],[Age]]&gt;=18,"18-20"))))))</f>
        <v>30-39</v>
      </c>
      <c r="AK1204" t="str" cm="1">
        <f t="array" ref="AK1204">_xlfn.IFS(HR_Employee_Attrition[[#This Row],[YearsAtCompany]]&lt;=2,"0-2",HR_Employee_Attrition[[#This Row],[YearsAtCompany]]&lt;=5,"3-5",HR_Employee_Attrition[[#This Row],[YearsAtCompany]]&lt;=10,"6-10",HR_Employee_Attrition[[#This Row],[YearsAtCompany]]&gt;10,"10+")</f>
        <v>0-2</v>
      </c>
      <c r="AL1204" t="str" cm="1">
        <f t="array" ref="AL120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04">
        <f>IF(HR_Employee_Attrition[[#This Row],[Attrition]]="Yes",1,0)</f>
        <v>0</v>
      </c>
    </row>
    <row r="1205" spans="1:39"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IF(HR_Employee_Attrition[[#This Row],[Age]]&gt;60,"60+",IF(HR_Employee_Attrition[[#This Row],[Age]]&gt;=50,"50-59",IF(HR_Employee_Attrition[[#This Row],[Age]]&gt;=40,"40-49",IF(HR_Employee_Attrition[[#This Row],[Age]]&gt;=30,"30-39",IF(HR_Employee_Attrition[[#This Row],[Age]]&gt;=20,"20-29",IF(HR_Employee_Attrition[[#This Row],[Age]]&gt;=18,"18-20"))))))</f>
        <v>50-59</v>
      </c>
      <c r="AK1205" t="str" cm="1">
        <f t="array" ref="AK1205">_xlfn.IFS(HR_Employee_Attrition[[#This Row],[YearsAtCompany]]&lt;=2,"0-2",HR_Employee_Attrition[[#This Row],[YearsAtCompany]]&lt;=5,"3-5",HR_Employee_Attrition[[#This Row],[YearsAtCompany]]&lt;=10,"6-10",HR_Employee_Attrition[[#This Row],[YearsAtCompany]]&gt;10,"10+")</f>
        <v>3-5</v>
      </c>
      <c r="AL1205" t="str" cm="1">
        <f t="array" ref="AL120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05">
        <f>IF(HR_Employee_Attrition[[#This Row],[Attrition]]="Yes",1,0)</f>
        <v>0</v>
      </c>
    </row>
    <row r="1206" spans="1:39"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IF(HR_Employee_Attrition[[#This Row],[Age]]&gt;60,"60+",IF(HR_Employee_Attrition[[#This Row],[Age]]&gt;=50,"50-59",IF(HR_Employee_Attrition[[#This Row],[Age]]&gt;=40,"40-49",IF(HR_Employee_Attrition[[#This Row],[Age]]&gt;=30,"30-39",IF(HR_Employee_Attrition[[#This Row],[Age]]&gt;=20,"20-29",IF(HR_Employee_Attrition[[#This Row],[Age]]&gt;=18,"18-20"))))))</f>
        <v>40-49</v>
      </c>
      <c r="AK1206" t="str" cm="1">
        <f t="array" ref="AK1206">_xlfn.IFS(HR_Employee_Attrition[[#This Row],[YearsAtCompany]]&lt;=2,"0-2",HR_Employee_Attrition[[#This Row],[YearsAtCompany]]&lt;=5,"3-5",HR_Employee_Attrition[[#This Row],[YearsAtCompany]]&lt;=10,"6-10",HR_Employee_Attrition[[#This Row],[YearsAtCompany]]&gt;10,"10+")</f>
        <v>6-10</v>
      </c>
      <c r="AL1206" t="str" cm="1">
        <f t="array" ref="AL120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06">
        <f>IF(HR_Employee_Attrition[[#This Row],[Attrition]]="Yes",1,0)</f>
        <v>1</v>
      </c>
    </row>
    <row r="1207" spans="1:39"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IF(HR_Employee_Attrition[[#This Row],[Age]]&gt;60,"60+",IF(HR_Employee_Attrition[[#This Row],[Age]]&gt;=50,"50-59",IF(HR_Employee_Attrition[[#This Row],[Age]]&gt;=40,"40-49",IF(HR_Employee_Attrition[[#This Row],[Age]]&gt;=30,"30-39",IF(HR_Employee_Attrition[[#This Row],[Age]]&gt;=20,"20-29",IF(HR_Employee_Attrition[[#This Row],[Age]]&gt;=18,"18-20"))))))</f>
        <v>30-39</v>
      </c>
      <c r="AK1207" t="str" cm="1">
        <f t="array" ref="AK1207">_xlfn.IFS(HR_Employee_Attrition[[#This Row],[YearsAtCompany]]&lt;=2,"0-2",HR_Employee_Attrition[[#This Row],[YearsAtCompany]]&lt;=5,"3-5",HR_Employee_Attrition[[#This Row],[YearsAtCompany]]&lt;=10,"6-10",HR_Employee_Attrition[[#This Row],[YearsAtCompany]]&gt;10,"10+")</f>
        <v>0-2</v>
      </c>
      <c r="AL1207" t="str" cm="1">
        <f t="array" ref="AL120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07">
        <f>IF(HR_Employee_Attrition[[#This Row],[Attrition]]="Yes",1,0)</f>
        <v>1</v>
      </c>
    </row>
    <row r="1208" spans="1:39"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IF(HR_Employee_Attrition[[#This Row],[Age]]&gt;60,"60+",IF(HR_Employee_Attrition[[#This Row],[Age]]&gt;=50,"50-59",IF(HR_Employee_Attrition[[#This Row],[Age]]&gt;=40,"40-49",IF(HR_Employee_Attrition[[#This Row],[Age]]&gt;=30,"30-39",IF(HR_Employee_Attrition[[#This Row],[Age]]&gt;=20,"20-29",IF(HR_Employee_Attrition[[#This Row],[Age]]&gt;=18,"18-20"))))))</f>
        <v>20-29</v>
      </c>
      <c r="AK1208" t="str" cm="1">
        <f t="array" ref="AK1208">_xlfn.IFS(HR_Employee_Attrition[[#This Row],[YearsAtCompany]]&lt;=2,"0-2",HR_Employee_Attrition[[#This Row],[YearsAtCompany]]&lt;=5,"3-5",HR_Employee_Attrition[[#This Row],[YearsAtCompany]]&lt;=10,"6-10",HR_Employee_Attrition[[#This Row],[YearsAtCompany]]&gt;10,"10+")</f>
        <v>6-10</v>
      </c>
      <c r="AL1208" t="str" cm="1">
        <f t="array" ref="AL120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08">
        <f>IF(HR_Employee_Attrition[[#This Row],[Attrition]]="Yes",1,0)</f>
        <v>0</v>
      </c>
    </row>
    <row r="1209" spans="1:39"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IF(HR_Employee_Attrition[[#This Row],[Age]]&gt;60,"60+",IF(HR_Employee_Attrition[[#This Row],[Age]]&gt;=50,"50-59",IF(HR_Employee_Attrition[[#This Row],[Age]]&gt;=40,"40-49",IF(HR_Employee_Attrition[[#This Row],[Age]]&gt;=30,"30-39",IF(HR_Employee_Attrition[[#This Row],[Age]]&gt;=20,"20-29",IF(HR_Employee_Attrition[[#This Row],[Age]]&gt;=18,"18-20"))))))</f>
        <v>50-59</v>
      </c>
      <c r="AK1209" t="str" cm="1">
        <f t="array" ref="AK1209">_xlfn.IFS(HR_Employee_Attrition[[#This Row],[YearsAtCompany]]&lt;=2,"0-2",HR_Employee_Attrition[[#This Row],[YearsAtCompany]]&lt;=5,"3-5",HR_Employee_Attrition[[#This Row],[YearsAtCompany]]&lt;=10,"6-10",HR_Employee_Attrition[[#This Row],[YearsAtCompany]]&gt;10,"10+")</f>
        <v>3-5</v>
      </c>
      <c r="AL1209" t="str" cm="1">
        <f t="array" ref="AL120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09">
        <f>IF(HR_Employee_Attrition[[#This Row],[Attrition]]="Yes",1,0)</f>
        <v>0</v>
      </c>
    </row>
    <row r="1210" spans="1:39"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IF(HR_Employee_Attrition[[#This Row],[Age]]&gt;60,"60+",IF(HR_Employee_Attrition[[#This Row],[Age]]&gt;=50,"50-59",IF(HR_Employee_Attrition[[#This Row],[Age]]&gt;=40,"40-49",IF(HR_Employee_Attrition[[#This Row],[Age]]&gt;=30,"30-39",IF(HR_Employee_Attrition[[#This Row],[Age]]&gt;=20,"20-29",IF(HR_Employee_Attrition[[#This Row],[Age]]&gt;=18,"18-20"))))))</f>
        <v>30-39</v>
      </c>
      <c r="AK1210" t="str" cm="1">
        <f t="array" ref="AK1210">_xlfn.IFS(HR_Employee_Attrition[[#This Row],[YearsAtCompany]]&lt;=2,"0-2",HR_Employee_Attrition[[#This Row],[YearsAtCompany]]&lt;=5,"3-5",HR_Employee_Attrition[[#This Row],[YearsAtCompany]]&lt;=10,"6-10",HR_Employee_Attrition[[#This Row],[YearsAtCompany]]&gt;10,"10+")</f>
        <v>10+</v>
      </c>
      <c r="AL1210" t="str" cm="1">
        <f t="array" ref="AL12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10">
        <f>IF(HR_Employee_Attrition[[#This Row],[Attrition]]="Yes",1,0)</f>
        <v>0</v>
      </c>
    </row>
    <row r="1211" spans="1:39"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IF(HR_Employee_Attrition[[#This Row],[Age]]&gt;60,"60+",IF(HR_Employee_Attrition[[#This Row],[Age]]&gt;=50,"50-59",IF(HR_Employee_Attrition[[#This Row],[Age]]&gt;=40,"40-49",IF(HR_Employee_Attrition[[#This Row],[Age]]&gt;=30,"30-39",IF(HR_Employee_Attrition[[#This Row],[Age]]&gt;=20,"20-29",IF(HR_Employee_Attrition[[#This Row],[Age]]&gt;=18,"18-20"))))))</f>
        <v>50-59</v>
      </c>
      <c r="AK1211" t="str" cm="1">
        <f t="array" ref="AK1211">_xlfn.IFS(HR_Employee_Attrition[[#This Row],[YearsAtCompany]]&lt;=2,"0-2",HR_Employee_Attrition[[#This Row],[YearsAtCompany]]&lt;=5,"3-5",HR_Employee_Attrition[[#This Row],[YearsAtCompany]]&lt;=10,"6-10",HR_Employee_Attrition[[#This Row],[YearsAtCompany]]&gt;10,"10+")</f>
        <v>0-2</v>
      </c>
      <c r="AL1211" t="str" cm="1">
        <f t="array" ref="AL12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211">
        <f>IF(HR_Employee_Attrition[[#This Row],[Attrition]]="Yes",1,0)</f>
        <v>0</v>
      </c>
    </row>
    <row r="1212" spans="1:39"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IF(HR_Employee_Attrition[[#This Row],[Age]]&gt;60,"60+",IF(HR_Employee_Attrition[[#This Row],[Age]]&gt;=50,"50-59",IF(HR_Employee_Attrition[[#This Row],[Age]]&gt;=40,"40-49",IF(HR_Employee_Attrition[[#This Row],[Age]]&gt;=30,"30-39",IF(HR_Employee_Attrition[[#This Row],[Age]]&gt;=20,"20-29",IF(HR_Employee_Attrition[[#This Row],[Age]]&gt;=18,"18-20"))))))</f>
        <v>30-39</v>
      </c>
      <c r="AK1212" t="str" cm="1">
        <f t="array" ref="AK1212">_xlfn.IFS(HR_Employee_Attrition[[#This Row],[YearsAtCompany]]&lt;=2,"0-2",HR_Employee_Attrition[[#This Row],[YearsAtCompany]]&lt;=5,"3-5",HR_Employee_Attrition[[#This Row],[YearsAtCompany]]&lt;=10,"6-10",HR_Employee_Attrition[[#This Row],[YearsAtCompany]]&gt;10,"10+")</f>
        <v>10+</v>
      </c>
      <c r="AL1212" t="str" cm="1">
        <f t="array" ref="AL12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12">
        <f>IF(HR_Employee_Attrition[[#This Row],[Attrition]]="Yes",1,0)</f>
        <v>0</v>
      </c>
    </row>
    <row r="1213" spans="1:39"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IF(HR_Employee_Attrition[[#This Row],[Age]]&gt;60,"60+",IF(HR_Employee_Attrition[[#This Row],[Age]]&gt;=50,"50-59",IF(HR_Employee_Attrition[[#This Row],[Age]]&gt;=40,"40-49",IF(HR_Employee_Attrition[[#This Row],[Age]]&gt;=30,"30-39",IF(HR_Employee_Attrition[[#This Row],[Age]]&gt;=20,"20-29",IF(HR_Employee_Attrition[[#This Row],[Age]]&gt;=18,"18-20"))))))</f>
        <v>30-39</v>
      </c>
      <c r="AK1213" t="str" cm="1">
        <f t="array" ref="AK1213">_xlfn.IFS(HR_Employee_Attrition[[#This Row],[YearsAtCompany]]&lt;=2,"0-2",HR_Employee_Attrition[[#This Row],[YearsAtCompany]]&lt;=5,"3-5",HR_Employee_Attrition[[#This Row],[YearsAtCompany]]&lt;=10,"6-10",HR_Employee_Attrition[[#This Row],[YearsAtCompany]]&gt;10,"10+")</f>
        <v>6-10</v>
      </c>
      <c r="AL1213" t="str" cm="1">
        <f t="array" ref="AL12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13">
        <f>IF(HR_Employee_Attrition[[#This Row],[Attrition]]="Yes",1,0)</f>
        <v>0</v>
      </c>
    </row>
    <row r="1214" spans="1:39"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IF(HR_Employee_Attrition[[#This Row],[Age]]&gt;60,"60+",IF(HR_Employee_Attrition[[#This Row],[Age]]&gt;=50,"50-59",IF(HR_Employee_Attrition[[#This Row],[Age]]&gt;=40,"40-49",IF(HR_Employee_Attrition[[#This Row],[Age]]&gt;=30,"30-39",IF(HR_Employee_Attrition[[#This Row],[Age]]&gt;=20,"20-29",IF(HR_Employee_Attrition[[#This Row],[Age]]&gt;=18,"18-20"))))))</f>
        <v>30-39</v>
      </c>
      <c r="AK1214" t="str" cm="1">
        <f t="array" ref="AK1214">_xlfn.IFS(HR_Employee_Attrition[[#This Row],[YearsAtCompany]]&lt;=2,"0-2",HR_Employee_Attrition[[#This Row],[YearsAtCompany]]&lt;=5,"3-5",HR_Employee_Attrition[[#This Row],[YearsAtCompany]]&lt;=10,"6-10",HR_Employee_Attrition[[#This Row],[YearsAtCompany]]&gt;10,"10+")</f>
        <v>6-10</v>
      </c>
      <c r="AL1214" t="str" cm="1">
        <f t="array" ref="AL12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14">
        <f>IF(HR_Employee_Attrition[[#This Row],[Attrition]]="Yes",1,0)</f>
        <v>0</v>
      </c>
    </row>
    <row r="1215" spans="1:39"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IF(HR_Employee_Attrition[[#This Row],[Age]]&gt;60,"60+",IF(HR_Employee_Attrition[[#This Row],[Age]]&gt;=50,"50-59",IF(HR_Employee_Attrition[[#This Row],[Age]]&gt;=40,"40-49",IF(HR_Employee_Attrition[[#This Row],[Age]]&gt;=30,"30-39",IF(HR_Employee_Attrition[[#This Row],[Age]]&gt;=20,"20-29",IF(HR_Employee_Attrition[[#This Row],[Age]]&gt;=18,"18-20"))))))</f>
        <v>20-29</v>
      </c>
      <c r="AK1215" t="str" cm="1">
        <f t="array" ref="AK1215">_xlfn.IFS(HR_Employee_Attrition[[#This Row],[YearsAtCompany]]&lt;=2,"0-2",HR_Employee_Attrition[[#This Row],[YearsAtCompany]]&lt;=5,"3-5",HR_Employee_Attrition[[#This Row],[YearsAtCompany]]&lt;=10,"6-10",HR_Employee_Attrition[[#This Row],[YearsAtCompany]]&gt;10,"10+")</f>
        <v>3-5</v>
      </c>
      <c r="AL1215" t="str" cm="1">
        <f t="array" ref="AL12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15">
        <f>IF(HR_Employee_Attrition[[#This Row],[Attrition]]="Yes",1,0)</f>
        <v>1</v>
      </c>
    </row>
    <row r="1216" spans="1:39"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IF(HR_Employee_Attrition[[#This Row],[Age]]&gt;60,"60+",IF(HR_Employee_Attrition[[#This Row],[Age]]&gt;=50,"50-59",IF(HR_Employee_Attrition[[#This Row],[Age]]&gt;=40,"40-49",IF(HR_Employee_Attrition[[#This Row],[Age]]&gt;=30,"30-39",IF(HR_Employee_Attrition[[#This Row],[Age]]&gt;=20,"20-29",IF(HR_Employee_Attrition[[#This Row],[Age]]&gt;=18,"18-20"))))))</f>
        <v>40-49</v>
      </c>
      <c r="AK1216" t="str" cm="1">
        <f t="array" ref="AK1216">_xlfn.IFS(HR_Employee_Attrition[[#This Row],[YearsAtCompany]]&lt;=2,"0-2",HR_Employee_Attrition[[#This Row],[YearsAtCompany]]&lt;=5,"3-5",HR_Employee_Attrition[[#This Row],[YearsAtCompany]]&lt;=10,"6-10",HR_Employee_Attrition[[#This Row],[YearsAtCompany]]&gt;10,"10+")</f>
        <v>6-10</v>
      </c>
      <c r="AL1216" t="str" cm="1">
        <f t="array" ref="AL12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16">
        <f>IF(HR_Employee_Attrition[[#This Row],[Attrition]]="Yes",1,0)</f>
        <v>0</v>
      </c>
    </row>
    <row r="1217" spans="1:39"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IF(HR_Employee_Attrition[[#This Row],[Age]]&gt;60,"60+",IF(HR_Employee_Attrition[[#This Row],[Age]]&gt;=50,"50-59",IF(HR_Employee_Attrition[[#This Row],[Age]]&gt;=40,"40-49",IF(HR_Employee_Attrition[[#This Row],[Age]]&gt;=30,"30-39",IF(HR_Employee_Attrition[[#This Row],[Age]]&gt;=20,"20-29",IF(HR_Employee_Attrition[[#This Row],[Age]]&gt;=18,"18-20"))))))</f>
        <v>30-39</v>
      </c>
      <c r="AK1217" t="str" cm="1">
        <f t="array" ref="AK1217">_xlfn.IFS(HR_Employee_Attrition[[#This Row],[YearsAtCompany]]&lt;=2,"0-2",HR_Employee_Attrition[[#This Row],[YearsAtCompany]]&lt;=5,"3-5",HR_Employee_Attrition[[#This Row],[YearsAtCompany]]&lt;=10,"6-10",HR_Employee_Attrition[[#This Row],[YearsAtCompany]]&gt;10,"10+")</f>
        <v>3-5</v>
      </c>
      <c r="AL1217" t="str" cm="1">
        <f t="array" ref="AL12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17">
        <f>IF(HR_Employee_Attrition[[#This Row],[Attrition]]="Yes",1,0)</f>
        <v>0</v>
      </c>
    </row>
    <row r="1218" spans="1:39"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IF(HR_Employee_Attrition[[#This Row],[Age]]&gt;60,"60+",IF(HR_Employee_Attrition[[#This Row],[Age]]&gt;=50,"50-59",IF(HR_Employee_Attrition[[#This Row],[Age]]&gt;=40,"40-49",IF(HR_Employee_Attrition[[#This Row],[Age]]&gt;=30,"30-39",IF(HR_Employee_Attrition[[#This Row],[Age]]&gt;=20,"20-29",IF(HR_Employee_Attrition[[#This Row],[Age]]&gt;=18,"18-20"))))))</f>
        <v>40-49</v>
      </c>
      <c r="AK1218" t="str" cm="1">
        <f t="array" ref="AK1218">_xlfn.IFS(HR_Employee_Attrition[[#This Row],[YearsAtCompany]]&lt;=2,"0-2",HR_Employee_Attrition[[#This Row],[YearsAtCompany]]&lt;=5,"3-5",HR_Employee_Attrition[[#This Row],[YearsAtCompany]]&lt;=10,"6-10",HR_Employee_Attrition[[#This Row],[YearsAtCompany]]&gt;10,"10+")</f>
        <v>6-10</v>
      </c>
      <c r="AL1218" t="str" cm="1">
        <f t="array" ref="AL12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18">
        <f>IF(HR_Employee_Attrition[[#This Row],[Attrition]]="Yes",1,0)</f>
        <v>0</v>
      </c>
    </row>
    <row r="1219" spans="1:39"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IF(HR_Employee_Attrition[[#This Row],[Age]]&gt;60,"60+",IF(HR_Employee_Attrition[[#This Row],[Age]]&gt;=50,"50-59",IF(HR_Employee_Attrition[[#This Row],[Age]]&gt;=40,"40-49",IF(HR_Employee_Attrition[[#This Row],[Age]]&gt;=30,"30-39",IF(HR_Employee_Attrition[[#This Row],[Age]]&gt;=20,"20-29",IF(HR_Employee_Attrition[[#This Row],[Age]]&gt;=18,"18-20"))))))</f>
        <v>20-29</v>
      </c>
      <c r="AK1219" t="str" cm="1">
        <f t="array" ref="AK1219">_xlfn.IFS(HR_Employee_Attrition[[#This Row],[YearsAtCompany]]&lt;=2,"0-2",HR_Employee_Attrition[[#This Row],[YearsAtCompany]]&lt;=5,"3-5",HR_Employee_Attrition[[#This Row],[YearsAtCompany]]&lt;=10,"6-10",HR_Employee_Attrition[[#This Row],[YearsAtCompany]]&gt;10,"10+")</f>
        <v>3-5</v>
      </c>
      <c r="AL1219" t="str" cm="1">
        <f t="array" ref="AL12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19">
        <f>IF(HR_Employee_Attrition[[#This Row],[Attrition]]="Yes",1,0)</f>
        <v>0</v>
      </c>
    </row>
    <row r="1220" spans="1:39"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IF(HR_Employee_Attrition[[#This Row],[Age]]&gt;60,"60+",IF(HR_Employee_Attrition[[#This Row],[Age]]&gt;=50,"50-59",IF(HR_Employee_Attrition[[#This Row],[Age]]&gt;=40,"40-49",IF(HR_Employee_Attrition[[#This Row],[Age]]&gt;=30,"30-39",IF(HR_Employee_Attrition[[#This Row],[Age]]&gt;=20,"20-29",IF(HR_Employee_Attrition[[#This Row],[Age]]&gt;=18,"18-20"))))))</f>
        <v>40-49</v>
      </c>
      <c r="AK1220" t="str" cm="1">
        <f t="array" ref="AK1220">_xlfn.IFS(HR_Employee_Attrition[[#This Row],[YearsAtCompany]]&lt;=2,"0-2",HR_Employee_Attrition[[#This Row],[YearsAtCompany]]&lt;=5,"3-5",HR_Employee_Attrition[[#This Row],[YearsAtCompany]]&lt;=10,"6-10",HR_Employee_Attrition[[#This Row],[YearsAtCompany]]&gt;10,"10+")</f>
        <v>6-10</v>
      </c>
      <c r="AL1220" t="str" cm="1">
        <f t="array" ref="AL12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20">
        <f>IF(HR_Employee_Attrition[[#This Row],[Attrition]]="Yes",1,0)</f>
        <v>0</v>
      </c>
    </row>
    <row r="1221" spans="1:39"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IF(HR_Employee_Attrition[[#This Row],[Age]]&gt;60,"60+",IF(HR_Employee_Attrition[[#This Row],[Age]]&gt;=50,"50-59",IF(HR_Employee_Attrition[[#This Row],[Age]]&gt;=40,"40-49",IF(HR_Employee_Attrition[[#This Row],[Age]]&gt;=30,"30-39",IF(HR_Employee_Attrition[[#This Row],[Age]]&gt;=20,"20-29",IF(HR_Employee_Attrition[[#This Row],[Age]]&gt;=18,"18-20"))))))</f>
        <v>20-29</v>
      </c>
      <c r="AK1221" t="str" cm="1">
        <f t="array" ref="AK1221">_xlfn.IFS(HR_Employee_Attrition[[#This Row],[YearsAtCompany]]&lt;=2,"0-2",HR_Employee_Attrition[[#This Row],[YearsAtCompany]]&lt;=5,"3-5",HR_Employee_Attrition[[#This Row],[YearsAtCompany]]&lt;=10,"6-10",HR_Employee_Attrition[[#This Row],[YearsAtCompany]]&gt;10,"10+")</f>
        <v>3-5</v>
      </c>
      <c r="AL1221" t="str" cm="1">
        <f t="array" ref="AL12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21">
        <f>IF(HR_Employee_Attrition[[#This Row],[Attrition]]="Yes",1,0)</f>
        <v>0</v>
      </c>
    </row>
    <row r="1222" spans="1:39"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IF(HR_Employee_Attrition[[#This Row],[Age]]&gt;60,"60+",IF(HR_Employee_Attrition[[#This Row],[Age]]&gt;=50,"50-59",IF(HR_Employee_Attrition[[#This Row],[Age]]&gt;=40,"40-49",IF(HR_Employee_Attrition[[#This Row],[Age]]&gt;=30,"30-39",IF(HR_Employee_Attrition[[#This Row],[Age]]&gt;=20,"20-29",IF(HR_Employee_Attrition[[#This Row],[Age]]&gt;=18,"18-20"))))))</f>
        <v>30-39</v>
      </c>
      <c r="AK1222" t="str" cm="1">
        <f t="array" ref="AK1222">_xlfn.IFS(HR_Employee_Attrition[[#This Row],[YearsAtCompany]]&lt;=2,"0-2",HR_Employee_Attrition[[#This Row],[YearsAtCompany]]&lt;=5,"3-5",HR_Employee_Attrition[[#This Row],[YearsAtCompany]]&lt;=10,"6-10",HR_Employee_Attrition[[#This Row],[YearsAtCompany]]&gt;10,"10+")</f>
        <v>10+</v>
      </c>
      <c r="AL1222" t="str" cm="1">
        <f t="array" ref="AL12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22">
        <f>IF(HR_Employee_Attrition[[#This Row],[Attrition]]="Yes",1,0)</f>
        <v>0</v>
      </c>
    </row>
    <row r="1223" spans="1:39"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IF(HR_Employee_Attrition[[#This Row],[Age]]&gt;60,"60+",IF(HR_Employee_Attrition[[#This Row],[Age]]&gt;=50,"50-59",IF(HR_Employee_Attrition[[#This Row],[Age]]&gt;=40,"40-49",IF(HR_Employee_Attrition[[#This Row],[Age]]&gt;=30,"30-39",IF(HR_Employee_Attrition[[#This Row],[Age]]&gt;=20,"20-29",IF(HR_Employee_Attrition[[#This Row],[Age]]&gt;=18,"18-20"))))))</f>
        <v>40-49</v>
      </c>
      <c r="AK1223" t="str" cm="1">
        <f t="array" ref="AK1223">_xlfn.IFS(HR_Employee_Attrition[[#This Row],[YearsAtCompany]]&lt;=2,"0-2",HR_Employee_Attrition[[#This Row],[YearsAtCompany]]&lt;=5,"3-5",HR_Employee_Attrition[[#This Row],[YearsAtCompany]]&lt;=10,"6-10",HR_Employee_Attrition[[#This Row],[YearsAtCompany]]&gt;10,"10+")</f>
        <v>10+</v>
      </c>
      <c r="AL1223" t="str" cm="1">
        <f t="array" ref="AL12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223">
        <f>IF(HR_Employee_Attrition[[#This Row],[Attrition]]="Yes",1,0)</f>
        <v>0</v>
      </c>
    </row>
    <row r="1224" spans="1:39"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IF(HR_Employee_Attrition[[#This Row],[Age]]&gt;60,"60+",IF(HR_Employee_Attrition[[#This Row],[Age]]&gt;=50,"50-59",IF(HR_Employee_Attrition[[#This Row],[Age]]&gt;=40,"40-49",IF(HR_Employee_Attrition[[#This Row],[Age]]&gt;=30,"30-39",IF(HR_Employee_Attrition[[#This Row],[Age]]&gt;=20,"20-29",IF(HR_Employee_Attrition[[#This Row],[Age]]&gt;=18,"18-20"))))))</f>
        <v>20-29</v>
      </c>
      <c r="AK1224" t="str" cm="1">
        <f t="array" ref="AK1224">_xlfn.IFS(HR_Employee_Attrition[[#This Row],[YearsAtCompany]]&lt;=2,"0-2",HR_Employee_Attrition[[#This Row],[YearsAtCompany]]&lt;=5,"3-5",HR_Employee_Attrition[[#This Row],[YearsAtCompany]]&lt;=10,"6-10",HR_Employee_Attrition[[#This Row],[YearsAtCompany]]&gt;10,"10+")</f>
        <v>0-2</v>
      </c>
      <c r="AL1224" t="str" cm="1">
        <f t="array" ref="AL12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24">
        <f>IF(HR_Employee_Attrition[[#This Row],[Attrition]]="Yes",1,0)</f>
        <v>1</v>
      </c>
    </row>
    <row r="1225" spans="1:39"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IF(HR_Employee_Attrition[[#This Row],[Age]]&gt;60,"60+",IF(HR_Employee_Attrition[[#This Row],[Age]]&gt;=50,"50-59",IF(HR_Employee_Attrition[[#This Row],[Age]]&gt;=40,"40-49",IF(HR_Employee_Attrition[[#This Row],[Age]]&gt;=30,"30-39",IF(HR_Employee_Attrition[[#This Row],[Age]]&gt;=20,"20-29",IF(HR_Employee_Attrition[[#This Row],[Age]]&gt;=18,"18-20"))))))</f>
        <v>40-49</v>
      </c>
      <c r="AK1225" t="str" cm="1">
        <f t="array" ref="AK1225">_xlfn.IFS(HR_Employee_Attrition[[#This Row],[YearsAtCompany]]&lt;=2,"0-2",HR_Employee_Attrition[[#This Row],[YearsAtCompany]]&lt;=5,"3-5",HR_Employee_Attrition[[#This Row],[YearsAtCompany]]&lt;=10,"6-10",HR_Employee_Attrition[[#This Row],[YearsAtCompany]]&gt;10,"10+")</f>
        <v>10+</v>
      </c>
      <c r="AL1225" t="str" cm="1">
        <f t="array" ref="AL12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225">
        <f>IF(HR_Employee_Attrition[[#This Row],[Attrition]]="Yes",1,0)</f>
        <v>1</v>
      </c>
    </row>
    <row r="1226" spans="1:39"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IF(HR_Employee_Attrition[[#This Row],[Age]]&gt;60,"60+",IF(HR_Employee_Attrition[[#This Row],[Age]]&gt;=50,"50-59",IF(HR_Employee_Attrition[[#This Row],[Age]]&gt;=40,"40-49",IF(HR_Employee_Attrition[[#This Row],[Age]]&gt;=30,"30-39",IF(HR_Employee_Attrition[[#This Row],[Age]]&gt;=20,"20-29",IF(HR_Employee_Attrition[[#This Row],[Age]]&gt;=18,"18-20"))))))</f>
        <v>20-29</v>
      </c>
      <c r="AK1226" t="str" cm="1">
        <f t="array" ref="AK1226">_xlfn.IFS(HR_Employee_Attrition[[#This Row],[YearsAtCompany]]&lt;=2,"0-2",HR_Employee_Attrition[[#This Row],[YearsAtCompany]]&lt;=5,"3-5",HR_Employee_Attrition[[#This Row],[YearsAtCompany]]&lt;=10,"6-10",HR_Employee_Attrition[[#This Row],[YearsAtCompany]]&gt;10,"10+")</f>
        <v>3-5</v>
      </c>
      <c r="AL1226" t="str" cm="1">
        <f t="array" ref="AL12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26">
        <f>IF(HR_Employee_Attrition[[#This Row],[Attrition]]="Yes",1,0)</f>
        <v>0</v>
      </c>
    </row>
    <row r="1227" spans="1:39"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IF(HR_Employee_Attrition[[#This Row],[Age]]&gt;60,"60+",IF(HR_Employee_Attrition[[#This Row],[Age]]&gt;=50,"50-59",IF(HR_Employee_Attrition[[#This Row],[Age]]&gt;=40,"40-49",IF(HR_Employee_Attrition[[#This Row],[Age]]&gt;=30,"30-39",IF(HR_Employee_Attrition[[#This Row],[Age]]&gt;=20,"20-29",IF(HR_Employee_Attrition[[#This Row],[Age]]&gt;=18,"18-20"))))))</f>
        <v>40-49</v>
      </c>
      <c r="AK1227" t="str" cm="1">
        <f t="array" ref="AK1227">_xlfn.IFS(HR_Employee_Attrition[[#This Row],[YearsAtCompany]]&lt;=2,"0-2",HR_Employee_Attrition[[#This Row],[YearsAtCompany]]&lt;=5,"3-5",HR_Employee_Attrition[[#This Row],[YearsAtCompany]]&lt;=10,"6-10",HR_Employee_Attrition[[#This Row],[YearsAtCompany]]&gt;10,"10+")</f>
        <v>10+</v>
      </c>
      <c r="AL1227" t="str" cm="1">
        <f t="array" ref="AL12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227">
        <f>IF(HR_Employee_Attrition[[#This Row],[Attrition]]="Yes",1,0)</f>
        <v>0</v>
      </c>
    </row>
    <row r="1228" spans="1:39"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IF(HR_Employee_Attrition[[#This Row],[Age]]&gt;60,"60+",IF(HR_Employee_Attrition[[#This Row],[Age]]&gt;=50,"50-59",IF(HR_Employee_Attrition[[#This Row],[Age]]&gt;=40,"40-49",IF(HR_Employee_Attrition[[#This Row],[Age]]&gt;=30,"30-39",IF(HR_Employee_Attrition[[#This Row],[Age]]&gt;=20,"20-29",IF(HR_Employee_Attrition[[#This Row],[Age]]&gt;=18,"18-20"))))))</f>
        <v>30-39</v>
      </c>
      <c r="AK1228" t="str" cm="1">
        <f t="array" ref="AK1228">_xlfn.IFS(HR_Employee_Attrition[[#This Row],[YearsAtCompany]]&lt;=2,"0-2",HR_Employee_Attrition[[#This Row],[YearsAtCompany]]&lt;=5,"3-5",HR_Employee_Attrition[[#This Row],[YearsAtCompany]]&lt;=10,"6-10",HR_Employee_Attrition[[#This Row],[YearsAtCompany]]&gt;10,"10+")</f>
        <v>3-5</v>
      </c>
      <c r="AL1228" t="str" cm="1">
        <f t="array" ref="AL12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28">
        <f>IF(HR_Employee_Attrition[[#This Row],[Attrition]]="Yes",1,0)</f>
        <v>0</v>
      </c>
    </row>
    <row r="1229" spans="1:39"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IF(HR_Employee_Attrition[[#This Row],[Age]]&gt;60,"60+",IF(HR_Employee_Attrition[[#This Row],[Age]]&gt;=50,"50-59",IF(HR_Employee_Attrition[[#This Row],[Age]]&gt;=40,"40-49",IF(HR_Employee_Attrition[[#This Row],[Age]]&gt;=30,"30-39",IF(HR_Employee_Attrition[[#This Row],[Age]]&gt;=20,"20-29",IF(HR_Employee_Attrition[[#This Row],[Age]]&gt;=18,"18-20"))))))</f>
        <v>30-39</v>
      </c>
      <c r="AK1229" t="str" cm="1">
        <f t="array" ref="AK1229">_xlfn.IFS(HR_Employee_Attrition[[#This Row],[YearsAtCompany]]&lt;=2,"0-2",HR_Employee_Attrition[[#This Row],[YearsAtCompany]]&lt;=5,"3-5",HR_Employee_Attrition[[#This Row],[YearsAtCompany]]&lt;=10,"6-10",HR_Employee_Attrition[[#This Row],[YearsAtCompany]]&gt;10,"10+")</f>
        <v>3-5</v>
      </c>
      <c r="AL1229" t="str" cm="1">
        <f t="array" ref="AL12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29">
        <f>IF(HR_Employee_Attrition[[#This Row],[Attrition]]="Yes",1,0)</f>
        <v>0</v>
      </c>
    </row>
    <row r="1230" spans="1:39"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IF(HR_Employee_Attrition[[#This Row],[Age]]&gt;60,"60+",IF(HR_Employee_Attrition[[#This Row],[Age]]&gt;=50,"50-59",IF(HR_Employee_Attrition[[#This Row],[Age]]&gt;=40,"40-49",IF(HR_Employee_Attrition[[#This Row],[Age]]&gt;=30,"30-39",IF(HR_Employee_Attrition[[#This Row],[Age]]&gt;=20,"20-29",IF(HR_Employee_Attrition[[#This Row],[Age]]&gt;=18,"18-20"))))))</f>
        <v>40-49</v>
      </c>
      <c r="AK1230" t="str" cm="1">
        <f t="array" ref="AK1230">_xlfn.IFS(HR_Employee_Attrition[[#This Row],[YearsAtCompany]]&lt;=2,"0-2",HR_Employee_Attrition[[#This Row],[YearsAtCompany]]&lt;=5,"3-5",HR_Employee_Attrition[[#This Row],[YearsAtCompany]]&lt;=10,"6-10",HR_Employee_Attrition[[#This Row],[YearsAtCompany]]&gt;10,"10+")</f>
        <v>3-5</v>
      </c>
      <c r="AL1230" t="str" cm="1">
        <f t="array" ref="AL12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30">
        <f>IF(HR_Employee_Attrition[[#This Row],[Attrition]]="Yes",1,0)</f>
        <v>0</v>
      </c>
    </row>
    <row r="1231" spans="1:39"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IF(HR_Employee_Attrition[[#This Row],[Age]]&gt;60,"60+",IF(HR_Employee_Attrition[[#This Row],[Age]]&gt;=50,"50-59",IF(HR_Employee_Attrition[[#This Row],[Age]]&gt;=40,"40-49",IF(HR_Employee_Attrition[[#This Row],[Age]]&gt;=30,"30-39",IF(HR_Employee_Attrition[[#This Row],[Age]]&gt;=20,"20-29",IF(HR_Employee_Attrition[[#This Row],[Age]]&gt;=18,"18-20"))))))</f>
        <v>40-49</v>
      </c>
      <c r="AK1231" t="str" cm="1">
        <f t="array" ref="AK1231">_xlfn.IFS(HR_Employee_Attrition[[#This Row],[YearsAtCompany]]&lt;=2,"0-2",HR_Employee_Attrition[[#This Row],[YearsAtCompany]]&lt;=5,"3-5",HR_Employee_Attrition[[#This Row],[YearsAtCompany]]&lt;=10,"6-10",HR_Employee_Attrition[[#This Row],[YearsAtCompany]]&gt;10,"10+")</f>
        <v>0-2</v>
      </c>
      <c r="AL1231" t="str" cm="1">
        <f t="array" ref="AL12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31">
        <f>IF(HR_Employee_Attrition[[#This Row],[Attrition]]="Yes",1,0)</f>
        <v>0</v>
      </c>
    </row>
    <row r="1232" spans="1:39"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IF(HR_Employee_Attrition[[#This Row],[Age]]&gt;60,"60+",IF(HR_Employee_Attrition[[#This Row],[Age]]&gt;=50,"50-59",IF(HR_Employee_Attrition[[#This Row],[Age]]&gt;=40,"40-49",IF(HR_Employee_Attrition[[#This Row],[Age]]&gt;=30,"30-39",IF(HR_Employee_Attrition[[#This Row],[Age]]&gt;=20,"20-29",IF(HR_Employee_Attrition[[#This Row],[Age]]&gt;=18,"18-20"))))))</f>
        <v>20-29</v>
      </c>
      <c r="AK1232" t="str" cm="1">
        <f t="array" ref="AK1232">_xlfn.IFS(HR_Employee_Attrition[[#This Row],[YearsAtCompany]]&lt;=2,"0-2",HR_Employee_Attrition[[#This Row],[YearsAtCompany]]&lt;=5,"3-5",HR_Employee_Attrition[[#This Row],[YearsAtCompany]]&lt;=10,"6-10",HR_Employee_Attrition[[#This Row],[YearsAtCompany]]&gt;10,"10+")</f>
        <v>6-10</v>
      </c>
      <c r="AL1232" t="str" cm="1">
        <f t="array" ref="AL12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32">
        <f>IF(HR_Employee_Attrition[[#This Row],[Attrition]]="Yes",1,0)</f>
        <v>0</v>
      </c>
    </row>
    <row r="1233" spans="1:39"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IF(HR_Employee_Attrition[[#This Row],[Age]]&gt;60,"60+",IF(HR_Employee_Attrition[[#This Row],[Age]]&gt;=50,"50-59",IF(HR_Employee_Attrition[[#This Row],[Age]]&gt;=40,"40-49",IF(HR_Employee_Attrition[[#This Row],[Age]]&gt;=30,"30-39",IF(HR_Employee_Attrition[[#This Row],[Age]]&gt;=20,"20-29",IF(HR_Employee_Attrition[[#This Row],[Age]]&gt;=18,"18-20"))))))</f>
        <v>40-49</v>
      </c>
      <c r="AK1233" t="str" cm="1">
        <f t="array" ref="AK1233">_xlfn.IFS(HR_Employee_Attrition[[#This Row],[YearsAtCompany]]&lt;=2,"0-2",HR_Employee_Attrition[[#This Row],[YearsAtCompany]]&lt;=5,"3-5",HR_Employee_Attrition[[#This Row],[YearsAtCompany]]&lt;=10,"6-10",HR_Employee_Attrition[[#This Row],[YearsAtCompany]]&gt;10,"10+")</f>
        <v>6-10</v>
      </c>
      <c r="AL1233" t="str" cm="1">
        <f t="array" ref="AL12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33">
        <f>IF(HR_Employee_Attrition[[#This Row],[Attrition]]="Yes",1,0)</f>
        <v>0</v>
      </c>
    </row>
    <row r="1234" spans="1:39"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IF(HR_Employee_Attrition[[#This Row],[Age]]&gt;60,"60+",IF(HR_Employee_Attrition[[#This Row],[Age]]&gt;=50,"50-59",IF(HR_Employee_Attrition[[#This Row],[Age]]&gt;=40,"40-49",IF(HR_Employee_Attrition[[#This Row],[Age]]&gt;=30,"30-39",IF(HR_Employee_Attrition[[#This Row],[Age]]&gt;=20,"20-29",IF(HR_Employee_Attrition[[#This Row],[Age]]&gt;=18,"18-20"))))))</f>
        <v>30-39</v>
      </c>
      <c r="AK1234" t="str" cm="1">
        <f t="array" ref="AK1234">_xlfn.IFS(HR_Employee_Attrition[[#This Row],[YearsAtCompany]]&lt;=2,"0-2",HR_Employee_Attrition[[#This Row],[YearsAtCompany]]&lt;=5,"3-5",HR_Employee_Attrition[[#This Row],[YearsAtCompany]]&lt;=10,"6-10",HR_Employee_Attrition[[#This Row],[YearsAtCompany]]&gt;10,"10+")</f>
        <v>6-10</v>
      </c>
      <c r="AL1234" t="str" cm="1">
        <f t="array" ref="AL12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34">
        <f>IF(HR_Employee_Attrition[[#This Row],[Attrition]]="Yes",1,0)</f>
        <v>0</v>
      </c>
    </row>
    <row r="1235" spans="1:39"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IF(HR_Employee_Attrition[[#This Row],[Age]]&gt;60,"60+",IF(HR_Employee_Attrition[[#This Row],[Age]]&gt;=50,"50-59",IF(HR_Employee_Attrition[[#This Row],[Age]]&gt;=40,"40-49",IF(HR_Employee_Attrition[[#This Row],[Age]]&gt;=30,"30-39",IF(HR_Employee_Attrition[[#This Row],[Age]]&gt;=20,"20-29",IF(HR_Employee_Attrition[[#This Row],[Age]]&gt;=18,"18-20"))))))</f>
        <v>30-39</v>
      </c>
      <c r="AK1235" t="str" cm="1">
        <f t="array" ref="AK1235">_xlfn.IFS(HR_Employee_Attrition[[#This Row],[YearsAtCompany]]&lt;=2,"0-2",HR_Employee_Attrition[[#This Row],[YearsAtCompany]]&lt;=5,"3-5",HR_Employee_Attrition[[#This Row],[YearsAtCompany]]&lt;=10,"6-10",HR_Employee_Attrition[[#This Row],[YearsAtCompany]]&gt;10,"10+")</f>
        <v>6-10</v>
      </c>
      <c r="AL1235" t="str" cm="1">
        <f t="array" ref="AL12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35">
        <f>IF(HR_Employee_Attrition[[#This Row],[Attrition]]="Yes",1,0)</f>
        <v>0</v>
      </c>
    </row>
    <row r="1236" spans="1:39"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IF(HR_Employee_Attrition[[#This Row],[Age]]&gt;60,"60+",IF(HR_Employee_Attrition[[#This Row],[Age]]&gt;=50,"50-59",IF(HR_Employee_Attrition[[#This Row],[Age]]&gt;=40,"40-49",IF(HR_Employee_Attrition[[#This Row],[Age]]&gt;=30,"30-39",IF(HR_Employee_Attrition[[#This Row],[Age]]&gt;=20,"20-29",IF(HR_Employee_Attrition[[#This Row],[Age]]&gt;=18,"18-20"))))))</f>
        <v>40-49</v>
      </c>
      <c r="AK1236" t="str" cm="1">
        <f t="array" ref="AK1236">_xlfn.IFS(HR_Employee_Attrition[[#This Row],[YearsAtCompany]]&lt;=2,"0-2",HR_Employee_Attrition[[#This Row],[YearsAtCompany]]&lt;=5,"3-5",HR_Employee_Attrition[[#This Row],[YearsAtCompany]]&lt;=10,"6-10",HR_Employee_Attrition[[#This Row],[YearsAtCompany]]&gt;10,"10+")</f>
        <v>0-2</v>
      </c>
      <c r="AL1236" t="str" cm="1">
        <f t="array" ref="AL12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36">
        <f>IF(HR_Employee_Attrition[[#This Row],[Attrition]]="Yes",1,0)</f>
        <v>0</v>
      </c>
    </row>
    <row r="1237" spans="1:39"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IF(HR_Employee_Attrition[[#This Row],[Age]]&gt;60,"60+",IF(HR_Employee_Attrition[[#This Row],[Age]]&gt;=50,"50-59",IF(HR_Employee_Attrition[[#This Row],[Age]]&gt;=40,"40-49",IF(HR_Employee_Attrition[[#This Row],[Age]]&gt;=30,"30-39",IF(HR_Employee_Attrition[[#This Row],[Age]]&gt;=20,"20-29",IF(HR_Employee_Attrition[[#This Row],[Age]]&gt;=18,"18-20"))))))</f>
        <v>40-49</v>
      </c>
      <c r="AK1237" t="str" cm="1">
        <f t="array" ref="AK1237">_xlfn.IFS(HR_Employee_Attrition[[#This Row],[YearsAtCompany]]&lt;=2,"0-2",HR_Employee_Attrition[[#This Row],[YearsAtCompany]]&lt;=5,"3-5",HR_Employee_Attrition[[#This Row],[YearsAtCompany]]&lt;=10,"6-10",HR_Employee_Attrition[[#This Row],[YearsAtCompany]]&gt;10,"10+")</f>
        <v>6-10</v>
      </c>
      <c r="AL1237" t="str" cm="1">
        <f t="array" ref="AL12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237">
        <f>IF(HR_Employee_Attrition[[#This Row],[Attrition]]="Yes",1,0)</f>
        <v>0</v>
      </c>
    </row>
    <row r="1238" spans="1:39"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IF(HR_Employee_Attrition[[#This Row],[Age]]&gt;60,"60+",IF(HR_Employee_Attrition[[#This Row],[Age]]&gt;=50,"50-59",IF(HR_Employee_Attrition[[#This Row],[Age]]&gt;=40,"40-49",IF(HR_Employee_Attrition[[#This Row],[Age]]&gt;=30,"30-39",IF(HR_Employee_Attrition[[#This Row],[Age]]&gt;=20,"20-29",IF(HR_Employee_Attrition[[#This Row],[Age]]&gt;=18,"18-20"))))))</f>
        <v>30-39</v>
      </c>
      <c r="AK1238" t="str" cm="1">
        <f t="array" ref="AK1238">_xlfn.IFS(HR_Employee_Attrition[[#This Row],[YearsAtCompany]]&lt;=2,"0-2",HR_Employee_Attrition[[#This Row],[YearsAtCompany]]&lt;=5,"3-5",HR_Employee_Attrition[[#This Row],[YearsAtCompany]]&lt;=10,"6-10",HR_Employee_Attrition[[#This Row],[YearsAtCompany]]&gt;10,"10+")</f>
        <v>0-2</v>
      </c>
      <c r="AL1238" t="str" cm="1">
        <f t="array" ref="AL12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38">
        <f>IF(HR_Employee_Attrition[[#This Row],[Attrition]]="Yes",1,0)</f>
        <v>1</v>
      </c>
    </row>
    <row r="1239" spans="1:39"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IF(HR_Employee_Attrition[[#This Row],[Age]]&gt;60,"60+",IF(HR_Employee_Attrition[[#This Row],[Age]]&gt;=50,"50-59",IF(HR_Employee_Attrition[[#This Row],[Age]]&gt;=40,"40-49",IF(HR_Employee_Attrition[[#This Row],[Age]]&gt;=30,"30-39",IF(HR_Employee_Attrition[[#This Row],[Age]]&gt;=20,"20-29",IF(HR_Employee_Attrition[[#This Row],[Age]]&gt;=18,"18-20"))))))</f>
        <v>30-39</v>
      </c>
      <c r="AK1239" t="str" cm="1">
        <f t="array" ref="AK1239">_xlfn.IFS(HR_Employee_Attrition[[#This Row],[YearsAtCompany]]&lt;=2,"0-2",HR_Employee_Attrition[[#This Row],[YearsAtCompany]]&lt;=5,"3-5",HR_Employee_Attrition[[#This Row],[YearsAtCompany]]&lt;=10,"6-10",HR_Employee_Attrition[[#This Row],[YearsAtCompany]]&gt;10,"10+")</f>
        <v>0-2</v>
      </c>
      <c r="AL1239" t="str" cm="1">
        <f t="array" ref="AL12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39">
        <f>IF(HR_Employee_Attrition[[#This Row],[Attrition]]="Yes",1,0)</f>
        <v>1</v>
      </c>
    </row>
    <row r="1240" spans="1:39"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IF(HR_Employee_Attrition[[#This Row],[Age]]&gt;60,"60+",IF(HR_Employee_Attrition[[#This Row],[Age]]&gt;=50,"50-59",IF(HR_Employee_Attrition[[#This Row],[Age]]&gt;=40,"40-49",IF(HR_Employee_Attrition[[#This Row],[Age]]&gt;=30,"30-39",IF(HR_Employee_Attrition[[#This Row],[Age]]&gt;=20,"20-29",IF(HR_Employee_Attrition[[#This Row],[Age]]&gt;=18,"18-20"))))))</f>
        <v>20-29</v>
      </c>
      <c r="AK1240" t="str" cm="1">
        <f t="array" ref="AK1240">_xlfn.IFS(HR_Employee_Attrition[[#This Row],[YearsAtCompany]]&lt;=2,"0-2",HR_Employee_Attrition[[#This Row],[YearsAtCompany]]&lt;=5,"3-5",HR_Employee_Attrition[[#This Row],[YearsAtCompany]]&lt;=10,"6-10",HR_Employee_Attrition[[#This Row],[YearsAtCompany]]&gt;10,"10+")</f>
        <v>3-5</v>
      </c>
      <c r="AL1240" t="str" cm="1">
        <f t="array" ref="AL12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40">
        <f>IF(HR_Employee_Attrition[[#This Row],[Attrition]]="Yes",1,0)</f>
        <v>0</v>
      </c>
    </row>
    <row r="1241" spans="1:39"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IF(HR_Employee_Attrition[[#This Row],[Age]]&gt;60,"60+",IF(HR_Employee_Attrition[[#This Row],[Age]]&gt;=50,"50-59",IF(HR_Employee_Attrition[[#This Row],[Age]]&gt;=40,"40-49",IF(HR_Employee_Attrition[[#This Row],[Age]]&gt;=30,"30-39",IF(HR_Employee_Attrition[[#This Row],[Age]]&gt;=20,"20-29",IF(HR_Employee_Attrition[[#This Row],[Age]]&gt;=18,"18-20"))))))</f>
        <v>30-39</v>
      </c>
      <c r="AK1241" t="str" cm="1">
        <f t="array" ref="AK1241">_xlfn.IFS(HR_Employee_Attrition[[#This Row],[YearsAtCompany]]&lt;=2,"0-2",HR_Employee_Attrition[[#This Row],[YearsAtCompany]]&lt;=5,"3-5",HR_Employee_Attrition[[#This Row],[YearsAtCompany]]&lt;=10,"6-10",HR_Employee_Attrition[[#This Row],[YearsAtCompany]]&gt;10,"10+")</f>
        <v>3-5</v>
      </c>
      <c r="AL1241" t="str" cm="1">
        <f t="array" ref="AL12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41">
        <f>IF(HR_Employee_Attrition[[#This Row],[Attrition]]="Yes",1,0)</f>
        <v>0</v>
      </c>
    </row>
    <row r="1242" spans="1:39"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IF(HR_Employee_Attrition[[#This Row],[Age]]&gt;60,"60+",IF(HR_Employee_Attrition[[#This Row],[Age]]&gt;=50,"50-59",IF(HR_Employee_Attrition[[#This Row],[Age]]&gt;=40,"40-49",IF(HR_Employee_Attrition[[#This Row],[Age]]&gt;=30,"30-39",IF(HR_Employee_Attrition[[#This Row],[Age]]&gt;=20,"20-29",IF(HR_Employee_Attrition[[#This Row],[Age]]&gt;=18,"18-20"))))))</f>
        <v>30-39</v>
      </c>
      <c r="AK1242" t="str" cm="1">
        <f t="array" ref="AK1242">_xlfn.IFS(HR_Employee_Attrition[[#This Row],[YearsAtCompany]]&lt;=2,"0-2",HR_Employee_Attrition[[#This Row],[YearsAtCompany]]&lt;=5,"3-5",HR_Employee_Attrition[[#This Row],[YearsAtCompany]]&lt;=10,"6-10",HR_Employee_Attrition[[#This Row],[YearsAtCompany]]&gt;10,"10+")</f>
        <v>6-10</v>
      </c>
      <c r="AL1242" t="str" cm="1">
        <f t="array" ref="AL12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42">
        <f>IF(HR_Employee_Attrition[[#This Row],[Attrition]]="Yes",1,0)</f>
        <v>0</v>
      </c>
    </row>
    <row r="1243" spans="1:39"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IF(HR_Employee_Attrition[[#This Row],[Age]]&gt;60,"60+",IF(HR_Employee_Attrition[[#This Row],[Age]]&gt;=50,"50-59",IF(HR_Employee_Attrition[[#This Row],[Age]]&gt;=40,"40-49",IF(HR_Employee_Attrition[[#This Row],[Age]]&gt;=30,"30-39",IF(HR_Employee_Attrition[[#This Row],[Age]]&gt;=20,"20-29",IF(HR_Employee_Attrition[[#This Row],[Age]]&gt;=18,"18-20"))))))</f>
        <v>30-39</v>
      </c>
      <c r="AK1243" t="str" cm="1">
        <f t="array" ref="AK1243">_xlfn.IFS(HR_Employee_Attrition[[#This Row],[YearsAtCompany]]&lt;=2,"0-2",HR_Employee_Attrition[[#This Row],[YearsAtCompany]]&lt;=5,"3-5",HR_Employee_Attrition[[#This Row],[YearsAtCompany]]&lt;=10,"6-10",HR_Employee_Attrition[[#This Row],[YearsAtCompany]]&gt;10,"10+")</f>
        <v>3-5</v>
      </c>
      <c r="AL1243" t="str" cm="1">
        <f t="array" ref="AL12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43">
        <f>IF(HR_Employee_Attrition[[#This Row],[Attrition]]="Yes",1,0)</f>
        <v>0</v>
      </c>
    </row>
    <row r="1244" spans="1:39"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IF(HR_Employee_Attrition[[#This Row],[Age]]&gt;60,"60+",IF(HR_Employee_Attrition[[#This Row],[Age]]&gt;=50,"50-59",IF(HR_Employee_Attrition[[#This Row],[Age]]&gt;=40,"40-49",IF(HR_Employee_Attrition[[#This Row],[Age]]&gt;=30,"30-39",IF(HR_Employee_Attrition[[#This Row],[Age]]&gt;=20,"20-29",IF(HR_Employee_Attrition[[#This Row],[Age]]&gt;=18,"18-20"))))))</f>
        <v>40-49</v>
      </c>
      <c r="AK1244" t="str" cm="1">
        <f t="array" ref="AK1244">_xlfn.IFS(HR_Employee_Attrition[[#This Row],[YearsAtCompany]]&lt;=2,"0-2",HR_Employee_Attrition[[#This Row],[YearsAtCompany]]&lt;=5,"3-5",HR_Employee_Attrition[[#This Row],[YearsAtCompany]]&lt;=10,"6-10",HR_Employee_Attrition[[#This Row],[YearsAtCompany]]&gt;10,"10+")</f>
        <v>10+</v>
      </c>
      <c r="AL1244" t="str" cm="1">
        <f t="array" ref="AL12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244">
        <f>IF(HR_Employee_Attrition[[#This Row],[Attrition]]="Yes",1,0)</f>
        <v>0</v>
      </c>
    </row>
    <row r="1245" spans="1:39"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IF(HR_Employee_Attrition[[#This Row],[Age]]&gt;60,"60+",IF(HR_Employee_Attrition[[#This Row],[Age]]&gt;=50,"50-59",IF(HR_Employee_Attrition[[#This Row],[Age]]&gt;=40,"40-49",IF(HR_Employee_Attrition[[#This Row],[Age]]&gt;=30,"30-39",IF(HR_Employee_Attrition[[#This Row],[Age]]&gt;=20,"20-29",IF(HR_Employee_Attrition[[#This Row],[Age]]&gt;=18,"18-20"))))))</f>
        <v>40-49</v>
      </c>
      <c r="AK1245" t="str" cm="1">
        <f t="array" ref="AK1245">_xlfn.IFS(HR_Employee_Attrition[[#This Row],[YearsAtCompany]]&lt;=2,"0-2",HR_Employee_Attrition[[#This Row],[YearsAtCompany]]&lt;=5,"3-5",HR_Employee_Attrition[[#This Row],[YearsAtCompany]]&lt;=10,"6-10",HR_Employee_Attrition[[#This Row],[YearsAtCompany]]&gt;10,"10+")</f>
        <v>3-5</v>
      </c>
      <c r="AL1245" t="str" cm="1">
        <f t="array" ref="AL12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45">
        <f>IF(HR_Employee_Attrition[[#This Row],[Attrition]]="Yes",1,0)</f>
        <v>0</v>
      </c>
    </row>
    <row r="1246" spans="1:39"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IF(HR_Employee_Attrition[[#This Row],[Age]]&gt;60,"60+",IF(HR_Employee_Attrition[[#This Row],[Age]]&gt;=50,"50-59",IF(HR_Employee_Attrition[[#This Row],[Age]]&gt;=40,"40-49",IF(HR_Employee_Attrition[[#This Row],[Age]]&gt;=30,"30-39",IF(HR_Employee_Attrition[[#This Row],[Age]]&gt;=20,"20-29",IF(HR_Employee_Attrition[[#This Row],[Age]]&gt;=18,"18-20"))))))</f>
        <v>30-39</v>
      </c>
      <c r="AK1246" t="str" cm="1">
        <f t="array" ref="AK1246">_xlfn.IFS(HR_Employee_Attrition[[#This Row],[YearsAtCompany]]&lt;=2,"0-2",HR_Employee_Attrition[[#This Row],[YearsAtCompany]]&lt;=5,"3-5",HR_Employee_Attrition[[#This Row],[YearsAtCompany]]&lt;=10,"6-10",HR_Employee_Attrition[[#This Row],[YearsAtCompany]]&gt;10,"10+")</f>
        <v>6-10</v>
      </c>
      <c r="AL1246" t="str" cm="1">
        <f t="array" ref="AL12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46">
        <f>IF(HR_Employee_Attrition[[#This Row],[Attrition]]="Yes",1,0)</f>
        <v>0</v>
      </c>
    </row>
    <row r="1247" spans="1:39"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IF(HR_Employee_Attrition[[#This Row],[Age]]&gt;60,"60+",IF(HR_Employee_Attrition[[#This Row],[Age]]&gt;=50,"50-59",IF(HR_Employee_Attrition[[#This Row],[Age]]&gt;=40,"40-49",IF(HR_Employee_Attrition[[#This Row],[Age]]&gt;=30,"30-39",IF(HR_Employee_Attrition[[#This Row],[Age]]&gt;=20,"20-29",IF(HR_Employee_Attrition[[#This Row],[Age]]&gt;=18,"18-20"))))))</f>
        <v>20-29</v>
      </c>
      <c r="AK1247" t="str" cm="1">
        <f t="array" ref="AK1247">_xlfn.IFS(HR_Employee_Attrition[[#This Row],[YearsAtCompany]]&lt;=2,"0-2",HR_Employee_Attrition[[#This Row],[YearsAtCompany]]&lt;=5,"3-5",HR_Employee_Attrition[[#This Row],[YearsAtCompany]]&lt;=10,"6-10",HR_Employee_Attrition[[#This Row],[YearsAtCompany]]&gt;10,"10+")</f>
        <v>0-2</v>
      </c>
      <c r="AL1247" t="str" cm="1">
        <f t="array" ref="AL12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47">
        <f>IF(HR_Employee_Attrition[[#This Row],[Attrition]]="Yes",1,0)</f>
        <v>0</v>
      </c>
    </row>
    <row r="1248" spans="1:39"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IF(HR_Employee_Attrition[[#This Row],[Age]]&gt;60,"60+",IF(HR_Employee_Attrition[[#This Row],[Age]]&gt;=50,"50-59",IF(HR_Employee_Attrition[[#This Row],[Age]]&gt;=40,"40-49",IF(HR_Employee_Attrition[[#This Row],[Age]]&gt;=30,"30-39",IF(HR_Employee_Attrition[[#This Row],[Age]]&gt;=20,"20-29",IF(HR_Employee_Attrition[[#This Row],[Age]]&gt;=18,"18-20"))))))</f>
        <v>30-39</v>
      </c>
      <c r="AK1248" t="str" cm="1">
        <f t="array" ref="AK1248">_xlfn.IFS(HR_Employee_Attrition[[#This Row],[YearsAtCompany]]&lt;=2,"0-2",HR_Employee_Attrition[[#This Row],[YearsAtCompany]]&lt;=5,"3-5",HR_Employee_Attrition[[#This Row],[YearsAtCompany]]&lt;=10,"6-10",HR_Employee_Attrition[[#This Row],[YearsAtCompany]]&gt;10,"10+")</f>
        <v>3-5</v>
      </c>
      <c r="AL1248" t="str" cm="1">
        <f t="array" ref="AL12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48">
        <f>IF(HR_Employee_Attrition[[#This Row],[Attrition]]="Yes",1,0)</f>
        <v>1</v>
      </c>
    </row>
    <row r="1249" spans="1:39"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IF(HR_Employee_Attrition[[#This Row],[Age]]&gt;60,"60+",IF(HR_Employee_Attrition[[#This Row],[Age]]&gt;=50,"50-59",IF(HR_Employee_Attrition[[#This Row],[Age]]&gt;=40,"40-49",IF(HR_Employee_Attrition[[#This Row],[Age]]&gt;=30,"30-39",IF(HR_Employee_Attrition[[#This Row],[Age]]&gt;=20,"20-29",IF(HR_Employee_Attrition[[#This Row],[Age]]&gt;=18,"18-20"))))))</f>
        <v>30-39</v>
      </c>
      <c r="AK1249" t="str" cm="1">
        <f t="array" ref="AK1249">_xlfn.IFS(HR_Employee_Attrition[[#This Row],[YearsAtCompany]]&lt;=2,"0-2",HR_Employee_Attrition[[#This Row],[YearsAtCompany]]&lt;=5,"3-5",HR_Employee_Attrition[[#This Row],[YearsAtCompany]]&lt;=10,"6-10",HR_Employee_Attrition[[#This Row],[YearsAtCompany]]&gt;10,"10+")</f>
        <v>3-5</v>
      </c>
      <c r="AL1249" t="str" cm="1">
        <f t="array" ref="AL12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49">
        <f>IF(HR_Employee_Attrition[[#This Row],[Attrition]]="Yes",1,0)</f>
        <v>0</v>
      </c>
    </row>
    <row r="1250" spans="1:39"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IF(HR_Employee_Attrition[[#This Row],[Age]]&gt;60,"60+",IF(HR_Employee_Attrition[[#This Row],[Age]]&gt;=50,"50-59",IF(HR_Employee_Attrition[[#This Row],[Age]]&gt;=40,"40-49",IF(HR_Employee_Attrition[[#This Row],[Age]]&gt;=30,"30-39",IF(HR_Employee_Attrition[[#This Row],[Age]]&gt;=20,"20-29",IF(HR_Employee_Attrition[[#This Row],[Age]]&gt;=18,"18-20"))))))</f>
        <v>20-29</v>
      </c>
      <c r="AK1250" t="str" cm="1">
        <f t="array" ref="AK1250">_xlfn.IFS(HR_Employee_Attrition[[#This Row],[YearsAtCompany]]&lt;=2,"0-2",HR_Employee_Attrition[[#This Row],[YearsAtCompany]]&lt;=5,"3-5",HR_Employee_Attrition[[#This Row],[YearsAtCompany]]&lt;=10,"6-10",HR_Employee_Attrition[[#This Row],[YearsAtCompany]]&gt;10,"10+")</f>
        <v>6-10</v>
      </c>
      <c r="AL1250" t="str" cm="1">
        <f t="array" ref="AL12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50">
        <f>IF(HR_Employee_Attrition[[#This Row],[Attrition]]="Yes",1,0)</f>
        <v>0</v>
      </c>
    </row>
    <row r="1251" spans="1:39"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IF(HR_Employee_Attrition[[#This Row],[Age]]&gt;60,"60+",IF(HR_Employee_Attrition[[#This Row],[Age]]&gt;=50,"50-59",IF(HR_Employee_Attrition[[#This Row],[Age]]&gt;=40,"40-49",IF(HR_Employee_Attrition[[#This Row],[Age]]&gt;=30,"30-39",IF(HR_Employee_Attrition[[#This Row],[Age]]&gt;=20,"20-29",IF(HR_Employee_Attrition[[#This Row],[Age]]&gt;=18,"18-20"))))))</f>
        <v>20-29</v>
      </c>
      <c r="AK1251" t="str" cm="1">
        <f t="array" ref="AK1251">_xlfn.IFS(HR_Employee_Attrition[[#This Row],[YearsAtCompany]]&lt;=2,"0-2",HR_Employee_Attrition[[#This Row],[YearsAtCompany]]&lt;=5,"3-5",HR_Employee_Attrition[[#This Row],[YearsAtCompany]]&lt;=10,"6-10",HR_Employee_Attrition[[#This Row],[YearsAtCompany]]&gt;10,"10+")</f>
        <v>0-2</v>
      </c>
      <c r="AL1251" t="str" cm="1">
        <f t="array" ref="AL12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51">
        <f>IF(HR_Employee_Attrition[[#This Row],[Attrition]]="Yes",1,0)</f>
        <v>1</v>
      </c>
    </row>
    <row r="1252" spans="1:39"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IF(HR_Employee_Attrition[[#This Row],[Age]]&gt;60,"60+",IF(HR_Employee_Attrition[[#This Row],[Age]]&gt;=50,"50-59",IF(HR_Employee_Attrition[[#This Row],[Age]]&gt;=40,"40-49",IF(HR_Employee_Attrition[[#This Row],[Age]]&gt;=30,"30-39",IF(HR_Employee_Attrition[[#This Row],[Age]]&gt;=20,"20-29",IF(HR_Employee_Attrition[[#This Row],[Age]]&gt;=18,"18-20"))))))</f>
        <v>20-29</v>
      </c>
      <c r="AK1252" t="str" cm="1">
        <f t="array" ref="AK1252">_xlfn.IFS(HR_Employee_Attrition[[#This Row],[YearsAtCompany]]&lt;=2,"0-2",HR_Employee_Attrition[[#This Row],[YearsAtCompany]]&lt;=5,"3-5",HR_Employee_Attrition[[#This Row],[YearsAtCompany]]&lt;=10,"6-10",HR_Employee_Attrition[[#This Row],[YearsAtCompany]]&gt;10,"10+")</f>
        <v>3-5</v>
      </c>
      <c r="AL1252" t="str" cm="1">
        <f t="array" ref="AL12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52">
        <f>IF(HR_Employee_Attrition[[#This Row],[Attrition]]="Yes",1,0)</f>
        <v>0</v>
      </c>
    </row>
    <row r="1253" spans="1:39"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IF(HR_Employee_Attrition[[#This Row],[Age]]&gt;60,"60+",IF(HR_Employee_Attrition[[#This Row],[Age]]&gt;=50,"50-59",IF(HR_Employee_Attrition[[#This Row],[Age]]&gt;=40,"40-49",IF(HR_Employee_Attrition[[#This Row],[Age]]&gt;=30,"30-39",IF(HR_Employee_Attrition[[#This Row],[Age]]&gt;=20,"20-29",IF(HR_Employee_Attrition[[#This Row],[Age]]&gt;=18,"18-20"))))))</f>
        <v>30-39</v>
      </c>
      <c r="AK1253" t="str" cm="1">
        <f t="array" ref="AK1253">_xlfn.IFS(HR_Employee_Attrition[[#This Row],[YearsAtCompany]]&lt;=2,"0-2",HR_Employee_Attrition[[#This Row],[YearsAtCompany]]&lt;=5,"3-5",HR_Employee_Attrition[[#This Row],[YearsAtCompany]]&lt;=10,"6-10",HR_Employee_Attrition[[#This Row],[YearsAtCompany]]&gt;10,"10+")</f>
        <v>6-10</v>
      </c>
      <c r="AL1253" t="str" cm="1">
        <f t="array" ref="AL12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53">
        <f>IF(HR_Employee_Attrition[[#This Row],[Attrition]]="Yes",1,0)</f>
        <v>0</v>
      </c>
    </row>
    <row r="1254" spans="1:39"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IF(HR_Employee_Attrition[[#This Row],[Age]]&gt;60,"60+",IF(HR_Employee_Attrition[[#This Row],[Age]]&gt;=50,"50-59",IF(HR_Employee_Attrition[[#This Row],[Age]]&gt;=40,"40-49",IF(HR_Employee_Attrition[[#This Row],[Age]]&gt;=30,"30-39",IF(HR_Employee_Attrition[[#This Row],[Age]]&gt;=20,"20-29",IF(HR_Employee_Attrition[[#This Row],[Age]]&gt;=18,"18-20"))))))</f>
        <v>30-39</v>
      </c>
      <c r="AK1254" t="str" cm="1">
        <f t="array" ref="AK1254">_xlfn.IFS(HR_Employee_Attrition[[#This Row],[YearsAtCompany]]&lt;=2,"0-2",HR_Employee_Attrition[[#This Row],[YearsAtCompany]]&lt;=5,"3-5",HR_Employee_Attrition[[#This Row],[YearsAtCompany]]&lt;=10,"6-10",HR_Employee_Attrition[[#This Row],[YearsAtCompany]]&gt;10,"10+")</f>
        <v>3-5</v>
      </c>
      <c r="AL1254" t="str" cm="1">
        <f t="array" ref="AL12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54">
        <f>IF(HR_Employee_Attrition[[#This Row],[Attrition]]="Yes",1,0)</f>
        <v>0</v>
      </c>
    </row>
    <row r="1255" spans="1:39"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IF(HR_Employee_Attrition[[#This Row],[Age]]&gt;60,"60+",IF(HR_Employee_Attrition[[#This Row],[Age]]&gt;=50,"50-59",IF(HR_Employee_Attrition[[#This Row],[Age]]&gt;=40,"40-49",IF(HR_Employee_Attrition[[#This Row],[Age]]&gt;=30,"30-39",IF(HR_Employee_Attrition[[#This Row],[Age]]&gt;=20,"20-29",IF(HR_Employee_Attrition[[#This Row],[Age]]&gt;=18,"18-20"))))))</f>
        <v>30-39</v>
      </c>
      <c r="AK1255" t="str" cm="1">
        <f t="array" ref="AK1255">_xlfn.IFS(HR_Employee_Attrition[[#This Row],[YearsAtCompany]]&lt;=2,"0-2",HR_Employee_Attrition[[#This Row],[YearsAtCompany]]&lt;=5,"3-5",HR_Employee_Attrition[[#This Row],[YearsAtCompany]]&lt;=10,"6-10",HR_Employee_Attrition[[#This Row],[YearsAtCompany]]&gt;10,"10+")</f>
        <v>10+</v>
      </c>
      <c r="AL1255" t="str" cm="1">
        <f t="array" ref="AL12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55">
        <f>IF(HR_Employee_Attrition[[#This Row],[Attrition]]="Yes",1,0)</f>
        <v>0</v>
      </c>
    </row>
    <row r="1256" spans="1:39"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IF(HR_Employee_Attrition[[#This Row],[Age]]&gt;60,"60+",IF(HR_Employee_Attrition[[#This Row],[Age]]&gt;=50,"50-59",IF(HR_Employee_Attrition[[#This Row],[Age]]&gt;=40,"40-49",IF(HR_Employee_Attrition[[#This Row],[Age]]&gt;=30,"30-39",IF(HR_Employee_Attrition[[#This Row],[Age]]&gt;=20,"20-29",IF(HR_Employee_Attrition[[#This Row],[Age]]&gt;=18,"18-20"))))))</f>
        <v>40-49</v>
      </c>
      <c r="AK1256" t="str" cm="1">
        <f t="array" ref="AK1256">_xlfn.IFS(HR_Employee_Attrition[[#This Row],[YearsAtCompany]]&lt;=2,"0-2",HR_Employee_Attrition[[#This Row],[YearsAtCompany]]&lt;=5,"3-5",HR_Employee_Attrition[[#This Row],[YearsAtCompany]]&lt;=10,"6-10",HR_Employee_Attrition[[#This Row],[YearsAtCompany]]&gt;10,"10+")</f>
        <v>3-5</v>
      </c>
      <c r="AL1256" t="str" cm="1">
        <f t="array" ref="AL12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56">
        <f>IF(HR_Employee_Attrition[[#This Row],[Attrition]]="Yes",1,0)</f>
        <v>0</v>
      </c>
    </row>
    <row r="1257" spans="1:39"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IF(HR_Employee_Attrition[[#This Row],[Age]]&gt;60,"60+",IF(HR_Employee_Attrition[[#This Row],[Age]]&gt;=50,"50-59",IF(HR_Employee_Attrition[[#This Row],[Age]]&gt;=40,"40-49",IF(HR_Employee_Attrition[[#This Row],[Age]]&gt;=30,"30-39",IF(HR_Employee_Attrition[[#This Row],[Age]]&gt;=20,"20-29",IF(HR_Employee_Attrition[[#This Row],[Age]]&gt;=18,"18-20"))))))</f>
        <v>30-39</v>
      </c>
      <c r="AK1257" t="str" cm="1">
        <f t="array" ref="AK1257">_xlfn.IFS(HR_Employee_Attrition[[#This Row],[YearsAtCompany]]&lt;=2,"0-2",HR_Employee_Attrition[[#This Row],[YearsAtCompany]]&lt;=5,"3-5",HR_Employee_Attrition[[#This Row],[YearsAtCompany]]&lt;=10,"6-10",HR_Employee_Attrition[[#This Row],[YearsAtCompany]]&gt;10,"10+")</f>
        <v>0-2</v>
      </c>
      <c r="AL1257" t="str" cm="1">
        <f t="array" ref="AL12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57">
        <f>IF(HR_Employee_Attrition[[#This Row],[Attrition]]="Yes",1,0)</f>
        <v>1</v>
      </c>
    </row>
    <row r="1258" spans="1:39"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IF(HR_Employee_Attrition[[#This Row],[Age]]&gt;60,"60+",IF(HR_Employee_Attrition[[#This Row],[Age]]&gt;=50,"50-59",IF(HR_Employee_Attrition[[#This Row],[Age]]&gt;=40,"40-49",IF(HR_Employee_Attrition[[#This Row],[Age]]&gt;=30,"30-39",IF(HR_Employee_Attrition[[#This Row],[Age]]&gt;=20,"20-29",IF(HR_Employee_Attrition[[#This Row],[Age]]&gt;=18,"18-20"))))))</f>
        <v>30-39</v>
      </c>
      <c r="AK1258" t="str" cm="1">
        <f t="array" ref="AK1258">_xlfn.IFS(HR_Employee_Attrition[[#This Row],[YearsAtCompany]]&lt;=2,"0-2",HR_Employee_Attrition[[#This Row],[YearsAtCompany]]&lt;=5,"3-5",HR_Employee_Attrition[[#This Row],[YearsAtCompany]]&lt;=10,"6-10",HR_Employee_Attrition[[#This Row],[YearsAtCompany]]&gt;10,"10+")</f>
        <v>6-10</v>
      </c>
      <c r="AL1258" t="str" cm="1">
        <f t="array" ref="AL12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58">
        <f>IF(HR_Employee_Attrition[[#This Row],[Attrition]]="Yes",1,0)</f>
        <v>0</v>
      </c>
    </row>
    <row r="1259" spans="1:39"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IF(HR_Employee_Attrition[[#This Row],[Age]]&gt;60,"60+",IF(HR_Employee_Attrition[[#This Row],[Age]]&gt;=50,"50-59",IF(HR_Employee_Attrition[[#This Row],[Age]]&gt;=40,"40-49",IF(HR_Employee_Attrition[[#This Row],[Age]]&gt;=30,"30-39",IF(HR_Employee_Attrition[[#This Row],[Age]]&gt;=20,"20-29",IF(HR_Employee_Attrition[[#This Row],[Age]]&gt;=18,"18-20"))))))</f>
        <v>30-39</v>
      </c>
      <c r="AK1259" t="str" cm="1">
        <f t="array" ref="AK1259">_xlfn.IFS(HR_Employee_Attrition[[#This Row],[YearsAtCompany]]&lt;=2,"0-2",HR_Employee_Attrition[[#This Row],[YearsAtCompany]]&lt;=5,"3-5",HR_Employee_Attrition[[#This Row],[YearsAtCompany]]&lt;=10,"6-10",HR_Employee_Attrition[[#This Row],[YearsAtCompany]]&gt;10,"10+")</f>
        <v>0-2</v>
      </c>
      <c r="AL1259" t="str" cm="1">
        <f t="array" ref="AL12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59">
        <f>IF(HR_Employee_Attrition[[#This Row],[Attrition]]="Yes",1,0)</f>
        <v>1</v>
      </c>
    </row>
    <row r="1260" spans="1:39"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IF(HR_Employee_Attrition[[#This Row],[Age]]&gt;60,"60+",IF(HR_Employee_Attrition[[#This Row],[Age]]&gt;=50,"50-59",IF(HR_Employee_Attrition[[#This Row],[Age]]&gt;=40,"40-49",IF(HR_Employee_Attrition[[#This Row],[Age]]&gt;=30,"30-39",IF(HR_Employee_Attrition[[#This Row],[Age]]&gt;=20,"20-29",IF(HR_Employee_Attrition[[#This Row],[Age]]&gt;=18,"18-20"))))))</f>
        <v>20-29</v>
      </c>
      <c r="AK1260" t="str" cm="1">
        <f t="array" ref="AK1260">_xlfn.IFS(HR_Employee_Attrition[[#This Row],[YearsAtCompany]]&lt;=2,"0-2",HR_Employee_Attrition[[#This Row],[YearsAtCompany]]&lt;=5,"3-5",HR_Employee_Attrition[[#This Row],[YearsAtCompany]]&lt;=10,"6-10",HR_Employee_Attrition[[#This Row],[YearsAtCompany]]&gt;10,"10+")</f>
        <v>0-2</v>
      </c>
      <c r="AL1260" t="str" cm="1">
        <f t="array" ref="AL12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60">
        <f>IF(HR_Employee_Attrition[[#This Row],[Attrition]]="Yes",1,0)</f>
        <v>0</v>
      </c>
    </row>
    <row r="1261" spans="1:39"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IF(HR_Employee_Attrition[[#This Row],[Age]]&gt;60,"60+",IF(HR_Employee_Attrition[[#This Row],[Age]]&gt;=50,"50-59",IF(HR_Employee_Attrition[[#This Row],[Age]]&gt;=40,"40-49",IF(HR_Employee_Attrition[[#This Row],[Age]]&gt;=30,"30-39",IF(HR_Employee_Attrition[[#This Row],[Age]]&gt;=20,"20-29",IF(HR_Employee_Attrition[[#This Row],[Age]]&gt;=18,"18-20"))))))</f>
        <v>30-39</v>
      </c>
      <c r="AK1261" t="str" cm="1">
        <f t="array" ref="AK1261">_xlfn.IFS(HR_Employee_Attrition[[#This Row],[YearsAtCompany]]&lt;=2,"0-2",HR_Employee_Attrition[[#This Row],[YearsAtCompany]]&lt;=5,"3-5",HR_Employee_Attrition[[#This Row],[YearsAtCompany]]&lt;=10,"6-10",HR_Employee_Attrition[[#This Row],[YearsAtCompany]]&gt;10,"10+")</f>
        <v>6-10</v>
      </c>
      <c r="AL1261" t="str" cm="1">
        <f t="array" ref="AL12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61">
        <f>IF(HR_Employee_Attrition[[#This Row],[Attrition]]="Yes",1,0)</f>
        <v>0</v>
      </c>
    </row>
    <row r="1262" spans="1:39"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IF(HR_Employee_Attrition[[#This Row],[Age]]&gt;60,"60+",IF(HR_Employee_Attrition[[#This Row],[Age]]&gt;=50,"50-59",IF(HR_Employee_Attrition[[#This Row],[Age]]&gt;=40,"40-49",IF(HR_Employee_Attrition[[#This Row],[Age]]&gt;=30,"30-39",IF(HR_Employee_Attrition[[#This Row],[Age]]&gt;=20,"20-29",IF(HR_Employee_Attrition[[#This Row],[Age]]&gt;=18,"18-20"))))))</f>
        <v>30-39</v>
      </c>
      <c r="AK1262" t="str" cm="1">
        <f t="array" ref="AK1262">_xlfn.IFS(HR_Employee_Attrition[[#This Row],[YearsAtCompany]]&lt;=2,"0-2",HR_Employee_Attrition[[#This Row],[YearsAtCompany]]&lt;=5,"3-5",HR_Employee_Attrition[[#This Row],[YearsAtCompany]]&lt;=10,"6-10",HR_Employee_Attrition[[#This Row],[YearsAtCompany]]&gt;10,"10+")</f>
        <v>6-10</v>
      </c>
      <c r="AL1262" t="str" cm="1">
        <f t="array" ref="AL12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62">
        <f>IF(HR_Employee_Attrition[[#This Row],[Attrition]]="Yes",1,0)</f>
        <v>0</v>
      </c>
    </row>
    <row r="1263" spans="1:39"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IF(HR_Employee_Attrition[[#This Row],[Age]]&gt;60,"60+",IF(HR_Employee_Attrition[[#This Row],[Age]]&gt;=50,"50-59",IF(HR_Employee_Attrition[[#This Row],[Age]]&gt;=40,"40-49",IF(HR_Employee_Attrition[[#This Row],[Age]]&gt;=30,"30-39",IF(HR_Employee_Attrition[[#This Row],[Age]]&gt;=20,"20-29",IF(HR_Employee_Attrition[[#This Row],[Age]]&gt;=18,"18-20"))))))</f>
        <v>30-39</v>
      </c>
      <c r="AK1263" t="str" cm="1">
        <f t="array" ref="AK1263">_xlfn.IFS(HR_Employee_Attrition[[#This Row],[YearsAtCompany]]&lt;=2,"0-2",HR_Employee_Attrition[[#This Row],[YearsAtCompany]]&lt;=5,"3-5",HR_Employee_Attrition[[#This Row],[YearsAtCompany]]&lt;=10,"6-10",HR_Employee_Attrition[[#This Row],[YearsAtCompany]]&gt;10,"10+")</f>
        <v>0-2</v>
      </c>
      <c r="AL1263" t="str" cm="1">
        <f t="array" ref="AL12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63">
        <f>IF(HR_Employee_Attrition[[#This Row],[Attrition]]="Yes",1,0)</f>
        <v>0</v>
      </c>
    </row>
    <row r="1264" spans="1:39"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IF(HR_Employee_Attrition[[#This Row],[Age]]&gt;60,"60+",IF(HR_Employee_Attrition[[#This Row],[Age]]&gt;=50,"50-59",IF(HR_Employee_Attrition[[#This Row],[Age]]&gt;=40,"40-49",IF(HR_Employee_Attrition[[#This Row],[Age]]&gt;=30,"30-39",IF(HR_Employee_Attrition[[#This Row],[Age]]&gt;=20,"20-29",IF(HR_Employee_Attrition[[#This Row],[Age]]&gt;=18,"18-20"))))))</f>
        <v>40-49</v>
      </c>
      <c r="AK1264" t="str" cm="1">
        <f t="array" ref="AK1264">_xlfn.IFS(HR_Employee_Attrition[[#This Row],[YearsAtCompany]]&lt;=2,"0-2",HR_Employee_Attrition[[#This Row],[YearsAtCompany]]&lt;=5,"3-5",HR_Employee_Attrition[[#This Row],[YearsAtCompany]]&lt;=10,"6-10",HR_Employee_Attrition[[#This Row],[YearsAtCompany]]&gt;10,"10+")</f>
        <v>0-2</v>
      </c>
      <c r="AL1264" t="str" cm="1">
        <f t="array" ref="AL12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64">
        <f>IF(HR_Employee_Attrition[[#This Row],[Attrition]]="Yes",1,0)</f>
        <v>1</v>
      </c>
    </row>
    <row r="1265" spans="1:39"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IF(HR_Employee_Attrition[[#This Row],[Age]]&gt;60,"60+",IF(HR_Employee_Attrition[[#This Row],[Age]]&gt;=50,"50-59",IF(HR_Employee_Attrition[[#This Row],[Age]]&gt;=40,"40-49",IF(HR_Employee_Attrition[[#This Row],[Age]]&gt;=30,"30-39",IF(HR_Employee_Attrition[[#This Row],[Age]]&gt;=20,"20-29",IF(HR_Employee_Attrition[[#This Row],[Age]]&gt;=18,"18-20"))))))</f>
        <v>40-49</v>
      </c>
      <c r="AK1265" t="str" cm="1">
        <f t="array" ref="AK1265">_xlfn.IFS(HR_Employee_Attrition[[#This Row],[YearsAtCompany]]&lt;=2,"0-2",HR_Employee_Attrition[[#This Row],[YearsAtCompany]]&lt;=5,"3-5",HR_Employee_Attrition[[#This Row],[YearsAtCompany]]&lt;=10,"6-10",HR_Employee_Attrition[[#This Row],[YearsAtCompany]]&gt;10,"10+")</f>
        <v>3-5</v>
      </c>
      <c r="AL1265" t="str" cm="1">
        <f t="array" ref="AL12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65">
        <f>IF(HR_Employee_Attrition[[#This Row],[Attrition]]="Yes",1,0)</f>
        <v>0</v>
      </c>
    </row>
    <row r="1266" spans="1:39"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IF(HR_Employee_Attrition[[#This Row],[Age]]&gt;60,"60+",IF(HR_Employee_Attrition[[#This Row],[Age]]&gt;=50,"50-59",IF(HR_Employee_Attrition[[#This Row],[Age]]&gt;=40,"40-49",IF(HR_Employee_Attrition[[#This Row],[Age]]&gt;=30,"30-39",IF(HR_Employee_Attrition[[#This Row],[Age]]&gt;=20,"20-29",IF(HR_Employee_Attrition[[#This Row],[Age]]&gt;=18,"18-20"))))))</f>
        <v>50-59</v>
      </c>
      <c r="AK1266" t="str" cm="1">
        <f t="array" ref="AK1266">_xlfn.IFS(HR_Employee_Attrition[[#This Row],[YearsAtCompany]]&lt;=2,"0-2",HR_Employee_Attrition[[#This Row],[YearsAtCompany]]&lt;=5,"3-5",HR_Employee_Attrition[[#This Row],[YearsAtCompany]]&lt;=10,"6-10",HR_Employee_Attrition[[#This Row],[YearsAtCompany]]&gt;10,"10+")</f>
        <v>0-2</v>
      </c>
      <c r="AL1266" t="str" cm="1">
        <f t="array" ref="AL12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266">
        <f>IF(HR_Employee_Attrition[[#This Row],[Attrition]]="Yes",1,0)</f>
        <v>0</v>
      </c>
    </row>
    <row r="1267" spans="1:39"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IF(HR_Employee_Attrition[[#This Row],[Age]]&gt;60,"60+",IF(HR_Employee_Attrition[[#This Row],[Age]]&gt;=50,"50-59",IF(HR_Employee_Attrition[[#This Row],[Age]]&gt;=40,"40-49",IF(HR_Employee_Attrition[[#This Row],[Age]]&gt;=30,"30-39",IF(HR_Employee_Attrition[[#This Row],[Age]]&gt;=20,"20-29",IF(HR_Employee_Attrition[[#This Row],[Age]]&gt;=18,"18-20"))))))</f>
        <v>30-39</v>
      </c>
      <c r="AK1267" t="str" cm="1">
        <f t="array" ref="AK1267">_xlfn.IFS(HR_Employee_Attrition[[#This Row],[YearsAtCompany]]&lt;=2,"0-2",HR_Employee_Attrition[[#This Row],[YearsAtCompany]]&lt;=5,"3-5",HR_Employee_Attrition[[#This Row],[YearsAtCompany]]&lt;=10,"6-10",HR_Employee_Attrition[[#This Row],[YearsAtCompany]]&gt;10,"10+")</f>
        <v>6-10</v>
      </c>
      <c r="AL1267" t="str" cm="1">
        <f t="array" ref="AL12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67">
        <f>IF(HR_Employee_Attrition[[#This Row],[Attrition]]="Yes",1,0)</f>
        <v>0</v>
      </c>
    </row>
    <row r="1268" spans="1:39"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IF(HR_Employee_Attrition[[#This Row],[Age]]&gt;60,"60+",IF(HR_Employee_Attrition[[#This Row],[Age]]&gt;=50,"50-59",IF(HR_Employee_Attrition[[#This Row],[Age]]&gt;=40,"40-49",IF(HR_Employee_Attrition[[#This Row],[Age]]&gt;=30,"30-39",IF(HR_Employee_Attrition[[#This Row],[Age]]&gt;=20,"20-29",IF(HR_Employee_Attrition[[#This Row],[Age]]&gt;=18,"18-20"))))))</f>
        <v>40-49</v>
      </c>
      <c r="AK1268" t="str" cm="1">
        <f t="array" ref="AK1268">_xlfn.IFS(HR_Employee_Attrition[[#This Row],[YearsAtCompany]]&lt;=2,"0-2",HR_Employee_Attrition[[#This Row],[YearsAtCompany]]&lt;=5,"3-5",HR_Employee_Attrition[[#This Row],[YearsAtCompany]]&lt;=10,"6-10",HR_Employee_Attrition[[#This Row],[YearsAtCompany]]&gt;10,"10+")</f>
        <v>3-5</v>
      </c>
      <c r="AL1268" t="str" cm="1">
        <f t="array" ref="AL12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68">
        <f>IF(HR_Employee_Attrition[[#This Row],[Attrition]]="Yes",1,0)</f>
        <v>0</v>
      </c>
    </row>
    <row r="1269" spans="1:39"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IF(HR_Employee_Attrition[[#This Row],[Age]]&gt;60,"60+",IF(HR_Employee_Attrition[[#This Row],[Age]]&gt;=50,"50-59",IF(HR_Employee_Attrition[[#This Row],[Age]]&gt;=40,"40-49",IF(HR_Employee_Attrition[[#This Row],[Age]]&gt;=30,"30-39",IF(HR_Employee_Attrition[[#This Row],[Age]]&gt;=20,"20-29",IF(HR_Employee_Attrition[[#This Row],[Age]]&gt;=18,"18-20"))))))</f>
        <v>30-39</v>
      </c>
      <c r="AK1269" t="str" cm="1">
        <f t="array" ref="AK1269">_xlfn.IFS(HR_Employee_Attrition[[#This Row],[YearsAtCompany]]&lt;=2,"0-2",HR_Employee_Attrition[[#This Row],[YearsAtCompany]]&lt;=5,"3-5",HR_Employee_Attrition[[#This Row],[YearsAtCompany]]&lt;=10,"6-10",HR_Employee_Attrition[[#This Row],[YearsAtCompany]]&gt;10,"10+")</f>
        <v>10+</v>
      </c>
      <c r="AL1269" t="str" cm="1">
        <f t="array" ref="AL12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69">
        <f>IF(HR_Employee_Attrition[[#This Row],[Attrition]]="Yes",1,0)</f>
        <v>0</v>
      </c>
    </row>
    <row r="1270" spans="1:39"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IF(HR_Employee_Attrition[[#This Row],[Age]]&gt;60,"60+",IF(HR_Employee_Attrition[[#This Row],[Age]]&gt;=50,"50-59",IF(HR_Employee_Attrition[[#This Row],[Age]]&gt;=40,"40-49",IF(HR_Employee_Attrition[[#This Row],[Age]]&gt;=30,"30-39",IF(HR_Employee_Attrition[[#This Row],[Age]]&gt;=20,"20-29",IF(HR_Employee_Attrition[[#This Row],[Age]]&gt;=18,"18-20"))))))</f>
        <v>50-59</v>
      </c>
      <c r="AK1270" t="str" cm="1">
        <f t="array" ref="AK1270">_xlfn.IFS(HR_Employee_Attrition[[#This Row],[YearsAtCompany]]&lt;=2,"0-2",HR_Employee_Attrition[[#This Row],[YearsAtCompany]]&lt;=5,"3-5",HR_Employee_Attrition[[#This Row],[YearsAtCompany]]&lt;=10,"6-10",HR_Employee_Attrition[[#This Row],[YearsAtCompany]]&gt;10,"10+")</f>
        <v>3-5</v>
      </c>
      <c r="AL1270" t="str" cm="1">
        <f t="array" ref="AL12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270">
        <f>IF(HR_Employee_Attrition[[#This Row],[Attrition]]="Yes",1,0)</f>
        <v>0</v>
      </c>
    </row>
    <row r="1271" spans="1:39"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IF(HR_Employee_Attrition[[#This Row],[Age]]&gt;60,"60+",IF(HR_Employee_Attrition[[#This Row],[Age]]&gt;=50,"50-59",IF(HR_Employee_Attrition[[#This Row],[Age]]&gt;=40,"40-49",IF(HR_Employee_Attrition[[#This Row],[Age]]&gt;=30,"30-39",IF(HR_Employee_Attrition[[#This Row],[Age]]&gt;=20,"20-29",IF(HR_Employee_Attrition[[#This Row],[Age]]&gt;=18,"18-20"))))))</f>
        <v>40-49</v>
      </c>
      <c r="AK1271" t="str" cm="1">
        <f t="array" ref="AK1271">_xlfn.IFS(HR_Employee_Attrition[[#This Row],[YearsAtCompany]]&lt;=2,"0-2",HR_Employee_Attrition[[#This Row],[YearsAtCompany]]&lt;=5,"3-5",HR_Employee_Attrition[[#This Row],[YearsAtCompany]]&lt;=10,"6-10",HR_Employee_Attrition[[#This Row],[YearsAtCompany]]&gt;10,"10+")</f>
        <v>6-10</v>
      </c>
      <c r="AL1271" t="str" cm="1">
        <f t="array" ref="AL12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71">
        <f>IF(HR_Employee_Attrition[[#This Row],[Attrition]]="Yes",1,0)</f>
        <v>0</v>
      </c>
    </row>
    <row r="1272" spans="1:39"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IF(HR_Employee_Attrition[[#This Row],[Age]]&gt;60,"60+",IF(HR_Employee_Attrition[[#This Row],[Age]]&gt;=50,"50-59",IF(HR_Employee_Attrition[[#This Row],[Age]]&gt;=40,"40-49",IF(HR_Employee_Attrition[[#This Row],[Age]]&gt;=30,"30-39",IF(HR_Employee_Attrition[[#This Row],[Age]]&gt;=20,"20-29",IF(HR_Employee_Attrition[[#This Row],[Age]]&gt;=18,"18-20"))))))</f>
        <v>30-39</v>
      </c>
      <c r="AK1272" t="str" cm="1">
        <f t="array" ref="AK1272">_xlfn.IFS(HR_Employee_Attrition[[#This Row],[YearsAtCompany]]&lt;=2,"0-2",HR_Employee_Attrition[[#This Row],[YearsAtCompany]]&lt;=5,"3-5",HR_Employee_Attrition[[#This Row],[YearsAtCompany]]&lt;=10,"6-10",HR_Employee_Attrition[[#This Row],[YearsAtCompany]]&gt;10,"10+")</f>
        <v>0-2</v>
      </c>
      <c r="AL1272" t="str" cm="1">
        <f t="array" ref="AL127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72">
        <f>IF(HR_Employee_Attrition[[#This Row],[Attrition]]="Yes",1,0)</f>
        <v>0</v>
      </c>
    </row>
    <row r="1273" spans="1:39"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IF(HR_Employee_Attrition[[#This Row],[Age]]&gt;60,"60+",IF(HR_Employee_Attrition[[#This Row],[Age]]&gt;=50,"50-59",IF(HR_Employee_Attrition[[#This Row],[Age]]&gt;=40,"40-49",IF(HR_Employee_Attrition[[#This Row],[Age]]&gt;=30,"30-39",IF(HR_Employee_Attrition[[#This Row],[Age]]&gt;=20,"20-29",IF(HR_Employee_Attrition[[#This Row],[Age]]&gt;=18,"18-20"))))))</f>
        <v>20-29</v>
      </c>
      <c r="AK1273" t="str" cm="1">
        <f t="array" ref="AK1273">_xlfn.IFS(HR_Employee_Attrition[[#This Row],[YearsAtCompany]]&lt;=2,"0-2",HR_Employee_Attrition[[#This Row],[YearsAtCompany]]&lt;=5,"3-5",HR_Employee_Attrition[[#This Row],[YearsAtCompany]]&lt;=10,"6-10",HR_Employee_Attrition[[#This Row],[YearsAtCompany]]&gt;10,"10+")</f>
        <v>0-2</v>
      </c>
      <c r="AL1273" t="str" cm="1">
        <f t="array" ref="AL127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73">
        <f>IF(HR_Employee_Attrition[[#This Row],[Attrition]]="Yes",1,0)</f>
        <v>1</v>
      </c>
    </row>
    <row r="1274" spans="1:39"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IF(HR_Employee_Attrition[[#This Row],[Age]]&gt;60,"60+",IF(HR_Employee_Attrition[[#This Row],[Age]]&gt;=50,"50-59",IF(HR_Employee_Attrition[[#This Row],[Age]]&gt;=40,"40-49",IF(HR_Employee_Attrition[[#This Row],[Age]]&gt;=30,"30-39",IF(HR_Employee_Attrition[[#This Row],[Age]]&gt;=20,"20-29",IF(HR_Employee_Attrition[[#This Row],[Age]]&gt;=18,"18-20"))))))</f>
        <v>30-39</v>
      </c>
      <c r="AK1274" t="str" cm="1">
        <f t="array" ref="AK1274">_xlfn.IFS(HR_Employee_Attrition[[#This Row],[YearsAtCompany]]&lt;=2,"0-2",HR_Employee_Attrition[[#This Row],[YearsAtCompany]]&lt;=5,"3-5",HR_Employee_Attrition[[#This Row],[YearsAtCompany]]&lt;=10,"6-10",HR_Employee_Attrition[[#This Row],[YearsAtCompany]]&gt;10,"10+")</f>
        <v>3-5</v>
      </c>
      <c r="AL1274" t="str" cm="1">
        <f t="array" ref="AL127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74">
        <f>IF(HR_Employee_Attrition[[#This Row],[Attrition]]="Yes",1,0)</f>
        <v>0</v>
      </c>
    </row>
    <row r="1275" spans="1:39"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IF(HR_Employee_Attrition[[#This Row],[Age]]&gt;60,"60+",IF(HR_Employee_Attrition[[#This Row],[Age]]&gt;=50,"50-59",IF(HR_Employee_Attrition[[#This Row],[Age]]&gt;=40,"40-49",IF(HR_Employee_Attrition[[#This Row],[Age]]&gt;=30,"30-39",IF(HR_Employee_Attrition[[#This Row],[Age]]&gt;=20,"20-29",IF(HR_Employee_Attrition[[#This Row],[Age]]&gt;=18,"18-20"))))))</f>
        <v>20-29</v>
      </c>
      <c r="AK1275" t="str" cm="1">
        <f t="array" ref="AK1275">_xlfn.IFS(HR_Employee_Attrition[[#This Row],[YearsAtCompany]]&lt;=2,"0-2",HR_Employee_Attrition[[#This Row],[YearsAtCompany]]&lt;=5,"3-5",HR_Employee_Attrition[[#This Row],[YearsAtCompany]]&lt;=10,"6-10",HR_Employee_Attrition[[#This Row],[YearsAtCompany]]&gt;10,"10+")</f>
        <v>0-2</v>
      </c>
      <c r="AL1275" t="str" cm="1">
        <f t="array" ref="AL127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75">
        <f>IF(HR_Employee_Attrition[[#This Row],[Attrition]]="Yes",1,0)</f>
        <v>1</v>
      </c>
    </row>
    <row r="1276" spans="1:39"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IF(HR_Employee_Attrition[[#This Row],[Age]]&gt;60,"60+",IF(HR_Employee_Attrition[[#This Row],[Age]]&gt;=50,"50-59",IF(HR_Employee_Attrition[[#This Row],[Age]]&gt;=40,"40-49",IF(HR_Employee_Attrition[[#This Row],[Age]]&gt;=30,"30-39",IF(HR_Employee_Attrition[[#This Row],[Age]]&gt;=20,"20-29",IF(HR_Employee_Attrition[[#This Row],[Age]]&gt;=18,"18-20"))))))</f>
        <v>30-39</v>
      </c>
      <c r="AK1276" t="str" cm="1">
        <f t="array" ref="AK1276">_xlfn.IFS(HR_Employee_Attrition[[#This Row],[YearsAtCompany]]&lt;=2,"0-2",HR_Employee_Attrition[[#This Row],[YearsAtCompany]]&lt;=5,"3-5",HR_Employee_Attrition[[#This Row],[YearsAtCompany]]&lt;=10,"6-10",HR_Employee_Attrition[[#This Row],[YearsAtCompany]]&gt;10,"10+")</f>
        <v>10+</v>
      </c>
      <c r="AL1276" t="str" cm="1">
        <f t="array" ref="AL127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76">
        <f>IF(HR_Employee_Attrition[[#This Row],[Attrition]]="Yes",1,0)</f>
        <v>0</v>
      </c>
    </row>
    <row r="1277" spans="1:39"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IF(HR_Employee_Attrition[[#This Row],[Age]]&gt;60,"60+",IF(HR_Employee_Attrition[[#This Row],[Age]]&gt;=50,"50-59",IF(HR_Employee_Attrition[[#This Row],[Age]]&gt;=40,"40-49",IF(HR_Employee_Attrition[[#This Row],[Age]]&gt;=30,"30-39",IF(HR_Employee_Attrition[[#This Row],[Age]]&gt;=20,"20-29",IF(HR_Employee_Attrition[[#This Row],[Age]]&gt;=18,"18-20"))))))</f>
        <v>50-59</v>
      </c>
      <c r="AK1277" t="str" cm="1">
        <f t="array" ref="AK1277">_xlfn.IFS(HR_Employee_Attrition[[#This Row],[YearsAtCompany]]&lt;=2,"0-2",HR_Employee_Attrition[[#This Row],[YearsAtCompany]]&lt;=5,"3-5",HR_Employee_Attrition[[#This Row],[YearsAtCompany]]&lt;=10,"6-10",HR_Employee_Attrition[[#This Row],[YearsAtCompany]]&gt;10,"10+")</f>
        <v>0-2</v>
      </c>
      <c r="AL1277" t="str" cm="1">
        <f t="array" ref="AL127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277">
        <f>IF(HR_Employee_Attrition[[#This Row],[Attrition]]="Yes",1,0)</f>
        <v>0</v>
      </c>
    </row>
    <row r="1278" spans="1:39"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IF(HR_Employee_Attrition[[#This Row],[Age]]&gt;60,"60+",IF(HR_Employee_Attrition[[#This Row],[Age]]&gt;=50,"50-59",IF(HR_Employee_Attrition[[#This Row],[Age]]&gt;=40,"40-49",IF(HR_Employee_Attrition[[#This Row],[Age]]&gt;=30,"30-39",IF(HR_Employee_Attrition[[#This Row],[Age]]&gt;=20,"20-29",IF(HR_Employee_Attrition[[#This Row],[Age]]&gt;=18,"18-20"))))))</f>
        <v>30-39</v>
      </c>
      <c r="AK1278" t="str" cm="1">
        <f t="array" ref="AK1278">_xlfn.IFS(HR_Employee_Attrition[[#This Row],[YearsAtCompany]]&lt;=2,"0-2",HR_Employee_Attrition[[#This Row],[YearsAtCompany]]&lt;=5,"3-5",HR_Employee_Attrition[[#This Row],[YearsAtCompany]]&lt;=10,"6-10",HR_Employee_Attrition[[#This Row],[YearsAtCompany]]&gt;10,"10+")</f>
        <v>3-5</v>
      </c>
      <c r="AL1278" t="str" cm="1">
        <f t="array" ref="AL127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78">
        <f>IF(HR_Employee_Attrition[[#This Row],[Attrition]]="Yes",1,0)</f>
        <v>0</v>
      </c>
    </row>
    <row r="1279" spans="1:39"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IF(HR_Employee_Attrition[[#This Row],[Age]]&gt;60,"60+",IF(HR_Employee_Attrition[[#This Row],[Age]]&gt;=50,"50-59",IF(HR_Employee_Attrition[[#This Row],[Age]]&gt;=40,"40-49",IF(HR_Employee_Attrition[[#This Row],[Age]]&gt;=30,"30-39",IF(HR_Employee_Attrition[[#This Row],[Age]]&gt;=20,"20-29",IF(HR_Employee_Attrition[[#This Row],[Age]]&gt;=18,"18-20"))))))</f>
        <v>40-49</v>
      </c>
      <c r="AK1279" t="str" cm="1">
        <f t="array" ref="AK1279">_xlfn.IFS(HR_Employee_Attrition[[#This Row],[YearsAtCompany]]&lt;=2,"0-2",HR_Employee_Attrition[[#This Row],[YearsAtCompany]]&lt;=5,"3-5",HR_Employee_Attrition[[#This Row],[YearsAtCompany]]&lt;=10,"6-10",HR_Employee_Attrition[[#This Row],[YearsAtCompany]]&gt;10,"10+")</f>
        <v>0-2</v>
      </c>
      <c r="AL1279" t="str" cm="1">
        <f t="array" ref="AL127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279">
        <f>IF(HR_Employee_Attrition[[#This Row],[Attrition]]="Yes",1,0)</f>
        <v>0</v>
      </c>
    </row>
    <row r="1280" spans="1:39"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IF(HR_Employee_Attrition[[#This Row],[Age]]&gt;60,"60+",IF(HR_Employee_Attrition[[#This Row],[Age]]&gt;=50,"50-59",IF(HR_Employee_Attrition[[#This Row],[Age]]&gt;=40,"40-49",IF(HR_Employee_Attrition[[#This Row],[Age]]&gt;=30,"30-39",IF(HR_Employee_Attrition[[#This Row],[Age]]&gt;=20,"20-29",IF(HR_Employee_Attrition[[#This Row],[Age]]&gt;=18,"18-20"))))))</f>
        <v>30-39</v>
      </c>
      <c r="AK1280" t="str" cm="1">
        <f t="array" ref="AK1280">_xlfn.IFS(HR_Employee_Attrition[[#This Row],[YearsAtCompany]]&lt;=2,"0-2",HR_Employee_Attrition[[#This Row],[YearsAtCompany]]&lt;=5,"3-5",HR_Employee_Attrition[[#This Row],[YearsAtCompany]]&lt;=10,"6-10",HR_Employee_Attrition[[#This Row],[YearsAtCompany]]&gt;10,"10+")</f>
        <v>10+</v>
      </c>
      <c r="AL1280" t="str" cm="1">
        <f t="array" ref="AL128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80">
        <f>IF(HR_Employee_Attrition[[#This Row],[Attrition]]="Yes",1,0)</f>
        <v>0</v>
      </c>
    </row>
    <row r="1281" spans="1:39"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IF(HR_Employee_Attrition[[#This Row],[Age]]&gt;60,"60+",IF(HR_Employee_Attrition[[#This Row],[Age]]&gt;=50,"50-59",IF(HR_Employee_Attrition[[#This Row],[Age]]&gt;=40,"40-49",IF(HR_Employee_Attrition[[#This Row],[Age]]&gt;=30,"30-39",IF(HR_Employee_Attrition[[#This Row],[Age]]&gt;=20,"20-29",IF(HR_Employee_Attrition[[#This Row],[Age]]&gt;=18,"18-20"))))))</f>
        <v>40-49</v>
      </c>
      <c r="AK1281" t="str" cm="1">
        <f t="array" ref="AK1281">_xlfn.IFS(HR_Employee_Attrition[[#This Row],[YearsAtCompany]]&lt;=2,"0-2",HR_Employee_Attrition[[#This Row],[YearsAtCompany]]&lt;=5,"3-5",HR_Employee_Attrition[[#This Row],[YearsAtCompany]]&lt;=10,"6-10",HR_Employee_Attrition[[#This Row],[YearsAtCompany]]&gt;10,"10+")</f>
        <v>3-5</v>
      </c>
      <c r="AL1281" t="str" cm="1">
        <f t="array" ref="AL128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81">
        <f>IF(HR_Employee_Attrition[[#This Row],[Attrition]]="Yes",1,0)</f>
        <v>1</v>
      </c>
    </row>
    <row r="1282" spans="1:39"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IF(HR_Employee_Attrition[[#This Row],[Age]]&gt;60,"60+",IF(HR_Employee_Attrition[[#This Row],[Age]]&gt;=50,"50-59",IF(HR_Employee_Attrition[[#This Row],[Age]]&gt;=40,"40-49",IF(HR_Employee_Attrition[[#This Row],[Age]]&gt;=30,"30-39",IF(HR_Employee_Attrition[[#This Row],[Age]]&gt;=20,"20-29",IF(HR_Employee_Attrition[[#This Row],[Age]]&gt;=18,"18-20"))))))</f>
        <v>30-39</v>
      </c>
      <c r="AK1282" t="str" cm="1">
        <f t="array" ref="AK1282">_xlfn.IFS(HR_Employee_Attrition[[#This Row],[YearsAtCompany]]&lt;=2,"0-2",HR_Employee_Attrition[[#This Row],[YearsAtCompany]]&lt;=5,"3-5",HR_Employee_Attrition[[#This Row],[YearsAtCompany]]&lt;=10,"6-10",HR_Employee_Attrition[[#This Row],[YearsAtCompany]]&gt;10,"10+")</f>
        <v>6-10</v>
      </c>
      <c r="AL1282" t="str" cm="1">
        <f t="array" ref="AL128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82">
        <f>IF(HR_Employee_Attrition[[#This Row],[Attrition]]="Yes",1,0)</f>
        <v>0</v>
      </c>
    </row>
    <row r="1283" spans="1:39"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IF(HR_Employee_Attrition[[#This Row],[Age]]&gt;60,"60+",IF(HR_Employee_Attrition[[#This Row],[Age]]&gt;=50,"50-59",IF(HR_Employee_Attrition[[#This Row],[Age]]&gt;=40,"40-49",IF(HR_Employee_Attrition[[#This Row],[Age]]&gt;=30,"30-39",IF(HR_Employee_Attrition[[#This Row],[Age]]&gt;=20,"20-29",IF(HR_Employee_Attrition[[#This Row],[Age]]&gt;=18,"18-20"))))))</f>
        <v>30-39</v>
      </c>
      <c r="AK1283" t="str" cm="1">
        <f t="array" ref="AK1283">_xlfn.IFS(HR_Employee_Attrition[[#This Row],[YearsAtCompany]]&lt;=2,"0-2",HR_Employee_Attrition[[#This Row],[YearsAtCompany]]&lt;=5,"3-5",HR_Employee_Attrition[[#This Row],[YearsAtCompany]]&lt;=10,"6-10",HR_Employee_Attrition[[#This Row],[YearsAtCompany]]&gt;10,"10+")</f>
        <v>6-10</v>
      </c>
      <c r="AL1283" t="str" cm="1">
        <f t="array" ref="AL128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83">
        <f>IF(HR_Employee_Attrition[[#This Row],[Attrition]]="Yes",1,0)</f>
        <v>1</v>
      </c>
    </row>
    <row r="1284" spans="1:39"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IF(HR_Employee_Attrition[[#This Row],[Age]]&gt;60,"60+",IF(HR_Employee_Attrition[[#This Row],[Age]]&gt;=50,"50-59",IF(HR_Employee_Attrition[[#This Row],[Age]]&gt;=40,"40-49",IF(HR_Employee_Attrition[[#This Row],[Age]]&gt;=30,"30-39",IF(HR_Employee_Attrition[[#This Row],[Age]]&gt;=20,"20-29",IF(HR_Employee_Attrition[[#This Row],[Age]]&gt;=18,"18-20"))))))</f>
        <v>30-39</v>
      </c>
      <c r="AK1284" t="str" cm="1">
        <f t="array" ref="AK1284">_xlfn.IFS(HR_Employee_Attrition[[#This Row],[YearsAtCompany]]&lt;=2,"0-2",HR_Employee_Attrition[[#This Row],[YearsAtCompany]]&lt;=5,"3-5",HR_Employee_Attrition[[#This Row],[YearsAtCompany]]&lt;=10,"6-10",HR_Employee_Attrition[[#This Row],[YearsAtCompany]]&gt;10,"10+")</f>
        <v>6-10</v>
      </c>
      <c r="AL1284" t="str" cm="1">
        <f t="array" ref="AL128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84">
        <f>IF(HR_Employee_Attrition[[#This Row],[Attrition]]="Yes",1,0)</f>
        <v>0</v>
      </c>
    </row>
    <row r="1285" spans="1:39"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IF(HR_Employee_Attrition[[#This Row],[Age]]&gt;60,"60+",IF(HR_Employee_Attrition[[#This Row],[Age]]&gt;=50,"50-59",IF(HR_Employee_Attrition[[#This Row],[Age]]&gt;=40,"40-49",IF(HR_Employee_Attrition[[#This Row],[Age]]&gt;=30,"30-39",IF(HR_Employee_Attrition[[#This Row],[Age]]&gt;=20,"20-29",IF(HR_Employee_Attrition[[#This Row],[Age]]&gt;=18,"18-20"))))))</f>
        <v>20-29</v>
      </c>
      <c r="AK1285" t="str" cm="1">
        <f t="array" ref="AK1285">_xlfn.IFS(HR_Employee_Attrition[[#This Row],[YearsAtCompany]]&lt;=2,"0-2",HR_Employee_Attrition[[#This Row],[YearsAtCompany]]&lt;=5,"3-5",HR_Employee_Attrition[[#This Row],[YearsAtCompany]]&lt;=10,"6-10",HR_Employee_Attrition[[#This Row],[YearsAtCompany]]&gt;10,"10+")</f>
        <v>3-5</v>
      </c>
      <c r="AL1285" t="str" cm="1">
        <f t="array" ref="AL128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85">
        <f>IF(HR_Employee_Attrition[[#This Row],[Attrition]]="Yes",1,0)</f>
        <v>0</v>
      </c>
    </row>
    <row r="1286" spans="1:39"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IF(HR_Employee_Attrition[[#This Row],[Age]]&gt;60,"60+",IF(HR_Employee_Attrition[[#This Row],[Age]]&gt;=50,"50-59",IF(HR_Employee_Attrition[[#This Row],[Age]]&gt;=40,"40-49",IF(HR_Employee_Attrition[[#This Row],[Age]]&gt;=30,"30-39",IF(HR_Employee_Attrition[[#This Row],[Age]]&gt;=20,"20-29",IF(HR_Employee_Attrition[[#This Row],[Age]]&gt;=18,"18-20"))))))</f>
        <v>30-39</v>
      </c>
      <c r="AK1286" t="str" cm="1">
        <f t="array" ref="AK1286">_xlfn.IFS(HR_Employee_Attrition[[#This Row],[YearsAtCompany]]&lt;=2,"0-2",HR_Employee_Attrition[[#This Row],[YearsAtCompany]]&lt;=5,"3-5",HR_Employee_Attrition[[#This Row],[YearsAtCompany]]&lt;=10,"6-10",HR_Employee_Attrition[[#This Row],[YearsAtCompany]]&gt;10,"10+")</f>
        <v>3-5</v>
      </c>
      <c r="AL1286" t="str" cm="1">
        <f t="array" ref="AL128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286">
        <f>IF(HR_Employee_Attrition[[#This Row],[Attrition]]="Yes",1,0)</f>
        <v>0</v>
      </c>
    </row>
    <row r="1287" spans="1:39"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IF(HR_Employee_Attrition[[#This Row],[Age]]&gt;60,"60+",IF(HR_Employee_Attrition[[#This Row],[Age]]&gt;=50,"50-59",IF(HR_Employee_Attrition[[#This Row],[Age]]&gt;=40,"40-49",IF(HR_Employee_Attrition[[#This Row],[Age]]&gt;=30,"30-39",IF(HR_Employee_Attrition[[#This Row],[Age]]&gt;=20,"20-29",IF(HR_Employee_Attrition[[#This Row],[Age]]&gt;=18,"18-20"))))))</f>
        <v>40-49</v>
      </c>
      <c r="AK1287" t="str" cm="1">
        <f t="array" ref="AK1287">_xlfn.IFS(HR_Employee_Attrition[[#This Row],[YearsAtCompany]]&lt;=2,"0-2",HR_Employee_Attrition[[#This Row],[YearsAtCompany]]&lt;=5,"3-5",HR_Employee_Attrition[[#This Row],[YearsAtCompany]]&lt;=10,"6-10",HR_Employee_Attrition[[#This Row],[YearsAtCompany]]&gt;10,"10+")</f>
        <v>0-2</v>
      </c>
      <c r="AL1287" t="str" cm="1">
        <f t="array" ref="AL128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87">
        <f>IF(HR_Employee_Attrition[[#This Row],[Attrition]]="Yes",1,0)</f>
        <v>0</v>
      </c>
    </row>
    <row r="1288" spans="1:39"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IF(HR_Employee_Attrition[[#This Row],[Age]]&gt;60,"60+",IF(HR_Employee_Attrition[[#This Row],[Age]]&gt;=50,"50-59",IF(HR_Employee_Attrition[[#This Row],[Age]]&gt;=40,"40-49",IF(HR_Employee_Attrition[[#This Row],[Age]]&gt;=30,"30-39",IF(HR_Employee_Attrition[[#This Row],[Age]]&gt;=20,"20-29",IF(HR_Employee_Attrition[[#This Row],[Age]]&gt;=18,"18-20"))))))</f>
        <v>40-49</v>
      </c>
      <c r="AK1288" t="str" cm="1">
        <f t="array" ref="AK1288">_xlfn.IFS(HR_Employee_Attrition[[#This Row],[YearsAtCompany]]&lt;=2,"0-2",HR_Employee_Attrition[[#This Row],[YearsAtCompany]]&lt;=5,"3-5",HR_Employee_Attrition[[#This Row],[YearsAtCompany]]&lt;=10,"6-10",HR_Employee_Attrition[[#This Row],[YearsAtCompany]]&gt;10,"10+")</f>
        <v>3-5</v>
      </c>
      <c r="AL1288" t="str" cm="1">
        <f t="array" ref="AL128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88">
        <f>IF(HR_Employee_Attrition[[#This Row],[Attrition]]="Yes",1,0)</f>
        <v>0</v>
      </c>
    </row>
    <row r="1289" spans="1:39"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IF(HR_Employee_Attrition[[#This Row],[Age]]&gt;60,"60+",IF(HR_Employee_Attrition[[#This Row],[Age]]&gt;=50,"50-59",IF(HR_Employee_Attrition[[#This Row],[Age]]&gt;=40,"40-49",IF(HR_Employee_Attrition[[#This Row],[Age]]&gt;=30,"30-39",IF(HR_Employee_Attrition[[#This Row],[Age]]&gt;=20,"20-29",IF(HR_Employee_Attrition[[#This Row],[Age]]&gt;=18,"18-20"))))))</f>
        <v>40-49</v>
      </c>
      <c r="AK1289" t="str" cm="1">
        <f t="array" ref="AK1289">_xlfn.IFS(HR_Employee_Attrition[[#This Row],[YearsAtCompany]]&lt;=2,"0-2",HR_Employee_Attrition[[#This Row],[YearsAtCompany]]&lt;=5,"3-5",HR_Employee_Attrition[[#This Row],[YearsAtCompany]]&lt;=10,"6-10",HR_Employee_Attrition[[#This Row],[YearsAtCompany]]&gt;10,"10+")</f>
        <v>0-2</v>
      </c>
      <c r="AL1289" t="str" cm="1">
        <f t="array" ref="AL128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89">
        <f>IF(HR_Employee_Attrition[[#This Row],[Attrition]]="Yes",1,0)</f>
        <v>0</v>
      </c>
    </row>
    <row r="1290" spans="1:39"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IF(HR_Employee_Attrition[[#This Row],[Age]]&gt;60,"60+",IF(HR_Employee_Attrition[[#This Row],[Age]]&gt;=50,"50-59",IF(HR_Employee_Attrition[[#This Row],[Age]]&gt;=40,"40-49",IF(HR_Employee_Attrition[[#This Row],[Age]]&gt;=30,"30-39",IF(HR_Employee_Attrition[[#This Row],[Age]]&gt;=20,"20-29",IF(HR_Employee_Attrition[[#This Row],[Age]]&gt;=18,"18-20"))))))</f>
        <v>30-39</v>
      </c>
      <c r="AK1290" t="str" cm="1">
        <f t="array" ref="AK1290">_xlfn.IFS(HR_Employee_Attrition[[#This Row],[YearsAtCompany]]&lt;=2,"0-2",HR_Employee_Attrition[[#This Row],[YearsAtCompany]]&lt;=5,"3-5",HR_Employee_Attrition[[#This Row],[YearsAtCompany]]&lt;=10,"6-10",HR_Employee_Attrition[[#This Row],[YearsAtCompany]]&gt;10,"10+")</f>
        <v>6-10</v>
      </c>
      <c r="AL1290" t="str" cm="1">
        <f t="array" ref="AL129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90">
        <f>IF(HR_Employee_Attrition[[#This Row],[Attrition]]="Yes",1,0)</f>
        <v>0</v>
      </c>
    </row>
    <row r="1291" spans="1:39"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IF(HR_Employee_Attrition[[#This Row],[Age]]&gt;60,"60+",IF(HR_Employee_Attrition[[#This Row],[Age]]&gt;=50,"50-59",IF(HR_Employee_Attrition[[#This Row],[Age]]&gt;=40,"40-49",IF(HR_Employee_Attrition[[#This Row],[Age]]&gt;=30,"30-39",IF(HR_Employee_Attrition[[#This Row],[Age]]&gt;=20,"20-29",IF(HR_Employee_Attrition[[#This Row],[Age]]&gt;=18,"18-20"))))))</f>
        <v>30-39</v>
      </c>
      <c r="AK1291" t="str" cm="1">
        <f t="array" ref="AK1291">_xlfn.IFS(HR_Employee_Attrition[[#This Row],[YearsAtCompany]]&lt;=2,"0-2",HR_Employee_Attrition[[#This Row],[YearsAtCompany]]&lt;=5,"3-5",HR_Employee_Attrition[[#This Row],[YearsAtCompany]]&lt;=10,"6-10",HR_Employee_Attrition[[#This Row],[YearsAtCompany]]&gt;10,"10+")</f>
        <v>10+</v>
      </c>
      <c r="AL1291" t="str" cm="1">
        <f t="array" ref="AL129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91">
        <f>IF(HR_Employee_Attrition[[#This Row],[Attrition]]="Yes",1,0)</f>
        <v>0</v>
      </c>
    </row>
    <row r="1292" spans="1:39"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IF(HR_Employee_Attrition[[#This Row],[Age]]&gt;60,"60+",IF(HR_Employee_Attrition[[#This Row],[Age]]&gt;=50,"50-59",IF(HR_Employee_Attrition[[#This Row],[Age]]&gt;=40,"40-49",IF(HR_Employee_Attrition[[#This Row],[Age]]&gt;=30,"30-39",IF(HR_Employee_Attrition[[#This Row],[Age]]&gt;=20,"20-29",IF(HR_Employee_Attrition[[#This Row],[Age]]&gt;=18,"18-20"))))))</f>
        <v>30-39</v>
      </c>
      <c r="AK1292" t="str" cm="1">
        <f t="array" ref="AK1292">_xlfn.IFS(HR_Employee_Attrition[[#This Row],[YearsAtCompany]]&lt;=2,"0-2",HR_Employee_Attrition[[#This Row],[YearsAtCompany]]&lt;=5,"3-5",HR_Employee_Attrition[[#This Row],[YearsAtCompany]]&lt;=10,"6-10",HR_Employee_Attrition[[#This Row],[YearsAtCompany]]&gt;10,"10+")</f>
        <v>6-10</v>
      </c>
      <c r="AL1292" t="str" cm="1">
        <f t="array" ref="AL129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92">
        <f>IF(HR_Employee_Attrition[[#This Row],[Attrition]]="Yes",1,0)</f>
        <v>1</v>
      </c>
    </row>
    <row r="1293" spans="1:39"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IF(HR_Employee_Attrition[[#This Row],[Age]]&gt;60,"60+",IF(HR_Employee_Attrition[[#This Row],[Age]]&gt;=50,"50-59",IF(HR_Employee_Attrition[[#This Row],[Age]]&gt;=40,"40-49",IF(HR_Employee_Attrition[[#This Row],[Age]]&gt;=30,"30-39",IF(HR_Employee_Attrition[[#This Row],[Age]]&gt;=20,"20-29",IF(HR_Employee_Attrition[[#This Row],[Age]]&gt;=18,"18-20"))))))</f>
        <v>30-39</v>
      </c>
      <c r="AK1293" t="str" cm="1">
        <f t="array" ref="AK1293">_xlfn.IFS(HR_Employee_Attrition[[#This Row],[YearsAtCompany]]&lt;=2,"0-2",HR_Employee_Attrition[[#This Row],[YearsAtCompany]]&lt;=5,"3-5",HR_Employee_Attrition[[#This Row],[YearsAtCompany]]&lt;=10,"6-10",HR_Employee_Attrition[[#This Row],[YearsAtCompany]]&gt;10,"10+")</f>
        <v>6-10</v>
      </c>
      <c r="AL1293" t="str" cm="1">
        <f t="array" ref="AL129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93">
        <f>IF(HR_Employee_Attrition[[#This Row],[Attrition]]="Yes",1,0)</f>
        <v>1</v>
      </c>
    </row>
    <row r="1294" spans="1:39"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IF(HR_Employee_Attrition[[#This Row],[Age]]&gt;60,"60+",IF(HR_Employee_Attrition[[#This Row],[Age]]&gt;=50,"50-59",IF(HR_Employee_Attrition[[#This Row],[Age]]&gt;=40,"40-49",IF(HR_Employee_Attrition[[#This Row],[Age]]&gt;=30,"30-39",IF(HR_Employee_Attrition[[#This Row],[Age]]&gt;=20,"20-29",IF(HR_Employee_Attrition[[#This Row],[Age]]&gt;=18,"18-20"))))))</f>
        <v>30-39</v>
      </c>
      <c r="AK1294" t="str" cm="1">
        <f t="array" ref="AK1294">_xlfn.IFS(HR_Employee_Attrition[[#This Row],[YearsAtCompany]]&lt;=2,"0-2",HR_Employee_Attrition[[#This Row],[YearsAtCompany]]&lt;=5,"3-5",HR_Employee_Attrition[[#This Row],[YearsAtCompany]]&lt;=10,"6-10",HR_Employee_Attrition[[#This Row],[YearsAtCompany]]&gt;10,"10+")</f>
        <v>0-2</v>
      </c>
      <c r="AL1294" t="str" cm="1">
        <f t="array" ref="AL129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94">
        <f>IF(HR_Employee_Attrition[[#This Row],[Attrition]]="Yes",1,0)</f>
        <v>0</v>
      </c>
    </row>
    <row r="1295" spans="1:39"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IF(HR_Employee_Attrition[[#This Row],[Age]]&gt;60,"60+",IF(HR_Employee_Attrition[[#This Row],[Age]]&gt;=50,"50-59",IF(HR_Employee_Attrition[[#This Row],[Age]]&gt;=40,"40-49",IF(HR_Employee_Attrition[[#This Row],[Age]]&gt;=30,"30-39",IF(HR_Employee_Attrition[[#This Row],[Age]]&gt;=20,"20-29",IF(HR_Employee_Attrition[[#This Row],[Age]]&gt;=18,"18-20"))))))</f>
        <v>40-49</v>
      </c>
      <c r="AK1295" t="str" cm="1">
        <f t="array" ref="AK1295">_xlfn.IFS(HR_Employee_Attrition[[#This Row],[YearsAtCompany]]&lt;=2,"0-2",HR_Employee_Attrition[[#This Row],[YearsAtCompany]]&lt;=5,"3-5",HR_Employee_Attrition[[#This Row],[YearsAtCompany]]&lt;=10,"6-10",HR_Employee_Attrition[[#This Row],[YearsAtCompany]]&gt;10,"10+")</f>
        <v>3-5</v>
      </c>
      <c r="AL1295" t="str" cm="1">
        <f t="array" ref="AL129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95">
        <f>IF(HR_Employee_Attrition[[#This Row],[Attrition]]="Yes",1,0)</f>
        <v>0</v>
      </c>
    </row>
    <row r="1296" spans="1:39"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IF(HR_Employee_Attrition[[#This Row],[Age]]&gt;60,"60+",IF(HR_Employee_Attrition[[#This Row],[Age]]&gt;=50,"50-59",IF(HR_Employee_Attrition[[#This Row],[Age]]&gt;=40,"40-49",IF(HR_Employee_Attrition[[#This Row],[Age]]&gt;=30,"30-39",IF(HR_Employee_Attrition[[#This Row],[Age]]&gt;=20,"20-29",IF(HR_Employee_Attrition[[#This Row],[Age]]&gt;=18,"18-20"))))))</f>
        <v>40-49</v>
      </c>
      <c r="AK1296" t="str" cm="1">
        <f t="array" ref="AK1296">_xlfn.IFS(HR_Employee_Attrition[[#This Row],[YearsAtCompany]]&lt;=2,"0-2",HR_Employee_Attrition[[#This Row],[YearsAtCompany]]&lt;=5,"3-5",HR_Employee_Attrition[[#This Row],[YearsAtCompany]]&lt;=10,"6-10",HR_Employee_Attrition[[#This Row],[YearsAtCompany]]&gt;10,"10+")</f>
        <v>3-5</v>
      </c>
      <c r="AL1296" t="str" cm="1">
        <f t="array" ref="AL129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96">
        <f>IF(HR_Employee_Attrition[[#This Row],[Attrition]]="Yes",1,0)</f>
        <v>0</v>
      </c>
    </row>
    <row r="1297" spans="1:39"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IF(HR_Employee_Attrition[[#This Row],[Age]]&gt;60,"60+",IF(HR_Employee_Attrition[[#This Row],[Age]]&gt;=50,"50-59",IF(HR_Employee_Attrition[[#This Row],[Age]]&gt;=40,"40-49",IF(HR_Employee_Attrition[[#This Row],[Age]]&gt;=30,"30-39",IF(HR_Employee_Attrition[[#This Row],[Age]]&gt;=20,"20-29",IF(HR_Employee_Attrition[[#This Row],[Age]]&gt;=18,"18-20"))))))</f>
        <v>40-49</v>
      </c>
      <c r="AK1297" t="str" cm="1">
        <f t="array" ref="AK1297">_xlfn.IFS(HR_Employee_Attrition[[#This Row],[YearsAtCompany]]&lt;=2,"0-2",HR_Employee_Attrition[[#This Row],[YearsAtCompany]]&lt;=5,"3-5",HR_Employee_Attrition[[#This Row],[YearsAtCompany]]&lt;=10,"6-10",HR_Employee_Attrition[[#This Row],[YearsAtCompany]]&gt;10,"10+")</f>
        <v>10+</v>
      </c>
      <c r="AL1297" t="str" cm="1">
        <f t="array" ref="AL129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297">
        <f>IF(HR_Employee_Attrition[[#This Row],[Attrition]]="Yes",1,0)</f>
        <v>0</v>
      </c>
    </row>
    <row r="1298" spans="1:39"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IF(HR_Employee_Attrition[[#This Row],[Age]]&gt;60,"60+",IF(HR_Employee_Attrition[[#This Row],[Age]]&gt;=50,"50-59",IF(HR_Employee_Attrition[[#This Row],[Age]]&gt;=40,"40-49",IF(HR_Employee_Attrition[[#This Row],[Age]]&gt;=30,"30-39",IF(HR_Employee_Attrition[[#This Row],[Age]]&gt;=20,"20-29",IF(HR_Employee_Attrition[[#This Row],[Age]]&gt;=18,"18-20"))))))</f>
        <v>30-39</v>
      </c>
      <c r="AK1298" t="str" cm="1">
        <f t="array" ref="AK1298">_xlfn.IFS(HR_Employee_Attrition[[#This Row],[YearsAtCompany]]&lt;=2,"0-2",HR_Employee_Attrition[[#This Row],[YearsAtCompany]]&lt;=5,"3-5",HR_Employee_Attrition[[#This Row],[YearsAtCompany]]&lt;=10,"6-10",HR_Employee_Attrition[[#This Row],[YearsAtCompany]]&gt;10,"10+")</f>
        <v>6-10</v>
      </c>
      <c r="AL1298" t="str" cm="1">
        <f t="array" ref="AL129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298">
        <f>IF(HR_Employee_Attrition[[#This Row],[Attrition]]="Yes",1,0)</f>
        <v>0</v>
      </c>
    </row>
    <row r="1299" spans="1:39"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IF(HR_Employee_Attrition[[#This Row],[Age]]&gt;60,"60+",IF(HR_Employee_Attrition[[#This Row],[Age]]&gt;=50,"50-59",IF(HR_Employee_Attrition[[#This Row],[Age]]&gt;=40,"40-49",IF(HR_Employee_Attrition[[#This Row],[Age]]&gt;=30,"30-39",IF(HR_Employee_Attrition[[#This Row],[Age]]&gt;=20,"20-29",IF(HR_Employee_Attrition[[#This Row],[Age]]&gt;=18,"18-20"))))))</f>
        <v>20-29</v>
      </c>
      <c r="AK1299" t="str" cm="1">
        <f t="array" ref="AK1299">_xlfn.IFS(HR_Employee_Attrition[[#This Row],[YearsAtCompany]]&lt;=2,"0-2",HR_Employee_Attrition[[#This Row],[YearsAtCompany]]&lt;=5,"3-5",HR_Employee_Attrition[[#This Row],[YearsAtCompany]]&lt;=10,"6-10",HR_Employee_Attrition[[#This Row],[YearsAtCompany]]&gt;10,"10+")</f>
        <v>3-5</v>
      </c>
      <c r="AL1299" t="str" cm="1">
        <f t="array" ref="AL129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299">
        <f>IF(HR_Employee_Attrition[[#This Row],[Attrition]]="Yes",1,0)</f>
        <v>1</v>
      </c>
    </row>
    <row r="1300" spans="1:39"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IF(HR_Employee_Attrition[[#This Row],[Age]]&gt;60,"60+",IF(HR_Employee_Attrition[[#This Row],[Age]]&gt;=50,"50-59",IF(HR_Employee_Attrition[[#This Row],[Age]]&gt;=40,"40-49",IF(HR_Employee_Attrition[[#This Row],[Age]]&gt;=30,"30-39",IF(HR_Employee_Attrition[[#This Row],[Age]]&gt;=20,"20-29",IF(HR_Employee_Attrition[[#This Row],[Age]]&gt;=18,"18-20"))))))</f>
        <v>40-49</v>
      </c>
      <c r="AK1300" t="str" cm="1">
        <f t="array" ref="AK1300">_xlfn.IFS(HR_Employee_Attrition[[#This Row],[YearsAtCompany]]&lt;=2,"0-2",HR_Employee_Attrition[[#This Row],[YearsAtCompany]]&lt;=5,"3-5",HR_Employee_Attrition[[#This Row],[YearsAtCompany]]&lt;=10,"6-10",HR_Employee_Attrition[[#This Row],[YearsAtCompany]]&gt;10,"10+")</f>
        <v>6-10</v>
      </c>
      <c r="AL1300" t="str" cm="1">
        <f t="array" ref="AL130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00">
        <f>IF(HR_Employee_Attrition[[#This Row],[Attrition]]="Yes",1,0)</f>
        <v>1</v>
      </c>
    </row>
    <row r="1301" spans="1:39"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IF(HR_Employee_Attrition[[#This Row],[Age]]&gt;60,"60+",IF(HR_Employee_Attrition[[#This Row],[Age]]&gt;=50,"50-59",IF(HR_Employee_Attrition[[#This Row],[Age]]&gt;=40,"40-49",IF(HR_Employee_Attrition[[#This Row],[Age]]&gt;=30,"30-39",IF(HR_Employee_Attrition[[#This Row],[Age]]&gt;=20,"20-29",IF(HR_Employee_Attrition[[#This Row],[Age]]&gt;=18,"18-20"))))))</f>
        <v>40-49</v>
      </c>
      <c r="AK1301" t="str" cm="1">
        <f t="array" ref="AK1301">_xlfn.IFS(HR_Employee_Attrition[[#This Row],[YearsAtCompany]]&lt;=2,"0-2",HR_Employee_Attrition[[#This Row],[YearsAtCompany]]&lt;=5,"3-5",HR_Employee_Attrition[[#This Row],[YearsAtCompany]]&lt;=10,"6-10",HR_Employee_Attrition[[#This Row],[YearsAtCompany]]&gt;10,"10+")</f>
        <v>3-5</v>
      </c>
      <c r="AL1301" t="str" cm="1">
        <f t="array" ref="AL130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01">
        <f>IF(HR_Employee_Attrition[[#This Row],[Attrition]]="Yes",1,0)</f>
        <v>0</v>
      </c>
    </row>
    <row r="1302" spans="1:39"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IF(HR_Employee_Attrition[[#This Row],[Age]]&gt;60,"60+",IF(HR_Employee_Attrition[[#This Row],[Age]]&gt;=50,"50-59",IF(HR_Employee_Attrition[[#This Row],[Age]]&gt;=40,"40-49",IF(HR_Employee_Attrition[[#This Row],[Age]]&gt;=30,"30-39",IF(HR_Employee_Attrition[[#This Row],[Age]]&gt;=20,"20-29",IF(HR_Employee_Attrition[[#This Row],[Age]]&gt;=18,"18-20"))))))</f>
        <v>30-39</v>
      </c>
      <c r="AK1302" t="str" cm="1">
        <f t="array" ref="AK1302">_xlfn.IFS(HR_Employee_Attrition[[#This Row],[YearsAtCompany]]&lt;=2,"0-2",HR_Employee_Attrition[[#This Row],[YearsAtCompany]]&lt;=5,"3-5",HR_Employee_Attrition[[#This Row],[YearsAtCompany]]&lt;=10,"6-10",HR_Employee_Attrition[[#This Row],[YearsAtCompany]]&gt;10,"10+")</f>
        <v>6-10</v>
      </c>
      <c r="AL1302" t="str" cm="1">
        <f t="array" ref="AL130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02">
        <f>IF(HR_Employee_Attrition[[#This Row],[Attrition]]="Yes",1,0)</f>
        <v>0</v>
      </c>
    </row>
    <row r="1303" spans="1:39"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IF(HR_Employee_Attrition[[#This Row],[Age]]&gt;60,"60+",IF(HR_Employee_Attrition[[#This Row],[Age]]&gt;=50,"50-59",IF(HR_Employee_Attrition[[#This Row],[Age]]&gt;=40,"40-49",IF(HR_Employee_Attrition[[#This Row],[Age]]&gt;=30,"30-39",IF(HR_Employee_Attrition[[#This Row],[Age]]&gt;=20,"20-29",IF(HR_Employee_Attrition[[#This Row],[Age]]&gt;=18,"18-20"))))))</f>
        <v>50-59</v>
      </c>
      <c r="AK1303" t="str" cm="1">
        <f t="array" ref="AK1303">_xlfn.IFS(HR_Employee_Attrition[[#This Row],[YearsAtCompany]]&lt;=2,"0-2",HR_Employee_Attrition[[#This Row],[YearsAtCompany]]&lt;=5,"3-5",HR_Employee_Attrition[[#This Row],[YearsAtCompany]]&lt;=10,"6-10",HR_Employee_Attrition[[#This Row],[YearsAtCompany]]&gt;10,"10+")</f>
        <v>10+</v>
      </c>
      <c r="AL1303" t="str" cm="1">
        <f t="array" ref="AL130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303">
        <f>IF(HR_Employee_Attrition[[#This Row],[Attrition]]="Yes",1,0)</f>
        <v>0</v>
      </c>
    </row>
    <row r="1304" spans="1:39"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IF(HR_Employee_Attrition[[#This Row],[Age]]&gt;60,"60+",IF(HR_Employee_Attrition[[#This Row],[Age]]&gt;=50,"50-59",IF(HR_Employee_Attrition[[#This Row],[Age]]&gt;=40,"40-49",IF(HR_Employee_Attrition[[#This Row],[Age]]&gt;=30,"30-39",IF(HR_Employee_Attrition[[#This Row],[Age]]&gt;=20,"20-29",IF(HR_Employee_Attrition[[#This Row],[Age]]&gt;=18,"18-20"))))))</f>
        <v>30-39</v>
      </c>
      <c r="AK1304" t="str" cm="1">
        <f t="array" ref="AK1304">_xlfn.IFS(HR_Employee_Attrition[[#This Row],[YearsAtCompany]]&lt;=2,"0-2",HR_Employee_Attrition[[#This Row],[YearsAtCompany]]&lt;=5,"3-5",HR_Employee_Attrition[[#This Row],[YearsAtCompany]]&lt;=10,"6-10",HR_Employee_Attrition[[#This Row],[YearsAtCompany]]&gt;10,"10+")</f>
        <v>3-5</v>
      </c>
      <c r="AL1304" t="str" cm="1">
        <f t="array" ref="AL130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04">
        <f>IF(HR_Employee_Attrition[[#This Row],[Attrition]]="Yes",1,0)</f>
        <v>0</v>
      </c>
    </row>
    <row r="1305" spans="1:39"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IF(HR_Employee_Attrition[[#This Row],[Age]]&gt;60,"60+",IF(HR_Employee_Attrition[[#This Row],[Age]]&gt;=50,"50-59",IF(HR_Employee_Attrition[[#This Row],[Age]]&gt;=40,"40-49",IF(HR_Employee_Attrition[[#This Row],[Age]]&gt;=30,"30-39",IF(HR_Employee_Attrition[[#This Row],[Age]]&gt;=20,"20-29",IF(HR_Employee_Attrition[[#This Row],[Age]]&gt;=18,"18-20"))))))</f>
        <v>40-49</v>
      </c>
      <c r="AK1305" t="str" cm="1">
        <f t="array" ref="AK1305">_xlfn.IFS(HR_Employee_Attrition[[#This Row],[YearsAtCompany]]&lt;=2,"0-2",HR_Employee_Attrition[[#This Row],[YearsAtCompany]]&lt;=5,"3-5",HR_Employee_Attrition[[#This Row],[YearsAtCompany]]&lt;=10,"6-10",HR_Employee_Attrition[[#This Row],[YearsAtCompany]]&gt;10,"10+")</f>
        <v>10+</v>
      </c>
      <c r="AL1305" t="str" cm="1">
        <f t="array" ref="AL130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305">
        <f>IF(HR_Employee_Attrition[[#This Row],[Attrition]]="Yes",1,0)</f>
        <v>0</v>
      </c>
    </row>
    <row r="1306" spans="1:39"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IF(HR_Employee_Attrition[[#This Row],[Age]]&gt;60,"60+",IF(HR_Employee_Attrition[[#This Row],[Age]]&gt;=50,"50-59",IF(HR_Employee_Attrition[[#This Row],[Age]]&gt;=40,"40-49",IF(HR_Employee_Attrition[[#This Row],[Age]]&gt;=30,"30-39",IF(HR_Employee_Attrition[[#This Row],[Age]]&gt;=20,"20-29",IF(HR_Employee_Attrition[[#This Row],[Age]]&gt;=18,"18-20"))))))</f>
        <v>40-49</v>
      </c>
      <c r="AK1306" t="str" cm="1">
        <f t="array" ref="AK1306">_xlfn.IFS(HR_Employee_Attrition[[#This Row],[YearsAtCompany]]&lt;=2,"0-2",HR_Employee_Attrition[[#This Row],[YearsAtCompany]]&lt;=5,"3-5",HR_Employee_Attrition[[#This Row],[YearsAtCompany]]&lt;=10,"6-10",HR_Employee_Attrition[[#This Row],[YearsAtCompany]]&gt;10,"10+")</f>
        <v>6-10</v>
      </c>
      <c r="AL1306" t="str" cm="1">
        <f t="array" ref="AL130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06">
        <f>IF(HR_Employee_Attrition[[#This Row],[Attrition]]="Yes",1,0)</f>
        <v>0</v>
      </c>
    </row>
    <row r="1307" spans="1:39"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IF(HR_Employee_Attrition[[#This Row],[Age]]&gt;60,"60+",IF(HR_Employee_Attrition[[#This Row],[Age]]&gt;=50,"50-59",IF(HR_Employee_Attrition[[#This Row],[Age]]&gt;=40,"40-49",IF(HR_Employee_Attrition[[#This Row],[Age]]&gt;=30,"30-39",IF(HR_Employee_Attrition[[#This Row],[Age]]&gt;=20,"20-29",IF(HR_Employee_Attrition[[#This Row],[Age]]&gt;=18,"18-20"))))))</f>
        <v>50-59</v>
      </c>
      <c r="AK1307" t="str" cm="1">
        <f t="array" ref="AK1307">_xlfn.IFS(HR_Employee_Attrition[[#This Row],[YearsAtCompany]]&lt;=2,"0-2",HR_Employee_Attrition[[#This Row],[YearsAtCompany]]&lt;=5,"3-5",HR_Employee_Attrition[[#This Row],[YearsAtCompany]]&lt;=10,"6-10",HR_Employee_Attrition[[#This Row],[YearsAtCompany]]&gt;10,"10+")</f>
        <v>6-10</v>
      </c>
      <c r="AL1307" t="str" cm="1">
        <f t="array" ref="AL130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07">
        <f>IF(HR_Employee_Attrition[[#This Row],[Attrition]]="Yes",1,0)</f>
        <v>0</v>
      </c>
    </row>
    <row r="1308" spans="1:39"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IF(HR_Employee_Attrition[[#This Row],[Age]]&gt;60,"60+",IF(HR_Employee_Attrition[[#This Row],[Age]]&gt;=50,"50-59",IF(HR_Employee_Attrition[[#This Row],[Age]]&gt;=40,"40-49",IF(HR_Employee_Attrition[[#This Row],[Age]]&gt;=30,"30-39",IF(HR_Employee_Attrition[[#This Row],[Age]]&gt;=20,"20-29",IF(HR_Employee_Attrition[[#This Row],[Age]]&gt;=18,"18-20"))))))</f>
        <v>30-39</v>
      </c>
      <c r="AK1308" t="str" cm="1">
        <f t="array" ref="AK1308">_xlfn.IFS(HR_Employee_Attrition[[#This Row],[YearsAtCompany]]&lt;=2,"0-2",HR_Employee_Attrition[[#This Row],[YearsAtCompany]]&lt;=5,"3-5",HR_Employee_Attrition[[#This Row],[YearsAtCompany]]&lt;=10,"6-10",HR_Employee_Attrition[[#This Row],[YearsAtCompany]]&gt;10,"10+")</f>
        <v>3-5</v>
      </c>
      <c r="AL1308" t="str" cm="1">
        <f t="array" ref="AL130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08">
        <f>IF(HR_Employee_Attrition[[#This Row],[Attrition]]="Yes",1,0)</f>
        <v>0</v>
      </c>
    </row>
    <row r="1309" spans="1:39"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IF(HR_Employee_Attrition[[#This Row],[Age]]&gt;60,"60+",IF(HR_Employee_Attrition[[#This Row],[Age]]&gt;=50,"50-59",IF(HR_Employee_Attrition[[#This Row],[Age]]&gt;=40,"40-49",IF(HR_Employee_Attrition[[#This Row],[Age]]&gt;=30,"30-39",IF(HR_Employee_Attrition[[#This Row],[Age]]&gt;=20,"20-29",IF(HR_Employee_Attrition[[#This Row],[Age]]&gt;=18,"18-20"))))))</f>
        <v>20-29</v>
      </c>
      <c r="AK1309" t="str" cm="1">
        <f t="array" ref="AK1309">_xlfn.IFS(HR_Employee_Attrition[[#This Row],[YearsAtCompany]]&lt;=2,"0-2",HR_Employee_Attrition[[#This Row],[YearsAtCompany]]&lt;=5,"3-5",HR_Employee_Attrition[[#This Row],[YearsAtCompany]]&lt;=10,"6-10",HR_Employee_Attrition[[#This Row],[YearsAtCompany]]&gt;10,"10+")</f>
        <v>3-5</v>
      </c>
      <c r="AL1309" t="str" cm="1">
        <f t="array" ref="AL130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09">
        <f>IF(HR_Employee_Attrition[[#This Row],[Attrition]]="Yes",1,0)</f>
        <v>0</v>
      </c>
    </row>
    <row r="1310" spans="1:39"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IF(HR_Employee_Attrition[[#This Row],[Age]]&gt;60,"60+",IF(HR_Employee_Attrition[[#This Row],[Age]]&gt;=50,"50-59",IF(HR_Employee_Attrition[[#This Row],[Age]]&gt;=40,"40-49",IF(HR_Employee_Attrition[[#This Row],[Age]]&gt;=30,"30-39",IF(HR_Employee_Attrition[[#This Row],[Age]]&gt;=20,"20-29",IF(HR_Employee_Attrition[[#This Row],[Age]]&gt;=18,"18-20"))))))</f>
        <v>30-39</v>
      </c>
      <c r="AK1310" t="str" cm="1">
        <f t="array" ref="AK1310">_xlfn.IFS(HR_Employee_Attrition[[#This Row],[YearsAtCompany]]&lt;=2,"0-2",HR_Employee_Attrition[[#This Row],[YearsAtCompany]]&lt;=5,"3-5",HR_Employee_Attrition[[#This Row],[YearsAtCompany]]&lt;=10,"6-10",HR_Employee_Attrition[[#This Row],[YearsAtCompany]]&gt;10,"10+")</f>
        <v>3-5</v>
      </c>
      <c r="AL1310" t="str" cm="1">
        <f t="array" ref="AL13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10">
        <f>IF(HR_Employee_Attrition[[#This Row],[Attrition]]="Yes",1,0)</f>
        <v>0</v>
      </c>
    </row>
    <row r="1311" spans="1:39"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IF(HR_Employee_Attrition[[#This Row],[Age]]&gt;60,"60+",IF(HR_Employee_Attrition[[#This Row],[Age]]&gt;=50,"50-59",IF(HR_Employee_Attrition[[#This Row],[Age]]&gt;=40,"40-49",IF(HR_Employee_Attrition[[#This Row],[Age]]&gt;=30,"30-39",IF(HR_Employee_Attrition[[#This Row],[Age]]&gt;=20,"20-29",IF(HR_Employee_Attrition[[#This Row],[Age]]&gt;=18,"18-20"))))))</f>
        <v>20-29</v>
      </c>
      <c r="AK1311" t="str" cm="1">
        <f t="array" ref="AK1311">_xlfn.IFS(HR_Employee_Attrition[[#This Row],[YearsAtCompany]]&lt;=2,"0-2",HR_Employee_Attrition[[#This Row],[YearsAtCompany]]&lt;=5,"3-5",HR_Employee_Attrition[[#This Row],[YearsAtCompany]]&lt;=10,"6-10",HR_Employee_Attrition[[#This Row],[YearsAtCompany]]&gt;10,"10+")</f>
        <v>3-5</v>
      </c>
      <c r="AL1311" t="str" cm="1">
        <f t="array" ref="AL13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11">
        <f>IF(HR_Employee_Attrition[[#This Row],[Attrition]]="Yes",1,0)</f>
        <v>0</v>
      </c>
    </row>
    <row r="1312" spans="1:39"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IF(HR_Employee_Attrition[[#This Row],[Age]]&gt;60,"60+",IF(HR_Employee_Attrition[[#This Row],[Age]]&gt;=50,"50-59",IF(HR_Employee_Attrition[[#This Row],[Age]]&gt;=40,"40-49",IF(HR_Employee_Attrition[[#This Row],[Age]]&gt;=30,"30-39",IF(HR_Employee_Attrition[[#This Row],[Age]]&gt;=20,"20-29",IF(HR_Employee_Attrition[[#This Row],[Age]]&gt;=18,"18-20"))))))</f>
        <v>50-59</v>
      </c>
      <c r="AK1312" t="str" cm="1">
        <f t="array" ref="AK1312">_xlfn.IFS(HR_Employee_Attrition[[#This Row],[YearsAtCompany]]&lt;=2,"0-2",HR_Employee_Attrition[[#This Row],[YearsAtCompany]]&lt;=5,"3-5",HR_Employee_Attrition[[#This Row],[YearsAtCompany]]&lt;=10,"6-10",HR_Employee_Attrition[[#This Row],[YearsAtCompany]]&gt;10,"10+")</f>
        <v>0-2</v>
      </c>
      <c r="AL1312" t="str" cm="1">
        <f t="array" ref="AL13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312">
        <f>IF(HR_Employee_Attrition[[#This Row],[Attrition]]="Yes",1,0)</f>
        <v>0</v>
      </c>
    </row>
    <row r="1313" spans="1:39"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IF(HR_Employee_Attrition[[#This Row],[Age]]&gt;60,"60+",IF(HR_Employee_Attrition[[#This Row],[Age]]&gt;=50,"50-59",IF(HR_Employee_Attrition[[#This Row],[Age]]&gt;=40,"40-49",IF(HR_Employee_Attrition[[#This Row],[Age]]&gt;=30,"30-39",IF(HR_Employee_Attrition[[#This Row],[Age]]&gt;=20,"20-29",IF(HR_Employee_Attrition[[#This Row],[Age]]&gt;=18,"18-20"))))))</f>
        <v>18-20</v>
      </c>
      <c r="AK1313" t="str" cm="1">
        <f t="array" ref="AK1313">_xlfn.IFS(HR_Employee_Attrition[[#This Row],[YearsAtCompany]]&lt;=2,"0-2",HR_Employee_Attrition[[#This Row],[YearsAtCompany]]&lt;=5,"3-5",HR_Employee_Attrition[[#This Row],[YearsAtCompany]]&lt;=10,"6-10",HR_Employee_Attrition[[#This Row],[YearsAtCompany]]&gt;10,"10+")</f>
        <v>0-2</v>
      </c>
      <c r="AL1313" t="str" cm="1">
        <f t="array" ref="AL13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13">
        <f>IF(HR_Employee_Attrition[[#This Row],[Attrition]]="Yes",1,0)</f>
        <v>0</v>
      </c>
    </row>
    <row r="1314" spans="1:39"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IF(HR_Employee_Attrition[[#This Row],[Age]]&gt;60,"60+",IF(HR_Employee_Attrition[[#This Row],[Age]]&gt;=50,"50-59",IF(HR_Employee_Attrition[[#This Row],[Age]]&gt;=40,"40-49",IF(HR_Employee_Attrition[[#This Row],[Age]]&gt;=30,"30-39",IF(HR_Employee_Attrition[[#This Row],[Age]]&gt;=20,"20-29",IF(HR_Employee_Attrition[[#This Row],[Age]]&gt;=18,"18-20"))))))</f>
        <v>30-39</v>
      </c>
      <c r="AK1314" t="str" cm="1">
        <f t="array" ref="AK1314">_xlfn.IFS(HR_Employee_Attrition[[#This Row],[YearsAtCompany]]&lt;=2,"0-2",HR_Employee_Attrition[[#This Row],[YearsAtCompany]]&lt;=5,"3-5",HR_Employee_Attrition[[#This Row],[YearsAtCompany]]&lt;=10,"6-10",HR_Employee_Attrition[[#This Row],[YearsAtCompany]]&gt;10,"10+")</f>
        <v>0-2</v>
      </c>
      <c r="AL1314" t="str" cm="1">
        <f t="array" ref="AL13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14">
        <f>IF(HR_Employee_Attrition[[#This Row],[Attrition]]="Yes",1,0)</f>
        <v>1</v>
      </c>
    </row>
    <row r="1315" spans="1:39"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IF(HR_Employee_Attrition[[#This Row],[Age]]&gt;60,"60+",IF(HR_Employee_Attrition[[#This Row],[Age]]&gt;=50,"50-59",IF(HR_Employee_Attrition[[#This Row],[Age]]&gt;=40,"40-49",IF(HR_Employee_Attrition[[#This Row],[Age]]&gt;=30,"30-39",IF(HR_Employee_Attrition[[#This Row],[Age]]&gt;=20,"20-29",IF(HR_Employee_Attrition[[#This Row],[Age]]&gt;=18,"18-20"))))))</f>
        <v>20-29</v>
      </c>
      <c r="AK1315" t="str" cm="1">
        <f t="array" ref="AK1315">_xlfn.IFS(HR_Employee_Attrition[[#This Row],[YearsAtCompany]]&lt;=2,"0-2",HR_Employee_Attrition[[#This Row],[YearsAtCompany]]&lt;=5,"3-5",HR_Employee_Attrition[[#This Row],[YearsAtCompany]]&lt;=10,"6-10",HR_Employee_Attrition[[#This Row],[YearsAtCompany]]&gt;10,"10+")</f>
        <v>0-2</v>
      </c>
      <c r="AL1315" t="str" cm="1">
        <f t="array" ref="AL13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15">
        <f>IF(HR_Employee_Attrition[[#This Row],[Attrition]]="Yes",1,0)</f>
        <v>1</v>
      </c>
    </row>
    <row r="1316" spans="1:39"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IF(HR_Employee_Attrition[[#This Row],[Age]]&gt;60,"60+",IF(HR_Employee_Attrition[[#This Row],[Age]]&gt;=50,"50-59",IF(HR_Employee_Attrition[[#This Row],[Age]]&gt;=40,"40-49",IF(HR_Employee_Attrition[[#This Row],[Age]]&gt;=30,"30-39",IF(HR_Employee_Attrition[[#This Row],[Age]]&gt;=20,"20-29",IF(HR_Employee_Attrition[[#This Row],[Age]]&gt;=18,"18-20"))))))</f>
        <v>40-49</v>
      </c>
      <c r="AK1316" t="str" cm="1">
        <f t="array" ref="AK1316">_xlfn.IFS(HR_Employee_Attrition[[#This Row],[YearsAtCompany]]&lt;=2,"0-2",HR_Employee_Attrition[[#This Row],[YearsAtCompany]]&lt;=5,"3-5",HR_Employee_Attrition[[#This Row],[YearsAtCompany]]&lt;=10,"6-10",HR_Employee_Attrition[[#This Row],[YearsAtCompany]]&gt;10,"10+")</f>
        <v>6-10</v>
      </c>
      <c r="AL1316" t="str" cm="1">
        <f t="array" ref="AL13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16">
        <f>IF(HR_Employee_Attrition[[#This Row],[Attrition]]="Yes",1,0)</f>
        <v>0</v>
      </c>
    </row>
    <row r="1317" spans="1:39"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IF(HR_Employee_Attrition[[#This Row],[Age]]&gt;60,"60+",IF(HR_Employee_Attrition[[#This Row],[Age]]&gt;=50,"50-59",IF(HR_Employee_Attrition[[#This Row],[Age]]&gt;=40,"40-49",IF(HR_Employee_Attrition[[#This Row],[Age]]&gt;=30,"30-39",IF(HR_Employee_Attrition[[#This Row],[Age]]&gt;=20,"20-29",IF(HR_Employee_Attrition[[#This Row],[Age]]&gt;=18,"18-20"))))))</f>
        <v>30-39</v>
      </c>
      <c r="AK1317" t="str" cm="1">
        <f t="array" ref="AK1317">_xlfn.IFS(HR_Employee_Attrition[[#This Row],[YearsAtCompany]]&lt;=2,"0-2",HR_Employee_Attrition[[#This Row],[YearsAtCompany]]&lt;=5,"3-5",HR_Employee_Attrition[[#This Row],[YearsAtCompany]]&lt;=10,"6-10",HR_Employee_Attrition[[#This Row],[YearsAtCompany]]&gt;10,"10+")</f>
        <v>0-2</v>
      </c>
      <c r="AL1317" t="str" cm="1">
        <f t="array" ref="AL13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17">
        <f>IF(HR_Employee_Attrition[[#This Row],[Attrition]]="Yes",1,0)</f>
        <v>0</v>
      </c>
    </row>
    <row r="1318" spans="1:39"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IF(HR_Employee_Attrition[[#This Row],[Age]]&gt;60,"60+",IF(HR_Employee_Attrition[[#This Row],[Age]]&gt;=50,"50-59",IF(HR_Employee_Attrition[[#This Row],[Age]]&gt;=40,"40-49",IF(HR_Employee_Attrition[[#This Row],[Age]]&gt;=30,"30-39",IF(HR_Employee_Attrition[[#This Row],[Age]]&gt;=20,"20-29",IF(HR_Employee_Attrition[[#This Row],[Age]]&gt;=18,"18-20"))))))</f>
        <v>40-49</v>
      </c>
      <c r="AK1318" t="str" cm="1">
        <f t="array" ref="AK1318">_xlfn.IFS(HR_Employee_Attrition[[#This Row],[YearsAtCompany]]&lt;=2,"0-2",HR_Employee_Attrition[[#This Row],[YearsAtCompany]]&lt;=5,"3-5",HR_Employee_Attrition[[#This Row],[YearsAtCompany]]&lt;=10,"6-10",HR_Employee_Attrition[[#This Row],[YearsAtCompany]]&gt;10,"10+")</f>
        <v>6-10</v>
      </c>
      <c r="AL1318" t="str" cm="1">
        <f t="array" ref="AL13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18">
        <f>IF(HR_Employee_Attrition[[#This Row],[Attrition]]="Yes",1,0)</f>
        <v>0</v>
      </c>
    </row>
    <row r="1319" spans="1:39"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IF(HR_Employee_Attrition[[#This Row],[Age]]&gt;60,"60+",IF(HR_Employee_Attrition[[#This Row],[Age]]&gt;=50,"50-59",IF(HR_Employee_Attrition[[#This Row],[Age]]&gt;=40,"40-49",IF(HR_Employee_Attrition[[#This Row],[Age]]&gt;=30,"30-39",IF(HR_Employee_Attrition[[#This Row],[Age]]&gt;=20,"20-29",IF(HR_Employee_Attrition[[#This Row],[Age]]&gt;=18,"18-20"))))))</f>
        <v>20-29</v>
      </c>
      <c r="AK1319" t="str" cm="1">
        <f t="array" ref="AK1319">_xlfn.IFS(HR_Employee_Attrition[[#This Row],[YearsAtCompany]]&lt;=2,"0-2",HR_Employee_Attrition[[#This Row],[YearsAtCompany]]&lt;=5,"3-5",HR_Employee_Attrition[[#This Row],[YearsAtCompany]]&lt;=10,"6-10",HR_Employee_Attrition[[#This Row],[YearsAtCompany]]&gt;10,"10+")</f>
        <v>3-5</v>
      </c>
      <c r="AL1319" t="str" cm="1">
        <f t="array" ref="AL13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19">
        <f>IF(HR_Employee_Attrition[[#This Row],[Attrition]]="Yes",1,0)</f>
        <v>0</v>
      </c>
    </row>
    <row r="1320" spans="1:39"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IF(HR_Employee_Attrition[[#This Row],[Age]]&gt;60,"60+",IF(HR_Employee_Attrition[[#This Row],[Age]]&gt;=50,"50-59",IF(HR_Employee_Attrition[[#This Row],[Age]]&gt;=40,"40-49",IF(HR_Employee_Attrition[[#This Row],[Age]]&gt;=30,"30-39",IF(HR_Employee_Attrition[[#This Row],[Age]]&gt;=20,"20-29",IF(HR_Employee_Attrition[[#This Row],[Age]]&gt;=18,"18-20"))))))</f>
        <v>20-29</v>
      </c>
      <c r="AK1320" t="str" cm="1">
        <f t="array" ref="AK1320">_xlfn.IFS(HR_Employee_Attrition[[#This Row],[YearsAtCompany]]&lt;=2,"0-2",HR_Employee_Attrition[[#This Row],[YearsAtCompany]]&lt;=5,"3-5",HR_Employee_Attrition[[#This Row],[YearsAtCompany]]&lt;=10,"6-10",HR_Employee_Attrition[[#This Row],[YearsAtCompany]]&gt;10,"10+")</f>
        <v>10+</v>
      </c>
      <c r="AL1320" t="str" cm="1">
        <f t="array" ref="AL13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20">
        <f>IF(HR_Employee_Attrition[[#This Row],[Attrition]]="Yes",1,0)</f>
        <v>0</v>
      </c>
    </row>
    <row r="1321" spans="1:39"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IF(HR_Employee_Attrition[[#This Row],[Age]]&gt;60,"60+",IF(HR_Employee_Attrition[[#This Row],[Age]]&gt;=50,"50-59",IF(HR_Employee_Attrition[[#This Row],[Age]]&gt;=40,"40-49",IF(HR_Employee_Attrition[[#This Row],[Age]]&gt;=30,"30-39",IF(HR_Employee_Attrition[[#This Row],[Age]]&gt;=20,"20-29",IF(HR_Employee_Attrition[[#This Row],[Age]]&gt;=18,"18-20"))))))</f>
        <v>30-39</v>
      </c>
      <c r="AK1321" t="str" cm="1">
        <f t="array" ref="AK1321">_xlfn.IFS(HR_Employee_Attrition[[#This Row],[YearsAtCompany]]&lt;=2,"0-2",HR_Employee_Attrition[[#This Row],[YearsAtCompany]]&lt;=5,"3-5",HR_Employee_Attrition[[#This Row],[YearsAtCompany]]&lt;=10,"6-10",HR_Employee_Attrition[[#This Row],[YearsAtCompany]]&gt;10,"10+")</f>
        <v>0-2</v>
      </c>
      <c r="AL1321" t="str" cm="1">
        <f t="array" ref="AL13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21">
        <f>IF(HR_Employee_Attrition[[#This Row],[Attrition]]="Yes",1,0)</f>
        <v>0</v>
      </c>
    </row>
    <row r="1322" spans="1:39"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IF(HR_Employee_Attrition[[#This Row],[Age]]&gt;60,"60+",IF(HR_Employee_Attrition[[#This Row],[Age]]&gt;=50,"50-59",IF(HR_Employee_Attrition[[#This Row],[Age]]&gt;=40,"40-49",IF(HR_Employee_Attrition[[#This Row],[Age]]&gt;=30,"30-39",IF(HR_Employee_Attrition[[#This Row],[Age]]&gt;=20,"20-29",IF(HR_Employee_Attrition[[#This Row],[Age]]&gt;=18,"18-20"))))))</f>
        <v>40-49</v>
      </c>
      <c r="AK1322" t="str" cm="1">
        <f t="array" ref="AK1322">_xlfn.IFS(HR_Employee_Attrition[[#This Row],[YearsAtCompany]]&lt;=2,"0-2",HR_Employee_Attrition[[#This Row],[YearsAtCompany]]&lt;=5,"3-5",HR_Employee_Attrition[[#This Row],[YearsAtCompany]]&lt;=10,"6-10",HR_Employee_Attrition[[#This Row],[YearsAtCompany]]&gt;10,"10+")</f>
        <v>6-10</v>
      </c>
      <c r="AL1322" t="str" cm="1">
        <f t="array" ref="AL13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22">
        <f>IF(HR_Employee_Attrition[[#This Row],[Attrition]]="Yes",1,0)</f>
        <v>0</v>
      </c>
    </row>
    <row r="1323" spans="1:39"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IF(HR_Employee_Attrition[[#This Row],[Age]]&gt;60,"60+",IF(HR_Employee_Attrition[[#This Row],[Age]]&gt;=50,"50-59",IF(HR_Employee_Attrition[[#This Row],[Age]]&gt;=40,"40-49",IF(HR_Employee_Attrition[[#This Row],[Age]]&gt;=30,"30-39",IF(HR_Employee_Attrition[[#This Row],[Age]]&gt;=20,"20-29",IF(HR_Employee_Attrition[[#This Row],[Age]]&gt;=18,"18-20"))))))</f>
        <v>40-49</v>
      </c>
      <c r="AK1323" t="str" cm="1">
        <f t="array" ref="AK1323">_xlfn.IFS(HR_Employee_Attrition[[#This Row],[YearsAtCompany]]&lt;=2,"0-2",HR_Employee_Attrition[[#This Row],[YearsAtCompany]]&lt;=5,"3-5",HR_Employee_Attrition[[#This Row],[YearsAtCompany]]&lt;=10,"6-10",HR_Employee_Attrition[[#This Row],[YearsAtCompany]]&gt;10,"10+")</f>
        <v>0-2</v>
      </c>
      <c r="AL1323" t="str" cm="1">
        <f t="array" ref="AL13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23">
        <f>IF(HR_Employee_Attrition[[#This Row],[Attrition]]="Yes",1,0)</f>
        <v>0</v>
      </c>
    </row>
    <row r="1324" spans="1:39"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IF(HR_Employee_Attrition[[#This Row],[Age]]&gt;60,"60+",IF(HR_Employee_Attrition[[#This Row],[Age]]&gt;=50,"50-59",IF(HR_Employee_Attrition[[#This Row],[Age]]&gt;=40,"40-49",IF(HR_Employee_Attrition[[#This Row],[Age]]&gt;=30,"30-39",IF(HR_Employee_Attrition[[#This Row],[Age]]&gt;=20,"20-29",IF(HR_Employee_Attrition[[#This Row],[Age]]&gt;=18,"18-20"))))))</f>
        <v>40-49</v>
      </c>
      <c r="AK1324" t="str" cm="1">
        <f t="array" ref="AK1324">_xlfn.IFS(HR_Employee_Attrition[[#This Row],[YearsAtCompany]]&lt;=2,"0-2",HR_Employee_Attrition[[#This Row],[YearsAtCompany]]&lt;=5,"3-5",HR_Employee_Attrition[[#This Row],[YearsAtCompany]]&lt;=10,"6-10",HR_Employee_Attrition[[#This Row],[YearsAtCompany]]&gt;10,"10+")</f>
        <v>6-10</v>
      </c>
      <c r="AL1324" t="str" cm="1">
        <f t="array" ref="AL13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24">
        <f>IF(HR_Employee_Attrition[[#This Row],[Attrition]]="Yes",1,0)</f>
        <v>0</v>
      </c>
    </row>
    <row r="1325" spans="1:39"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IF(HR_Employee_Attrition[[#This Row],[Age]]&gt;60,"60+",IF(HR_Employee_Attrition[[#This Row],[Age]]&gt;=50,"50-59",IF(HR_Employee_Attrition[[#This Row],[Age]]&gt;=40,"40-49",IF(HR_Employee_Attrition[[#This Row],[Age]]&gt;=30,"30-39",IF(HR_Employee_Attrition[[#This Row],[Age]]&gt;=20,"20-29",IF(HR_Employee_Attrition[[#This Row],[Age]]&gt;=18,"18-20"))))))</f>
        <v>20-29</v>
      </c>
      <c r="AK1325" t="str" cm="1">
        <f t="array" ref="AK1325">_xlfn.IFS(HR_Employee_Attrition[[#This Row],[YearsAtCompany]]&lt;=2,"0-2",HR_Employee_Attrition[[#This Row],[YearsAtCompany]]&lt;=5,"3-5",HR_Employee_Attrition[[#This Row],[YearsAtCompany]]&lt;=10,"6-10",HR_Employee_Attrition[[#This Row],[YearsAtCompany]]&gt;10,"10+")</f>
        <v>3-5</v>
      </c>
      <c r="AL1325" t="str" cm="1">
        <f t="array" ref="AL13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25">
        <f>IF(HR_Employee_Attrition[[#This Row],[Attrition]]="Yes",1,0)</f>
        <v>0</v>
      </c>
    </row>
    <row r="1326" spans="1:39"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IF(HR_Employee_Attrition[[#This Row],[Age]]&gt;60,"60+",IF(HR_Employee_Attrition[[#This Row],[Age]]&gt;=50,"50-59",IF(HR_Employee_Attrition[[#This Row],[Age]]&gt;=40,"40-49",IF(HR_Employee_Attrition[[#This Row],[Age]]&gt;=30,"30-39",IF(HR_Employee_Attrition[[#This Row],[Age]]&gt;=20,"20-29",IF(HR_Employee_Attrition[[#This Row],[Age]]&gt;=18,"18-20"))))))</f>
        <v>20-29</v>
      </c>
      <c r="AK1326" t="str" cm="1">
        <f t="array" ref="AK1326">_xlfn.IFS(HR_Employee_Attrition[[#This Row],[YearsAtCompany]]&lt;=2,"0-2",HR_Employee_Attrition[[#This Row],[YearsAtCompany]]&lt;=5,"3-5",HR_Employee_Attrition[[#This Row],[YearsAtCompany]]&lt;=10,"6-10",HR_Employee_Attrition[[#This Row],[YearsAtCompany]]&gt;10,"10+")</f>
        <v>6-10</v>
      </c>
      <c r="AL1326" t="str" cm="1">
        <f t="array" ref="AL13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26">
        <f>IF(HR_Employee_Attrition[[#This Row],[Attrition]]="Yes",1,0)</f>
        <v>0</v>
      </c>
    </row>
    <row r="1327" spans="1:39"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IF(HR_Employee_Attrition[[#This Row],[Age]]&gt;60,"60+",IF(HR_Employee_Attrition[[#This Row],[Age]]&gt;=50,"50-59",IF(HR_Employee_Attrition[[#This Row],[Age]]&gt;=40,"40-49",IF(HR_Employee_Attrition[[#This Row],[Age]]&gt;=30,"30-39",IF(HR_Employee_Attrition[[#This Row],[Age]]&gt;=20,"20-29",IF(HR_Employee_Attrition[[#This Row],[Age]]&gt;=18,"18-20"))))))</f>
        <v>40-49</v>
      </c>
      <c r="AK1327" t="str" cm="1">
        <f t="array" ref="AK1327">_xlfn.IFS(HR_Employee_Attrition[[#This Row],[YearsAtCompany]]&lt;=2,"0-2",HR_Employee_Attrition[[#This Row],[YearsAtCompany]]&lt;=5,"3-5",HR_Employee_Attrition[[#This Row],[YearsAtCompany]]&lt;=10,"6-10",HR_Employee_Attrition[[#This Row],[YearsAtCompany]]&gt;10,"10+")</f>
        <v>0-2</v>
      </c>
      <c r="AL1327" t="str" cm="1">
        <f t="array" ref="AL13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27">
        <f>IF(HR_Employee_Attrition[[#This Row],[Attrition]]="Yes",1,0)</f>
        <v>0</v>
      </c>
    </row>
    <row r="1328" spans="1:39"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IF(HR_Employee_Attrition[[#This Row],[Age]]&gt;60,"60+",IF(HR_Employee_Attrition[[#This Row],[Age]]&gt;=50,"50-59",IF(HR_Employee_Attrition[[#This Row],[Age]]&gt;=40,"40-49",IF(HR_Employee_Attrition[[#This Row],[Age]]&gt;=30,"30-39",IF(HR_Employee_Attrition[[#This Row],[Age]]&gt;=20,"20-29",IF(HR_Employee_Attrition[[#This Row],[Age]]&gt;=18,"18-20"))))))</f>
        <v>30-39</v>
      </c>
      <c r="AK1328" t="str" cm="1">
        <f t="array" ref="AK1328">_xlfn.IFS(HR_Employee_Attrition[[#This Row],[YearsAtCompany]]&lt;=2,"0-2",HR_Employee_Attrition[[#This Row],[YearsAtCompany]]&lt;=5,"3-5",HR_Employee_Attrition[[#This Row],[YearsAtCompany]]&lt;=10,"6-10",HR_Employee_Attrition[[#This Row],[YearsAtCompany]]&gt;10,"10+")</f>
        <v>0-2</v>
      </c>
      <c r="AL1328" t="str" cm="1">
        <f t="array" ref="AL13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28">
        <f>IF(HR_Employee_Attrition[[#This Row],[Attrition]]="Yes",1,0)</f>
        <v>1</v>
      </c>
    </row>
    <row r="1329" spans="1:39"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IF(HR_Employee_Attrition[[#This Row],[Age]]&gt;60,"60+",IF(HR_Employee_Attrition[[#This Row],[Age]]&gt;=50,"50-59",IF(HR_Employee_Attrition[[#This Row],[Age]]&gt;=40,"40-49",IF(HR_Employee_Attrition[[#This Row],[Age]]&gt;=30,"30-39",IF(HR_Employee_Attrition[[#This Row],[Age]]&gt;=20,"20-29",IF(HR_Employee_Attrition[[#This Row],[Age]]&gt;=18,"18-20"))))))</f>
        <v>40-49</v>
      </c>
      <c r="AK1329" t="str" cm="1">
        <f t="array" ref="AK1329">_xlfn.IFS(HR_Employee_Attrition[[#This Row],[YearsAtCompany]]&lt;=2,"0-2",HR_Employee_Attrition[[#This Row],[YearsAtCompany]]&lt;=5,"3-5",HR_Employee_Attrition[[#This Row],[YearsAtCompany]]&lt;=10,"6-10",HR_Employee_Attrition[[#This Row],[YearsAtCompany]]&gt;10,"10+")</f>
        <v>10+</v>
      </c>
      <c r="AL1329" t="str" cm="1">
        <f t="array" ref="AL13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329">
        <f>IF(HR_Employee_Attrition[[#This Row],[Attrition]]="Yes",1,0)</f>
        <v>0</v>
      </c>
    </row>
    <row r="1330" spans="1:39"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IF(HR_Employee_Attrition[[#This Row],[Age]]&gt;60,"60+",IF(HR_Employee_Attrition[[#This Row],[Age]]&gt;=50,"50-59",IF(HR_Employee_Attrition[[#This Row],[Age]]&gt;=40,"40-49",IF(HR_Employee_Attrition[[#This Row],[Age]]&gt;=30,"30-39",IF(HR_Employee_Attrition[[#This Row],[Age]]&gt;=20,"20-29",IF(HR_Employee_Attrition[[#This Row],[Age]]&gt;=18,"18-20"))))))</f>
        <v>20-29</v>
      </c>
      <c r="AK1330" t="str" cm="1">
        <f t="array" ref="AK1330">_xlfn.IFS(HR_Employee_Attrition[[#This Row],[YearsAtCompany]]&lt;=2,"0-2",HR_Employee_Attrition[[#This Row],[YearsAtCompany]]&lt;=5,"3-5",HR_Employee_Attrition[[#This Row],[YearsAtCompany]]&lt;=10,"6-10",HR_Employee_Attrition[[#This Row],[YearsAtCompany]]&gt;10,"10+")</f>
        <v>6-10</v>
      </c>
      <c r="AL1330" t="str" cm="1">
        <f t="array" ref="AL13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30">
        <f>IF(HR_Employee_Attrition[[#This Row],[Attrition]]="Yes",1,0)</f>
        <v>0</v>
      </c>
    </row>
    <row r="1331" spans="1:39"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IF(HR_Employee_Attrition[[#This Row],[Age]]&gt;60,"60+",IF(HR_Employee_Attrition[[#This Row],[Age]]&gt;=50,"50-59",IF(HR_Employee_Attrition[[#This Row],[Age]]&gt;=40,"40-49",IF(HR_Employee_Attrition[[#This Row],[Age]]&gt;=30,"30-39",IF(HR_Employee_Attrition[[#This Row],[Age]]&gt;=20,"20-29",IF(HR_Employee_Attrition[[#This Row],[Age]]&gt;=18,"18-20"))))))</f>
        <v>20-29</v>
      </c>
      <c r="AK1331" t="str" cm="1">
        <f t="array" ref="AK1331">_xlfn.IFS(HR_Employee_Attrition[[#This Row],[YearsAtCompany]]&lt;=2,"0-2",HR_Employee_Attrition[[#This Row],[YearsAtCompany]]&lt;=5,"3-5",HR_Employee_Attrition[[#This Row],[YearsAtCompany]]&lt;=10,"6-10",HR_Employee_Attrition[[#This Row],[YearsAtCompany]]&gt;10,"10+")</f>
        <v>0-2</v>
      </c>
      <c r="AL1331" t="str" cm="1">
        <f t="array" ref="AL13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31">
        <f>IF(HR_Employee_Attrition[[#This Row],[Attrition]]="Yes",1,0)</f>
        <v>0</v>
      </c>
    </row>
    <row r="1332" spans="1:39"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IF(HR_Employee_Attrition[[#This Row],[Age]]&gt;60,"60+",IF(HR_Employee_Attrition[[#This Row],[Age]]&gt;=50,"50-59",IF(HR_Employee_Attrition[[#This Row],[Age]]&gt;=40,"40-49",IF(HR_Employee_Attrition[[#This Row],[Age]]&gt;=30,"30-39",IF(HR_Employee_Attrition[[#This Row],[Age]]&gt;=20,"20-29",IF(HR_Employee_Attrition[[#This Row],[Age]]&gt;=18,"18-20"))))))</f>
        <v>40-49</v>
      </c>
      <c r="AK1332" t="str" cm="1">
        <f t="array" ref="AK1332">_xlfn.IFS(HR_Employee_Attrition[[#This Row],[YearsAtCompany]]&lt;=2,"0-2",HR_Employee_Attrition[[#This Row],[YearsAtCompany]]&lt;=5,"3-5",HR_Employee_Attrition[[#This Row],[YearsAtCompany]]&lt;=10,"6-10",HR_Employee_Attrition[[#This Row],[YearsAtCompany]]&gt;10,"10+")</f>
        <v>10+</v>
      </c>
      <c r="AL1332" t="str" cm="1">
        <f t="array" ref="AL13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332">
        <f>IF(HR_Employee_Attrition[[#This Row],[Attrition]]="Yes",1,0)</f>
        <v>0</v>
      </c>
    </row>
    <row r="1333" spans="1:39"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IF(HR_Employee_Attrition[[#This Row],[Age]]&gt;60,"60+",IF(HR_Employee_Attrition[[#This Row],[Age]]&gt;=50,"50-59",IF(HR_Employee_Attrition[[#This Row],[Age]]&gt;=40,"40-49",IF(HR_Employee_Attrition[[#This Row],[Age]]&gt;=30,"30-39",IF(HR_Employee_Attrition[[#This Row],[Age]]&gt;=20,"20-29",IF(HR_Employee_Attrition[[#This Row],[Age]]&gt;=18,"18-20"))))))</f>
        <v>40-49</v>
      </c>
      <c r="AK1333" t="str" cm="1">
        <f t="array" ref="AK1333">_xlfn.IFS(HR_Employee_Attrition[[#This Row],[YearsAtCompany]]&lt;=2,"0-2",HR_Employee_Attrition[[#This Row],[YearsAtCompany]]&lt;=5,"3-5",HR_Employee_Attrition[[#This Row],[YearsAtCompany]]&lt;=10,"6-10",HR_Employee_Attrition[[#This Row],[YearsAtCompany]]&gt;10,"10+")</f>
        <v>10+</v>
      </c>
      <c r="AL1333" t="str" cm="1">
        <f t="array" ref="AL13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333">
        <f>IF(HR_Employee_Attrition[[#This Row],[Attrition]]="Yes",1,0)</f>
        <v>0</v>
      </c>
    </row>
    <row r="1334" spans="1:39"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IF(HR_Employee_Attrition[[#This Row],[Age]]&gt;60,"60+",IF(HR_Employee_Attrition[[#This Row],[Age]]&gt;=50,"50-59",IF(HR_Employee_Attrition[[#This Row],[Age]]&gt;=40,"40-49",IF(HR_Employee_Attrition[[#This Row],[Age]]&gt;=30,"30-39",IF(HR_Employee_Attrition[[#This Row],[Age]]&gt;=20,"20-29",IF(HR_Employee_Attrition[[#This Row],[Age]]&gt;=18,"18-20"))))))</f>
        <v>20-29</v>
      </c>
      <c r="AK1334" t="str" cm="1">
        <f t="array" ref="AK1334">_xlfn.IFS(HR_Employee_Attrition[[#This Row],[YearsAtCompany]]&lt;=2,"0-2",HR_Employee_Attrition[[#This Row],[YearsAtCompany]]&lt;=5,"3-5",HR_Employee_Attrition[[#This Row],[YearsAtCompany]]&lt;=10,"6-10",HR_Employee_Attrition[[#This Row],[YearsAtCompany]]&gt;10,"10+")</f>
        <v>0-2</v>
      </c>
      <c r="AL1334" t="str" cm="1">
        <f t="array" ref="AL13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34">
        <f>IF(HR_Employee_Attrition[[#This Row],[Attrition]]="Yes",1,0)</f>
        <v>1</v>
      </c>
    </row>
    <row r="1335" spans="1:39"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IF(HR_Employee_Attrition[[#This Row],[Age]]&gt;60,"60+",IF(HR_Employee_Attrition[[#This Row],[Age]]&gt;=50,"50-59",IF(HR_Employee_Attrition[[#This Row],[Age]]&gt;=40,"40-49",IF(HR_Employee_Attrition[[#This Row],[Age]]&gt;=30,"30-39",IF(HR_Employee_Attrition[[#This Row],[Age]]&gt;=20,"20-29",IF(HR_Employee_Attrition[[#This Row],[Age]]&gt;=18,"18-20"))))))</f>
        <v>40-49</v>
      </c>
      <c r="AK1335" t="str" cm="1">
        <f t="array" ref="AK1335">_xlfn.IFS(HR_Employee_Attrition[[#This Row],[YearsAtCompany]]&lt;=2,"0-2",HR_Employee_Attrition[[#This Row],[YearsAtCompany]]&lt;=5,"3-5",HR_Employee_Attrition[[#This Row],[YearsAtCompany]]&lt;=10,"6-10",HR_Employee_Attrition[[#This Row],[YearsAtCompany]]&gt;10,"10+")</f>
        <v>6-10</v>
      </c>
      <c r="AL1335" t="str" cm="1">
        <f t="array" ref="AL13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35">
        <f>IF(HR_Employee_Attrition[[#This Row],[Attrition]]="Yes",1,0)</f>
        <v>1</v>
      </c>
    </row>
    <row r="1336" spans="1:39"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IF(HR_Employee_Attrition[[#This Row],[Age]]&gt;60,"60+",IF(HR_Employee_Attrition[[#This Row],[Age]]&gt;=50,"50-59",IF(HR_Employee_Attrition[[#This Row],[Age]]&gt;=40,"40-49",IF(HR_Employee_Attrition[[#This Row],[Age]]&gt;=30,"30-39",IF(HR_Employee_Attrition[[#This Row],[Age]]&gt;=20,"20-29",IF(HR_Employee_Attrition[[#This Row],[Age]]&gt;=18,"18-20"))))))</f>
        <v>20-29</v>
      </c>
      <c r="AK1336" t="str" cm="1">
        <f t="array" ref="AK1336">_xlfn.IFS(HR_Employee_Attrition[[#This Row],[YearsAtCompany]]&lt;=2,"0-2",HR_Employee_Attrition[[#This Row],[YearsAtCompany]]&lt;=5,"3-5",HR_Employee_Attrition[[#This Row],[YearsAtCompany]]&lt;=10,"6-10",HR_Employee_Attrition[[#This Row],[YearsAtCompany]]&gt;10,"10+")</f>
        <v>6-10</v>
      </c>
      <c r="AL1336" t="str" cm="1">
        <f t="array" ref="AL13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36">
        <f>IF(HR_Employee_Attrition[[#This Row],[Attrition]]="Yes",1,0)</f>
        <v>0</v>
      </c>
    </row>
    <row r="1337" spans="1:39"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IF(HR_Employee_Attrition[[#This Row],[Age]]&gt;60,"60+",IF(HR_Employee_Attrition[[#This Row],[Age]]&gt;=50,"50-59",IF(HR_Employee_Attrition[[#This Row],[Age]]&gt;=40,"40-49",IF(HR_Employee_Attrition[[#This Row],[Age]]&gt;=30,"30-39",IF(HR_Employee_Attrition[[#This Row],[Age]]&gt;=20,"20-29",IF(HR_Employee_Attrition[[#This Row],[Age]]&gt;=18,"18-20"))))))</f>
        <v>30-39</v>
      </c>
      <c r="AK1337" t="str" cm="1">
        <f t="array" ref="AK1337">_xlfn.IFS(HR_Employee_Attrition[[#This Row],[YearsAtCompany]]&lt;=2,"0-2",HR_Employee_Attrition[[#This Row],[YearsAtCompany]]&lt;=5,"3-5",HR_Employee_Attrition[[#This Row],[YearsAtCompany]]&lt;=10,"6-10",HR_Employee_Attrition[[#This Row],[YearsAtCompany]]&gt;10,"10+")</f>
        <v>0-2</v>
      </c>
      <c r="AL1337" t="str" cm="1">
        <f t="array" ref="AL13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37">
        <f>IF(HR_Employee_Attrition[[#This Row],[Attrition]]="Yes",1,0)</f>
        <v>0</v>
      </c>
    </row>
    <row r="1338" spans="1:39"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IF(HR_Employee_Attrition[[#This Row],[Age]]&gt;60,"60+",IF(HR_Employee_Attrition[[#This Row],[Age]]&gt;=50,"50-59",IF(HR_Employee_Attrition[[#This Row],[Age]]&gt;=40,"40-49",IF(HR_Employee_Attrition[[#This Row],[Age]]&gt;=30,"30-39",IF(HR_Employee_Attrition[[#This Row],[Age]]&gt;=20,"20-29",IF(HR_Employee_Attrition[[#This Row],[Age]]&gt;=18,"18-20"))))))</f>
        <v>50-59</v>
      </c>
      <c r="AK1338" t="str" cm="1">
        <f t="array" ref="AK1338">_xlfn.IFS(HR_Employee_Attrition[[#This Row],[YearsAtCompany]]&lt;=2,"0-2",HR_Employee_Attrition[[#This Row],[YearsAtCompany]]&lt;=5,"3-5",HR_Employee_Attrition[[#This Row],[YearsAtCompany]]&lt;=10,"6-10",HR_Employee_Attrition[[#This Row],[YearsAtCompany]]&gt;10,"10+")</f>
        <v>3-5</v>
      </c>
      <c r="AL1338" t="str" cm="1">
        <f t="array" ref="AL13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38">
        <f>IF(HR_Employee_Attrition[[#This Row],[Attrition]]="Yes",1,0)</f>
        <v>0</v>
      </c>
    </row>
    <row r="1339" spans="1:39"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IF(HR_Employee_Attrition[[#This Row],[Age]]&gt;60,"60+",IF(HR_Employee_Attrition[[#This Row],[Age]]&gt;=50,"50-59",IF(HR_Employee_Attrition[[#This Row],[Age]]&gt;=40,"40-49",IF(HR_Employee_Attrition[[#This Row],[Age]]&gt;=30,"30-39",IF(HR_Employee_Attrition[[#This Row],[Age]]&gt;=20,"20-29",IF(HR_Employee_Attrition[[#This Row],[Age]]&gt;=18,"18-20"))))))</f>
        <v>20-29</v>
      </c>
      <c r="AK1339" t="str" cm="1">
        <f t="array" ref="AK1339">_xlfn.IFS(HR_Employee_Attrition[[#This Row],[YearsAtCompany]]&lt;=2,"0-2",HR_Employee_Attrition[[#This Row],[YearsAtCompany]]&lt;=5,"3-5",HR_Employee_Attrition[[#This Row],[YearsAtCompany]]&lt;=10,"6-10",HR_Employee_Attrition[[#This Row],[YearsAtCompany]]&gt;10,"10+")</f>
        <v>0-2</v>
      </c>
      <c r="AL1339" t="str" cm="1">
        <f t="array" ref="AL13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39">
        <f>IF(HR_Employee_Attrition[[#This Row],[Attrition]]="Yes",1,0)</f>
        <v>0</v>
      </c>
    </row>
    <row r="1340" spans="1:39"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IF(HR_Employee_Attrition[[#This Row],[Age]]&gt;60,"60+",IF(HR_Employee_Attrition[[#This Row],[Age]]&gt;=50,"50-59",IF(HR_Employee_Attrition[[#This Row],[Age]]&gt;=40,"40-49",IF(HR_Employee_Attrition[[#This Row],[Age]]&gt;=30,"30-39",IF(HR_Employee_Attrition[[#This Row],[Age]]&gt;=20,"20-29",IF(HR_Employee_Attrition[[#This Row],[Age]]&gt;=18,"18-20"))))))</f>
        <v>30-39</v>
      </c>
      <c r="AK1340" t="str" cm="1">
        <f t="array" ref="AK1340">_xlfn.IFS(HR_Employee_Attrition[[#This Row],[YearsAtCompany]]&lt;=2,"0-2",HR_Employee_Attrition[[#This Row],[YearsAtCompany]]&lt;=5,"3-5",HR_Employee_Attrition[[#This Row],[YearsAtCompany]]&lt;=10,"6-10",HR_Employee_Attrition[[#This Row],[YearsAtCompany]]&gt;10,"10+")</f>
        <v>0-2</v>
      </c>
      <c r="AL1340" t="str" cm="1">
        <f t="array" ref="AL13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40">
        <f>IF(HR_Employee_Attrition[[#This Row],[Attrition]]="Yes",1,0)</f>
        <v>1</v>
      </c>
    </row>
    <row r="1341" spans="1:39"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IF(HR_Employee_Attrition[[#This Row],[Age]]&gt;60,"60+",IF(HR_Employee_Attrition[[#This Row],[Age]]&gt;=50,"50-59",IF(HR_Employee_Attrition[[#This Row],[Age]]&gt;=40,"40-49",IF(HR_Employee_Attrition[[#This Row],[Age]]&gt;=30,"30-39",IF(HR_Employee_Attrition[[#This Row],[Age]]&gt;=20,"20-29",IF(HR_Employee_Attrition[[#This Row],[Age]]&gt;=18,"18-20"))))))</f>
        <v>20-29</v>
      </c>
      <c r="AK1341" t="str" cm="1">
        <f t="array" ref="AK1341">_xlfn.IFS(HR_Employee_Attrition[[#This Row],[YearsAtCompany]]&lt;=2,"0-2",HR_Employee_Attrition[[#This Row],[YearsAtCompany]]&lt;=5,"3-5",HR_Employee_Attrition[[#This Row],[YearsAtCompany]]&lt;=10,"6-10",HR_Employee_Attrition[[#This Row],[YearsAtCompany]]&gt;10,"10+")</f>
        <v>0-2</v>
      </c>
      <c r="AL1341" t="str" cm="1">
        <f t="array" ref="AL13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41">
        <f>IF(HR_Employee_Attrition[[#This Row],[Attrition]]="Yes",1,0)</f>
        <v>1</v>
      </c>
    </row>
    <row r="1342" spans="1:39"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IF(HR_Employee_Attrition[[#This Row],[Age]]&gt;60,"60+",IF(HR_Employee_Attrition[[#This Row],[Age]]&gt;=50,"50-59",IF(HR_Employee_Attrition[[#This Row],[Age]]&gt;=40,"40-49",IF(HR_Employee_Attrition[[#This Row],[Age]]&gt;=30,"30-39",IF(HR_Employee_Attrition[[#This Row],[Age]]&gt;=20,"20-29",IF(HR_Employee_Attrition[[#This Row],[Age]]&gt;=18,"18-20"))))))</f>
        <v>30-39</v>
      </c>
      <c r="AK1342" t="str" cm="1">
        <f t="array" ref="AK1342">_xlfn.IFS(HR_Employee_Attrition[[#This Row],[YearsAtCompany]]&lt;=2,"0-2",HR_Employee_Attrition[[#This Row],[YearsAtCompany]]&lt;=5,"3-5",HR_Employee_Attrition[[#This Row],[YearsAtCompany]]&lt;=10,"6-10",HR_Employee_Attrition[[#This Row],[YearsAtCompany]]&gt;10,"10+")</f>
        <v>6-10</v>
      </c>
      <c r="AL1342" t="str" cm="1">
        <f t="array" ref="AL13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42">
        <f>IF(HR_Employee_Attrition[[#This Row],[Attrition]]="Yes",1,0)</f>
        <v>0</v>
      </c>
    </row>
    <row r="1343" spans="1:39"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IF(HR_Employee_Attrition[[#This Row],[Age]]&gt;60,"60+",IF(HR_Employee_Attrition[[#This Row],[Age]]&gt;=50,"50-59",IF(HR_Employee_Attrition[[#This Row],[Age]]&gt;=40,"40-49",IF(HR_Employee_Attrition[[#This Row],[Age]]&gt;=30,"30-39",IF(HR_Employee_Attrition[[#This Row],[Age]]&gt;=20,"20-29",IF(HR_Employee_Attrition[[#This Row],[Age]]&gt;=18,"18-20"))))))</f>
        <v>30-39</v>
      </c>
      <c r="AK1343" t="str" cm="1">
        <f t="array" ref="AK1343">_xlfn.IFS(HR_Employee_Attrition[[#This Row],[YearsAtCompany]]&lt;=2,"0-2",HR_Employee_Attrition[[#This Row],[YearsAtCompany]]&lt;=5,"3-5",HR_Employee_Attrition[[#This Row],[YearsAtCompany]]&lt;=10,"6-10",HR_Employee_Attrition[[#This Row],[YearsAtCompany]]&gt;10,"10+")</f>
        <v>6-10</v>
      </c>
      <c r="AL1343" t="str" cm="1">
        <f t="array" ref="AL13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43">
        <f>IF(HR_Employee_Attrition[[#This Row],[Attrition]]="Yes",1,0)</f>
        <v>0</v>
      </c>
    </row>
    <row r="1344" spans="1:39"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IF(HR_Employee_Attrition[[#This Row],[Age]]&gt;60,"60+",IF(HR_Employee_Attrition[[#This Row],[Age]]&gt;=50,"50-59",IF(HR_Employee_Attrition[[#This Row],[Age]]&gt;=40,"40-49",IF(HR_Employee_Attrition[[#This Row],[Age]]&gt;=30,"30-39",IF(HR_Employee_Attrition[[#This Row],[Age]]&gt;=20,"20-29",IF(HR_Employee_Attrition[[#This Row],[Age]]&gt;=18,"18-20"))))))</f>
        <v>30-39</v>
      </c>
      <c r="AK1344" t="str" cm="1">
        <f t="array" ref="AK1344">_xlfn.IFS(HR_Employee_Attrition[[#This Row],[YearsAtCompany]]&lt;=2,"0-2",HR_Employee_Attrition[[#This Row],[YearsAtCompany]]&lt;=5,"3-5",HR_Employee_Attrition[[#This Row],[YearsAtCompany]]&lt;=10,"6-10",HR_Employee_Attrition[[#This Row],[YearsAtCompany]]&gt;10,"10+")</f>
        <v>3-5</v>
      </c>
      <c r="AL1344" t="str" cm="1">
        <f t="array" ref="AL13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44">
        <f>IF(HR_Employee_Attrition[[#This Row],[Attrition]]="Yes",1,0)</f>
        <v>0</v>
      </c>
    </row>
    <row r="1345" spans="1:39"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IF(HR_Employee_Attrition[[#This Row],[Age]]&gt;60,"60+",IF(HR_Employee_Attrition[[#This Row],[Age]]&gt;=50,"50-59",IF(HR_Employee_Attrition[[#This Row],[Age]]&gt;=40,"40-49",IF(HR_Employee_Attrition[[#This Row],[Age]]&gt;=30,"30-39",IF(HR_Employee_Attrition[[#This Row],[Age]]&gt;=20,"20-29",IF(HR_Employee_Attrition[[#This Row],[Age]]&gt;=18,"18-20"))))))</f>
        <v>20-29</v>
      </c>
      <c r="AK1345" t="str" cm="1">
        <f t="array" ref="AK1345">_xlfn.IFS(HR_Employee_Attrition[[#This Row],[YearsAtCompany]]&lt;=2,"0-2",HR_Employee_Attrition[[#This Row],[YearsAtCompany]]&lt;=5,"3-5",HR_Employee_Attrition[[#This Row],[YearsAtCompany]]&lt;=10,"6-10",HR_Employee_Attrition[[#This Row],[YearsAtCompany]]&gt;10,"10+")</f>
        <v>3-5</v>
      </c>
      <c r="AL1345" t="str" cm="1">
        <f t="array" ref="AL13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45">
        <f>IF(HR_Employee_Attrition[[#This Row],[Attrition]]="Yes",1,0)</f>
        <v>0</v>
      </c>
    </row>
    <row r="1346" spans="1:39"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IF(HR_Employee_Attrition[[#This Row],[Age]]&gt;60,"60+",IF(HR_Employee_Attrition[[#This Row],[Age]]&gt;=50,"50-59",IF(HR_Employee_Attrition[[#This Row],[Age]]&gt;=40,"40-49",IF(HR_Employee_Attrition[[#This Row],[Age]]&gt;=30,"30-39",IF(HR_Employee_Attrition[[#This Row],[Age]]&gt;=20,"20-29",IF(HR_Employee_Attrition[[#This Row],[Age]]&gt;=18,"18-20"))))))</f>
        <v>30-39</v>
      </c>
      <c r="AK1346" t="str" cm="1">
        <f t="array" ref="AK1346">_xlfn.IFS(HR_Employee_Attrition[[#This Row],[YearsAtCompany]]&lt;=2,"0-2",HR_Employee_Attrition[[#This Row],[YearsAtCompany]]&lt;=5,"3-5",HR_Employee_Attrition[[#This Row],[YearsAtCompany]]&lt;=10,"6-10",HR_Employee_Attrition[[#This Row],[YearsAtCompany]]&gt;10,"10+")</f>
        <v>3-5</v>
      </c>
      <c r="AL1346" t="str" cm="1">
        <f t="array" ref="AL13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46">
        <f>IF(HR_Employee_Attrition[[#This Row],[Attrition]]="Yes",1,0)</f>
        <v>0</v>
      </c>
    </row>
    <row r="1347" spans="1:39"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IF(HR_Employee_Attrition[[#This Row],[Age]]&gt;60,"60+",IF(HR_Employee_Attrition[[#This Row],[Age]]&gt;=50,"50-59",IF(HR_Employee_Attrition[[#This Row],[Age]]&gt;=40,"40-49",IF(HR_Employee_Attrition[[#This Row],[Age]]&gt;=30,"30-39",IF(HR_Employee_Attrition[[#This Row],[Age]]&gt;=20,"20-29",IF(HR_Employee_Attrition[[#This Row],[Age]]&gt;=18,"18-20"))))))</f>
        <v>30-39</v>
      </c>
      <c r="AK1347" t="str" cm="1">
        <f t="array" ref="AK1347">_xlfn.IFS(HR_Employee_Attrition[[#This Row],[YearsAtCompany]]&lt;=2,"0-2",HR_Employee_Attrition[[#This Row],[YearsAtCompany]]&lt;=5,"3-5",HR_Employee_Attrition[[#This Row],[YearsAtCompany]]&lt;=10,"6-10",HR_Employee_Attrition[[#This Row],[YearsAtCompany]]&gt;10,"10+")</f>
        <v>3-5</v>
      </c>
      <c r="AL1347" t="str" cm="1">
        <f t="array" ref="AL13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47">
        <f>IF(HR_Employee_Attrition[[#This Row],[Attrition]]="Yes",1,0)</f>
        <v>0</v>
      </c>
    </row>
    <row r="1348" spans="1:39"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IF(HR_Employee_Attrition[[#This Row],[Age]]&gt;60,"60+",IF(HR_Employee_Attrition[[#This Row],[Age]]&gt;=50,"50-59",IF(HR_Employee_Attrition[[#This Row],[Age]]&gt;=40,"40-49",IF(HR_Employee_Attrition[[#This Row],[Age]]&gt;=30,"30-39",IF(HR_Employee_Attrition[[#This Row],[Age]]&gt;=20,"20-29",IF(HR_Employee_Attrition[[#This Row],[Age]]&gt;=18,"18-20"))))))</f>
        <v>40-49</v>
      </c>
      <c r="AK1348" t="str" cm="1">
        <f t="array" ref="AK1348">_xlfn.IFS(HR_Employee_Attrition[[#This Row],[YearsAtCompany]]&lt;=2,"0-2",HR_Employee_Attrition[[#This Row],[YearsAtCompany]]&lt;=5,"3-5",HR_Employee_Attrition[[#This Row],[YearsAtCompany]]&lt;=10,"6-10",HR_Employee_Attrition[[#This Row],[YearsAtCompany]]&gt;10,"10+")</f>
        <v>6-10</v>
      </c>
      <c r="AL1348" t="str" cm="1">
        <f t="array" ref="AL13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48">
        <f>IF(HR_Employee_Attrition[[#This Row],[Attrition]]="Yes",1,0)</f>
        <v>0</v>
      </c>
    </row>
    <row r="1349" spans="1:39"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IF(HR_Employee_Attrition[[#This Row],[Age]]&gt;60,"60+",IF(HR_Employee_Attrition[[#This Row],[Age]]&gt;=50,"50-59",IF(HR_Employee_Attrition[[#This Row],[Age]]&gt;=40,"40-49",IF(HR_Employee_Attrition[[#This Row],[Age]]&gt;=30,"30-39",IF(HR_Employee_Attrition[[#This Row],[Age]]&gt;=20,"20-29",IF(HR_Employee_Attrition[[#This Row],[Age]]&gt;=18,"18-20"))))))</f>
        <v>30-39</v>
      </c>
      <c r="AK1349" t="str" cm="1">
        <f t="array" ref="AK1349">_xlfn.IFS(HR_Employee_Attrition[[#This Row],[YearsAtCompany]]&lt;=2,"0-2",HR_Employee_Attrition[[#This Row],[YearsAtCompany]]&lt;=5,"3-5",HR_Employee_Attrition[[#This Row],[YearsAtCompany]]&lt;=10,"6-10",HR_Employee_Attrition[[#This Row],[YearsAtCompany]]&gt;10,"10+")</f>
        <v>6-10</v>
      </c>
      <c r="AL1349" t="str" cm="1">
        <f t="array" ref="AL13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49">
        <f>IF(HR_Employee_Attrition[[#This Row],[Attrition]]="Yes",1,0)</f>
        <v>0</v>
      </c>
    </row>
    <row r="1350" spans="1:39"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IF(HR_Employee_Attrition[[#This Row],[Age]]&gt;60,"60+",IF(HR_Employee_Attrition[[#This Row],[Age]]&gt;=50,"50-59",IF(HR_Employee_Attrition[[#This Row],[Age]]&gt;=40,"40-49",IF(HR_Employee_Attrition[[#This Row],[Age]]&gt;=30,"30-39",IF(HR_Employee_Attrition[[#This Row],[Age]]&gt;=20,"20-29",IF(HR_Employee_Attrition[[#This Row],[Age]]&gt;=18,"18-20"))))))</f>
        <v>40-49</v>
      </c>
      <c r="AK1350" t="str" cm="1">
        <f t="array" ref="AK1350">_xlfn.IFS(HR_Employee_Attrition[[#This Row],[YearsAtCompany]]&lt;=2,"0-2",HR_Employee_Attrition[[#This Row],[YearsAtCompany]]&lt;=5,"3-5",HR_Employee_Attrition[[#This Row],[YearsAtCompany]]&lt;=10,"6-10",HR_Employee_Attrition[[#This Row],[YearsAtCompany]]&gt;10,"10+")</f>
        <v>10+</v>
      </c>
      <c r="AL1350" t="str" cm="1">
        <f t="array" ref="AL13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350">
        <f>IF(HR_Employee_Attrition[[#This Row],[Attrition]]="Yes",1,0)</f>
        <v>0</v>
      </c>
    </row>
    <row r="1351" spans="1:39"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IF(HR_Employee_Attrition[[#This Row],[Age]]&gt;60,"60+",IF(HR_Employee_Attrition[[#This Row],[Age]]&gt;=50,"50-59",IF(HR_Employee_Attrition[[#This Row],[Age]]&gt;=40,"40-49",IF(HR_Employee_Attrition[[#This Row],[Age]]&gt;=30,"30-39",IF(HR_Employee_Attrition[[#This Row],[Age]]&gt;=20,"20-29",IF(HR_Employee_Attrition[[#This Row],[Age]]&gt;=18,"18-20"))))))</f>
        <v>20-29</v>
      </c>
      <c r="AK1351" t="str" cm="1">
        <f t="array" ref="AK1351">_xlfn.IFS(HR_Employee_Attrition[[#This Row],[YearsAtCompany]]&lt;=2,"0-2",HR_Employee_Attrition[[#This Row],[YearsAtCompany]]&lt;=5,"3-5",HR_Employee_Attrition[[#This Row],[YearsAtCompany]]&lt;=10,"6-10",HR_Employee_Attrition[[#This Row],[YearsAtCompany]]&gt;10,"10+")</f>
        <v>0-2</v>
      </c>
      <c r="AL1351" t="str" cm="1">
        <f t="array" ref="AL13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51">
        <f>IF(HR_Employee_Attrition[[#This Row],[Attrition]]="Yes",1,0)</f>
        <v>0</v>
      </c>
    </row>
    <row r="1352" spans="1:39"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IF(HR_Employee_Attrition[[#This Row],[Age]]&gt;60,"60+",IF(HR_Employee_Attrition[[#This Row],[Age]]&gt;=50,"50-59",IF(HR_Employee_Attrition[[#This Row],[Age]]&gt;=40,"40-49",IF(HR_Employee_Attrition[[#This Row],[Age]]&gt;=30,"30-39",IF(HR_Employee_Attrition[[#This Row],[Age]]&gt;=20,"20-29",IF(HR_Employee_Attrition[[#This Row],[Age]]&gt;=18,"18-20"))))))</f>
        <v>20-29</v>
      </c>
      <c r="AK1352" t="str" cm="1">
        <f t="array" ref="AK1352">_xlfn.IFS(HR_Employee_Attrition[[#This Row],[YearsAtCompany]]&lt;=2,"0-2",HR_Employee_Attrition[[#This Row],[YearsAtCompany]]&lt;=5,"3-5",HR_Employee_Attrition[[#This Row],[YearsAtCompany]]&lt;=10,"6-10",HR_Employee_Attrition[[#This Row],[YearsAtCompany]]&gt;10,"10+")</f>
        <v>6-10</v>
      </c>
      <c r="AL1352" t="str" cm="1">
        <f t="array" ref="AL13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52">
        <f>IF(HR_Employee_Attrition[[#This Row],[Attrition]]="Yes",1,0)</f>
        <v>0</v>
      </c>
    </row>
    <row r="1353" spans="1:39"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IF(HR_Employee_Attrition[[#This Row],[Age]]&gt;60,"60+",IF(HR_Employee_Attrition[[#This Row],[Age]]&gt;=50,"50-59",IF(HR_Employee_Attrition[[#This Row],[Age]]&gt;=40,"40-49",IF(HR_Employee_Attrition[[#This Row],[Age]]&gt;=30,"30-39",IF(HR_Employee_Attrition[[#This Row],[Age]]&gt;=20,"20-29",IF(HR_Employee_Attrition[[#This Row],[Age]]&gt;=18,"18-20"))))))</f>
        <v>40-49</v>
      </c>
      <c r="AK1353" t="str" cm="1">
        <f t="array" ref="AK1353">_xlfn.IFS(HR_Employee_Attrition[[#This Row],[YearsAtCompany]]&lt;=2,"0-2",HR_Employee_Attrition[[#This Row],[YearsAtCompany]]&lt;=5,"3-5",HR_Employee_Attrition[[#This Row],[YearsAtCompany]]&lt;=10,"6-10",HR_Employee_Attrition[[#This Row],[YearsAtCompany]]&gt;10,"10+")</f>
        <v>10+</v>
      </c>
      <c r="AL1353" t="str" cm="1">
        <f t="array" ref="AL13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353">
        <f>IF(HR_Employee_Attrition[[#This Row],[Attrition]]="Yes",1,0)</f>
        <v>0</v>
      </c>
    </row>
    <row r="1354" spans="1:39"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IF(HR_Employee_Attrition[[#This Row],[Age]]&gt;60,"60+",IF(HR_Employee_Attrition[[#This Row],[Age]]&gt;=50,"50-59",IF(HR_Employee_Attrition[[#This Row],[Age]]&gt;=40,"40-49",IF(HR_Employee_Attrition[[#This Row],[Age]]&gt;=30,"30-39",IF(HR_Employee_Attrition[[#This Row],[Age]]&gt;=20,"20-29",IF(HR_Employee_Attrition[[#This Row],[Age]]&gt;=18,"18-20"))))))</f>
        <v>40-49</v>
      </c>
      <c r="AK1354" t="str" cm="1">
        <f t="array" ref="AK1354">_xlfn.IFS(HR_Employee_Attrition[[#This Row],[YearsAtCompany]]&lt;=2,"0-2",HR_Employee_Attrition[[#This Row],[YearsAtCompany]]&lt;=5,"3-5",HR_Employee_Attrition[[#This Row],[YearsAtCompany]]&lt;=10,"6-10",HR_Employee_Attrition[[#This Row],[YearsAtCompany]]&gt;10,"10+")</f>
        <v>0-2</v>
      </c>
      <c r="AL1354" t="str" cm="1">
        <f t="array" ref="AL13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54">
        <f>IF(HR_Employee_Attrition[[#This Row],[Attrition]]="Yes",1,0)</f>
        <v>0</v>
      </c>
    </row>
    <row r="1355" spans="1:39"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IF(HR_Employee_Attrition[[#This Row],[Age]]&gt;60,"60+",IF(HR_Employee_Attrition[[#This Row],[Age]]&gt;=50,"50-59",IF(HR_Employee_Attrition[[#This Row],[Age]]&gt;=40,"40-49",IF(HR_Employee_Attrition[[#This Row],[Age]]&gt;=30,"30-39",IF(HR_Employee_Attrition[[#This Row],[Age]]&gt;=20,"20-29",IF(HR_Employee_Attrition[[#This Row],[Age]]&gt;=18,"18-20"))))))</f>
        <v>30-39</v>
      </c>
      <c r="AK1355" t="str" cm="1">
        <f t="array" ref="AK1355">_xlfn.IFS(HR_Employee_Attrition[[#This Row],[YearsAtCompany]]&lt;=2,"0-2",HR_Employee_Attrition[[#This Row],[YearsAtCompany]]&lt;=5,"3-5",HR_Employee_Attrition[[#This Row],[YearsAtCompany]]&lt;=10,"6-10",HR_Employee_Attrition[[#This Row],[YearsAtCompany]]&gt;10,"10+")</f>
        <v>3-5</v>
      </c>
      <c r="AL1355" t="str" cm="1">
        <f t="array" ref="AL13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55">
        <f>IF(HR_Employee_Attrition[[#This Row],[Attrition]]="Yes",1,0)</f>
        <v>1</v>
      </c>
    </row>
    <row r="1356" spans="1:39"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IF(HR_Employee_Attrition[[#This Row],[Age]]&gt;60,"60+",IF(HR_Employee_Attrition[[#This Row],[Age]]&gt;=50,"50-59",IF(HR_Employee_Attrition[[#This Row],[Age]]&gt;=40,"40-49",IF(HR_Employee_Attrition[[#This Row],[Age]]&gt;=30,"30-39",IF(HR_Employee_Attrition[[#This Row],[Age]]&gt;=20,"20-29",IF(HR_Employee_Attrition[[#This Row],[Age]]&gt;=18,"18-20"))))))</f>
        <v>50-59</v>
      </c>
      <c r="AK1356" t="str" cm="1">
        <f t="array" ref="AK1356">_xlfn.IFS(HR_Employee_Attrition[[#This Row],[YearsAtCompany]]&lt;=2,"0-2",HR_Employee_Attrition[[#This Row],[YearsAtCompany]]&lt;=5,"3-5",HR_Employee_Attrition[[#This Row],[YearsAtCompany]]&lt;=10,"6-10",HR_Employee_Attrition[[#This Row],[YearsAtCompany]]&gt;10,"10+")</f>
        <v>3-5</v>
      </c>
      <c r="AL1356" t="str" cm="1">
        <f t="array" ref="AL13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56">
        <f>IF(HR_Employee_Attrition[[#This Row],[Attrition]]="Yes",1,0)</f>
        <v>1</v>
      </c>
    </row>
    <row r="1357" spans="1:39"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IF(HR_Employee_Attrition[[#This Row],[Age]]&gt;60,"60+",IF(HR_Employee_Attrition[[#This Row],[Age]]&gt;=50,"50-59",IF(HR_Employee_Attrition[[#This Row],[Age]]&gt;=40,"40-49",IF(HR_Employee_Attrition[[#This Row],[Age]]&gt;=30,"30-39",IF(HR_Employee_Attrition[[#This Row],[Age]]&gt;=20,"20-29",IF(HR_Employee_Attrition[[#This Row],[Age]]&gt;=18,"18-20"))))))</f>
        <v>30-39</v>
      </c>
      <c r="AK1357" t="str" cm="1">
        <f t="array" ref="AK1357">_xlfn.IFS(HR_Employee_Attrition[[#This Row],[YearsAtCompany]]&lt;=2,"0-2",HR_Employee_Attrition[[#This Row],[YearsAtCompany]]&lt;=5,"3-5",HR_Employee_Attrition[[#This Row],[YearsAtCompany]]&lt;=10,"6-10",HR_Employee_Attrition[[#This Row],[YearsAtCompany]]&gt;10,"10+")</f>
        <v>3-5</v>
      </c>
      <c r="AL1357" t="str" cm="1">
        <f t="array" ref="AL13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57">
        <f>IF(HR_Employee_Attrition[[#This Row],[Attrition]]="Yes",1,0)</f>
        <v>0</v>
      </c>
    </row>
    <row r="1358" spans="1:39"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IF(HR_Employee_Attrition[[#This Row],[Age]]&gt;60,"60+",IF(HR_Employee_Attrition[[#This Row],[Age]]&gt;=50,"50-59",IF(HR_Employee_Attrition[[#This Row],[Age]]&gt;=40,"40-49",IF(HR_Employee_Attrition[[#This Row],[Age]]&gt;=30,"30-39",IF(HR_Employee_Attrition[[#This Row],[Age]]&gt;=20,"20-29",IF(HR_Employee_Attrition[[#This Row],[Age]]&gt;=18,"18-20"))))))</f>
        <v>40-49</v>
      </c>
      <c r="AK1358" t="str" cm="1">
        <f t="array" ref="AK1358">_xlfn.IFS(HR_Employee_Attrition[[#This Row],[YearsAtCompany]]&lt;=2,"0-2",HR_Employee_Attrition[[#This Row],[YearsAtCompany]]&lt;=5,"3-5",HR_Employee_Attrition[[#This Row],[YearsAtCompany]]&lt;=10,"6-10",HR_Employee_Attrition[[#This Row],[YearsAtCompany]]&gt;10,"10+")</f>
        <v>3-5</v>
      </c>
      <c r="AL1358" t="str" cm="1">
        <f t="array" ref="AL13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58">
        <f>IF(HR_Employee_Attrition[[#This Row],[Attrition]]="Yes",1,0)</f>
        <v>0</v>
      </c>
    </row>
    <row r="1359" spans="1:39"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IF(HR_Employee_Attrition[[#This Row],[Age]]&gt;60,"60+",IF(HR_Employee_Attrition[[#This Row],[Age]]&gt;=50,"50-59",IF(HR_Employee_Attrition[[#This Row],[Age]]&gt;=40,"40-49",IF(HR_Employee_Attrition[[#This Row],[Age]]&gt;=30,"30-39",IF(HR_Employee_Attrition[[#This Row],[Age]]&gt;=20,"20-29",IF(HR_Employee_Attrition[[#This Row],[Age]]&gt;=18,"18-20"))))))</f>
        <v>40-49</v>
      </c>
      <c r="AK1359" t="str" cm="1">
        <f t="array" ref="AK1359">_xlfn.IFS(HR_Employee_Attrition[[#This Row],[YearsAtCompany]]&lt;=2,"0-2",HR_Employee_Attrition[[#This Row],[YearsAtCompany]]&lt;=5,"3-5",HR_Employee_Attrition[[#This Row],[YearsAtCompany]]&lt;=10,"6-10",HR_Employee_Attrition[[#This Row],[YearsAtCompany]]&gt;10,"10+")</f>
        <v>10+</v>
      </c>
      <c r="AL1359" t="str" cm="1">
        <f t="array" ref="AL13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359">
        <f>IF(HR_Employee_Attrition[[#This Row],[Attrition]]="Yes",1,0)</f>
        <v>0</v>
      </c>
    </row>
    <row r="1360" spans="1:39"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IF(HR_Employee_Attrition[[#This Row],[Age]]&gt;60,"60+",IF(HR_Employee_Attrition[[#This Row],[Age]]&gt;=50,"50-59",IF(HR_Employee_Attrition[[#This Row],[Age]]&gt;=40,"40-49",IF(HR_Employee_Attrition[[#This Row],[Age]]&gt;=30,"30-39",IF(HR_Employee_Attrition[[#This Row],[Age]]&gt;=20,"20-29",IF(HR_Employee_Attrition[[#This Row],[Age]]&gt;=18,"18-20"))))))</f>
        <v>30-39</v>
      </c>
      <c r="AK1360" t="str" cm="1">
        <f t="array" ref="AK1360">_xlfn.IFS(HR_Employee_Attrition[[#This Row],[YearsAtCompany]]&lt;=2,"0-2",HR_Employee_Attrition[[#This Row],[YearsAtCompany]]&lt;=5,"3-5",HR_Employee_Attrition[[#This Row],[YearsAtCompany]]&lt;=10,"6-10",HR_Employee_Attrition[[#This Row],[YearsAtCompany]]&gt;10,"10+")</f>
        <v>3-5</v>
      </c>
      <c r="AL1360" t="str" cm="1">
        <f t="array" ref="AL13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60">
        <f>IF(HR_Employee_Attrition[[#This Row],[Attrition]]="Yes",1,0)</f>
        <v>0</v>
      </c>
    </row>
    <row r="1361" spans="1:39"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IF(HR_Employee_Attrition[[#This Row],[Age]]&gt;60,"60+",IF(HR_Employee_Attrition[[#This Row],[Age]]&gt;=50,"50-59",IF(HR_Employee_Attrition[[#This Row],[Age]]&gt;=40,"40-49",IF(HR_Employee_Attrition[[#This Row],[Age]]&gt;=30,"30-39",IF(HR_Employee_Attrition[[#This Row],[Age]]&gt;=20,"20-29",IF(HR_Employee_Attrition[[#This Row],[Age]]&gt;=18,"18-20"))))))</f>
        <v>30-39</v>
      </c>
      <c r="AK1361" t="str" cm="1">
        <f t="array" ref="AK1361">_xlfn.IFS(HR_Employee_Attrition[[#This Row],[YearsAtCompany]]&lt;=2,"0-2",HR_Employee_Attrition[[#This Row],[YearsAtCompany]]&lt;=5,"3-5",HR_Employee_Attrition[[#This Row],[YearsAtCompany]]&lt;=10,"6-10",HR_Employee_Attrition[[#This Row],[YearsAtCompany]]&gt;10,"10+")</f>
        <v>3-5</v>
      </c>
      <c r="AL1361" t="str" cm="1">
        <f t="array" ref="AL13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61">
        <f>IF(HR_Employee_Attrition[[#This Row],[Attrition]]="Yes",1,0)</f>
        <v>0</v>
      </c>
    </row>
    <row r="1362" spans="1:39"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IF(HR_Employee_Attrition[[#This Row],[Age]]&gt;60,"60+",IF(HR_Employee_Attrition[[#This Row],[Age]]&gt;=50,"50-59",IF(HR_Employee_Attrition[[#This Row],[Age]]&gt;=40,"40-49",IF(HR_Employee_Attrition[[#This Row],[Age]]&gt;=30,"30-39",IF(HR_Employee_Attrition[[#This Row],[Age]]&gt;=20,"20-29",IF(HR_Employee_Attrition[[#This Row],[Age]]&gt;=18,"18-20"))))))</f>
        <v>30-39</v>
      </c>
      <c r="AK1362" t="str" cm="1">
        <f t="array" ref="AK1362">_xlfn.IFS(HR_Employee_Attrition[[#This Row],[YearsAtCompany]]&lt;=2,"0-2",HR_Employee_Attrition[[#This Row],[YearsAtCompany]]&lt;=5,"3-5",HR_Employee_Attrition[[#This Row],[YearsAtCompany]]&lt;=10,"6-10",HR_Employee_Attrition[[#This Row],[YearsAtCompany]]&gt;10,"10+")</f>
        <v>0-2</v>
      </c>
      <c r="AL1362" t="str" cm="1">
        <f t="array" ref="AL13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62">
        <f>IF(HR_Employee_Attrition[[#This Row],[Attrition]]="Yes",1,0)</f>
        <v>0</v>
      </c>
    </row>
    <row r="1363" spans="1:39"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IF(HR_Employee_Attrition[[#This Row],[Age]]&gt;60,"60+",IF(HR_Employee_Attrition[[#This Row],[Age]]&gt;=50,"50-59",IF(HR_Employee_Attrition[[#This Row],[Age]]&gt;=40,"40-49",IF(HR_Employee_Attrition[[#This Row],[Age]]&gt;=30,"30-39",IF(HR_Employee_Attrition[[#This Row],[Age]]&gt;=20,"20-29",IF(HR_Employee_Attrition[[#This Row],[Age]]&gt;=18,"18-20"))))))</f>
        <v>20-29</v>
      </c>
      <c r="AK1363" t="str" cm="1">
        <f t="array" ref="AK1363">_xlfn.IFS(HR_Employee_Attrition[[#This Row],[YearsAtCompany]]&lt;=2,"0-2",HR_Employee_Attrition[[#This Row],[YearsAtCompany]]&lt;=5,"3-5",HR_Employee_Attrition[[#This Row],[YearsAtCompany]]&lt;=10,"6-10",HR_Employee_Attrition[[#This Row],[YearsAtCompany]]&gt;10,"10+")</f>
        <v>6-10</v>
      </c>
      <c r="AL1363" t="str" cm="1">
        <f t="array" ref="AL13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63">
        <f>IF(HR_Employee_Attrition[[#This Row],[Attrition]]="Yes",1,0)</f>
        <v>0</v>
      </c>
    </row>
    <row r="1364" spans="1:39"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IF(HR_Employee_Attrition[[#This Row],[Age]]&gt;60,"60+",IF(HR_Employee_Attrition[[#This Row],[Age]]&gt;=50,"50-59",IF(HR_Employee_Attrition[[#This Row],[Age]]&gt;=40,"40-49",IF(HR_Employee_Attrition[[#This Row],[Age]]&gt;=30,"30-39",IF(HR_Employee_Attrition[[#This Row],[Age]]&gt;=20,"20-29",IF(HR_Employee_Attrition[[#This Row],[Age]]&gt;=18,"18-20"))))))</f>
        <v>40-49</v>
      </c>
      <c r="AK1364" t="str" cm="1">
        <f t="array" ref="AK1364">_xlfn.IFS(HR_Employee_Attrition[[#This Row],[YearsAtCompany]]&lt;=2,"0-2",HR_Employee_Attrition[[#This Row],[YearsAtCompany]]&lt;=5,"3-5",HR_Employee_Attrition[[#This Row],[YearsAtCompany]]&lt;=10,"6-10",HR_Employee_Attrition[[#This Row],[YearsAtCompany]]&gt;10,"10+")</f>
        <v>3-5</v>
      </c>
      <c r="AL1364" t="str" cm="1">
        <f t="array" ref="AL13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64">
        <f>IF(HR_Employee_Attrition[[#This Row],[Attrition]]="Yes",1,0)</f>
        <v>0</v>
      </c>
    </row>
    <row r="1365" spans="1:39"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IF(HR_Employee_Attrition[[#This Row],[Age]]&gt;60,"60+",IF(HR_Employee_Attrition[[#This Row],[Age]]&gt;=50,"50-59",IF(HR_Employee_Attrition[[#This Row],[Age]]&gt;=40,"40-49",IF(HR_Employee_Attrition[[#This Row],[Age]]&gt;=30,"30-39",IF(HR_Employee_Attrition[[#This Row],[Age]]&gt;=20,"20-29",IF(HR_Employee_Attrition[[#This Row],[Age]]&gt;=18,"18-20"))))))</f>
        <v>30-39</v>
      </c>
      <c r="AK1365" t="str" cm="1">
        <f t="array" ref="AK1365">_xlfn.IFS(HR_Employee_Attrition[[#This Row],[YearsAtCompany]]&lt;=2,"0-2",HR_Employee_Attrition[[#This Row],[YearsAtCompany]]&lt;=5,"3-5",HR_Employee_Attrition[[#This Row],[YearsAtCompany]]&lt;=10,"6-10",HR_Employee_Attrition[[#This Row],[YearsAtCompany]]&gt;10,"10+")</f>
        <v>6-10</v>
      </c>
      <c r="AL1365" t="str" cm="1">
        <f t="array" ref="AL13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65">
        <f>IF(HR_Employee_Attrition[[#This Row],[Attrition]]="Yes",1,0)</f>
        <v>0</v>
      </c>
    </row>
    <row r="1366" spans="1:39"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IF(HR_Employee_Attrition[[#This Row],[Age]]&gt;60,"60+",IF(HR_Employee_Attrition[[#This Row],[Age]]&gt;=50,"50-59",IF(HR_Employee_Attrition[[#This Row],[Age]]&gt;=40,"40-49",IF(HR_Employee_Attrition[[#This Row],[Age]]&gt;=30,"30-39",IF(HR_Employee_Attrition[[#This Row],[Age]]&gt;=20,"20-29",IF(HR_Employee_Attrition[[#This Row],[Age]]&gt;=18,"18-20"))))))</f>
        <v>20-29</v>
      </c>
      <c r="AK1366" t="str" cm="1">
        <f t="array" ref="AK1366">_xlfn.IFS(HR_Employee_Attrition[[#This Row],[YearsAtCompany]]&lt;=2,"0-2",HR_Employee_Attrition[[#This Row],[YearsAtCompany]]&lt;=5,"3-5",HR_Employee_Attrition[[#This Row],[YearsAtCompany]]&lt;=10,"6-10",HR_Employee_Attrition[[#This Row],[YearsAtCompany]]&gt;10,"10+")</f>
        <v>6-10</v>
      </c>
      <c r="AL1366" t="str" cm="1">
        <f t="array" ref="AL13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66">
        <f>IF(HR_Employee_Attrition[[#This Row],[Attrition]]="Yes",1,0)</f>
        <v>0</v>
      </c>
    </row>
    <row r="1367" spans="1:39"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IF(HR_Employee_Attrition[[#This Row],[Age]]&gt;60,"60+",IF(HR_Employee_Attrition[[#This Row],[Age]]&gt;=50,"50-59",IF(HR_Employee_Attrition[[#This Row],[Age]]&gt;=40,"40-49",IF(HR_Employee_Attrition[[#This Row],[Age]]&gt;=30,"30-39",IF(HR_Employee_Attrition[[#This Row],[Age]]&gt;=20,"20-29",IF(HR_Employee_Attrition[[#This Row],[Age]]&gt;=18,"18-20"))))))</f>
        <v>20-29</v>
      </c>
      <c r="AK1367" t="str" cm="1">
        <f t="array" ref="AK1367">_xlfn.IFS(HR_Employee_Attrition[[#This Row],[YearsAtCompany]]&lt;=2,"0-2",HR_Employee_Attrition[[#This Row],[YearsAtCompany]]&lt;=5,"3-5",HR_Employee_Attrition[[#This Row],[YearsAtCompany]]&lt;=10,"6-10",HR_Employee_Attrition[[#This Row],[YearsAtCompany]]&gt;10,"10+")</f>
        <v>0-2</v>
      </c>
      <c r="AL1367" t="str" cm="1">
        <f t="array" ref="AL13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67">
        <f>IF(HR_Employee_Attrition[[#This Row],[Attrition]]="Yes",1,0)</f>
        <v>1</v>
      </c>
    </row>
    <row r="1368" spans="1:39"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IF(HR_Employee_Attrition[[#This Row],[Age]]&gt;60,"60+",IF(HR_Employee_Attrition[[#This Row],[Age]]&gt;=50,"50-59",IF(HR_Employee_Attrition[[#This Row],[Age]]&gt;=40,"40-49",IF(HR_Employee_Attrition[[#This Row],[Age]]&gt;=30,"30-39",IF(HR_Employee_Attrition[[#This Row],[Age]]&gt;=20,"20-29",IF(HR_Employee_Attrition[[#This Row],[Age]]&gt;=18,"18-20"))))))</f>
        <v>30-39</v>
      </c>
      <c r="AK1368" t="str" cm="1">
        <f t="array" ref="AK1368">_xlfn.IFS(HR_Employee_Attrition[[#This Row],[YearsAtCompany]]&lt;=2,"0-2",HR_Employee_Attrition[[#This Row],[YearsAtCompany]]&lt;=5,"3-5",HR_Employee_Attrition[[#This Row],[YearsAtCompany]]&lt;=10,"6-10",HR_Employee_Attrition[[#This Row],[YearsAtCompany]]&gt;10,"10+")</f>
        <v>3-5</v>
      </c>
      <c r="AL1368" t="str" cm="1">
        <f t="array" ref="AL13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68">
        <f>IF(HR_Employee_Attrition[[#This Row],[Attrition]]="Yes",1,0)</f>
        <v>0</v>
      </c>
    </row>
    <row r="1369" spans="1:39"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IF(HR_Employee_Attrition[[#This Row],[Age]]&gt;60,"60+",IF(HR_Employee_Attrition[[#This Row],[Age]]&gt;=50,"50-59",IF(HR_Employee_Attrition[[#This Row],[Age]]&gt;=40,"40-49",IF(HR_Employee_Attrition[[#This Row],[Age]]&gt;=30,"30-39",IF(HR_Employee_Attrition[[#This Row],[Age]]&gt;=20,"20-29",IF(HR_Employee_Attrition[[#This Row],[Age]]&gt;=18,"18-20"))))))</f>
        <v>20-29</v>
      </c>
      <c r="AK1369" t="str" cm="1">
        <f t="array" ref="AK1369">_xlfn.IFS(HR_Employee_Attrition[[#This Row],[YearsAtCompany]]&lt;=2,"0-2",HR_Employee_Attrition[[#This Row],[YearsAtCompany]]&lt;=5,"3-5",HR_Employee_Attrition[[#This Row],[YearsAtCompany]]&lt;=10,"6-10",HR_Employee_Attrition[[#This Row],[YearsAtCompany]]&gt;10,"10+")</f>
        <v>3-5</v>
      </c>
      <c r="AL1369" t="str" cm="1">
        <f t="array" ref="AL13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69">
        <f>IF(HR_Employee_Attrition[[#This Row],[Attrition]]="Yes",1,0)</f>
        <v>0</v>
      </c>
    </row>
    <row r="1370" spans="1:39"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IF(HR_Employee_Attrition[[#This Row],[Age]]&gt;60,"60+",IF(HR_Employee_Attrition[[#This Row],[Age]]&gt;=50,"50-59",IF(HR_Employee_Attrition[[#This Row],[Age]]&gt;=40,"40-49",IF(HR_Employee_Attrition[[#This Row],[Age]]&gt;=30,"30-39",IF(HR_Employee_Attrition[[#This Row],[Age]]&gt;=20,"20-29",IF(HR_Employee_Attrition[[#This Row],[Age]]&gt;=18,"18-20"))))))</f>
        <v>30-39</v>
      </c>
      <c r="AK1370" t="str" cm="1">
        <f t="array" ref="AK1370">_xlfn.IFS(HR_Employee_Attrition[[#This Row],[YearsAtCompany]]&lt;=2,"0-2",HR_Employee_Attrition[[#This Row],[YearsAtCompany]]&lt;=5,"3-5",HR_Employee_Attrition[[#This Row],[YearsAtCompany]]&lt;=10,"6-10",HR_Employee_Attrition[[#This Row],[YearsAtCompany]]&gt;10,"10+")</f>
        <v>10+</v>
      </c>
      <c r="AL1370" t="str" cm="1">
        <f t="array" ref="AL13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70">
        <f>IF(HR_Employee_Attrition[[#This Row],[Attrition]]="Yes",1,0)</f>
        <v>0</v>
      </c>
    </row>
    <row r="1371" spans="1:39"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IF(HR_Employee_Attrition[[#This Row],[Age]]&gt;60,"60+",IF(HR_Employee_Attrition[[#This Row],[Age]]&gt;=50,"50-59",IF(HR_Employee_Attrition[[#This Row],[Age]]&gt;=40,"40-49",IF(HR_Employee_Attrition[[#This Row],[Age]]&gt;=30,"30-39",IF(HR_Employee_Attrition[[#This Row],[Age]]&gt;=20,"20-29",IF(HR_Employee_Attrition[[#This Row],[Age]]&gt;=18,"18-20"))))))</f>
        <v>20-29</v>
      </c>
      <c r="AK1371" t="str" cm="1">
        <f t="array" ref="AK1371">_xlfn.IFS(HR_Employee_Attrition[[#This Row],[YearsAtCompany]]&lt;=2,"0-2",HR_Employee_Attrition[[#This Row],[YearsAtCompany]]&lt;=5,"3-5",HR_Employee_Attrition[[#This Row],[YearsAtCompany]]&lt;=10,"6-10",HR_Employee_Attrition[[#This Row],[YearsAtCompany]]&gt;10,"10+")</f>
        <v>0-2</v>
      </c>
      <c r="AL1371" t="str" cm="1">
        <f t="array" ref="AL13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71">
        <f>IF(HR_Employee_Attrition[[#This Row],[Attrition]]="Yes",1,0)</f>
        <v>1</v>
      </c>
    </row>
    <row r="1372" spans="1:39"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IF(HR_Employee_Attrition[[#This Row],[Age]]&gt;60,"60+",IF(HR_Employee_Attrition[[#This Row],[Age]]&gt;=50,"50-59",IF(HR_Employee_Attrition[[#This Row],[Age]]&gt;=40,"40-49",IF(HR_Employee_Attrition[[#This Row],[Age]]&gt;=30,"30-39",IF(HR_Employee_Attrition[[#This Row],[Age]]&gt;=20,"20-29",IF(HR_Employee_Attrition[[#This Row],[Age]]&gt;=18,"18-20"))))))</f>
        <v>40-49</v>
      </c>
      <c r="AK1372" t="str" cm="1">
        <f t="array" ref="AK1372">_xlfn.IFS(HR_Employee_Attrition[[#This Row],[YearsAtCompany]]&lt;=2,"0-2",HR_Employee_Attrition[[#This Row],[YearsAtCompany]]&lt;=5,"3-5",HR_Employee_Attrition[[#This Row],[YearsAtCompany]]&lt;=10,"6-10",HR_Employee_Attrition[[#This Row],[YearsAtCompany]]&gt;10,"10+")</f>
        <v>6-10</v>
      </c>
      <c r="AL1372" t="str" cm="1">
        <f t="array" ref="AL137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72">
        <f>IF(HR_Employee_Attrition[[#This Row],[Attrition]]="Yes",1,0)</f>
        <v>0</v>
      </c>
    </row>
    <row r="1373" spans="1:39"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IF(HR_Employee_Attrition[[#This Row],[Age]]&gt;60,"60+",IF(HR_Employee_Attrition[[#This Row],[Age]]&gt;=50,"50-59",IF(HR_Employee_Attrition[[#This Row],[Age]]&gt;=40,"40-49",IF(HR_Employee_Attrition[[#This Row],[Age]]&gt;=30,"30-39",IF(HR_Employee_Attrition[[#This Row],[Age]]&gt;=20,"20-29",IF(HR_Employee_Attrition[[#This Row],[Age]]&gt;=18,"18-20"))))))</f>
        <v>50-59</v>
      </c>
      <c r="AK1373" t="str" cm="1">
        <f t="array" ref="AK1373">_xlfn.IFS(HR_Employee_Attrition[[#This Row],[YearsAtCompany]]&lt;=2,"0-2",HR_Employee_Attrition[[#This Row],[YearsAtCompany]]&lt;=5,"3-5",HR_Employee_Attrition[[#This Row],[YearsAtCompany]]&lt;=10,"6-10",HR_Employee_Attrition[[#This Row],[YearsAtCompany]]&gt;10,"10+")</f>
        <v>0-2</v>
      </c>
      <c r="AL1373" t="str" cm="1">
        <f t="array" ref="AL137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73">
        <f>IF(HR_Employee_Attrition[[#This Row],[Attrition]]="Yes",1,0)</f>
        <v>0</v>
      </c>
    </row>
    <row r="1374" spans="1:39"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IF(HR_Employee_Attrition[[#This Row],[Age]]&gt;60,"60+",IF(HR_Employee_Attrition[[#This Row],[Age]]&gt;=50,"50-59",IF(HR_Employee_Attrition[[#This Row],[Age]]&gt;=40,"40-49",IF(HR_Employee_Attrition[[#This Row],[Age]]&gt;=30,"30-39",IF(HR_Employee_Attrition[[#This Row],[Age]]&gt;=20,"20-29",IF(HR_Employee_Attrition[[#This Row],[Age]]&gt;=18,"18-20"))))))</f>
        <v>30-39</v>
      </c>
      <c r="AK1374" t="str" cm="1">
        <f t="array" ref="AK1374">_xlfn.IFS(HR_Employee_Attrition[[#This Row],[YearsAtCompany]]&lt;=2,"0-2",HR_Employee_Attrition[[#This Row],[YearsAtCompany]]&lt;=5,"3-5",HR_Employee_Attrition[[#This Row],[YearsAtCompany]]&lt;=10,"6-10",HR_Employee_Attrition[[#This Row],[YearsAtCompany]]&gt;10,"10+")</f>
        <v>6-10</v>
      </c>
      <c r="AL1374" t="str" cm="1">
        <f t="array" ref="AL137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74">
        <f>IF(HR_Employee_Attrition[[#This Row],[Attrition]]="Yes",1,0)</f>
        <v>0</v>
      </c>
    </row>
    <row r="1375" spans="1:39"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IF(HR_Employee_Attrition[[#This Row],[Age]]&gt;60,"60+",IF(HR_Employee_Attrition[[#This Row],[Age]]&gt;=50,"50-59",IF(HR_Employee_Attrition[[#This Row],[Age]]&gt;=40,"40-49",IF(HR_Employee_Attrition[[#This Row],[Age]]&gt;=30,"30-39",IF(HR_Employee_Attrition[[#This Row],[Age]]&gt;=20,"20-29",IF(HR_Employee_Attrition[[#This Row],[Age]]&gt;=18,"18-20"))))))</f>
        <v>30-39</v>
      </c>
      <c r="AK1375" t="str" cm="1">
        <f t="array" ref="AK1375">_xlfn.IFS(HR_Employee_Attrition[[#This Row],[YearsAtCompany]]&lt;=2,"0-2",HR_Employee_Attrition[[#This Row],[YearsAtCompany]]&lt;=5,"3-5",HR_Employee_Attrition[[#This Row],[YearsAtCompany]]&lt;=10,"6-10",HR_Employee_Attrition[[#This Row],[YearsAtCompany]]&gt;10,"10+")</f>
        <v>10+</v>
      </c>
      <c r="AL1375" t="str" cm="1">
        <f t="array" ref="AL137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75">
        <f>IF(HR_Employee_Attrition[[#This Row],[Attrition]]="Yes",1,0)</f>
        <v>0</v>
      </c>
    </row>
    <row r="1376" spans="1:39"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IF(HR_Employee_Attrition[[#This Row],[Age]]&gt;60,"60+",IF(HR_Employee_Attrition[[#This Row],[Age]]&gt;=50,"50-59",IF(HR_Employee_Attrition[[#This Row],[Age]]&gt;=40,"40-49",IF(HR_Employee_Attrition[[#This Row],[Age]]&gt;=30,"30-39",IF(HR_Employee_Attrition[[#This Row],[Age]]&gt;=20,"20-29",IF(HR_Employee_Attrition[[#This Row],[Age]]&gt;=18,"18-20"))))))</f>
        <v>50-59</v>
      </c>
      <c r="AK1376" t="str" cm="1">
        <f t="array" ref="AK1376">_xlfn.IFS(HR_Employee_Attrition[[#This Row],[YearsAtCompany]]&lt;=2,"0-2",HR_Employee_Attrition[[#This Row],[YearsAtCompany]]&lt;=5,"3-5",HR_Employee_Attrition[[#This Row],[YearsAtCompany]]&lt;=10,"6-10",HR_Employee_Attrition[[#This Row],[YearsAtCompany]]&gt;10,"10+")</f>
        <v>0-2</v>
      </c>
      <c r="AL1376" t="str" cm="1">
        <f t="array" ref="AL137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376">
        <f>IF(HR_Employee_Attrition[[#This Row],[Attrition]]="Yes",1,0)</f>
        <v>0</v>
      </c>
    </row>
    <row r="1377" spans="1:39"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IF(HR_Employee_Attrition[[#This Row],[Age]]&gt;60,"60+",IF(HR_Employee_Attrition[[#This Row],[Age]]&gt;=50,"50-59",IF(HR_Employee_Attrition[[#This Row],[Age]]&gt;=40,"40-49",IF(HR_Employee_Attrition[[#This Row],[Age]]&gt;=30,"30-39",IF(HR_Employee_Attrition[[#This Row],[Age]]&gt;=20,"20-29",IF(HR_Employee_Attrition[[#This Row],[Age]]&gt;=18,"18-20"))))))</f>
        <v>30-39</v>
      </c>
      <c r="AK1377" t="str" cm="1">
        <f t="array" ref="AK1377">_xlfn.IFS(HR_Employee_Attrition[[#This Row],[YearsAtCompany]]&lt;=2,"0-2",HR_Employee_Attrition[[#This Row],[YearsAtCompany]]&lt;=5,"3-5",HR_Employee_Attrition[[#This Row],[YearsAtCompany]]&lt;=10,"6-10",HR_Employee_Attrition[[#This Row],[YearsAtCompany]]&gt;10,"10+")</f>
        <v>3-5</v>
      </c>
      <c r="AL1377" t="str" cm="1">
        <f t="array" ref="AL137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77">
        <f>IF(HR_Employee_Attrition[[#This Row],[Attrition]]="Yes",1,0)</f>
        <v>1</v>
      </c>
    </row>
    <row r="1378" spans="1:39"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IF(HR_Employee_Attrition[[#This Row],[Age]]&gt;60,"60+",IF(HR_Employee_Attrition[[#This Row],[Age]]&gt;=50,"50-59",IF(HR_Employee_Attrition[[#This Row],[Age]]&gt;=40,"40-49",IF(HR_Employee_Attrition[[#This Row],[Age]]&gt;=30,"30-39",IF(HR_Employee_Attrition[[#This Row],[Age]]&gt;=20,"20-29",IF(HR_Employee_Attrition[[#This Row],[Age]]&gt;=18,"18-20"))))))</f>
        <v>30-39</v>
      </c>
      <c r="AK1378" t="str" cm="1">
        <f t="array" ref="AK1378">_xlfn.IFS(HR_Employee_Attrition[[#This Row],[YearsAtCompany]]&lt;=2,"0-2",HR_Employee_Attrition[[#This Row],[YearsAtCompany]]&lt;=5,"3-5",HR_Employee_Attrition[[#This Row],[YearsAtCompany]]&lt;=10,"6-10",HR_Employee_Attrition[[#This Row],[YearsAtCompany]]&gt;10,"10+")</f>
        <v>3-5</v>
      </c>
      <c r="AL1378" t="str" cm="1">
        <f t="array" ref="AL137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78">
        <f>IF(HR_Employee_Attrition[[#This Row],[Attrition]]="Yes",1,0)</f>
        <v>0</v>
      </c>
    </row>
    <row r="1379" spans="1:39"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IF(HR_Employee_Attrition[[#This Row],[Age]]&gt;60,"60+",IF(HR_Employee_Attrition[[#This Row],[Age]]&gt;=50,"50-59",IF(HR_Employee_Attrition[[#This Row],[Age]]&gt;=40,"40-49",IF(HR_Employee_Attrition[[#This Row],[Age]]&gt;=30,"30-39",IF(HR_Employee_Attrition[[#This Row],[Age]]&gt;=20,"20-29",IF(HR_Employee_Attrition[[#This Row],[Age]]&gt;=18,"18-20"))))))</f>
        <v>40-49</v>
      </c>
      <c r="AK1379" t="str" cm="1">
        <f t="array" ref="AK1379">_xlfn.IFS(HR_Employee_Attrition[[#This Row],[YearsAtCompany]]&lt;=2,"0-2",HR_Employee_Attrition[[#This Row],[YearsAtCompany]]&lt;=5,"3-5",HR_Employee_Attrition[[#This Row],[YearsAtCompany]]&lt;=10,"6-10",HR_Employee_Attrition[[#This Row],[YearsAtCompany]]&gt;10,"10+")</f>
        <v>3-5</v>
      </c>
      <c r="AL1379" t="str" cm="1">
        <f t="array" ref="AL137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379">
        <f>IF(HR_Employee_Attrition[[#This Row],[Attrition]]="Yes",1,0)</f>
        <v>0</v>
      </c>
    </row>
    <row r="1380" spans="1:39"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IF(HR_Employee_Attrition[[#This Row],[Age]]&gt;60,"60+",IF(HR_Employee_Attrition[[#This Row],[Age]]&gt;=50,"50-59",IF(HR_Employee_Attrition[[#This Row],[Age]]&gt;=40,"40-49",IF(HR_Employee_Attrition[[#This Row],[Age]]&gt;=30,"30-39",IF(HR_Employee_Attrition[[#This Row],[Age]]&gt;=20,"20-29",IF(HR_Employee_Attrition[[#This Row],[Age]]&gt;=18,"18-20"))))))</f>
        <v>40-49</v>
      </c>
      <c r="AK1380" t="str" cm="1">
        <f t="array" ref="AK1380">_xlfn.IFS(HR_Employee_Attrition[[#This Row],[YearsAtCompany]]&lt;=2,"0-2",HR_Employee_Attrition[[#This Row],[YearsAtCompany]]&lt;=5,"3-5",HR_Employee_Attrition[[#This Row],[YearsAtCompany]]&lt;=10,"6-10",HR_Employee_Attrition[[#This Row],[YearsAtCompany]]&gt;10,"10+")</f>
        <v>0-2</v>
      </c>
      <c r="AL1380" t="str" cm="1">
        <f t="array" ref="AL138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80">
        <f>IF(HR_Employee_Attrition[[#This Row],[Attrition]]="Yes",1,0)</f>
        <v>0</v>
      </c>
    </row>
    <row r="1381" spans="1:39"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IF(HR_Employee_Attrition[[#This Row],[Age]]&gt;60,"60+",IF(HR_Employee_Attrition[[#This Row],[Age]]&gt;=50,"50-59",IF(HR_Employee_Attrition[[#This Row],[Age]]&gt;=40,"40-49",IF(HR_Employee_Attrition[[#This Row],[Age]]&gt;=30,"30-39",IF(HR_Employee_Attrition[[#This Row],[Age]]&gt;=20,"20-29",IF(HR_Employee_Attrition[[#This Row],[Age]]&gt;=18,"18-20"))))))</f>
        <v>20-29</v>
      </c>
      <c r="AK1381" t="str" cm="1">
        <f t="array" ref="AK1381">_xlfn.IFS(HR_Employee_Attrition[[#This Row],[YearsAtCompany]]&lt;=2,"0-2",HR_Employee_Attrition[[#This Row],[YearsAtCompany]]&lt;=5,"3-5",HR_Employee_Attrition[[#This Row],[YearsAtCompany]]&lt;=10,"6-10",HR_Employee_Attrition[[#This Row],[YearsAtCompany]]&gt;10,"10+")</f>
        <v>0-2</v>
      </c>
      <c r="AL1381" t="str" cm="1">
        <f t="array" ref="AL138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81">
        <f>IF(HR_Employee_Attrition[[#This Row],[Attrition]]="Yes",1,0)</f>
        <v>1</v>
      </c>
    </row>
    <row r="1382" spans="1:39"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IF(HR_Employee_Attrition[[#This Row],[Age]]&gt;60,"60+",IF(HR_Employee_Attrition[[#This Row],[Age]]&gt;=50,"50-59",IF(HR_Employee_Attrition[[#This Row],[Age]]&gt;=40,"40-49",IF(HR_Employee_Attrition[[#This Row],[Age]]&gt;=30,"30-39",IF(HR_Employee_Attrition[[#This Row],[Age]]&gt;=20,"20-29",IF(HR_Employee_Attrition[[#This Row],[Age]]&gt;=18,"18-20"))))))</f>
        <v>30-39</v>
      </c>
      <c r="AK1382" t="str" cm="1">
        <f t="array" ref="AK1382">_xlfn.IFS(HR_Employee_Attrition[[#This Row],[YearsAtCompany]]&lt;=2,"0-2",HR_Employee_Attrition[[#This Row],[YearsAtCompany]]&lt;=5,"3-5",HR_Employee_Attrition[[#This Row],[YearsAtCompany]]&lt;=10,"6-10",HR_Employee_Attrition[[#This Row],[YearsAtCompany]]&gt;10,"10+")</f>
        <v>3-5</v>
      </c>
      <c r="AL1382" t="str" cm="1">
        <f t="array" ref="AL138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82">
        <f>IF(HR_Employee_Attrition[[#This Row],[Attrition]]="Yes",1,0)</f>
        <v>0</v>
      </c>
    </row>
    <row r="1383" spans="1:39"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IF(HR_Employee_Attrition[[#This Row],[Age]]&gt;60,"60+",IF(HR_Employee_Attrition[[#This Row],[Age]]&gt;=50,"50-59",IF(HR_Employee_Attrition[[#This Row],[Age]]&gt;=40,"40-49",IF(HR_Employee_Attrition[[#This Row],[Age]]&gt;=30,"30-39",IF(HR_Employee_Attrition[[#This Row],[Age]]&gt;=20,"20-29",IF(HR_Employee_Attrition[[#This Row],[Age]]&gt;=18,"18-20"))))))</f>
        <v>20-29</v>
      </c>
      <c r="AK1383" t="str" cm="1">
        <f t="array" ref="AK1383">_xlfn.IFS(HR_Employee_Attrition[[#This Row],[YearsAtCompany]]&lt;=2,"0-2",HR_Employee_Attrition[[#This Row],[YearsAtCompany]]&lt;=5,"3-5",HR_Employee_Attrition[[#This Row],[YearsAtCompany]]&lt;=10,"6-10",HR_Employee_Attrition[[#This Row],[YearsAtCompany]]&gt;10,"10+")</f>
        <v>3-5</v>
      </c>
      <c r="AL1383" t="str" cm="1">
        <f t="array" ref="AL138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83">
        <f>IF(HR_Employee_Attrition[[#This Row],[Attrition]]="Yes",1,0)</f>
        <v>0</v>
      </c>
    </row>
    <row r="1384" spans="1:39"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IF(HR_Employee_Attrition[[#This Row],[Age]]&gt;60,"60+",IF(HR_Employee_Attrition[[#This Row],[Age]]&gt;=50,"50-59",IF(HR_Employee_Attrition[[#This Row],[Age]]&gt;=40,"40-49",IF(HR_Employee_Attrition[[#This Row],[Age]]&gt;=30,"30-39",IF(HR_Employee_Attrition[[#This Row],[Age]]&gt;=20,"20-29",IF(HR_Employee_Attrition[[#This Row],[Age]]&gt;=18,"18-20"))))))</f>
        <v>30-39</v>
      </c>
      <c r="AK1384" t="str" cm="1">
        <f t="array" ref="AK1384">_xlfn.IFS(HR_Employee_Attrition[[#This Row],[YearsAtCompany]]&lt;=2,"0-2",HR_Employee_Attrition[[#This Row],[YearsAtCompany]]&lt;=5,"3-5",HR_Employee_Attrition[[#This Row],[YearsAtCompany]]&lt;=10,"6-10",HR_Employee_Attrition[[#This Row],[YearsAtCompany]]&gt;10,"10+")</f>
        <v>3-5</v>
      </c>
      <c r="AL1384" t="str" cm="1">
        <f t="array" ref="AL138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84">
        <f>IF(HR_Employee_Attrition[[#This Row],[Attrition]]="Yes",1,0)</f>
        <v>0</v>
      </c>
    </row>
    <row r="1385" spans="1:39"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IF(HR_Employee_Attrition[[#This Row],[Age]]&gt;60,"60+",IF(HR_Employee_Attrition[[#This Row],[Age]]&gt;=50,"50-59",IF(HR_Employee_Attrition[[#This Row],[Age]]&gt;=40,"40-49",IF(HR_Employee_Attrition[[#This Row],[Age]]&gt;=30,"30-39",IF(HR_Employee_Attrition[[#This Row],[Age]]&gt;=20,"20-29",IF(HR_Employee_Attrition[[#This Row],[Age]]&gt;=18,"18-20"))))))</f>
        <v>30-39</v>
      </c>
      <c r="AK1385" t="str" cm="1">
        <f t="array" ref="AK1385">_xlfn.IFS(HR_Employee_Attrition[[#This Row],[YearsAtCompany]]&lt;=2,"0-2",HR_Employee_Attrition[[#This Row],[YearsAtCompany]]&lt;=5,"3-5",HR_Employee_Attrition[[#This Row],[YearsAtCompany]]&lt;=10,"6-10",HR_Employee_Attrition[[#This Row],[YearsAtCompany]]&gt;10,"10+")</f>
        <v>3-5</v>
      </c>
      <c r="AL1385" t="str" cm="1">
        <f t="array" ref="AL138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85">
        <f>IF(HR_Employee_Attrition[[#This Row],[Attrition]]="Yes",1,0)</f>
        <v>0</v>
      </c>
    </row>
    <row r="1386" spans="1:39"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IF(HR_Employee_Attrition[[#This Row],[Age]]&gt;60,"60+",IF(HR_Employee_Attrition[[#This Row],[Age]]&gt;=50,"50-59",IF(HR_Employee_Attrition[[#This Row],[Age]]&gt;=40,"40-49",IF(HR_Employee_Attrition[[#This Row],[Age]]&gt;=30,"30-39",IF(HR_Employee_Attrition[[#This Row],[Age]]&gt;=20,"20-29",IF(HR_Employee_Attrition[[#This Row],[Age]]&gt;=18,"18-20"))))))</f>
        <v>30-39</v>
      </c>
      <c r="AK1386" t="str" cm="1">
        <f t="array" ref="AK1386">_xlfn.IFS(HR_Employee_Attrition[[#This Row],[YearsAtCompany]]&lt;=2,"0-2",HR_Employee_Attrition[[#This Row],[YearsAtCompany]]&lt;=5,"3-5",HR_Employee_Attrition[[#This Row],[YearsAtCompany]]&lt;=10,"6-10",HR_Employee_Attrition[[#This Row],[YearsAtCompany]]&gt;10,"10+")</f>
        <v>10+</v>
      </c>
      <c r="AL1386" t="str" cm="1">
        <f t="array" ref="AL138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86">
        <f>IF(HR_Employee_Attrition[[#This Row],[Attrition]]="Yes",1,0)</f>
        <v>0</v>
      </c>
    </row>
    <row r="1387" spans="1:39"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IF(HR_Employee_Attrition[[#This Row],[Age]]&gt;60,"60+",IF(HR_Employee_Attrition[[#This Row],[Age]]&gt;=50,"50-59",IF(HR_Employee_Attrition[[#This Row],[Age]]&gt;=40,"40-49",IF(HR_Employee_Attrition[[#This Row],[Age]]&gt;=30,"30-39",IF(HR_Employee_Attrition[[#This Row],[Age]]&gt;=20,"20-29",IF(HR_Employee_Attrition[[#This Row],[Age]]&gt;=18,"18-20"))))))</f>
        <v>30-39</v>
      </c>
      <c r="AK1387" t="str" cm="1">
        <f t="array" ref="AK1387">_xlfn.IFS(HR_Employee_Attrition[[#This Row],[YearsAtCompany]]&lt;=2,"0-2",HR_Employee_Attrition[[#This Row],[YearsAtCompany]]&lt;=5,"3-5",HR_Employee_Attrition[[#This Row],[YearsAtCompany]]&lt;=10,"6-10",HR_Employee_Attrition[[#This Row],[YearsAtCompany]]&gt;10,"10+")</f>
        <v>6-10</v>
      </c>
      <c r="AL1387" t="str" cm="1">
        <f t="array" ref="AL138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87">
        <f>IF(HR_Employee_Attrition[[#This Row],[Attrition]]="Yes",1,0)</f>
        <v>0</v>
      </c>
    </row>
    <row r="1388" spans="1:39"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IF(HR_Employee_Attrition[[#This Row],[Age]]&gt;60,"60+",IF(HR_Employee_Attrition[[#This Row],[Age]]&gt;=50,"50-59",IF(HR_Employee_Attrition[[#This Row],[Age]]&gt;=40,"40-49",IF(HR_Employee_Attrition[[#This Row],[Age]]&gt;=30,"30-39",IF(HR_Employee_Attrition[[#This Row],[Age]]&gt;=20,"20-29",IF(HR_Employee_Attrition[[#This Row],[Age]]&gt;=18,"18-20"))))))</f>
        <v>20-29</v>
      </c>
      <c r="AK1388" t="str" cm="1">
        <f t="array" ref="AK1388">_xlfn.IFS(HR_Employee_Attrition[[#This Row],[YearsAtCompany]]&lt;=2,"0-2",HR_Employee_Attrition[[#This Row],[YearsAtCompany]]&lt;=5,"3-5",HR_Employee_Attrition[[#This Row],[YearsAtCompany]]&lt;=10,"6-10",HR_Employee_Attrition[[#This Row],[YearsAtCompany]]&gt;10,"10+")</f>
        <v>6-10</v>
      </c>
      <c r="AL1388" t="str" cm="1">
        <f t="array" ref="AL138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88">
        <f>IF(HR_Employee_Attrition[[#This Row],[Attrition]]="Yes",1,0)</f>
        <v>0</v>
      </c>
    </row>
    <row r="1389" spans="1:39"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IF(HR_Employee_Attrition[[#This Row],[Age]]&gt;60,"60+",IF(HR_Employee_Attrition[[#This Row],[Age]]&gt;=50,"50-59",IF(HR_Employee_Attrition[[#This Row],[Age]]&gt;=40,"40-49",IF(HR_Employee_Attrition[[#This Row],[Age]]&gt;=30,"30-39",IF(HR_Employee_Attrition[[#This Row],[Age]]&gt;=20,"20-29",IF(HR_Employee_Attrition[[#This Row],[Age]]&gt;=18,"18-20"))))))</f>
        <v>20-29</v>
      </c>
      <c r="AK1389" t="str" cm="1">
        <f t="array" ref="AK1389">_xlfn.IFS(HR_Employee_Attrition[[#This Row],[YearsAtCompany]]&lt;=2,"0-2",HR_Employee_Attrition[[#This Row],[YearsAtCompany]]&lt;=5,"3-5",HR_Employee_Attrition[[#This Row],[YearsAtCompany]]&lt;=10,"6-10",HR_Employee_Attrition[[#This Row],[YearsAtCompany]]&gt;10,"10+")</f>
        <v>3-5</v>
      </c>
      <c r="AL1389" t="str" cm="1">
        <f t="array" ref="AL138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89">
        <f>IF(HR_Employee_Attrition[[#This Row],[Attrition]]="Yes",1,0)</f>
        <v>0</v>
      </c>
    </row>
    <row r="1390" spans="1:39"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IF(HR_Employee_Attrition[[#This Row],[Age]]&gt;60,"60+",IF(HR_Employee_Attrition[[#This Row],[Age]]&gt;=50,"50-59",IF(HR_Employee_Attrition[[#This Row],[Age]]&gt;=40,"40-49",IF(HR_Employee_Attrition[[#This Row],[Age]]&gt;=30,"30-39",IF(HR_Employee_Attrition[[#This Row],[Age]]&gt;=20,"20-29",IF(HR_Employee_Attrition[[#This Row],[Age]]&gt;=18,"18-20"))))))</f>
        <v>30-39</v>
      </c>
      <c r="AK1390" t="str" cm="1">
        <f t="array" ref="AK1390">_xlfn.IFS(HR_Employee_Attrition[[#This Row],[YearsAtCompany]]&lt;=2,"0-2",HR_Employee_Attrition[[#This Row],[YearsAtCompany]]&lt;=5,"3-5",HR_Employee_Attrition[[#This Row],[YearsAtCompany]]&lt;=10,"6-10",HR_Employee_Attrition[[#This Row],[YearsAtCompany]]&gt;10,"10+")</f>
        <v>3-5</v>
      </c>
      <c r="AL1390" t="str" cm="1">
        <f t="array" ref="AL139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90">
        <f>IF(HR_Employee_Attrition[[#This Row],[Attrition]]="Yes",1,0)</f>
        <v>0</v>
      </c>
    </row>
    <row r="1391" spans="1:39"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IF(HR_Employee_Attrition[[#This Row],[Age]]&gt;60,"60+",IF(HR_Employee_Attrition[[#This Row],[Age]]&gt;=50,"50-59",IF(HR_Employee_Attrition[[#This Row],[Age]]&gt;=40,"40-49",IF(HR_Employee_Attrition[[#This Row],[Age]]&gt;=30,"30-39",IF(HR_Employee_Attrition[[#This Row],[Age]]&gt;=20,"20-29",IF(HR_Employee_Attrition[[#This Row],[Age]]&gt;=18,"18-20"))))))</f>
        <v>30-39</v>
      </c>
      <c r="AK1391" t="str" cm="1">
        <f t="array" ref="AK1391">_xlfn.IFS(HR_Employee_Attrition[[#This Row],[YearsAtCompany]]&lt;=2,"0-2",HR_Employee_Attrition[[#This Row],[YearsAtCompany]]&lt;=5,"3-5",HR_Employee_Attrition[[#This Row],[YearsAtCompany]]&lt;=10,"6-10",HR_Employee_Attrition[[#This Row],[YearsAtCompany]]&gt;10,"10+")</f>
        <v>6-10</v>
      </c>
      <c r="AL1391" t="str" cm="1">
        <f t="array" ref="AL139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91">
        <f>IF(HR_Employee_Attrition[[#This Row],[Attrition]]="Yes",1,0)</f>
        <v>0</v>
      </c>
    </row>
    <row r="1392" spans="1:39"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IF(HR_Employee_Attrition[[#This Row],[Age]]&gt;60,"60+",IF(HR_Employee_Attrition[[#This Row],[Age]]&gt;=50,"50-59",IF(HR_Employee_Attrition[[#This Row],[Age]]&gt;=40,"40-49",IF(HR_Employee_Attrition[[#This Row],[Age]]&gt;=30,"30-39",IF(HR_Employee_Attrition[[#This Row],[Age]]&gt;=20,"20-29",IF(HR_Employee_Attrition[[#This Row],[Age]]&gt;=18,"18-20"))))))</f>
        <v>20-29</v>
      </c>
      <c r="AK1392" t="str" cm="1">
        <f t="array" ref="AK1392">_xlfn.IFS(HR_Employee_Attrition[[#This Row],[YearsAtCompany]]&lt;=2,"0-2",HR_Employee_Attrition[[#This Row],[YearsAtCompany]]&lt;=5,"3-5",HR_Employee_Attrition[[#This Row],[YearsAtCompany]]&lt;=10,"6-10",HR_Employee_Attrition[[#This Row],[YearsAtCompany]]&gt;10,"10+")</f>
        <v>3-5</v>
      </c>
      <c r="AL1392" t="str" cm="1">
        <f t="array" ref="AL139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92">
        <f>IF(HR_Employee_Attrition[[#This Row],[Attrition]]="Yes",1,0)</f>
        <v>1</v>
      </c>
    </row>
    <row r="1393" spans="1:39"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IF(HR_Employee_Attrition[[#This Row],[Age]]&gt;60,"60+",IF(HR_Employee_Attrition[[#This Row],[Age]]&gt;=50,"50-59",IF(HR_Employee_Attrition[[#This Row],[Age]]&gt;=40,"40-49",IF(HR_Employee_Attrition[[#This Row],[Age]]&gt;=30,"30-39",IF(HR_Employee_Attrition[[#This Row],[Age]]&gt;=20,"20-29",IF(HR_Employee_Attrition[[#This Row],[Age]]&gt;=18,"18-20"))))))</f>
        <v>30-39</v>
      </c>
      <c r="AK1393" t="str" cm="1">
        <f t="array" ref="AK1393">_xlfn.IFS(HR_Employee_Attrition[[#This Row],[YearsAtCompany]]&lt;=2,"0-2",HR_Employee_Attrition[[#This Row],[YearsAtCompany]]&lt;=5,"3-5",HR_Employee_Attrition[[#This Row],[YearsAtCompany]]&lt;=10,"6-10",HR_Employee_Attrition[[#This Row],[YearsAtCompany]]&gt;10,"10+")</f>
        <v>0-2</v>
      </c>
      <c r="AL1393" t="str" cm="1">
        <f t="array" ref="AL139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93">
        <f>IF(HR_Employee_Attrition[[#This Row],[Attrition]]="Yes",1,0)</f>
        <v>0</v>
      </c>
    </row>
    <row r="1394" spans="1:39"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IF(HR_Employee_Attrition[[#This Row],[Age]]&gt;60,"60+",IF(HR_Employee_Attrition[[#This Row],[Age]]&gt;=50,"50-59",IF(HR_Employee_Attrition[[#This Row],[Age]]&gt;=40,"40-49",IF(HR_Employee_Attrition[[#This Row],[Age]]&gt;=30,"30-39",IF(HR_Employee_Attrition[[#This Row],[Age]]&gt;=20,"20-29",IF(HR_Employee_Attrition[[#This Row],[Age]]&gt;=18,"18-20"))))))</f>
        <v>30-39</v>
      </c>
      <c r="AK1394" t="str" cm="1">
        <f t="array" ref="AK1394">_xlfn.IFS(HR_Employee_Attrition[[#This Row],[YearsAtCompany]]&lt;=2,"0-2",HR_Employee_Attrition[[#This Row],[YearsAtCompany]]&lt;=5,"3-5",HR_Employee_Attrition[[#This Row],[YearsAtCompany]]&lt;=10,"6-10",HR_Employee_Attrition[[#This Row],[YearsAtCompany]]&gt;10,"10+")</f>
        <v>6-10</v>
      </c>
      <c r="AL1394" t="str" cm="1">
        <f t="array" ref="AL139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94">
        <f>IF(HR_Employee_Attrition[[#This Row],[Attrition]]="Yes",1,0)</f>
        <v>0</v>
      </c>
    </row>
    <row r="1395" spans="1:39"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IF(HR_Employee_Attrition[[#This Row],[Age]]&gt;60,"60+",IF(HR_Employee_Attrition[[#This Row],[Age]]&gt;=50,"50-59",IF(HR_Employee_Attrition[[#This Row],[Age]]&gt;=40,"40-49",IF(HR_Employee_Attrition[[#This Row],[Age]]&gt;=30,"30-39",IF(HR_Employee_Attrition[[#This Row],[Age]]&gt;=20,"20-29",IF(HR_Employee_Attrition[[#This Row],[Age]]&gt;=18,"18-20"))))))</f>
        <v>20-29</v>
      </c>
      <c r="AK1395" t="str" cm="1">
        <f t="array" ref="AK1395">_xlfn.IFS(HR_Employee_Attrition[[#This Row],[YearsAtCompany]]&lt;=2,"0-2",HR_Employee_Attrition[[#This Row],[YearsAtCompany]]&lt;=5,"3-5",HR_Employee_Attrition[[#This Row],[YearsAtCompany]]&lt;=10,"6-10",HR_Employee_Attrition[[#This Row],[YearsAtCompany]]&gt;10,"10+")</f>
        <v>6-10</v>
      </c>
      <c r="AL1395" t="str" cm="1">
        <f t="array" ref="AL139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95">
        <f>IF(HR_Employee_Attrition[[#This Row],[Attrition]]="Yes",1,0)</f>
        <v>0</v>
      </c>
    </row>
    <row r="1396" spans="1:39"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IF(HR_Employee_Attrition[[#This Row],[Age]]&gt;60,"60+",IF(HR_Employee_Attrition[[#This Row],[Age]]&gt;=50,"50-59",IF(HR_Employee_Attrition[[#This Row],[Age]]&gt;=40,"40-49",IF(HR_Employee_Attrition[[#This Row],[Age]]&gt;=30,"30-39",IF(HR_Employee_Attrition[[#This Row],[Age]]&gt;=20,"20-29",IF(HR_Employee_Attrition[[#This Row],[Age]]&gt;=18,"18-20"))))))</f>
        <v>30-39</v>
      </c>
      <c r="AK1396" t="str" cm="1">
        <f t="array" ref="AK1396">_xlfn.IFS(HR_Employee_Attrition[[#This Row],[YearsAtCompany]]&lt;=2,"0-2",HR_Employee_Attrition[[#This Row],[YearsAtCompany]]&lt;=5,"3-5",HR_Employee_Attrition[[#This Row],[YearsAtCompany]]&lt;=10,"6-10",HR_Employee_Attrition[[#This Row],[YearsAtCompany]]&gt;10,"10+")</f>
        <v>0-2</v>
      </c>
      <c r="AL1396" t="str" cm="1">
        <f t="array" ref="AL139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96">
        <f>IF(HR_Employee_Attrition[[#This Row],[Attrition]]="Yes",1,0)</f>
        <v>0</v>
      </c>
    </row>
    <row r="1397" spans="1:39"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IF(HR_Employee_Attrition[[#This Row],[Age]]&gt;60,"60+",IF(HR_Employee_Attrition[[#This Row],[Age]]&gt;=50,"50-59",IF(HR_Employee_Attrition[[#This Row],[Age]]&gt;=40,"40-49",IF(HR_Employee_Attrition[[#This Row],[Age]]&gt;=30,"30-39",IF(HR_Employee_Attrition[[#This Row],[Age]]&gt;=20,"20-29",IF(HR_Employee_Attrition[[#This Row],[Age]]&gt;=18,"18-20"))))))</f>
        <v>30-39</v>
      </c>
      <c r="AK1397" t="str" cm="1">
        <f t="array" ref="AK1397">_xlfn.IFS(HR_Employee_Attrition[[#This Row],[YearsAtCompany]]&lt;=2,"0-2",HR_Employee_Attrition[[#This Row],[YearsAtCompany]]&lt;=5,"3-5",HR_Employee_Attrition[[#This Row],[YearsAtCompany]]&lt;=10,"6-10",HR_Employee_Attrition[[#This Row],[YearsAtCompany]]&gt;10,"10+")</f>
        <v>6-10</v>
      </c>
      <c r="AL1397" t="str" cm="1">
        <f t="array" ref="AL139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397">
        <f>IF(HR_Employee_Attrition[[#This Row],[Attrition]]="Yes",1,0)</f>
        <v>1</v>
      </c>
    </row>
    <row r="1398" spans="1:39"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IF(HR_Employee_Attrition[[#This Row],[Age]]&gt;60,"60+",IF(HR_Employee_Attrition[[#This Row],[Age]]&gt;=50,"50-59",IF(HR_Employee_Attrition[[#This Row],[Age]]&gt;=40,"40-49",IF(HR_Employee_Attrition[[#This Row],[Age]]&gt;=30,"30-39",IF(HR_Employee_Attrition[[#This Row],[Age]]&gt;=20,"20-29",IF(HR_Employee_Attrition[[#This Row],[Age]]&gt;=18,"18-20"))))))</f>
        <v>50-59</v>
      </c>
      <c r="AK1398" t="str" cm="1">
        <f t="array" ref="AK1398">_xlfn.IFS(HR_Employee_Attrition[[#This Row],[YearsAtCompany]]&lt;=2,"0-2",HR_Employee_Attrition[[#This Row],[YearsAtCompany]]&lt;=5,"3-5",HR_Employee_Attrition[[#This Row],[YearsAtCompany]]&lt;=10,"6-10",HR_Employee_Attrition[[#This Row],[YearsAtCompany]]&gt;10,"10+")</f>
        <v>0-2</v>
      </c>
      <c r="AL1398" t="str" cm="1">
        <f t="array" ref="AL139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398">
        <f>IF(HR_Employee_Attrition[[#This Row],[Attrition]]="Yes",1,0)</f>
        <v>1</v>
      </c>
    </row>
    <row r="1399" spans="1:39"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IF(HR_Employee_Attrition[[#This Row],[Age]]&gt;60,"60+",IF(HR_Employee_Attrition[[#This Row],[Age]]&gt;=50,"50-59",IF(HR_Employee_Attrition[[#This Row],[Age]]&gt;=40,"40-49",IF(HR_Employee_Attrition[[#This Row],[Age]]&gt;=30,"30-39",IF(HR_Employee_Attrition[[#This Row],[Age]]&gt;=20,"20-29",IF(HR_Employee_Attrition[[#This Row],[Age]]&gt;=18,"18-20"))))))</f>
        <v>50-59</v>
      </c>
      <c r="AK1399" t="str" cm="1">
        <f t="array" ref="AK1399">_xlfn.IFS(HR_Employee_Attrition[[#This Row],[YearsAtCompany]]&lt;=2,"0-2",HR_Employee_Attrition[[#This Row],[YearsAtCompany]]&lt;=5,"3-5",HR_Employee_Attrition[[#This Row],[YearsAtCompany]]&lt;=10,"6-10",HR_Employee_Attrition[[#This Row],[YearsAtCompany]]&gt;10,"10+")</f>
        <v>3-5</v>
      </c>
      <c r="AL1399" t="str" cm="1">
        <f t="array" ref="AL139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399">
        <f>IF(HR_Employee_Attrition[[#This Row],[Attrition]]="Yes",1,0)</f>
        <v>0</v>
      </c>
    </row>
    <row r="1400" spans="1:39"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IF(HR_Employee_Attrition[[#This Row],[Age]]&gt;60,"60+",IF(HR_Employee_Attrition[[#This Row],[Age]]&gt;=50,"50-59",IF(HR_Employee_Attrition[[#This Row],[Age]]&gt;=40,"40-49",IF(HR_Employee_Attrition[[#This Row],[Age]]&gt;=30,"30-39",IF(HR_Employee_Attrition[[#This Row],[Age]]&gt;=20,"20-29",IF(HR_Employee_Attrition[[#This Row],[Age]]&gt;=18,"18-20"))))))</f>
        <v>30-39</v>
      </c>
      <c r="AK1400" t="str" cm="1">
        <f t="array" ref="AK1400">_xlfn.IFS(HR_Employee_Attrition[[#This Row],[YearsAtCompany]]&lt;=2,"0-2",HR_Employee_Attrition[[#This Row],[YearsAtCompany]]&lt;=5,"3-5",HR_Employee_Attrition[[#This Row],[YearsAtCompany]]&lt;=10,"6-10",HR_Employee_Attrition[[#This Row],[YearsAtCompany]]&gt;10,"10+")</f>
        <v>6-10</v>
      </c>
      <c r="AL1400" t="str" cm="1">
        <f t="array" ref="AL140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00">
        <f>IF(HR_Employee_Attrition[[#This Row],[Attrition]]="Yes",1,0)</f>
        <v>0</v>
      </c>
    </row>
    <row r="1401" spans="1:39"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IF(HR_Employee_Attrition[[#This Row],[Age]]&gt;60,"60+",IF(HR_Employee_Attrition[[#This Row],[Age]]&gt;=50,"50-59",IF(HR_Employee_Attrition[[#This Row],[Age]]&gt;=40,"40-49",IF(HR_Employee_Attrition[[#This Row],[Age]]&gt;=30,"30-39",IF(HR_Employee_Attrition[[#This Row],[Age]]&gt;=20,"20-29",IF(HR_Employee_Attrition[[#This Row],[Age]]&gt;=18,"18-20"))))))</f>
        <v>40-49</v>
      </c>
      <c r="AK1401" t="str" cm="1">
        <f t="array" ref="AK1401">_xlfn.IFS(HR_Employee_Attrition[[#This Row],[YearsAtCompany]]&lt;=2,"0-2",HR_Employee_Attrition[[#This Row],[YearsAtCompany]]&lt;=5,"3-5",HR_Employee_Attrition[[#This Row],[YearsAtCompany]]&lt;=10,"6-10",HR_Employee_Attrition[[#This Row],[YearsAtCompany]]&gt;10,"10+")</f>
        <v>6-10</v>
      </c>
      <c r="AL1401" t="str" cm="1">
        <f t="array" ref="AL140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01">
        <f>IF(HR_Employee_Attrition[[#This Row],[Attrition]]="Yes",1,0)</f>
        <v>0</v>
      </c>
    </row>
    <row r="1402" spans="1:39"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IF(HR_Employee_Attrition[[#This Row],[Age]]&gt;60,"60+",IF(HR_Employee_Attrition[[#This Row],[Age]]&gt;=50,"50-59",IF(HR_Employee_Attrition[[#This Row],[Age]]&gt;=40,"40-49",IF(HR_Employee_Attrition[[#This Row],[Age]]&gt;=30,"30-39",IF(HR_Employee_Attrition[[#This Row],[Age]]&gt;=20,"20-29",IF(HR_Employee_Attrition[[#This Row],[Age]]&gt;=18,"18-20"))))))</f>
        <v>30-39</v>
      </c>
      <c r="AK1402" t="str" cm="1">
        <f t="array" ref="AK1402">_xlfn.IFS(HR_Employee_Attrition[[#This Row],[YearsAtCompany]]&lt;=2,"0-2",HR_Employee_Attrition[[#This Row],[YearsAtCompany]]&lt;=5,"3-5",HR_Employee_Attrition[[#This Row],[YearsAtCompany]]&lt;=10,"6-10",HR_Employee_Attrition[[#This Row],[YearsAtCompany]]&gt;10,"10+")</f>
        <v>6-10</v>
      </c>
      <c r="AL1402" t="str" cm="1">
        <f t="array" ref="AL140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02">
        <f>IF(HR_Employee_Attrition[[#This Row],[Attrition]]="Yes",1,0)</f>
        <v>0</v>
      </c>
    </row>
    <row r="1403" spans="1:39"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IF(HR_Employee_Attrition[[#This Row],[Age]]&gt;60,"60+",IF(HR_Employee_Attrition[[#This Row],[Age]]&gt;=50,"50-59",IF(HR_Employee_Attrition[[#This Row],[Age]]&gt;=40,"40-49",IF(HR_Employee_Attrition[[#This Row],[Age]]&gt;=30,"30-39",IF(HR_Employee_Attrition[[#This Row],[Age]]&gt;=20,"20-29",IF(HR_Employee_Attrition[[#This Row],[Age]]&gt;=18,"18-20"))))))</f>
        <v>50-59</v>
      </c>
      <c r="AK1403" t="str" cm="1">
        <f t="array" ref="AK1403">_xlfn.IFS(HR_Employee_Attrition[[#This Row],[YearsAtCompany]]&lt;=2,"0-2",HR_Employee_Attrition[[#This Row],[YearsAtCompany]]&lt;=5,"3-5",HR_Employee_Attrition[[#This Row],[YearsAtCompany]]&lt;=10,"6-10",HR_Employee_Attrition[[#This Row],[YearsAtCompany]]&gt;10,"10+")</f>
        <v>6-10</v>
      </c>
      <c r="AL1403" t="str" cm="1">
        <f t="array" ref="AL140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403">
        <f>IF(HR_Employee_Attrition[[#This Row],[Attrition]]="Yes",1,0)</f>
        <v>0</v>
      </c>
    </row>
    <row r="1404" spans="1:39"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IF(HR_Employee_Attrition[[#This Row],[Age]]&gt;60,"60+",IF(HR_Employee_Attrition[[#This Row],[Age]]&gt;=50,"50-59",IF(HR_Employee_Attrition[[#This Row],[Age]]&gt;=40,"40-49",IF(HR_Employee_Attrition[[#This Row],[Age]]&gt;=30,"30-39",IF(HR_Employee_Attrition[[#This Row],[Age]]&gt;=20,"20-29",IF(HR_Employee_Attrition[[#This Row],[Age]]&gt;=18,"18-20"))))))</f>
        <v>30-39</v>
      </c>
      <c r="AK1404" t="str" cm="1">
        <f t="array" ref="AK1404">_xlfn.IFS(HR_Employee_Attrition[[#This Row],[YearsAtCompany]]&lt;=2,"0-2",HR_Employee_Attrition[[#This Row],[YearsAtCompany]]&lt;=5,"3-5",HR_Employee_Attrition[[#This Row],[YearsAtCompany]]&lt;=10,"6-10",HR_Employee_Attrition[[#This Row],[YearsAtCompany]]&gt;10,"10+")</f>
        <v>0-2</v>
      </c>
      <c r="AL1404" t="str" cm="1">
        <f t="array" ref="AL140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04">
        <f>IF(HR_Employee_Attrition[[#This Row],[Attrition]]="Yes",1,0)</f>
        <v>0</v>
      </c>
    </row>
    <row r="1405" spans="1:39"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IF(HR_Employee_Attrition[[#This Row],[Age]]&gt;60,"60+",IF(HR_Employee_Attrition[[#This Row],[Age]]&gt;=50,"50-59",IF(HR_Employee_Attrition[[#This Row],[Age]]&gt;=40,"40-49",IF(HR_Employee_Attrition[[#This Row],[Age]]&gt;=30,"30-39",IF(HR_Employee_Attrition[[#This Row],[Age]]&gt;=20,"20-29",IF(HR_Employee_Attrition[[#This Row],[Age]]&gt;=18,"18-20"))))))</f>
        <v>30-39</v>
      </c>
      <c r="AK1405" t="str" cm="1">
        <f t="array" ref="AK1405">_xlfn.IFS(HR_Employee_Attrition[[#This Row],[YearsAtCompany]]&lt;=2,"0-2",HR_Employee_Attrition[[#This Row],[YearsAtCompany]]&lt;=5,"3-5",HR_Employee_Attrition[[#This Row],[YearsAtCompany]]&lt;=10,"6-10",HR_Employee_Attrition[[#This Row],[YearsAtCompany]]&gt;10,"10+")</f>
        <v>10+</v>
      </c>
      <c r="AL1405" t="str" cm="1">
        <f t="array" ref="AL140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405">
        <f>IF(HR_Employee_Attrition[[#This Row],[Attrition]]="Yes",1,0)</f>
        <v>0</v>
      </c>
    </row>
    <row r="1406" spans="1:39"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IF(HR_Employee_Attrition[[#This Row],[Age]]&gt;60,"60+",IF(HR_Employee_Attrition[[#This Row],[Age]]&gt;=50,"50-59",IF(HR_Employee_Attrition[[#This Row],[Age]]&gt;=40,"40-49",IF(HR_Employee_Attrition[[#This Row],[Age]]&gt;=30,"30-39",IF(HR_Employee_Attrition[[#This Row],[Age]]&gt;=20,"20-29",IF(HR_Employee_Attrition[[#This Row],[Age]]&gt;=18,"18-20"))))))</f>
        <v>40-49</v>
      </c>
      <c r="AK1406" t="str" cm="1">
        <f t="array" ref="AK1406">_xlfn.IFS(HR_Employee_Attrition[[#This Row],[YearsAtCompany]]&lt;=2,"0-2",HR_Employee_Attrition[[#This Row],[YearsAtCompany]]&lt;=5,"3-5",HR_Employee_Attrition[[#This Row],[YearsAtCompany]]&lt;=10,"6-10",HR_Employee_Attrition[[#This Row],[YearsAtCompany]]&gt;10,"10+")</f>
        <v>10+</v>
      </c>
      <c r="AL1406" t="str" cm="1">
        <f t="array" ref="AL140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06">
        <f>IF(HR_Employee_Attrition[[#This Row],[Attrition]]="Yes",1,0)</f>
        <v>0</v>
      </c>
    </row>
    <row r="1407" spans="1:39"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IF(HR_Employee_Attrition[[#This Row],[Age]]&gt;60,"60+",IF(HR_Employee_Attrition[[#This Row],[Age]]&gt;=50,"50-59",IF(HR_Employee_Attrition[[#This Row],[Age]]&gt;=40,"40-49",IF(HR_Employee_Attrition[[#This Row],[Age]]&gt;=30,"30-39",IF(HR_Employee_Attrition[[#This Row],[Age]]&gt;=20,"20-29",IF(HR_Employee_Attrition[[#This Row],[Age]]&gt;=18,"18-20"))))))</f>
        <v>30-39</v>
      </c>
      <c r="AK1407" t="str" cm="1">
        <f t="array" ref="AK1407">_xlfn.IFS(HR_Employee_Attrition[[#This Row],[YearsAtCompany]]&lt;=2,"0-2",HR_Employee_Attrition[[#This Row],[YearsAtCompany]]&lt;=5,"3-5",HR_Employee_Attrition[[#This Row],[YearsAtCompany]]&lt;=10,"6-10",HR_Employee_Attrition[[#This Row],[YearsAtCompany]]&gt;10,"10+")</f>
        <v>10+</v>
      </c>
      <c r="AL1407" t="str" cm="1">
        <f t="array" ref="AL140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407">
        <f>IF(HR_Employee_Attrition[[#This Row],[Attrition]]="Yes",1,0)</f>
        <v>0</v>
      </c>
    </row>
    <row r="1408" spans="1:39"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IF(HR_Employee_Attrition[[#This Row],[Age]]&gt;60,"60+",IF(HR_Employee_Attrition[[#This Row],[Age]]&gt;=50,"50-59",IF(HR_Employee_Attrition[[#This Row],[Age]]&gt;=40,"40-49",IF(HR_Employee_Attrition[[#This Row],[Age]]&gt;=30,"30-39",IF(HR_Employee_Attrition[[#This Row],[Age]]&gt;=20,"20-29",IF(HR_Employee_Attrition[[#This Row],[Age]]&gt;=18,"18-20"))))))</f>
        <v>50-59</v>
      </c>
      <c r="AK1408" t="str" cm="1">
        <f t="array" ref="AK1408">_xlfn.IFS(HR_Employee_Attrition[[#This Row],[YearsAtCompany]]&lt;=2,"0-2",HR_Employee_Attrition[[#This Row],[YearsAtCompany]]&lt;=5,"3-5",HR_Employee_Attrition[[#This Row],[YearsAtCompany]]&lt;=10,"6-10",HR_Employee_Attrition[[#This Row],[YearsAtCompany]]&gt;10,"10+")</f>
        <v>3-5</v>
      </c>
      <c r="AL1408" t="str" cm="1">
        <f t="array" ref="AL140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08">
        <f>IF(HR_Employee_Attrition[[#This Row],[Attrition]]="Yes",1,0)</f>
        <v>0</v>
      </c>
    </row>
    <row r="1409" spans="1:39"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IF(HR_Employee_Attrition[[#This Row],[Age]]&gt;60,"60+",IF(HR_Employee_Attrition[[#This Row],[Age]]&gt;=50,"50-59",IF(HR_Employee_Attrition[[#This Row],[Age]]&gt;=40,"40-49",IF(HR_Employee_Attrition[[#This Row],[Age]]&gt;=30,"30-39",IF(HR_Employee_Attrition[[#This Row],[Age]]&gt;=20,"20-29",IF(HR_Employee_Attrition[[#This Row],[Age]]&gt;=18,"18-20"))))))</f>
        <v>20-29</v>
      </c>
      <c r="AK1409" t="str" cm="1">
        <f t="array" ref="AK1409">_xlfn.IFS(HR_Employee_Attrition[[#This Row],[YearsAtCompany]]&lt;=2,"0-2",HR_Employee_Attrition[[#This Row],[YearsAtCompany]]&lt;=5,"3-5",HR_Employee_Attrition[[#This Row],[YearsAtCompany]]&lt;=10,"6-10",HR_Employee_Attrition[[#This Row],[YearsAtCompany]]&gt;10,"10+")</f>
        <v>3-5</v>
      </c>
      <c r="AL1409" t="str" cm="1">
        <f t="array" ref="AL140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09">
        <f>IF(HR_Employee_Attrition[[#This Row],[Attrition]]="Yes",1,0)</f>
        <v>0</v>
      </c>
    </row>
    <row r="1410" spans="1:39"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IF(HR_Employee_Attrition[[#This Row],[Age]]&gt;60,"60+",IF(HR_Employee_Attrition[[#This Row],[Age]]&gt;=50,"50-59",IF(HR_Employee_Attrition[[#This Row],[Age]]&gt;=40,"40-49",IF(HR_Employee_Attrition[[#This Row],[Age]]&gt;=30,"30-39",IF(HR_Employee_Attrition[[#This Row],[Age]]&gt;=20,"20-29",IF(HR_Employee_Attrition[[#This Row],[Age]]&gt;=18,"18-20"))))))</f>
        <v>20-29</v>
      </c>
      <c r="AK1410" t="str" cm="1">
        <f t="array" ref="AK1410">_xlfn.IFS(HR_Employee_Attrition[[#This Row],[YearsAtCompany]]&lt;=2,"0-2",HR_Employee_Attrition[[#This Row],[YearsAtCompany]]&lt;=5,"3-5",HR_Employee_Attrition[[#This Row],[YearsAtCompany]]&lt;=10,"6-10",HR_Employee_Attrition[[#This Row],[YearsAtCompany]]&gt;10,"10+")</f>
        <v>3-5</v>
      </c>
      <c r="AL1410" t="str" cm="1">
        <f t="array" ref="AL141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10">
        <f>IF(HR_Employee_Attrition[[#This Row],[Attrition]]="Yes",1,0)</f>
        <v>0</v>
      </c>
    </row>
    <row r="1411" spans="1:39"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IF(HR_Employee_Attrition[[#This Row],[Age]]&gt;60,"60+",IF(HR_Employee_Attrition[[#This Row],[Age]]&gt;=50,"50-59",IF(HR_Employee_Attrition[[#This Row],[Age]]&gt;=40,"40-49",IF(HR_Employee_Attrition[[#This Row],[Age]]&gt;=30,"30-39",IF(HR_Employee_Attrition[[#This Row],[Age]]&gt;=20,"20-29",IF(HR_Employee_Attrition[[#This Row],[Age]]&gt;=18,"18-20"))))))</f>
        <v>40-49</v>
      </c>
      <c r="AK1411" t="str" cm="1">
        <f t="array" ref="AK1411">_xlfn.IFS(HR_Employee_Attrition[[#This Row],[YearsAtCompany]]&lt;=2,"0-2",HR_Employee_Attrition[[#This Row],[YearsAtCompany]]&lt;=5,"3-5",HR_Employee_Attrition[[#This Row],[YearsAtCompany]]&lt;=10,"6-10",HR_Employee_Attrition[[#This Row],[YearsAtCompany]]&gt;10,"10+")</f>
        <v>6-10</v>
      </c>
      <c r="AL1411" t="str" cm="1">
        <f t="array" ref="AL141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11">
        <f>IF(HR_Employee_Attrition[[#This Row],[Attrition]]="Yes",1,0)</f>
        <v>0</v>
      </c>
    </row>
    <row r="1412" spans="1:39"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IF(HR_Employee_Attrition[[#This Row],[Age]]&gt;60,"60+",IF(HR_Employee_Attrition[[#This Row],[Age]]&gt;=50,"50-59",IF(HR_Employee_Attrition[[#This Row],[Age]]&gt;=40,"40-49",IF(HR_Employee_Attrition[[#This Row],[Age]]&gt;=30,"30-39",IF(HR_Employee_Attrition[[#This Row],[Age]]&gt;=20,"20-29",IF(HR_Employee_Attrition[[#This Row],[Age]]&gt;=18,"18-20"))))))</f>
        <v>40-49</v>
      </c>
      <c r="AK1412" t="str" cm="1">
        <f t="array" ref="AK1412">_xlfn.IFS(HR_Employee_Attrition[[#This Row],[YearsAtCompany]]&lt;=2,"0-2",HR_Employee_Attrition[[#This Row],[YearsAtCompany]]&lt;=5,"3-5",HR_Employee_Attrition[[#This Row],[YearsAtCompany]]&lt;=10,"6-10",HR_Employee_Attrition[[#This Row],[YearsAtCompany]]&gt;10,"10+")</f>
        <v>10+</v>
      </c>
      <c r="AL1412" t="str" cm="1">
        <f t="array" ref="AL141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12">
        <f>IF(HR_Employee_Attrition[[#This Row],[Attrition]]="Yes",1,0)</f>
        <v>0</v>
      </c>
    </row>
    <row r="1413" spans="1:39"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IF(HR_Employee_Attrition[[#This Row],[Age]]&gt;60,"60+",IF(HR_Employee_Attrition[[#This Row],[Age]]&gt;=50,"50-59",IF(HR_Employee_Attrition[[#This Row],[Age]]&gt;=40,"40-49",IF(HR_Employee_Attrition[[#This Row],[Age]]&gt;=30,"30-39",IF(HR_Employee_Attrition[[#This Row],[Age]]&gt;=20,"20-29",IF(HR_Employee_Attrition[[#This Row],[Age]]&gt;=18,"18-20"))))))</f>
        <v>20-29</v>
      </c>
      <c r="AK1413" t="str" cm="1">
        <f t="array" ref="AK1413">_xlfn.IFS(HR_Employee_Attrition[[#This Row],[YearsAtCompany]]&lt;=2,"0-2",HR_Employee_Attrition[[#This Row],[YearsAtCompany]]&lt;=5,"3-5",HR_Employee_Attrition[[#This Row],[YearsAtCompany]]&lt;=10,"6-10",HR_Employee_Attrition[[#This Row],[YearsAtCompany]]&gt;10,"10+")</f>
        <v>0-2</v>
      </c>
      <c r="AL1413" t="str" cm="1">
        <f t="array" ref="AL141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13">
        <f>IF(HR_Employee_Attrition[[#This Row],[Attrition]]="Yes",1,0)</f>
        <v>0</v>
      </c>
    </row>
    <row r="1414" spans="1:39"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IF(HR_Employee_Attrition[[#This Row],[Age]]&gt;60,"60+",IF(HR_Employee_Attrition[[#This Row],[Age]]&gt;=50,"50-59",IF(HR_Employee_Attrition[[#This Row],[Age]]&gt;=40,"40-49",IF(HR_Employee_Attrition[[#This Row],[Age]]&gt;=30,"30-39",IF(HR_Employee_Attrition[[#This Row],[Age]]&gt;=20,"20-29",IF(HR_Employee_Attrition[[#This Row],[Age]]&gt;=18,"18-20"))))))</f>
        <v>30-39</v>
      </c>
      <c r="AK1414" t="str" cm="1">
        <f t="array" ref="AK1414">_xlfn.IFS(HR_Employee_Attrition[[#This Row],[YearsAtCompany]]&lt;=2,"0-2",HR_Employee_Attrition[[#This Row],[YearsAtCompany]]&lt;=5,"3-5",HR_Employee_Attrition[[#This Row],[YearsAtCompany]]&lt;=10,"6-10",HR_Employee_Attrition[[#This Row],[YearsAtCompany]]&gt;10,"10+")</f>
        <v>10+</v>
      </c>
      <c r="AL1414" t="str" cm="1">
        <f t="array" ref="AL141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14">
        <f>IF(HR_Employee_Attrition[[#This Row],[Attrition]]="Yes",1,0)</f>
        <v>0</v>
      </c>
    </row>
    <row r="1415" spans="1:39"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IF(HR_Employee_Attrition[[#This Row],[Age]]&gt;60,"60+",IF(HR_Employee_Attrition[[#This Row],[Age]]&gt;=50,"50-59",IF(HR_Employee_Attrition[[#This Row],[Age]]&gt;=40,"40-49",IF(HR_Employee_Attrition[[#This Row],[Age]]&gt;=30,"30-39",IF(HR_Employee_Attrition[[#This Row],[Age]]&gt;=20,"20-29",IF(HR_Employee_Attrition[[#This Row],[Age]]&gt;=18,"18-20"))))))</f>
        <v>20-29</v>
      </c>
      <c r="AK1415" t="str" cm="1">
        <f t="array" ref="AK1415">_xlfn.IFS(HR_Employee_Attrition[[#This Row],[YearsAtCompany]]&lt;=2,"0-2",HR_Employee_Attrition[[#This Row],[YearsAtCompany]]&lt;=5,"3-5",HR_Employee_Attrition[[#This Row],[YearsAtCompany]]&lt;=10,"6-10",HR_Employee_Attrition[[#This Row],[YearsAtCompany]]&gt;10,"10+")</f>
        <v>0-2</v>
      </c>
      <c r="AL1415" t="str" cm="1">
        <f t="array" ref="AL141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15">
        <f>IF(HR_Employee_Attrition[[#This Row],[Attrition]]="Yes",1,0)</f>
        <v>0</v>
      </c>
    </row>
    <row r="1416" spans="1:39"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IF(HR_Employee_Attrition[[#This Row],[Age]]&gt;60,"60+",IF(HR_Employee_Attrition[[#This Row],[Age]]&gt;=50,"50-59",IF(HR_Employee_Attrition[[#This Row],[Age]]&gt;=40,"40-49",IF(HR_Employee_Attrition[[#This Row],[Age]]&gt;=30,"30-39",IF(HR_Employee_Attrition[[#This Row],[Age]]&gt;=20,"20-29",IF(HR_Employee_Attrition[[#This Row],[Age]]&gt;=18,"18-20"))))))</f>
        <v>40-49</v>
      </c>
      <c r="AK1416" t="str" cm="1">
        <f t="array" ref="AK1416">_xlfn.IFS(HR_Employee_Attrition[[#This Row],[YearsAtCompany]]&lt;=2,"0-2",HR_Employee_Attrition[[#This Row],[YearsAtCompany]]&lt;=5,"3-5",HR_Employee_Attrition[[#This Row],[YearsAtCompany]]&lt;=10,"6-10",HR_Employee_Attrition[[#This Row],[YearsAtCompany]]&gt;10,"10+")</f>
        <v>10+</v>
      </c>
      <c r="AL1416" t="str" cm="1">
        <f t="array" ref="AL141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16">
        <f>IF(HR_Employee_Attrition[[#This Row],[Attrition]]="Yes",1,0)</f>
        <v>0</v>
      </c>
    </row>
    <row r="1417" spans="1:39"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IF(HR_Employee_Attrition[[#This Row],[Age]]&gt;60,"60+",IF(HR_Employee_Attrition[[#This Row],[Age]]&gt;=50,"50-59",IF(HR_Employee_Attrition[[#This Row],[Age]]&gt;=40,"40-49",IF(HR_Employee_Attrition[[#This Row],[Age]]&gt;=30,"30-39",IF(HR_Employee_Attrition[[#This Row],[Age]]&gt;=20,"20-29",IF(HR_Employee_Attrition[[#This Row],[Age]]&gt;=18,"18-20"))))))</f>
        <v>30-39</v>
      </c>
      <c r="AK1417" t="str" cm="1">
        <f t="array" ref="AK1417">_xlfn.IFS(HR_Employee_Attrition[[#This Row],[YearsAtCompany]]&lt;=2,"0-2",HR_Employee_Attrition[[#This Row],[YearsAtCompany]]&lt;=5,"3-5",HR_Employee_Attrition[[#This Row],[YearsAtCompany]]&lt;=10,"6-10",HR_Employee_Attrition[[#This Row],[YearsAtCompany]]&gt;10,"10+")</f>
        <v>0-2</v>
      </c>
      <c r="AL1417" t="str" cm="1">
        <f t="array" ref="AL141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17">
        <f>IF(HR_Employee_Attrition[[#This Row],[Attrition]]="Yes",1,0)</f>
        <v>0</v>
      </c>
    </row>
    <row r="1418" spans="1:39"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IF(HR_Employee_Attrition[[#This Row],[Age]]&gt;60,"60+",IF(HR_Employee_Attrition[[#This Row],[Age]]&gt;=50,"50-59",IF(HR_Employee_Attrition[[#This Row],[Age]]&gt;=40,"40-49",IF(HR_Employee_Attrition[[#This Row],[Age]]&gt;=30,"30-39",IF(HR_Employee_Attrition[[#This Row],[Age]]&gt;=20,"20-29",IF(HR_Employee_Attrition[[#This Row],[Age]]&gt;=18,"18-20"))))))</f>
        <v>30-39</v>
      </c>
      <c r="AK1418" t="str" cm="1">
        <f t="array" ref="AK1418">_xlfn.IFS(HR_Employee_Attrition[[#This Row],[YearsAtCompany]]&lt;=2,"0-2",HR_Employee_Attrition[[#This Row],[YearsAtCompany]]&lt;=5,"3-5",HR_Employee_Attrition[[#This Row],[YearsAtCompany]]&lt;=10,"6-10",HR_Employee_Attrition[[#This Row],[YearsAtCompany]]&gt;10,"10+")</f>
        <v>10+</v>
      </c>
      <c r="AL1418" t="str" cm="1">
        <f t="array" ref="AL141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18">
        <f>IF(HR_Employee_Attrition[[#This Row],[Attrition]]="Yes",1,0)</f>
        <v>0</v>
      </c>
    </row>
    <row r="1419" spans="1:39"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IF(HR_Employee_Attrition[[#This Row],[Age]]&gt;60,"60+",IF(HR_Employee_Attrition[[#This Row],[Age]]&gt;=50,"50-59",IF(HR_Employee_Attrition[[#This Row],[Age]]&gt;=40,"40-49",IF(HR_Employee_Attrition[[#This Row],[Age]]&gt;=30,"30-39",IF(HR_Employee_Attrition[[#This Row],[Age]]&gt;=20,"20-29",IF(HR_Employee_Attrition[[#This Row],[Age]]&gt;=18,"18-20"))))))</f>
        <v>30-39</v>
      </c>
      <c r="AK1419" t="str" cm="1">
        <f t="array" ref="AK1419">_xlfn.IFS(HR_Employee_Attrition[[#This Row],[YearsAtCompany]]&lt;=2,"0-2",HR_Employee_Attrition[[#This Row],[YearsAtCompany]]&lt;=5,"3-5",HR_Employee_Attrition[[#This Row],[YearsAtCompany]]&lt;=10,"6-10",HR_Employee_Attrition[[#This Row],[YearsAtCompany]]&gt;10,"10+")</f>
        <v>0-2</v>
      </c>
      <c r="AL1419" t="str" cm="1">
        <f t="array" ref="AL141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19">
        <f>IF(HR_Employee_Attrition[[#This Row],[Attrition]]="Yes",1,0)</f>
        <v>0</v>
      </c>
    </row>
    <row r="1420" spans="1:39"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IF(HR_Employee_Attrition[[#This Row],[Age]]&gt;60,"60+",IF(HR_Employee_Attrition[[#This Row],[Age]]&gt;=50,"50-59",IF(HR_Employee_Attrition[[#This Row],[Age]]&gt;=40,"40-49",IF(HR_Employee_Attrition[[#This Row],[Age]]&gt;=30,"30-39",IF(HR_Employee_Attrition[[#This Row],[Age]]&gt;=20,"20-29",IF(HR_Employee_Attrition[[#This Row],[Age]]&gt;=18,"18-20"))))))</f>
        <v>30-39</v>
      </c>
      <c r="AK1420" t="str" cm="1">
        <f t="array" ref="AK1420">_xlfn.IFS(HR_Employee_Attrition[[#This Row],[YearsAtCompany]]&lt;=2,"0-2",HR_Employee_Attrition[[#This Row],[YearsAtCompany]]&lt;=5,"3-5",HR_Employee_Attrition[[#This Row],[YearsAtCompany]]&lt;=10,"6-10",HR_Employee_Attrition[[#This Row],[YearsAtCompany]]&gt;10,"10+")</f>
        <v>6-10</v>
      </c>
      <c r="AL1420" t="str" cm="1">
        <f t="array" ref="AL142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20">
        <f>IF(HR_Employee_Attrition[[#This Row],[Attrition]]="Yes",1,0)</f>
        <v>0</v>
      </c>
    </row>
    <row r="1421" spans="1:39"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IF(HR_Employee_Attrition[[#This Row],[Age]]&gt;60,"60+",IF(HR_Employee_Attrition[[#This Row],[Age]]&gt;=50,"50-59",IF(HR_Employee_Attrition[[#This Row],[Age]]&gt;=40,"40-49",IF(HR_Employee_Attrition[[#This Row],[Age]]&gt;=30,"30-39",IF(HR_Employee_Attrition[[#This Row],[Age]]&gt;=20,"20-29",IF(HR_Employee_Attrition[[#This Row],[Age]]&gt;=18,"18-20"))))))</f>
        <v>40-49</v>
      </c>
      <c r="AK1421" t="str" cm="1">
        <f t="array" ref="AK1421">_xlfn.IFS(HR_Employee_Attrition[[#This Row],[YearsAtCompany]]&lt;=2,"0-2",HR_Employee_Attrition[[#This Row],[YearsAtCompany]]&lt;=5,"3-5",HR_Employee_Attrition[[#This Row],[YearsAtCompany]]&lt;=10,"6-10",HR_Employee_Attrition[[#This Row],[YearsAtCompany]]&gt;10,"10+")</f>
        <v>3-5</v>
      </c>
      <c r="AL1421" t="str" cm="1">
        <f t="array" ref="AL142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21">
        <f>IF(HR_Employee_Attrition[[#This Row],[Attrition]]="Yes",1,0)</f>
        <v>0</v>
      </c>
    </row>
    <row r="1422" spans="1:39"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IF(HR_Employee_Attrition[[#This Row],[Age]]&gt;60,"60+",IF(HR_Employee_Attrition[[#This Row],[Age]]&gt;=50,"50-59",IF(HR_Employee_Attrition[[#This Row],[Age]]&gt;=40,"40-49",IF(HR_Employee_Attrition[[#This Row],[Age]]&gt;=30,"30-39",IF(HR_Employee_Attrition[[#This Row],[Age]]&gt;=20,"20-29",IF(HR_Employee_Attrition[[#This Row],[Age]]&gt;=18,"18-20"))))))</f>
        <v>40-49</v>
      </c>
      <c r="AK1422" t="str" cm="1">
        <f t="array" ref="AK1422">_xlfn.IFS(HR_Employee_Attrition[[#This Row],[YearsAtCompany]]&lt;=2,"0-2",HR_Employee_Attrition[[#This Row],[YearsAtCompany]]&lt;=5,"3-5",HR_Employee_Attrition[[#This Row],[YearsAtCompany]]&lt;=10,"6-10",HR_Employee_Attrition[[#This Row],[YearsAtCompany]]&gt;10,"10+")</f>
        <v>3-5</v>
      </c>
      <c r="AL1422" t="str" cm="1">
        <f t="array" ref="AL142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22">
        <f>IF(HR_Employee_Attrition[[#This Row],[Attrition]]="Yes",1,0)</f>
        <v>0</v>
      </c>
    </row>
    <row r="1423" spans="1:39"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IF(HR_Employee_Attrition[[#This Row],[Age]]&gt;60,"60+",IF(HR_Employee_Attrition[[#This Row],[Age]]&gt;=50,"50-59",IF(HR_Employee_Attrition[[#This Row],[Age]]&gt;=40,"40-49",IF(HR_Employee_Attrition[[#This Row],[Age]]&gt;=30,"30-39",IF(HR_Employee_Attrition[[#This Row],[Age]]&gt;=20,"20-29",IF(HR_Employee_Attrition[[#This Row],[Age]]&gt;=18,"18-20"))))))</f>
        <v>40-49</v>
      </c>
      <c r="AK1423" t="str" cm="1">
        <f t="array" ref="AK1423">_xlfn.IFS(HR_Employee_Attrition[[#This Row],[YearsAtCompany]]&lt;=2,"0-2",HR_Employee_Attrition[[#This Row],[YearsAtCompany]]&lt;=5,"3-5",HR_Employee_Attrition[[#This Row],[YearsAtCompany]]&lt;=10,"6-10",HR_Employee_Attrition[[#This Row],[YearsAtCompany]]&gt;10,"10+")</f>
        <v>10+</v>
      </c>
      <c r="AL1423" t="str" cm="1">
        <f t="array" ref="AL142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423">
        <f>IF(HR_Employee_Attrition[[#This Row],[Attrition]]="Yes",1,0)</f>
        <v>0</v>
      </c>
    </row>
    <row r="1424" spans="1:39"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IF(HR_Employee_Attrition[[#This Row],[Age]]&gt;60,"60+",IF(HR_Employee_Attrition[[#This Row],[Age]]&gt;=50,"50-59",IF(HR_Employee_Attrition[[#This Row],[Age]]&gt;=40,"40-49",IF(HR_Employee_Attrition[[#This Row],[Age]]&gt;=30,"30-39",IF(HR_Employee_Attrition[[#This Row],[Age]]&gt;=20,"20-29",IF(HR_Employee_Attrition[[#This Row],[Age]]&gt;=18,"18-20"))))))</f>
        <v>30-39</v>
      </c>
      <c r="AK1424" t="str" cm="1">
        <f t="array" ref="AK1424">_xlfn.IFS(HR_Employee_Attrition[[#This Row],[YearsAtCompany]]&lt;=2,"0-2",HR_Employee_Attrition[[#This Row],[YearsAtCompany]]&lt;=5,"3-5",HR_Employee_Attrition[[#This Row],[YearsAtCompany]]&lt;=10,"6-10",HR_Employee_Attrition[[#This Row],[YearsAtCompany]]&gt;10,"10+")</f>
        <v>0-2</v>
      </c>
      <c r="AL1424" t="str" cm="1">
        <f t="array" ref="AL142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24">
        <f>IF(HR_Employee_Attrition[[#This Row],[Attrition]]="Yes",1,0)</f>
        <v>0</v>
      </c>
    </row>
    <row r="1425" spans="1:39"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IF(HR_Employee_Attrition[[#This Row],[Age]]&gt;60,"60+",IF(HR_Employee_Attrition[[#This Row],[Age]]&gt;=50,"50-59",IF(HR_Employee_Attrition[[#This Row],[Age]]&gt;=40,"40-49",IF(HR_Employee_Attrition[[#This Row],[Age]]&gt;=30,"30-39",IF(HR_Employee_Attrition[[#This Row],[Age]]&gt;=20,"20-29",IF(HR_Employee_Attrition[[#This Row],[Age]]&gt;=18,"18-20"))))))</f>
        <v>20-29</v>
      </c>
      <c r="AK1425" t="str" cm="1">
        <f t="array" ref="AK1425">_xlfn.IFS(HR_Employee_Attrition[[#This Row],[YearsAtCompany]]&lt;=2,"0-2",HR_Employee_Attrition[[#This Row],[YearsAtCompany]]&lt;=5,"3-5",HR_Employee_Attrition[[#This Row],[YearsAtCompany]]&lt;=10,"6-10",HR_Employee_Attrition[[#This Row],[YearsAtCompany]]&gt;10,"10+")</f>
        <v>3-5</v>
      </c>
      <c r="AL1425" t="str" cm="1">
        <f t="array" ref="AL142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25">
        <f>IF(HR_Employee_Attrition[[#This Row],[Attrition]]="Yes",1,0)</f>
        <v>0</v>
      </c>
    </row>
    <row r="1426" spans="1:39"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IF(HR_Employee_Attrition[[#This Row],[Age]]&gt;60,"60+",IF(HR_Employee_Attrition[[#This Row],[Age]]&gt;=50,"50-59",IF(HR_Employee_Attrition[[#This Row],[Age]]&gt;=40,"40-49",IF(HR_Employee_Attrition[[#This Row],[Age]]&gt;=30,"30-39",IF(HR_Employee_Attrition[[#This Row],[Age]]&gt;=20,"20-29",IF(HR_Employee_Attrition[[#This Row],[Age]]&gt;=18,"18-20"))))))</f>
        <v>30-39</v>
      </c>
      <c r="AK1426" t="str" cm="1">
        <f t="array" ref="AK1426">_xlfn.IFS(HR_Employee_Attrition[[#This Row],[YearsAtCompany]]&lt;=2,"0-2",HR_Employee_Attrition[[#This Row],[YearsAtCompany]]&lt;=5,"3-5",HR_Employee_Attrition[[#This Row],[YearsAtCompany]]&lt;=10,"6-10",HR_Employee_Attrition[[#This Row],[YearsAtCompany]]&gt;10,"10+")</f>
        <v>6-10</v>
      </c>
      <c r="AL1426" t="str" cm="1">
        <f t="array" ref="AL142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26">
        <f>IF(HR_Employee_Attrition[[#This Row],[Attrition]]="Yes",1,0)</f>
        <v>0</v>
      </c>
    </row>
    <row r="1427" spans="1:39"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IF(HR_Employee_Attrition[[#This Row],[Age]]&gt;60,"60+",IF(HR_Employee_Attrition[[#This Row],[Age]]&gt;=50,"50-59",IF(HR_Employee_Attrition[[#This Row],[Age]]&gt;=40,"40-49",IF(HR_Employee_Attrition[[#This Row],[Age]]&gt;=30,"30-39",IF(HR_Employee_Attrition[[#This Row],[Age]]&gt;=20,"20-29",IF(HR_Employee_Attrition[[#This Row],[Age]]&gt;=18,"18-20"))))))</f>
        <v>30-39</v>
      </c>
      <c r="AK1427" t="str" cm="1">
        <f t="array" ref="AK1427">_xlfn.IFS(HR_Employee_Attrition[[#This Row],[YearsAtCompany]]&lt;=2,"0-2",HR_Employee_Attrition[[#This Row],[YearsAtCompany]]&lt;=5,"3-5",HR_Employee_Attrition[[#This Row],[YearsAtCompany]]&lt;=10,"6-10",HR_Employee_Attrition[[#This Row],[YearsAtCompany]]&gt;10,"10+")</f>
        <v>6-10</v>
      </c>
      <c r="AL1427" t="str" cm="1">
        <f t="array" ref="AL142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27">
        <f>IF(HR_Employee_Attrition[[#This Row],[Attrition]]="Yes",1,0)</f>
        <v>0</v>
      </c>
    </row>
    <row r="1428" spans="1:39"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IF(HR_Employee_Attrition[[#This Row],[Age]]&gt;60,"60+",IF(HR_Employee_Attrition[[#This Row],[Age]]&gt;=50,"50-59",IF(HR_Employee_Attrition[[#This Row],[Age]]&gt;=40,"40-49",IF(HR_Employee_Attrition[[#This Row],[Age]]&gt;=30,"30-39",IF(HR_Employee_Attrition[[#This Row],[Age]]&gt;=20,"20-29",IF(HR_Employee_Attrition[[#This Row],[Age]]&gt;=18,"18-20"))))))</f>
        <v>30-39</v>
      </c>
      <c r="AK1428" t="str" cm="1">
        <f t="array" ref="AK1428">_xlfn.IFS(HR_Employee_Attrition[[#This Row],[YearsAtCompany]]&lt;=2,"0-2",HR_Employee_Attrition[[#This Row],[YearsAtCompany]]&lt;=5,"3-5",HR_Employee_Attrition[[#This Row],[YearsAtCompany]]&lt;=10,"6-10",HR_Employee_Attrition[[#This Row],[YearsAtCompany]]&gt;10,"10+")</f>
        <v>6-10</v>
      </c>
      <c r="AL1428" t="str" cm="1">
        <f t="array" ref="AL142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28">
        <f>IF(HR_Employee_Attrition[[#This Row],[Attrition]]="Yes",1,0)</f>
        <v>0</v>
      </c>
    </row>
    <row r="1429" spans="1:39"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IF(HR_Employee_Attrition[[#This Row],[Age]]&gt;60,"60+",IF(HR_Employee_Attrition[[#This Row],[Age]]&gt;=50,"50-59",IF(HR_Employee_Attrition[[#This Row],[Age]]&gt;=40,"40-49",IF(HR_Employee_Attrition[[#This Row],[Age]]&gt;=30,"30-39",IF(HR_Employee_Attrition[[#This Row],[Age]]&gt;=20,"20-29",IF(HR_Employee_Attrition[[#This Row],[Age]]&gt;=18,"18-20"))))))</f>
        <v>40-49</v>
      </c>
      <c r="AK1429" t="str" cm="1">
        <f t="array" ref="AK1429">_xlfn.IFS(HR_Employee_Attrition[[#This Row],[YearsAtCompany]]&lt;=2,"0-2",HR_Employee_Attrition[[#This Row],[YearsAtCompany]]&lt;=5,"3-5",HR_Employee_Attrition[[#This Row],[YearsAtCompany]]&lt;=10,"6-10",HR_Employee_Attrition[[#This Row],[YearsAtCompany]]&gt;10,"10+")</f>
        <v>0-2</v>
      </c>
      <c r="AL1429" t="str" cm="1">
        <f t="array" ref="AL142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29">
        <f>IF(HR_Employee_Attrition[[#This Row],[Attrition]]="Yes",1,0)</f>
        <v>0</v>
      </c>
    </row>
    <row r="1430" spans="1:39"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IF(HR_Employee_Attrition[[#This Row],[Age]]&gt;60,"60+",IF(HR_Employee_Attrition[[#This Row],[Age]]&gt;=50,"50-59",IF(HR_Employee_Attrition[[#This Row],[Age]]&gt;=40,"40-49",IF(HR_Employee_Attrition[[#This Row],[Age]]&gt;=30,"30-39",IF(HR_Employee_Attrition[[#This Row],[Age]]&gt;=20,"20-29",IF(HR_Employee_Attrition[[#This Row],[Age]]&gt;=18,"18-20"))))))</f>
        <v>30-39</v>
      </c>
      <c r="AK1430" t="str" cm="1">
        <f t="array" ref="AK1430">_xlfn.IFS(HR_Employee_Attrition[[#This Row],[YearsAtCompany]]&lt;=2,"0-2",HR_Employee_Attrition[[#This Row],[YearsAtCompany]]&lt;=5,"3-5",HR_Employee_Attrition[[#This Row],[YearsAtCompany]]&lt;=10,"6-10",HR_Employee_Attrition[[#This Row],[YearsAtCompany]]&gt;10,"10+")</f>
        <v>0-2</v>
      </c>
      <c r="AL1430" t="str" cm="1">
        <f t="array" ref="AL143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30">
        <f>IF(HR_Employee_Attrition[[#This Row],[Attrition]]="Yes",1,0)</f>
        <v>0</v>
      </c>
    </row>
    <row r="1431" spans="1:39"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IF(HR_Employee_Attrition[[#This Row],[Age]]&gt;60,"60+",IF(HR_Employee_Attrition[[#This Row],[Age]]&gt;=50,"50-59",IF(HR_Employee_Attrition[[#This Row],[Age]]&gt;=40,"40-49",IF(HR_Employee_Attrition[[#This Row],[Age]]&gt;=30,"30-39",IF(HR_Employee_Attrition[[#This Row],[Age]]&gt;=20,"20-29",IF(HR_Employee_Attrition[[#This Row],[Age]]&gt;=18,"18-20"))))))</f>
        <v>30-39</v>
      </c>
      <c r="AK1431" t="str" cm="1">
        <f t="array" ref="AK1431">_xlfn.IFS(HR_Employee_Attrition[[#This Row],[YearsAtCompany]]&lt;=2,"0-2",HR_Employee_Attrition[[#This Row],[YearsAtCompany]]&lt;=5,"3-5",HR_Employee_Attrition[[#This Row],[YearsAtCompany]]&lt;=10,"6-10",HR_Employee_Attrition[[#This Row],[YearsAtCompany]]&gt;10,"10+")</f>
        <v>6-10</v>
      </c>
      <c r="AL1431" t="str" cm="1">
        <f t="array" ref="AL143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31">
        <f>IF(HR_Employee_Attrition[[#This Row],[Attrition]]="Yes",1,0)</f>
        <v>0</v>
      </c>
    </row>
    <row r="1432" spans="1:39"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IF(HR_Employee_Attrition[[#This Row],[Age]]&gt;60,"60+",IF(HR_Employee_Attrition[[#This Row],[Age]]&gt;=50,"50-59",IF(HR_Employee_Attrition[[#This Row],[Age]]&gt;=40,"40-49",IF(HR_Employee_Attrition[[#This Row],[Age]]&gt;=30,"30-39",IF(HR_Employee_Attrition[[#This Row],[Age]]&gt;=20,"20-29",IF(HR_Employee_Attrition[[#This Row],[Age]]&gt;=18,"18-20"))))))</f>
        <v>30-39</v>
      </c>
      <c r="AK1432" t="str" cm="1">
        <f t="array" ref="AK1432">_xlfn.IFS(HR_Employee_Attrition[[#This Row],[YearsAtCompany]]&lt;=2,"0-2",HR_Employee_Attrition[[#This Row],[YearsAtCompany]]&lt;=5,"3-5",HR_Employee_Attrition[[#This Row],[YearsAtCompany]]&lt;=10,"6-10",HR_Employee_Attrition[[#This Row],[YearsAtCompany]]&gt;10,"10+")</f>
        <v>10+</v>
      </c>
      <c r="AL1432" t="str" cm="1">
        <f t="array" ref="AL143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432">
        <f>IF(HR_Employee_Attrition[[#This Row],[Attrition]]="Yes",1,0)</f>
        <v>0</v>
      </c>
    </row>
    <row r="1433" spans="1:39"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IF(HR_Employee_Attrition[[#This Row],[Age]]&gt;60,"60+",IF(HR_Employee_Attrition[[#This Row],[Age]]&gt;=50,"50-59",IF(HR_Employee_Attrition[[#This Row],[Age]]&gt;=40,"40-49",IF(HR_Employee_Attrition[[#This Row],[Age]]&gt;=30,"30-39",IF(HR_Employee_Attrition[[#This Row],[Age]]&gt;=20,"20-29",IF(HR_Employee_Attrition[[#This Row],[Age]]&gt;=18,"18-20"))))))</f>
        <v>30-39</v>
      </c>
      <c r="AK1433" t="str" cm="1">
        <f t="array" ref="AK1433">_xlfn.IFS(HR_Employee_Attrition[[#This Row],[YearsAtCompany]]&lt;=2,"0-2",HR_Employee_Attrition[[#This Row],[YearsAtCompany]]&lt;=5,"3-5",HR_Employee_Attrition[[#This Row],[YearsAtCompany]]&lt;=10,"6-10",HR_Employee_Attrition[[#This Row],[YearsAtCompany]]&gt;10,"10+")</f>
        <v>10+</v>
      </c>
      <c r="AL1433" t="str" cm="1">
        <f t="array" ref="AL143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433">
        <f>IF(HR_Employee_Attrition[[#This Row],[Attrition]]="Yes",1,0)</f>
        <v>0</v>
      </c>
    </row>
    <row r="1434" spans="1:39"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IF(HR_Employee_Attrition[[#This Row],[Age]]&gt;60,"60+",IF(HR_Employee_Attrition[[#This Row],[Age]]&gt;=50,"50-59",IF(HR_Employee_Attrition[[#This Row],[Age]]&gt;=40,"40-49",IF(HR_Employee_Attrition[[#This Row],[Age]]&gt;=30,"30-39",IF(HR_Employee_Attrition[[#This Row],[Age]]&gt;=20,"20-29",IF(HR_Employee_Attrition[[#This Row],[Age]]&gt;=18,"18-20"))))))</f>
        <v>30-39</v>
      </c>
      <c r="AK1434" t="str" cm="1">
        <f t="array" ref="AK1434">_xlfn.IFS(HR_Employee_Attrition[[#This Row],[YearsAtCompany]]&lt;=2,"0-2",HR_Employee_Attrition[[#This Row],[YearsAtCompany]]&lt;=5,"3-5",HR_Employee_Attrition[[#This Row],[YearsAtCompany]]&lt;=10,"6-10",HR_Employee_Attrition[[#This Row],[YearsAtCompany]]&gt;10,"10+")</f>
        <v>10+</v>
      </c>
      <c r="AL1434" t="str" cm="1">
        <f t="array" ref="AL143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434">
        <f>IF(HR_Employee_Attrition[[#This Row],[Attrition]]="Yes",1,0)</f>
        <v>0</v>
      </c>
    </row>
    <row r="1435" spans="1:39"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IF(HR_Employee_Attrition[[#This Row],[Age]]&gt;60,"60+",IF(HR_Employee_Attrition[[#This Row],[Age]]&gt;=50,"50-59",IF(HR_Employee_Attrition[[#This Row],[Age]]&gt;=40,"40-49",IF(HR_Employee_Attrition[[#This Row],[Age]]&gt;=30,"30-39",IF(HR_Employee_Attrition[[#This Row],[Age]]&gt;=20,"20-29",IF(HR_Employee_Attrition[[#This Row],[Age]]&gt;=18,"18-20"))))))</f>
        <v>20-29</v>
      </c>
      <c r="AK1435" t="str" cm="1">
        <f t="array" ref="AK1435">_xlfn.IFS(HR_Employee_Attrition[[#This Row],[YearsAtCompany]]&lt;=2,"0-2",HR_Employee_Attrition[[#This Row],[YearsAtCompany]]&lt;=5,"3-5",HR_Employee_Attrition[[#This Row],[YearsAtCompany]]&lt;=10,"6-10",HR_Employee_Attrition[[#This Row],[YearsAtCompany]]&gt;10,"10+")</f>
        <v>3-5</v>
      </c>
      <c r="AL1435" t="str" cm="1">
        <f t="array" ref="AL143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35">
        <f>IF(HR_Employee_Attrition[[#This Row],[Attrition]]="Yes",1,0)</f>
        <v>0</v>
      </c>
    </row>
    <row r="1436" spans="1:39"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IF(HR_Employee_Attrition[[#This Row],[Age]]&gt;60,"60+",IF(HR_Employee_Attrition[[#This Row],[Age]]&gt;=50,"50-59",IF(HR_Employee_Attrition[[#This Row],[Age]]&gt;=40,"40-49",IF(HR_Employee_Attrition[[#This Row],[Age]]&gt;=30,"30-39",IF(HR_Employee_Attrition[[#This Row],[Age]]&gt;=20,"20-29",IF(HR_Employee_Attrition[[#This Row],[Age]]&gt;=18,"18-20"))))))</f>
        <v>50-59</v>
      </c>
      <c r="AK1436" t="str" cm="1">
        <f t="array" ref="AK1436">_xlfn.IFS(HR_Employee_Attrition[[#This Row],[YearsAtCompany]]&lt;=2,"0-2",HR_Employee_Attrition[[#This Row],[YearsAtCompany]]&lt;=5,"3-5",HR_Employee_Attrition[[#This Row],[YearsAtCompany]]&lt;=10,"6-10",HR_Employee_Attrition[[#This Row],[YearsAtCompany]]&gt;10,"10+")</f>
        <v>6-10</v>
      </c>
      <c r="AL1436" t="str" cm="1">
        <f t="array" ref="AL143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36">
        <f>IF(HR_Employee_Attrition[[#This Row],[Attrition]]="Yes",1,0)</f>
        <v>0</v>
      </c>
    </row>
    <row r="1437" spans="1:39"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IF(HR_Employee_Attrition[[#This Row],[Age]]&gt;60,"60+",IF(HR_Employee_Attrition[[#This Row],[Age]]&gt;=50,"50-59",IF(HR_Employee_Attrition[[#This Row],[Age]]&gt;=40,"40-49",IF(HR_Employee_Attrition[[#This Row],[Age]]&gt;=30,"30-39",IF(HR_Employee_Attrition[[#This Row],[Age]]&gt;=20,"20-29",IF(HR_Employee_Attrition[[#This Row],[Age]]&gt;=18,"18-20"))))))</f>
        <v>40-49</v>
      </c>
      <c r="AK1437" t="str" cm="1">
        <f t="array" ref="AK1437">_xlfn.IFS(HR_Employee_Attrition[[#This Row],[YearsAtCompany]]&lt;=2,"0-2",HR_Employee_Attrition[[#This Row],[YearsAtCompany]]&lt;=5,"3-5",HR_Employee_Attrition[[#This Row],[YearsAtCompany]]&lt;=10,"6-10",HR_Employee_Attrition[[#This Row],[YearsAtCompany]]&gt;10,"10+")</f>
        <v>3-5</v>
      </c>
      <c r="AL1437" t="str" cm="1">
        <f t="array" ref="AL143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37">
        <f>IF(HR_Employee_Attrition[[#This Row],[Attrition]]="Yes",1,0)</f>
        <v>0</v>
      </c>
    </row>
    <row r="1438" spans="1:39"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IF(HR_Employee_Attrition[[#This Row],[Age]]&gt;60,"60+",IF(HR_Employee_Attrition[[#This Row],[Age]]&gt;=50,"50-59",IF(HR_Employee_Attrition[[#This Row],[Age]]&gt;=40,"40-49",IF(HR_Employee_Attrition[[#This Row],[Age]]&gt;=30,"30-39",IF(HR_Employee_Attrition[[#This Row],[Age]]&gt;=20,"20-29",IF(HR_Employee_Attrition[[#This Row],[Age]]&gt;=18,"18-20"))))))</f>
        <v>20-29</v>
      </c>
      <c r="AK1438" t="str" cm="1">
        <f t="array" ref="AK1438">_xlfn.IFS(HR_Employee_Attrition[[#This Row],[YearsAtCompany]]&lt;=2,"0-2",HR_Employee_Attrition[[#This Row],[YearsAtCompany]]&lt;=5,"3-5",HR_Employee_Attrition[[#This Row],[YearsAtCompany]]&lt;=10,"6-10",HR_Employee_Attrition[[#This Row],[YearsAtCompany]]&gt;10,"10+")</f>
        <v>0-2</v>
      </c>
      <c r="AL1438" t="str" cm="1">
        <f t="array" ref="AL143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38">
        <f>IF(HR_Employee_Attrition[[#This Row],[Attrition]]="Yes",1,0)</f>
        <v>0</v>
      </c>
    </row>
    <row r="1439" spans="1:39"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IF(HR_Employee_Attrition[[#This Row],[Age]]&gt;60,"60+",IF(HR_Employee_Attrition[[#This Row],[Age]]&gt;=50,"50-59",IF(HR_Employee_Attrition[[#This Row],[Age]]&gt;=40,"40-49",IF(HR_Employee_Attrition[[#This Row],[Age]]&gt;=30,"30-39",IF(HR_Employee_Attrition[[#This Row],[Age]]&gt;=20,"20-29",IF(HR_Employee_Attrition[[#This Row],[Age]]&gt;=18,"18-20"))))))</f>
        <v>30-39</v>
      </c>
      <c r="AK1439" t="str" cm="1">
        <f t="array" ref="AK1439">_xlfn.IFS(HR_Employee_Attrition[[#This Row],[YearsAtCompany]]&lt;=2,"0-2",HR_Employee_Attrition[[#This Row],[YearsAtCompany]]&lt;=5,"3-5",HR_Employee_Attrition[[#This Row],[YearsAtCompany]]&lt;=10,"6-10",HR_Employee_Attrition[[#This Row],[YearsAtCompany]]&gt;10,"10+")</f>
        <v>6-10</v>
      </c>
      <c r="AL1439" t="str" cm="1">
        <f t="array" ref="AL143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439">
        <f>IF(HR_Employee_Attrition[[#This Row],[Attrition]]="Yes",1,0)</f>
        <v>0</v>
      </c>
    </row>
    <row r="1440" spans="1:39"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IF(HR_Employee_Attrition[[#This Row],[Age]]&gt;60,"60+",IF(HR_Employee_Attrition[[#This Row],[Age]]&gt;=50,"50-59",IF(HR_Employee_Attrition[[#This Row],[Age]]&gt;=40,"40-49",IF(HR_Employee_Attrition[[#This Row],[Age]]&gt;=30,"30-39",IF(HR_Employee_Attrition[[#This Row],[Age]]&gt;=20,"20-29",IF(HR_Employee_Attrition[[#This Row],[Age]]&gt;=18,"18-20"))))))</f>
        <v>20-29</v>
      </c>
      <c r="AK1440" t="str" cm="1">
        <f t="array" ref="AK1440">_xlfn.IFS(HR_Employee_Attrition[[#This Row],[YearsAtCompany]]&lt;=2,"0-2",HR_Employee_Attrition[[#This Row],[YearsAtCompany]]&lt;=5,"3-5",HR_Employee_Attrition[[#This Row],[YearsAtCompany]]&lt;=10,"6-10",HR_Employee_Attrition[[#This Row],[YearsAtCompany]]&gt;10,"10+")</f>
        <v>0-2</v>
      </c>
      <c r="AL1440" t="str" cm="1">
        <f t="array" ref="AL144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40">
        <f>IF(HR_Employee_Attrition[[#This Row],[Attrition]]="Yes",1,0)</f>
        <v>1</v>
      </c>
    </row>
    <row r="1441" spans="1:39"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IF(HR_Employee_Attrition[[#This Row],[Age]]&gt;60,"60+",IF(HR_Employee_Attrition[[#This Row],[Age]]&gt;=50,"50-59",IF(HR_Employee_Attrition[[#This Row],[Age]]&gt;=40,"40-49",IF(HR_Employee_Attrition[[#This Row],[Age]]&gt;=30,"30-39",IF(HR_Employee_Attrition[[#This Row],[Age]]&gt;=20,"20-29",IF(HR_Employee_Attrition[[#This Row],[Age]]&gt;=18,"18-20"))))))</f>
        <v>30-39</v>
      </c>
      <c r="AK1441" t="str" cm="1">
        <f t="array" ref="AK1441">_xlfn.IFS(HR_Employee_Attrition[[#This Row],[YearsAtCompany]]&lt;=2,"0-2",HR_Employee_Attrition[[#This Row],[YearsAtCompany]]&lt;=5,"3-5",HR_Employee_Attrition[[#This Row],[YearsAtCompany]]&lt;=10,"6-10",HR_Employee_Attrition[[#This Row],[YearsAtCompany]]&gt;10,"10+")</f>
        <v>6-10</v>
      </c>
      <c r="AL1441" t="str" cm="1">
        <f t="array" ref="AL144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41">
        <f>IF(HR_Employee_Attrition[[#This Row],[Attrition]]="Yes",1,0)</f>
        <v>0</v>
      </c>
    </row>
    <row r="1442" spans="1:39"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IF(HR_Employee_Attrition[[#This Row],[Age]]&gt;60,"60+",IF(HR_Employee_Attrition[[#This Row],[Age]]&gt;=50,"50-59",IF(HR_Employee_Attrition[[#This Row],[Age]]&gt;=40,"40-49",IF(HR_Employee_Attrition[[#This Row],[Age]]&gt;=30,"30-39",IF(HR_Employee_Attrition[[#This Row],[Age]]&gt;=20,"20-29",IF(HR_Employee_Attrition[[#This Row],[Age]]&gt;=18,"18-20"))))))</f>
        <v>30-39</v>
      </c>
      <c r="AK1442" t="str" cm="1">
        <f t="array" ref="AK1442">_xlfn.IFS(HR_Employee_Attrition[[#This Row],[YearsAtCompany]]&lt;=2,"0-2",HR_Employee_Attrition[[#This Row],[YearsAtCompany]]&lt;=5,"3-5",HR_Employee_Attrition[[#This Row],[YearsAtCompany]]&lt;=10,"6-10",HR_Employee_Attrition[[#This Row],[YearsAtCompany]]&gt;10,"10+")</f>
        <v>3-5</v>
      </c>
      <c r="AL1442" t="str" cm="1">
        <f t="array" ref="AL144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42">
        <f>IF(HR_Employee_Attrition[[#This Row],[Attrition]]="Yes",1,0)</f>
        <v>0</v>
      </c>
    </row>
    <row r="1443" spans="1:39"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IF(HR_Employee_Attrition[[#This Row],[Age]]&gt;60,"60+",IF(HR_Employee_Attrition[[#This Row],[Age]]&gt;=50,"50-59",IF(HR_Employee_Attrition[[#This Row],[Age]]&gt;=40,"40-49",IF(HR_Employee_Attrition[[#This Row],[Age]]&gt;=30,"30-39",IF(HR_Employee_Attrition[[#This Row],[Age]]&gt;=20,"20-29",IF(HR_Employee_Attrition[[#This Row],[Age]]&gt;=18,"18-20"))))))</f>
        <v>50-59</v>
      </c>
      <c r="AK1443" t="str" cm="1">
        <f t="array" ref="AK1443">_xlfn.IFS(HR_Employee_Attrition[[#This Row],[YearsAtCompany]]&lt;=2,"0-2",HR_Employee_Attrition[[#This Row],[YearsAtCompany]]&lt;=5,"3-5",HR_Employee_Attrition[[#This Row],[YearsAtCompany]]&lt;=10,"6-10",HR_Employee_Attrition[[#This Row],[YearsAtCompany]]&gt;10,"10+")</f>
        <v>10+</v>
      </c>
      <c r="AL1443" t="str" cm="1">
        <f t="array" ref="AL144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43">
        <f>IF(HR_Employee_Attrition[[#This Row],[Attrition]]="Yes",1,0)</f>
        <v>0</v>
      </c>
    </row>
    <row r="1444" spans="1:39"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IF(HR_Employee_Attrition[[#This Row],[Age]]&gt;60,"60+",IF(HR_Employee_Attrition[[#This Row],[Age]]&gt;=50,"50-59",IF(HR_Employee_Attrition[[#This Row],[Age]]&gt;=40,"40-49",IF(HR_Employee_Attrition[[#This Row],[Age]]&gt;=30,"30-39",IF(HR_Employee_Attrition[[#This Row],[Age]]&gt;=20,"20-29",IF(HR_Employee_Attrition[[#This Row],[Age]]&gt;=18,"18-20"))))))</f>
        <v>20-29</v>
      </c>
      <c r="AK1444" t="str" cm="1">
        <f t="array" ref="AK1444">_xlfn.IFS(HR_Employee_Attrition[[#This Row],[YearsAtCompany]]&lt;=2,"0-2",HR_Employee_Attrition[[#This Row],[YearsAtCompany]]&lt;=5,"3-5",HR_Employee_Attrition[[#This Row],[YearsAtCompany]]&lt;=10,"6-10",HR_Employee_Attrition[[#This Row],[YearsAtCompany]]&gt;10,"10+")</f>
        <v>0-2</v>
      </c>
      <c r="AL1444" t="str" cm="1">
        <f t="array" ref="AL144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44">
        <f>IF(HR_Employee_Attrition[[#This Row],[Attrition]]="Yes",1,0)</f>
        <v>1</v>
      </c>
    </row>
    <row r="1445" spans="1:39"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IF(HR_Employee_Attrition[[#This Row],[Age]]&gt;60,"60+",IF(HR_Employee_Attrition[[#This Row],[Age]]&gt;=50,"50-59",IF(HR_Employee_Attrition[[#This Row],[Age]]&gt;=40,"40-49",IF(HR_Employee_Attrition[[#This Row],[Age]]&gt;=30,"30-39",IF(HR_Employee_Attrition[[#This Row],[Age]]&gt;=20,"20-29",IF(HR_Employee_Attrition[[#This Row],[Age]]&gt;=18,"18-20"))))))</f>
        <v>40-49</v>
      </c>
      <c r="AK1445" t="str" cm="1">
        <f t="array" ref="AK1445">_xlfn.IFS(HR_Employee_Attrition[[#This Row],[YearsAtCompany]]&lt;=2,"0-2",HR_Employee_Attrition[[#This Row],[YearsAtCompany]]&lt;=5,"3-5",HR_Employee_Attrition[[#This Row],[YearsAtCompany]]&lt;=10,"6-10",HR_Employee_Attrition[[#This Row],[YearsAtCompany]]&gt;10,"10+")</f>
        <v>10+</v>
      </c>
      <c r="AL1445" t="str" cm="1">
        <f t="array" ref="AL144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15001-20000</v>
      </c>
      <c r="AM1445">
        <f>IF(HR_Employee_Attrition[[#This Row],[Attrition]]="Yes",1,0)</f>
        <v>0</v>
      </c>
    </row>
    <row r="1446" spans="1:39"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IF(HR_Employee_Attrition[[#This Row],[Age]]&gt;60,"60+",IF(HR_Employee_Attrition[[#This Row],[Age]]&gt;=50,"50-59",IF(HR_Employee_Attrition[[#This Row],[Age]]&gt;=40,"40-49",IF(HR_Employee_Attrition[[#This Row],[Age]]&gt;=30,"30-39",IF(HR_Employee_Attrition[[#This Row],[Age]]&gt;=20,"20-29",IF(HR_Employee_Attrition[[#This Row],[Age]]&gt;=18,"18-20"))))))</f>
        <v>50-59</v>
      </c>
      <c r="AK1446" t="str" cm="1">
        <f t="array" ref="AK1446">_xlfn.IFS(HR_Employee_Attrition[[#This Row],[YearsAtCompany]]&lt;=2,"0-2",HR_Employee_Attrition[[#This Row],[YearsAtCompany]]&lt;=5,"3-5",HR_Employee_Attrition[[#This Row],[YearsAtCompany]]&lt;=10,"6-10",HR_Employee_Attrition[[#This Row],[YearsAtCompany]]&gt;10,"10+")</f>
        <v>6-10</v>
      </c>
      <c r="AL1446" t="str" cm="1">
        <f t="array" ref="AL144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46">
        <f>IF(HR_Employee_Attrition[[#This Row],[Attrition]]="Yes",1,0)</f>
        <v>1</v>
      </c>
    </row>
    <row r="1447" spans="1:39"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IF(HR_Employee_Attrition[[#This Row],[Age]]&gt;60,"60+",IF(HR_Employee_Attrition[[#This Row],[Age]]&gt;=50,"50-59",IF(HR_Employee_Attrition[[#This Row],[Age]]&gt;=40,"40-49",IF(HR_Employee_Attrition[[#This Row],[Age]]&gt;=30,"30-39",IF(HR_Employee_Attrition[[#This Row],[Age]]&gt;=20,"20-29",IF(HR_Employee_Attrition[[#This Row],[Age]]&gt;=18,"18-20"))))))</f>
        <v>40-49</v>
      </c>
      <c r="AK1447" t="str" cm="1">
        <f t="array" ref="AK1447">_xlfn.IFS(HR_Employee_Attrition[[#This Row],[YearsAtCompany]]&lt;=2,"0-2",HR_Employee_Attrition[[#This Row],[YearsAtCompany]]&lt;=5,"3-5",HR_Employee_Attrition[[#This Row],[YearsAtCompany]]&lt;=10,"6-10",HR_Employee_Attrition[[#This Row],[YearsAtCompany]]&gt;10,"10+")</f>
        <v>10+</v>
      </c>
      <c r="AL1447" t="str" cm="1">
        <f t="array" ref="AL144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447">
        <f>IF(HR_Employee_Attrition[[#This Row],[Attrition]]="Yes",1,0)</f>
        <v>0</v>
      </c>
    </row>
    <row r="1448" spans="1:39"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IF(HR_Employee_Attrition[[#This Row],[Age]]&gt;60,"60+",IF(HR_Employee_Attrition[[#This Row],[Age]]&gt;=50,"50-59",IF(HR_Employee_Attrition[[#This Row],[Age]]&gt;=40,"40-49",IF(HR_Employee_Attrition[[#This Row],[Age]]&gt;=30,"30-39",IF(HR_Employee_Attrition[[#This Row],[Age]]&gt;=20,"20-29",IF(HR_Employee_Attrition[[#This Row],[Age]]&gt;=18,"18-20"))))))</f>
        <v>30-39</v>
      </c>
      <c r="AK1448" t="str" cm="1">
        <f t="array" ref="AK1448">_xlfn.IFS(HR_Employee_Attrition[[#This Row],[YearsAtCompany]]&lt;=2,"0-2",HR_Employee_Attrition[[#This Row],[YearsAtCompany]]&lt;=5,"3-5",HR_Employee_Attrition[[#This Row],[YearsAtCompany]]&lt;=10,"6-10",HR_Employee_Attrition[[#This Row],[YearsAtCompany]]&gt;10,"10+")</f>
        <v>6-10</v>
      </c>
      <c r="AL1448" t="str" cm="1">
        <f t="array" ref="AL144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48">
        <f>IF(HR_Employee_Attrition[[#This Row],[Attrition]]="Yes",1,0)</f>
        <v>0</v>
      </c>
    </row>
    <row r="1449" spans="1:39"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IF(HR_Employee_Attrition[[#This Row],[Age]]&gt;60,"60+",IF(HR_Employee_Attrition[[#This Row],[Age]]&gt;=50,"50-59",IF(HR_Employee_Attrition[[#This Row],[Age]]&gt;=40,"40-49",IF(HR_Employee_Attrition[[#This Row],[Age]]&gt;=30,"30-39",IF(HR_Employee_Attrition[[#This Row],[Age]]&gt;=20,"20-29",IF(HR_Employee_Attrition[[#This Row],[Age]]&gt;=18,"18-20"))))))</f>
        <v>30-39</v>
      </c>
      <c r="AK1449" t="str" cm="1">
        <f t="array" ref="AK1449">_xlfn.IFS(HR_Employee_Attrition[[#This Row],[YearsAtCompany]]&lt;=2,"0-2",HR_Employee_Attrition[[#This Row],[YearsAtCompany]]&lt;=5,"3-5",HR_Employee_Attrition[[#This Row],[YearsAtCompany]]&lt;=10,"6-10",HR_Employee_Attrition[[#This Row],[YearsAtCompany]]&gt;10,"10+")</f>
        <v>10+</v>
      </c>
      <c r="AL1449" t="str" cm="1">
        <f t="array" ref="AL144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49">
        <f>IF(HR_Employee_Attrition[[#This Row],[Attrition]]="Yes",1,0)</f>
        <v>0</v>
      </c>
    </row>
    <row r="1450" spans="1:39"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IF(HR_Employee_Attrition[[#This Row],[Age]]&gt;60,"60+",IF(HR_Employee_Attrition[[#This Row],[Age]]&gt;=50,"50-59",IF(HR_Employee_Attrition[[#This Row],[Age]]&gt;=40,"40-49",IF(HR_Employee_Attrition[[#This Row],[Age]]&gt;=30,"30-39",IF(HR_Employee_Attrition[[#This Row],[Age]]&gt;=20,"20-29",IF(HR_Employee_Attrition[[#This Row],[Age]]&gt;=18,"18-20"))))))</f>
        <v>40-49</v>
      </c>
      <c r="AK1450" t="str" cm="1">
        <f t="array" ref="AK1450">_xlfn.IFS(HR_Employee_Attrition[[#This Row],[YearsAtCompany]]&lt;=2,"0-2",HR_Employee_Attrition[[#This Row],[YearsAtCompany]]&lt;=5,"3-5",HR_Employee_Attrition[[#This Row],[YearsAtCompany]]&lt;=10,"6-10",HR_Employee_Attrition[[#This Row],[YearsAtCompany]]&gt;10,"10+")</f>
        <v>3-5</v>
      </c>
      <c r="AL1450" t="str" cm="1">
        <f t="array" ref="AL145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50">
        <f>IF(HR_Employee_Attrition[[#This Row],[Attrition]]="Yes",1,0)</f>
        <v>0</v>
      </c>
    </row>
    <row r="1451" spans="1:39"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IF(HR_Employee_Attrition[[#This Row],[Age]]&gt;60,"60+",IF(HR_Employee_Attrition[[#This Row],[Age]]&gt;=50,"50-59",IF(HR_Employee_Attrition[[#This Row],[Age]]&gt;=40,"40-49",IF(HR_Employee_Attrition[[#This Row],[Age]]&gt;=30,"30-39",IF(HR_Employee_Attrition[[#This Row],[Age]]&gt;=20,"20-29",IF(HR_Employee_Attrition[[#This Row],[Age]]&gt;=18,"18-20"))))))</f>
        <v>30-39</v>
      </c>
      <c r="AK1451" t="str" cm="1">
        <f t="array" ref="AK1451">_xlfn.IFS(HR_Employee_Attrition[[#This Row],[YearsAtCompany]]&lt;=2,"0-2",HR_Employee_Attrition[[#This Row],[YearsAtCompany]]&lt;=5,"3-5",HR_Employee_Attrition[[#This Row],[YearsAtCompany]]&lt;=10,"6-10",HR_Employee_Attrition[[#This Row],[YearsAtCompany]]&gt;10,"10+")</f>
        <v>3-5</v>
      </c>
      <c r="AL1451" t="str" cm="1">
        <f t="array" ref="AL145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51">
        <f>IF(HR_Employee_Attrition[[#This Row],[Attrition]]="Yes",1,0)</f>
        <v>0</v>
      </c>
    </row>
    <row r="1452" spans="1:39"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IF(HR_Employee_Attrition[[#This Row],[Age]]&gt;60,"60+",IF(HR_Employee_Attrition[[#This Row],[Age]]&gt;=50,"50-59",IF(HR_Employee_Attrition[[#This Row],[Age]]&gt;=40,"40-49",IF(HR_Employee_Attrition[[#This Row],[Age]]&gt;=30,"30-39",IF(HR_Employee_Attrition[[#This Row],[Age]]&gt;=20,"20-29",IF(HR_Employee_Attrition[[#This Row],[Age]]&gt;=18,"18-20"))))))</f>
        <v>30-39</v>
      </c>
      <c r="AK1452" t="str" cm="1">
        <f t="array" ref="AK1452">_xlfn.IFS(HR_Employee_Attrition[[#This Row],[YearsAtCompany]]&lt;=2,"0-2",HR_Employee_Attrition[[#This Row],[YearsAtCompany]]&lt;=5,"3-5",HR_Employee_Attrition[[#This Row],[YearsAtCompany]]&lt;=10,"6-10",HR_Employee_Attrition[[#This Row],[YearsAtCompany]]&gt;10,"10+")</f>
        <v>6-10</v>
      </c>
      <c r="AL1452" t="str" cm="1">
        <f t="array" ref="AL145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52">
        <f>IF(HR_Employee_Attrition[[#This Row],[Attrition]]="Yes",1,0)</f>
        <v>0</v>
      </c>
    </row>
    <row r="1453" spans="1:39"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IF(HR_Employee_Attrition[[#This Row],[Age]]&gt;60,"60+",IF(HR_Employee_Attrition[[#This Row],[Age]]&gt;=50,"50-59",IF(HR_Employee_Attrition[[#This Row],[Age]]&gt;=40,"40-49",IF(HR_Employee_Attrition[[#This Row],[Age]]&gt;=30,"30-39",IF(HR_Employee_Attrition[[#This Row],[Age]]&gt;=20,"20-29",IF(HR_Employee_Attrition[[#This Row],[Age]]&gt;=18,"18-20"))))))</f>
        <v>30-39</v>
      </c>
      <c r="AK1453" t="str" cm="1">
        <f t="array" ref="AK1453">_xlfn.IFS(HR_Employee_Attrition[[#This Row],[YearsAtCompany]]&lt;=2,"0-2",HR_Employee_Attrition[[#This Row],[YearsAtCompany]]&lt;=5,"3-5",HR_Employee_Attrition[[#This Row],[YearsAtCompany]]&lt;=10,"6-10",HR_Employee_Attrition[[#This Row],[YearsAtCompany]]&gt;10,"10+")</f>
        <v>6-10</v>
      </c>
      <c r="AL1453" t="str" cm="1">
        <f t="array" ref="AL145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53">
        <f>IF(HR_Employee_Attrition[[#This Row],[Attrition]]="Yes",1,0)</f>
        <v>0</v>
      </c>
    </row>
    <row r="1454" spans="1:39"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IF(HR_Employee_Attrition[[#This Row],[Age]]&gt;60,"60+",IF(HR_Employee_Attrition[[#This Row],[Age]]&gt;=50,"50-59",IF(HR_Employee_Attrition[[#This Row],[Age]]&gt;=40,"40-49",IF(HR_Employee_Attrition[[#This Row],[Age]]&gt;=30,"30-39",IF(HR_Employee_Attrition[[#This Row],[Age]]&gt;=20,"20-29",IF(HR_Employee_Attrition[[#This Row],[Age]]&gt;=18,"18-20"))))))</f>
        <v>50-59</v>
      </c>
      <c r="AK1454" t="str" cm="1">
        <f t="array" ref="AK1454">_xlfn.IFS(HR_Employee_Attrition[[#This Row],[YearsAtCompany]]&lt;=2,"0-2",HR_Employee_Attrition[[#This Row],[YearsAtCompany]]&lt;=5,"3-5",HR_Employee_Attrition[[#This Row],[YearsAtCompany]]&lt;=10,"6-10",HR_Employee_Attrition[[#This Row],[YearsAtCompany]]&gt;10,"10+")</f>
        <v>6-10</v>
      </c>
      <c r="AL1454" t="str" cm="1">
        <f t="array" ref="AL145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54">
        <f>IF(HR_Employee_Attrition[[#This Row],[Attrition]]="Yes",1,0)</f>
        <v>1</v>
      </c>
    </row>
    <row r="1455" spans="1:39"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IF(HR_Employee_Attrition[[#This Row],[Age]]&gt;60,"60+",IF(HR_Employee_Attrition[[#This Row],[Age]]&gt;=50,"50-59",IF(HR_Employee_Attrition[[#This Row],[Age]]&gt;=40,"40-49",IF(HR_Employee_Attrition[[#This Row],[Age]]&gt;=30,"30-39",IF(HR_Employee_Attrition[[#This Row],[Age]]&gt;=20,"20-29",IF(HR_Employee_Attrition[[#This Row],[Age]]&gt;=18,"18-20"))))))</f>
        <v>30-39</v>
      </c>
      <c r="AK1455" t="str" cm="1">
        <f t="array" ref="AK1455">_xlfn.IFS(HR_Employee_Attrition[[#This Row],[YearsAtCompany]]&lt;=2,"0-2",HR_Employee_Attrition[[#This Row],[YearsAtCompany]]&lt;=5,"3-5",HR_Employee_Attrition[[#This Row],[YearsAtCompany]]&lt;=10,"6-10",HR_Employee_Attrition[[#This Row],[YearsAtCompany]]&gt;10,"10+")</f>
        <v>6-10</v>
      </c>
      <c r="AL1455" t="str" cm="1">
        <f t="array" ref="AL145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55">
        <f>IF(HR_Employee_Attrition[[#This Row],[Attrition]]="Yes",1,0)</f>
        <v>0</v>
      </c>
    </row>
    <row r="1456" spans="1:39"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IF(HR_Employee_Attrition[[#This Row],[Age]]&gt;60,"60+",IF(HR_Employee_Attrition[[#This Row],[Age]]&gt;=50,"50-59",IF(HR_Employee_Attrition[[#This Row],[Age]]&gt;=40,"40-49",IF(HR_Employee_Attrition[[#This Row],[Age]]&gt;=30,"30-39",IF(HR_Employee_Attrition[[#This Row],[Age]]&gt;=20,"20-29",IF(HR_Employee_Attrition[[#This Row],[Age]]&gt;=18,"18-20"))))))</f>
        <v>40-49</v>
      </c>
      <c r="AK1456" t="str" cm="1">
        <f t="array" ref="AK1456">_xlfn.IFS(HR_Employee_Attrition[[#This Row],[YearsAtCompany]]&lt;=2,"0-2",HR_Employee_Attrition[[#This Row],[YearsAtCompany]]&lt;=5,"3-5",HR_Employee_Attrition[[#This Row],[YearsAtCompany]]&lt;=10,"6-10",HR_Employee_Attrition[[#This Row],[YearsAtCompany]]&gt;10,"10+")</f>
        <v>3-5</v>
      </c>
      <c r="AL1456" t="str" cm="1">
        <f t="array" ref="AL145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56">
        <f>IF(HR_Employee_Attrition[[#This Row],[Attrition]]="Yes",1,0)</f>
        <v>0</v>
      </c>
    </row>
    <row r="1457" spans="1:39"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IF(HR_Employee_Attrition[[#This Row],[Age]]&gt;60,"60+",IF(HR_Employee_Attrition[[#This Row],[Age]]&gt;=50,"50-59",IF(HR_Employee_Attrition[[#This Row],[Age]]&gt;=40,"40-49",IF(HR_Employee_Attrition[[#This Row],[Age]]&gt;=30,"30-39",IF(HR_Employee_Attrition[[#This Row],[Age]]&gt;=20,"20-29",IF(HR_Employee_Attrition[[#This Row],[Age]]&gt;=18,"18-20"))))))</f>
        <v>40-49</v>
      </c>
      <c r="AK1457" t="str" cm="1">
        <f t="array" ref="AK1457">_xlfn.IFS(HR_Employee_Attrition[[#This Row],[YearsAtCompany]]&lt;=2,"0-2",HR_Employee_Attrition[[#This Row],[YearsAtCompany]]&lt;=5,"3-5",HR_Employee_Attrition[[#This Row],[YearsAtCompany]]&lt;=10,"6-10",HR_Employee_Attrition[[#This Row],[YearsAtCompany]]&gt;10,"10+")</f>
        <v>0-2</v>
      </c>
      <c r="AL1457" t="str" cm="1">
        <f t="array" ref="AL145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57">
        <f>IF(HR_Employee_Attrition[[#This Row],[Attrition]]="Yes",1,0)</f>
        <v>0</v>
      </c>
    </row>
    <row r="1458" spans="1:39"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IF(HR_Employee_Attrition[[#This Row],[Age]]&gt;60,"60+",IF(HR_Employee_Attrition[[#This Row],[Age]]&gt;=50,"50-59",IF(HR_Employee_Attrition[[#This Row],[Age]]&gt;=40,"40-49",IF(HR_Employee_Attrition[[#This Row],[Age]]&gt;=30,"30-39",IF(HR_Employee_Attrition[[#This Row],[Age]]&gt;=20,"20-29",IF(HR_Employee_Attrition[[#This Row],[Age]]&gt;=18,"18-20"))))))</f>
        <v>30-39</v>
      </c>
      <c r="AK1458" t="str" cm="1">
        <f t="array" ref="AK1458">_xlfn.IFS(HR_Employee_Attrition[[#This Row],[YearsAtCompany]]&lt;=2,"0-2",HR_Employee_Attrition[[#This Row],[YearsAtCompany]]&lt;=5,"3-5",HR_Employee_Attrition[[#This Row],[YearsAtCompany]]&lt;=10,"6-10",HR_Employee_Attrition[[#This Row],[YearsAtCompany]]&gt;10,"10+")</f>
        <v>6-10</v>
      </c>
      <c r="AL1458" t="str" cm="1">
        <f t="array" ref="AL145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58">
        <f>IF(HR_Employee_Attrition[[#This Row],[Attrition]]="Yes",1,0)</f>
        <v>0</v>
      </c>
    </row>
    <row r="1459" spans="1:39"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IF(HR_Employee_Attrition[[#This Row],[Age]]&gt;60,"60+",IF(HR_Employee_Attrition[[#This Row],[Age]]&gt;=50,"50-59",IF(HR_Employee_Attrition[[#This Row],[Age]]&gt;=40,"40-49",IF(HR_Employee_Attrition[[#This Row],[Age]]&gt;=30,"30-39",IF(HR_Employee_Attrition[[#This Row],[Age]]&gt;=20,"20-29",IF(HR_Employee_Attrition[[#This Row],[Age]]&gt;=18,"18-20"))))))</f>
        <v>40-49</v>
      </c>
      <c r="AK1459" t="str" cm="1">
        <f t="array" ref="AK1459">_xlfn.IFS(HR_Employee_Attrition[[#This Row],[YearsAtCompany]]&lt;=2,"0-2",HR_Employee_Attrition[[#This Row],[YearsAtCompany]]&lt;=5,"3-5",HR_Employee_Attrition[[#This Row],[YearsAtCompany]]&lt;=10,"6-10",HR_Employee_Attrition[[#This Row],[YearsAtCompany]]&gt;10,"10+")</f>
        <v>3-5</v>
      </c>
      <c r="AL1459" t="str" cm="1">
        <f t="array" ref="AL145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59">
        <f>IF(HR_Employee_Attrition[[#This Row],[Attrition]]="Yes",1,0)</f>
        <v>0</v>
      </c>
    </row>
    <row r="1460" spans="1:39"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IF(HR_Employee_Attrition[[#This Row],[Age]]&gt;60,"60+",IF(HR_Employee_Attrition[[#This Row],[Age]]&gt;=50,"50-59",IF(HR_Employee_Attrition[[#This Row],[Age]]&gt;=40,"40-49",IF(HR_Employee_Attrition[[#This Row],[Age]]&gt;=30,"30-39",IF(HR_Employee_Attrition[[#This Row],[Age]]&gt;=20,"20-29",IF(HR_Employee_Attrition[[#This Row],[Age]]&gt;=18,"18-20"))))))</f>
        <v>30-39</v>
      </c>
      <c r="AK1460" t="str" cm="1">
        <f t="array" ref="AK1460">_xlfn.IFS(HR_Employee_Attrition[[#This Row],[YearsAtCompany]]&lt;=2,"0-2",HR_Employee_Attrition[[#This Row],[YearsAtCompany]]&lt;=5,"3-5",HR_Employee_Attrition[[#This Row],[YearsAtCompany]]&lt;=10,"6-10",HR_Employee_Attrition[[#This Row],[YearsAtCompany]]&gt;10,"10+")</f>
        <v>3-5</v>
      </c>
      <c r="AL1460" t="str" cm="1">
        <f t="array" ref="AL146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60">
        <f>IF(HR_Employee_Attrition[[#This Row],[Attrition]]="Yes",1,0)</f>
        <v>0</v>
      </c>
    </row>
    <row r="1461" spans="1:39"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IF(HR_Employee_Attrition[[#This Row],[Age]]&gt;60,"60+",IF(HR_Employee_Attrition[[#This Row],[Age]]&gt;=50,"50-59",IF(HR_Employee_Attrition[[#This Row],[Age]]&gt;=40,"40-49",IF(HR_Employee_Attrition[[#This Row],[Age]]&gt;=30,"30-39",IF(HR_Employee_Attrition[[#This Row],[Age]]&gt;=20,"20-29",IF(HR_Employee_Attrition[[#This Row],[Age]]&gt;=18,"18-20"))))))</f>
        <v>20-29</v>
      </c>
      <c r="AK1461" t="str" cm="1">
        <f t="array" ref="AK1461">_xlfn.IFS(HR_Employee_Attrition[[#This Row],[YearsAtCompany]]&lt;=2,"0-2",HR_Employee_Attrition[[#This Row],[YearsAtCompany]]&lt;=5,"3-5",HR_Employee_Attrition[[#This Row],[YearsAtCompany]]&lt;=10,"6-10",HR_Employee_Attrition[[#This Row],[YearsAtCompany]]&gt;10,"10+")</f>
        <v>3-5</v>
      </c>
      <c r="AL1461" t="str" cm="1">
        <f t="array" ref="AL146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61">
        <f>IF(HR_Employee_Attrition[[#This Row],[Attrition]]="Yes",1,0)</f>
        <v>0</v>
      </c>
    </row>
    <row r="1462" spans="1:39"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IF(HR_Employee_Attrition[[#This Row],[Age]]&gt;60,"60+",IF(HR_Employee_Attrition[[#This Row],[Age]]&gt;=50,"50-59",IF(HR_Employee_Attrition[[#This Row],[Age]]&gt;=40,"40-49",IF(HR_Employee_Attrition[[#This Row],[Age]]&gt;=30,"30-39",IF(HR_Employee_Attrition[[#This Row],[Age]]&gt;=20,"20-29",IF(HR_Employee_Attrition[[#This Row],[Age]]&gt;=18,"18-20"))))))</f>
        <v>20-29</v>
      </c>
      <c r="AK1462" t="str" cm="1">
        <f t="array" ref="AK1462">_xlfn.IFS(HR_Employee_Attrition[[#This Row],[YearsAtCompany]]&lt;=2,"0-2",HR_Employee_Attrition[[#This Row],[YearsAtCompany]]&lt;=5,"3-5",HR_Employee_Attrition[[#This Row],[YearsAtCompany]]&lt;=10,"6-10",HR_Employee_Attrition[[#This Row],[YearsAtCompany]]&gt;10,"10+")</f>
        <v>3-5</v>
      </c>
      <c r="AL1462" t="str" cm="1">
        <f t="array" ref="AL1462">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62">
        <f>IF(HR_Employee_Attrition[[#This Row],[Attrition]]="Yes",1,0)</f>
        <v>0</v>
      </c>
    </row>
    <row r="1463" spans="1:39"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IF(HR_Employee_Attrition[[#This Row],[Age]]&gt;60,"60+",IF(HR_Employee_Attrition[[#This Row],[Age]]&gt;=50,"50-59",IF(HR_Employee_Attrition[[#This Row],[Age]]&gt;=40,"40-49",IF(HR_Employee_Attrition[[#This Row],[Age]]&gt;=30,"30-39",IF(HR_Employee_Attrition[[#This Row],[Age]]&gt;=20,"20-29",IF(HR_Employee_Attrition[[#This Row],[Age]]&gt;=18,"18-20"))))))</f>
        <v>50-59</v>
      </c>
      <c r="AK1463" t="str" cm="1">
        <f t="array" ref="AK1463">_xlfn.IFS(HR_Employee_Attrition[[#This Row],[YearsAtCompany]]&lt;=2,"0-2",HR_Employee_Attrition[[#This Row],[YearsAtCompany]]&lt;=5,"3-5",HR_Employee_Attrition[[#This Row],[YearsAtCompany]]&lt;=10,"6-10",HR_Employee_Attrition[[#This Row],[YearsAtCompany]]&gt;10,"10+")</f>
        <v>3-5</v>
      </c>
      <c r="AL1463" t="str" cm="1">
        <f t="array" ref="AL1463">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463">
        <f>IF(HR_Employee_Attrition[[#This Row],[Attrition]]="Yes",1,0)</f>
        <v>1</v>
      </c>
    </row>
    <row r="1464" spans="1:39"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IF(HR_Employee_Attrition[[#This Row],[Age]]&gt;60,"60+",IF(HR_Employee_Attrition[[#This Row],[Age]]&gt;=50,"50-59",IF(HR_Employee_Attrition[[#This Row],[Age]]&gt;=40,"40-49",IF(HR_Employee_Attrition[[#This Row],[Age]]&gt;=30,"30-39",IF(HR_Employee_Attrition[[#This Row],[Age]]&gt;=20,"20-29",IF(HR_Employee_Attrition[[#This Row],[Age]]&gt;=18,"18-20"))))))</f>
        <v>30-39</v>
      </c>
      <c r="AK1464" t="str" cm="1">
        <f t="array" ref="AK1464">_xlfn.IFS(HR_Employee_Attrition[[#This Row],[YearsAtCompany]]&lt;=2,"0-2",HR_Employee_Attrition[[#This Row],[YearsAtCompany]]&lt;=5,"3-5",HR_Employee_Attrition[[#This Row],[YearsAtCompany]]&lt;=10,"6-10",HR_Employee_Attrition[[#This Row],[YearsAtCompany]]&gt;10,"10+")</f>
        <v>10+</v>
      </c>
      <c r="AL1464" t="str" cm="1">
        <f t="array" ref="AL1464">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10001-15000</v>
      </c>
      <c r="AM1464">
        <f>IF(HR_Employee_Attrition[[#This Row],[Attrition]]="Yes",1,0)</f>
        <v>0</v>
      </c>
    </row>
    <row r="1465" spans="1:39"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IF(HR_Employee_Attrition[[#This Row],[Age]]&gt;60,"60+",IF(HR_Employee_Attrition[[#This Row],[Age]]&gt;=50,"50-59",IF(HR_Employee_Attrition[[#This Row],[Age]]&gt;=40,"40-49",IF(HR_Employee_Attrition[[#This Row],[Age]]&gt;=30,"30-39",IF(HR_Employee_Attrition[[#This Row],[Age]]&gt;=20,"20-29",IF(HR_Employee_Attrition[[#This Row],[Age]]&gt;=18,"18-20"))))))</f>
        <v>30-39</v>
      </c>
      <c r="AK1465" t="str" cm="1">
        <f t="array" ref="AK1465">_xlfn.IFS(HR_Employee_Attrition[[#This Row],[YearsAtCompany]]&lt;=2,"0-2",HR_Employee_Attrition[[#This Row],[YearsAtCompany]]&lt;=5,"3-5",HR_Employee_Attrition[[#This Row],[YearsAtCompany]]&lt;=10,"6-10",HR_Employee_Attrition[[#This Row],[YearsAtCompany]]&gt;10,"10+")</f>
        <v>6-10</v>
      </c>
      <c r="AL1465" t="str" cm="1">
        <f t="array" ref="AL1465">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65">
        <f>IF(HR_Employee_Attrition[[#This Row],[Attrition]]="Yes",1,0)</f>
        <v>0</v>
      </c>
    </row>
    <row r="1466" spans="1:39"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IF(HR_Employee_Attrition[[#This Row],[Age]]&gt;60,"60+",IF(HR_Employee_Attrition[[#This Row],[Age]]&gt;=50,"50-59",IF(HR_Employee_Attrition[[#This Row],[Age]]&gt;=40,"40-49",IF(HR_Employee_Attrition[[#This Row],[Age]]&gt;=30,"30-39",IF(HR_Employee_Attrition[[#This Row],[Age]]&gt;=20,"20-29",IF(HR_Employee_Attrition[[#This Row],[Age]]&gt;=18,"18-20"))))))</f>
        <v>20-29</v>
      </c>
      <c r="AK1466" t="str" cm="1">
        <f t="array" ref="AK1466">_xlfn.IFS(HR_Employee_Attrition[[#This Row],[YearsAtCompany]]&lt;=2,"0-2",HR_Employee_Attrition[[#This Row],[YearsAtCompany]]&lt;=5,"3-5",HR_Employee_Attrition[[#This Row],[YearsAtCompany]]&lt;=10,"6-10",HR_Employee_Attrition[[#This Row],[YearsAtCompany]]&gt;10,"10+")</f>
        <v>3-5</v>
      </c>
      <c r="AL1466" t="str" cm="1">
        <f t="array" ref="AL1466">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66">
        <f>IF(HR_Employee_Attrition[[#This Row],[Attrition]]="Yes",1,0)</f>
        <v>0</v>
      </c>
    </row>
    <row r="1467" spans="1:39"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IF(HR_Employee_Attrition[[#This Row],[Age]]&gt;60,"60+",IF(HR_Employee_Attrition[[#This Row],[Age]]&gt;=50,"50-59",IF(HR_Employee_Attrition[[#This Row],[Age]]&gt;=40,"40-49",IF(HR_Employee_Attrition[[#This Row],[Age]]&gt;=30,"30-39",IF(HR_Employee_Attrition[[#This Row],[Age]]&gt;=20,"20-29",IF(HR_Employee_Attrition[[#This Row],[Age]]&gt;=18,"18-20"))))))</f>
        <v>30-39</v>
      </c>
      <c r="AK1467" t="str" cm="1">
        <f t="array" ref="AK1467">_xlfn.IFS(HR_Employee_Attrition[[#This Row],[YearsAtCompany]]&lt;=2,"0-2",HR_Employee_Attrition[[#This Row],[YearsAtCompany]]&lt;=5,"3-5",HR_Employee_Attrition[[#This Row],[YearsAtCompany]]&lt;=10,"6-10",HR_Employee_Attrition[[#This Row],[YearsAtCompany]]&gt;10,"10+")</f>
        <v>3-5</v>
      </c>
      <c r="AL1467" t="str" cm="1">
        <f t="array" ref="AL1467">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67">
        <f>IF(HR_Employee_Attrition[[#This Row],[Attrition]]="Yes",1,0)</f>
        <v>0</v>
      </c>
    </row>
    <row r="1468" spans="1:39"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IF(HR_Employee_Attrition[[#This Row],[Age]]&gt;60,"60+",IF(HR_Employee_Attrition[[#This Row],[Age]]&gt;=50,"50-59",IF(HR_Employee_Attrition[[#This Row],[Age]]&gt;=40,"40-49",IF(HR_Employee_Attrition[[#This Row],[Age]]&gt;=30,"30-39",IF(HR_Employee_Attrition[[#This Row],[Age]]&gt;=20,"20-29",IF(HR_Employee_Attrition[[#This Row],[Age]]&gt;=18,"18-20"))))))</f>
        <v>30-39</v>
      </c>
      <c r="AK1468" t="str" cm="1">
        <f t="array" ref="AK1468">_xlfn.IFS(HR_Employee_Attrition[[#This Row],[YearsAtCompany]]&lt;=2,"0-2",HR_Employee_Attrition[[#This Row],[YearsAtCompany]]&lt;=5,"3-5",HR_Employee_Attrition[[#This Row],[YearsAtCompany]]&lt;=10,"6-10",HR_Employee_Attrition[[#This Row],[YearsAtCompany]]&gt;10,"10+")</f>
        <v>6-10</v>
      </c>
      <c r="AL1468" t="str" cm="1">
        <f t="array" ref="AL1468">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68">
        <f>IF(HR_Employee_Attrition[[#This Row],[Attrition]]="Yes",1,0)</f>
        <v>0</v>
      </c>
    </row>
    <row r="1469" spans="1:39"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IF(HR_Employee_Attrition[[#This Row],[Age]]&gt;60,"60+",IF(HR_Employee_Attrition[[#This Row],[Age]]&gt;=50,"50-59",IF(HR_Employee_Attrition[[#This Row],[Age]]&gt;=40,"40-49",IF(HR_Employee_Attrition[[#This Row],[Age]]&gt;=30,"30-39",IF(HR_Employee_Attrition[[#This Row],[Age]]&gt;=20,"20-29",IF(HR_Employee_Attrition[[#This Row],[Age]]&gt;=18,"18-20"))))))</f>
        <v>20-29</v>
      </c>
      <c r="AK1469" t="str" cm="1">
        <f t="array" ref="AK1469">_xlfn.IFS(HR_Employee_Attrition[[#This Row],[YearsAtCompany]]&lt;=2,"0-2",HR_Employee_Attrition[[#This Row],[YearsAtCompany]]&lt;=5,"3-5",HR_Employee_Attrition[[#This Row],[YearsAtCompany]]&lt;=10,"6-10",HR_Employee_Attrition[[#This Row],[YearsAtCompany]]&gt;10,"10+")</f>
        <v>6-10</v>
      </c>
      <c r="AL1469" t="str" cm="1">
        <f t="array" ref="AL1469">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69">
        <f>IF(HR_Employee_Attrition[[#This Row],[Attrition]]="Yes",1,0)</f>
        <v>0</v>
      </c>
    </row>
    <row r="1470" spans="1:39"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IF(HR_Employee_Attrition[[#This Row],[Age]]&gt;60,"60+",IF(HR_Employee_Attrition[[#This Row],[Age]]&gt;=50,"50-59",IF(HR_Employee_Attrition[[#This Row],[Age]]&gt;=40,"40-49",IF(HR_Employee_Attrition[[#This Row],[Age]]&gt;=30,"30-39",IF(HR_Employee_Attrition[[#This Row],[Age]]&gt;=20,"20-29",IF(HR_Employee_Attrition[[#This Row],[Age]]&gt;=18,"18-20"))))))</f>
        <v>40-49</v>
      </c>
      <c r="AK1470" t="str" cm="1">
        <f t="array" ref="AK1470">_xlfn.IFS(HR_Employee_Attrition[[#This Row],[YearsAtCompany]]&lt;=2,"0-2",HR_Employee_Attrition[[#This Row],[YearsAtCompany]]&lt;=5,"3-5",HR_Employee_Attrition[[#This Row],[YearsAtCompany]]&lt;=10,"6-10",HR_Employee_Attrition[[#This Row],[YearsAtCompany]]&gt;10,"10+")</f>
        <v>6-10</v>
      </c>
      <c r="AL1470" t="str" cm="1">
        <f t="array" ref="AL1470">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5001-10000</v>
      </c>
      <c r="AM1470">
        <f>IF(HR_Employee_Attrition[[#This Row],[Attrition]]="Yes",1,0)</f>
        <v>0</v>
      </c>
    </row>
    <row r="1471" spans="1:39"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IF(HR_Employee_Attrition[[#This Row],[Age]]&gt;60,"60+",IF(HR_Employee_Attrition[[#This Row],[Age]]&gt;=50,"50-59",IF(HR_Employee_Attrition[[#This Row],[Age]]&gt;=40,"40-49",IF(HR_Employee_Attrition[[#This Row],[Age]]&gt;=30,"30-39",IF(HR_Employee_Attrition[[#This Row],[Age]]&gt;=20,"20-29",IF(HR_Employee_Attrition[[#This Row],[Age]]&gt;=18,"18-20"))))))</f>
        <v>30-39</v>
      </c>
      <c r="AK1471" t="str" cm="1">
        <f t="array" ref="AK1471">_xlfn.IFS(HR_Employee_Attrition[[#This Row],[YearsAtCompany]]&lt;=2,"0-2",HR_Employee_Attrition[[#This Row],[YearsAtCompany]]&lt;=5,"3-5",HR_Employee_Attrition[[#This Row],[YearsAtCompany]]&lt;=10,"6-10",HR_Employee_Attrition[[#This Row],[YearsAtCompany]]&gt;10,"10+")</f>
        <v>3-5</v>
      </c>
      <c r="AL1471" t="str" cm="1">
        <f t="array" ref="AL1471">_xlfn.IFS(HR_Employee_Attrition[[#This Row],[MonthlyIncome]]&lt;=1000,"max100",HR_Employee_Attrition[[#This Row],[MonthlyIncome]]&lt;=5000,"1000-5000",HR_Employee_Attrition[[#This Row],[MonthlyIncome]]&lt;=10000,"5001-10000",HR_Employee_Attrition[[#This Row],[MonthlyIncome]]&lt;=15000,"10001-15000",HR_Employee_Attrition[[#This Row],[MonthlyIncome]]&lt;=20000,"15001-20000",HR_Employee_Attrition[[#This Row],[MonthlyIncome]]&gt;20000,"20000+")</f>
        <v>1000-5000</v>
      </c>
      <c r="AM1471">
        <f>IF(HR_Employee_Attrition[[#This Row],[Attrition]]="Yes",1,0)</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53D3-EF73-47E1-98D2-B21B790BA8CA}">
  <sheetPr codeName="Sheet3"/>
  <dimension ref="A2:BZ282"/>
  <sheetViews>
    <sheetView tabSelected="1" topLeftCell="BE183" zoomScale="105" zoomScaleNormal="85" workbookViewId="0">
      <selection activeCell="BF192" sqref="BF192"/>
    </sheetView>
  </sheetViews>
  <sheetFormatPr defaultRowHeight="14.4" x14ac:dyDescent="0.3"/>
  <cols>
    <col min="3" max="4" width="14.5546875" bestFit="1" customWidth="1"/>
    <col min="5" max="5" width="23.44140625" bestFit="1" customWidth="1"/>
    <col min="6" max="6" width="10.109375" bestFit="1" customWidth="1"/>
    <col min="7" max="7" width="14.6640625" bestFit="1" customWidth="1"/>
    <col min="8" max="8" width="21.88671875" bestFit="1" customWidth="1"/>
    <col min="9" max="9" width="11.5546875" bestFit="1" customWidth="1"/>
    <col min="10" max="10" width="15.77734375" bestFit="1" customWidth="1"/>
    <col min="13" max="14" width="9.109375" bestFit="1" customWidth="1"/>
    <col min="15" max="15" width="7.44140625" bestFit="1" customWidth="1"/>
    <col min="16" max="16" width="17.33203125" bestFit="1" customWidth="1"/>
    <col min="17" max="17" width="7.109375" bestFit="1" customWidth="1"/>
    <col min="18" max="18" width="11.5546875" bestFit="1" customWidth="1"/>
    <col min="19" max="19" width="21.44140625" bestFit="1" customWidth="1"/>
    <col min="20" max="20" width="14.6640625" bestFit="1" customWidth="1"/>
    <col min="21" max="21" width="17.33203125" bestFit="1" customWidth="1"/>
    <col min="22" max="22" width="8.5546875" bestFit="1" customWidth="1"/>
    <col min="23" max="23" width="14.5546875" bestFit="1" customWidth="1"/>
    <col min="24" max="24" width="21.88671875" bestFit="1" customWidth="1"/>
    <col min="25" max="25" width="14.6640625" bestFit="1" customWidth="1"/>
    <col min="26" max="26" width="21.88671875" bestFit="1" customWidth="1"/>
    <col min="27" max="27" width="29.109375" bestFit="1" customWidth="1"/>
    <col min="28" max="28" width="7.33203125" bestFit="1" customWidth="1"/>
    <col min="29" max="29" width="10.77734375" bestFit="1" customWidth="1"/>
    <col min="30" max="30" width="11.5546875" bestFit="1" customWidth="1"/>
    <col min="31" max="31" width="33.5546875" bestFit="1" customWidth="1"/>
    <col min="32" max="32" width="13.5546875" bestFit="1" customWidth="1"/>
    <col min="33" max="33" width="15.77734375" bestFit="1" customWidth="1"/>
    <col min="34" max="39" width="3.21875" bestFit="1" customWidth="1"/>
    <col min="40" max="40" width="14.6640625" bestFit="1" customWidth="1"/>
    <col min="41" max="41" width="21.88671875" bestFit="1" customWidth="1"/>
    <col min="42" max="45" width="12.88671875" bestFit="1" customWidth="1"/>
    <col min="46" max="46" width="21.88671875" bestFit="1" customWidth="1"/>
    <col min="47" max="47" width="8.88671875" bestFit="1" customWidth="1"/>
    <col min="48" max="48" width="7.21875" bestFit="1" customWidth="1"/>
    <col min="49" max="49" width="8.88671875" bestFit="1" customWidth="1"/>
    <col min="50" max="50" width="5.6640625" bestFit="1" customWidth="1"/>
    <col min="51" max="51" width="21.33203125" bestFit="1" customWidth="1"/>
    <col min="52" max="52" width="8.88671875" bestFit="1" customWidth="1"/>
    <col min="53" max="55" width="7.21875" bestFit="1" customWidth="1"/>
    <col min="56" max="56" width="30.5546875" bestFit="1" customWidth="1"/>
    <col min="57" max="57" width="18.88671875" bestFit="1" customWidth="1"/>
    <col min="58" max="58" width="21.88671875" bestFit="1" customWidth="1"/>
    <col min="59" max="59" width="16.5546875" bestFit="1" customWidth="1"/>
    <col min="60" max="62" width="14.6640625" bestFit="1" customWidth="1"/>
    <col min="63" max="63" width="21.88671875" bestFit="1" customWidth="1"/>
    <col min="64" max="64" width="9.44140625" customWidth="1"/>
    <col min="65" max="65" width="27.6640625" bestFit="1" customWidth="1"/>
    <col min="66" max="66" width="14.6640625" bestFit="1" customWidth="1"/>
    <col min="67" max="67" width="21.88671875" bestFit="1" customWidth="1"/>
    <col min="68" max="70" width="5.6640625" bestFit="1" customWidth="1"/>
    <col min="71" max="71" width="11.21875" bestFit="1" customWidth="1"/>
    <col min="72" max="74" width="3" bestFit="1" customWidth="1"/>
    <col min="75" max="75" width="11.21875" bestFit="1" customWidth="1"/>
    <col min="76" max="76" width="14.6640625" bestFit="1" customWidth="1"/>
    <col min="77" max="77" width="21.88671875" bestFit="1" customWidth="1"/>
    <col min="78" max="78" width="16.5546875" bestFit="1" customWidth="1"/>
    <col min="79" max="79" width="16.44140625" bestFit="1" customWidth="1"/>
    <col min="80" max="80" width="14.6640625" bestFit="1" customWidth="1"/>
    <col min="81" max="81" width="21.88671875" bestFit="1" customWidth="1"/>
    <col min="82" max="82" width="16.44140625" bestFit="1" customWidth="1"/>
    <col min="83" max="83" width="18.6640625" bestFit="1" customWidth="1"/>
    <col min="84" max="84" width="21.88671875" bestFit="1" customWidth="1"/>
    <col min="85" max="87" width="16.44140625" bestFit="1" customWidth="1"/>
    <col min="88" max="88" width="11.21875" bestFit="1" customWidth="1"/>
    <col min="89" max="89" width="3.33203125" bestFit="1" customWidth="1"/>
    <col min="90" max="90" width="7" bestFit="1" customWidth="1"/>
    <col min="91" max="91" width="30.21875" bestFit="1" customWidth="1"/>
    <col min="92" max="92" width="26.6640625" bestFit="1" customWidth="1"/>
  </cols>
  <sheetData>
    <row r="2" spans="3:47" x14ac:dyDescent="0.3">
      <c r="L2" s="1" t="s">
        <v>1</v>
      </c>
      <c r="M2" t="s">
        <v>43</v>
      </c>
    </row>
    <row r="4" spans="3:47" x14ac:dyDescent="0.3">
      <c r="L4" s="1" t="s">
        <v>66</v>
      </c>
      <c r="M4" t="s">
        <v>68</v>
      </c>
    </row>
    <row r="5" spans="3:47" x14ac:dyDescent="0.3">
      <c r="L5" s="2" t="s">
        <v>55</v>
      </c>
      <c r="M5">
        <v>138</v>
      </c>
    </row>
    <row r="6" spans="3:47" x14ac:dyDescent="0.3">
      <c r="L6" s="2" t="s">
        <v>44</v>
      </c>
      <c r="M6">
        <v>208</v>
      </c>
    </row>
    <row r="7" spans="3:47" x14ac:dyDescent="0.3">
      <c r="L7" s="2" t="s">
        <v>36</v>
      </c>
      <c r="M7">
        <v>887</v>
      </c>
      <c r="O7" s="5">
        <f>AVERAGE(HR_Employee_Attrition[MonthlyIncome])</f>
        <v>6502.931292517007</v>
      </c>
    </row>
    <row r="8" spans="3:47" x14ac:dyDescent="0.3">
      <c r="C8" t="s">
        <v>62</v>
      </c>
      <c r="D8">
        <f>COUNTA(HR_Employee_Attrition[Attrition])</f>
        <v>1470</v>
      </c>
      <c r="G8" s="1" t="s">
        <v>68</v>
      </c>
      <c r="H8" s="1" t="s">
        <v>69</v>
      </c>
      <c r="L8" s="2" t="s">
        <v>67</v>
      </c>
      <c r="M8">
        <v>1233</v>
      </c>
    </row>
    <row r="9" spans="3:47" x14ac:dyDescent="0.3">
      <c r="G9" s="1" t="s">
        <v>66</v>
      </c>
      <c r="H9" t="s">
        <v>43</v>
      </c>
      <c r="I9" t="s">
        <v>67</v>
      </c>
    </row>
    <row r="10" spans="3:47" x14ac:dyDescent="0.3">
      <c r="C10" t="s">
        <v>63</v>
      </c>
      <c r="D10">
        <f>COUNTIF('HR-Employee-Attrition'!B1:B1471,"Yes")</f>
        <v>237</v>
      </c>
      <c r="G10" s="2" t="s">
        <v>61</v>
      </c>
      <c r="H10">
        <v>51</v>
      </c>
      <c r="I10">
        <v>51</v>
      </c>
      <c r="W10" s="1" t="s">
        <v>68</v>
      </c>
      <c r="X10" s="1" t="s">
        <v>69</v>
      </c>
    </row>
    <row r="11" spans="3:47" x14ac:dyDescent="0.3">
      <c r="G11" s="2" t="s">
        <v>45</v>
      </c>
      <c r="H11">
        <v>828</v>
      </c>
      <c r="I11">
        <v>828</v>
      </c>
      <c r="O11" s="1" t="s">
        <v>68</v>
      </c>
      <c r="P11" s="1" t="s">
        <v>69</v>
      </c>
      <c r="X11" t="s">
        <v>61</v>
      </c>
      <c r="Y11" t="s">
        <v>118</v>
      </c>
      <c r="Z11" t="s">
        <v>45</v>
      </c>
      <c r="AA11" t="s">
        <v>117</v>
      </c>
      <c r="AB11" t="s">
        <v>37</v>
      </c>
      <c r="AC11" t="s">
        <v>74</v>
      </c>
      <c r="AD11" t="s">
        <v>67</v>
      </c>
      <c r="AQ11" s="1" t="s">
        <v>1</v>
      </c>
      <c r="AR11" t="s">
        <v>65</v>
      </c>
    </row>
    <row r="12" spans="3:47" x14ac:dyDescent="0.3">
      <c r="G12" s="2" t="s">
        <v>37</v>
      </c>
      <c r="H12">
        <v>354</v>
      </c>
      <c r="I12">
        <v>354</v>
      </c>
      <c r="O12" s="1" t="s">
        <v>66</v>
      </c>
      <c r="P12" t="s">
        <v>43</v>
      </c>
      <c r="Q12" t="s">
        <v>35</v>
      </c>
      <c r="R12" t="s">
        <v>67</v>
      </c>
      <c r="W12" s="1" t="s">
        <v>66</v>
      </c>
      <c r="X12" t="s">
        <v>43</v>
      </c>
      <c r="Z12" t="s">
        <v>43</v>
      </c>
      <c r="AB12" t="s">
        <v>43</v>
      </c>
    </row>
    <row r="13" spans="3:47" x14ac:dyDescent="0.3">
      <c r="C13" t="s">
        <v>64</v>
      </c>
      <c r="D13">
        <f>(D10/D8)*100</f>
        <v>16.122448979591837</v>
      </c>
      <c r="G13" s="2" t="s">
        <v>67</v>
      </c>
      <c r="H13">
        <v>1233</v>
      </c>
      <c r="I13">
        <v>1233</v>
      </c>
      <c r="O13" s="2" t="s">
        <v>61</v>
      </c>
      <c r="P13">
        <v>39</v>
      </c>
      <c r="Q13">
        <v>12</v>
      </c>
      <c r="R13">
        <v>51</v>
      </c>
      <c r="S13">
        <f>GETPIVOTDATA("EmployeeCount",$O$11,"Department","Human Resources","OverTime","Yes")/GETPIVOTDATA("EmployeeCount",$O$11,"Department","Human Resources")*100</f>
        <v>23.52941176470588</v>
      </c>
      <c r="T13">
        <f>GETPIVOTDATA("EmployeeCount",$O$11,"Department","Human Resources","OverTime","Yes")/GETPIVOTDATA("EmployeeCount",$O$11,"Department","Human Resources")*100</f>
        <v>23.52941176470588</v>
      </c>
      <c r="W13" s="2" t="s">
        <v>55</v>
      </c>
      <c r="X13">
        <v>6</v>
      </c>
      <c r="Y13">
        <v>6</v>
      </c>
      <c r="Z13">
        <v>89</v>
      </c>
      <c r="AA13">
        <v>89</v>
      </c>
      <c r="AB13">
        <v>43</v>
      </c>
      <c r="AC13">
        <v>43</v>
      </c>
      <c r="AD13">
        <v>138</v>
      </c>
      <c r="AQ13" s="1" t="s">
        <v>68</v>
      </c>
      <c r="AR13" s="1" t="s">
        <v>69</v>
      </c>
    </row>
    <row r="14" spans="3:47" x14ac:dyDescent="0.3">
      <c r="O14" s="2" t="s">
        <v>45</v>
      </c>
      <c r="P14">
        <v>631</v>
      </c>
      <c r="Q14">
        <v>197</v>
      </c>
      <c r="R14">
        <v>828</v>
      </c>
      <c r="S14">
        <f>GETPIVOTDATA("EmployeeCount",$O$11,"Department","Research &amp; Development","OverTime","Yes")/GETPIVOTDATA("EmployeeCount",$O$11,"Department","Research &amp; Development")*100</f>
        <v>23.792270531400966</v>
      </c>
      <c r="T14">
        <f>GETPIVOTDATA("EmployeeCount",$O$11,"Department","Research &amp; Development","OverTime","Yes")/GETPIVOTDATA("EmployeeCount",$O$11,"Department","Research &amp; Development")*100</f>
        <v>23.792270531400966</v>
      </c>
      <c r="W14" s="2" t="s">
        <v>44</v>
      </c>
      <c r="X14">
        <v>7</v>
      </c>
      <c r="Y14">
        <v>7</v>
      </c>
      <c r="Z14">
        <v>145</v>
      </c>
      <c r="AA14">
        <v>145</v>
      </c>
      <c r="AB14">
        <v>56</v>
      </c>
      <c r="AC14">
        <v>56</v>
      </c>
      <c r="AD14">
        <v>208</v>
      </c>
      <c r="AQ14" s="1" t="s">
        <v>66</v>
      </c>
      <c r="AR14" t="s">
        <v>61</v>
      </c>
      <c r="AS14" t="s">
        <v>45</v>
      </c>
      <c r="AT14" t="s">
        <v>37</v>
      </c>
      <c r="AU14" t="s">
        <v>67</v>
      </c>
    </row>
    <row r="15" spans="3:47" x14ac:dyDescent="0.3">
      <c r="O15" s="2" t="s">
        <v>37</v>
      </c>
      <c r="P15">
        <v>274</v>
      </c>
      <c r="Q15">
        <v>80</v>
      </c>
      <c r="R15">
        <v>354</v>
      </c>
      <c r="S15">
        <f>GETPIVOTDATA("EmployeeCount",$O$11,"Department","Sales","OverTime","Yes")/GETPIVOTDATA("EmployeeCount",$O$11,"Department","Sales")*100</f>
        <v>22.598870056497177</v>
      </c>
      <c r="T15">
        <f>GETPIVOTDATA("EmployeeCount",$O$11,"Department","Sales","OverTime","Yes")/GETPIVOTDATA("EmployeeCount",$O$11,"Department","Sales")*100</f>
        <v>22.598870056497177</v>
      </c>
      <c r="W15" s="2" t="s">
        <v>36</v>
      </c>
      <c r="X15">
        <v>38</v>
      </c>
      <c r="Y15">
        <v>38</v>
      </c>
      <c r="Z15">
        <v>594</v>
      </c>
      <c r="AA15">
        <v>594</v>
      </c>
      <c r="AB15">
        <v>255</v>
      </c>
      <c r="AC15">
        <v>255</v>
      </c>
      <c r="AD15">
        <v>887</v>
      </c>
      <c r="AQ15" s="2" t="s">
        <v>55</v>
      </c>
      <c r="AR15">
        <v>6</v>
      </c>
      <c r="AS15">
        <v>97</v>
      </c>
      <c r="AT15">
        <v>47</v>
      </c>
      <c r="AU15">
        <v>150</v>
      </c>
    </row>
    <row r="16" spans="3:47" x14ac:dyDescent="0.3">
      <c r="O16" s="2" t="s">
        <v>67</v>
      </c>
      <c r="P16">
        <v>944</v>
      </c>
      <c r="Q16">
        <v>289</v>
      </c>
      <c r="R16">
        <v>1233</v>
      </c>
      <c r="W16" s="2" t="s">
        <v>67</v>
      </c>
      <c r="X16">
        <v>51</v>
      </c>
      <c r="Y16">
        <v>51</v>
      </c>
      <c r="Z16">
        <v>828</v>
      </c>
      <c r="AA16">
        <v>828</v>
      </c>
      <c r="AB16">
        <v>354</v>
      </c>
      <c r="AC16">
        <v>354</v>
      </c>
      <c r="AD16">
        <v>1233</v>
      </c>
      <c r="AQ16" s="2" t="s">
        <v>44</v>
      </c>
      <c r="AR16">
        <v>11</v>
      </c>
      <c r="AS16">
        <v>182</v>
      </c>
      <c r="AT16">
        <v>84</v>
      </c>
      <c r="AU16">
        <v>277</v>
      </c>
    </row>
    <row r="17" spans="3:66" x14ac:dyDescent="0.3">
      <c r="AQ17" s="2" t="s">
        <v>36</v>
      </c>
      <c r="AR17">
        <v>46</v>
      </c>
      <c r="AS17">
        <v>682</v>
      </c>
      <c r="AT17">
        <v>315</v>
      </c>
      <c r="AU17">
        <v>1043</v>
      </c>
    </row>
    <row r="18" spans="3:66" x14ac:dyDescent="0.3">
      <c r="C18" t="s">
        <v>90</v>
      </c>
      <c r="AQ18" s="2" t="s">
        <v>67</v>
      </c>
      <c r="AR18">
        <v>63</v>
      </c>
      <c r="AS18">
        <v>961</v>
      </c>
      <c r="AT18">
        <v>446</v>
      </c>
      <c r="AU18">
        <v>1470</v>
      </c>
    </row>
    <row r="21" spans="3:66" x14ac:dyDescent="0.3">
      <c r="W21" s="1" t="s">
        <v>0</v>
      </c>
      <c r="X21" t="s">
        <v>65</v>
      </c>
    </row>
    <row r="22" spans="3:66" x14ac:dyDescent="0.3">
      <c r="C22" t="s">
        <v>91</v>
      </c>
      <c r="E22">
        <f>AVERAGE(HR_Employee_Attrition[MonthlyIncome])</f>
        <v>6502.931292517007</v>
      </c>
    </row>
    <row r="23" spans="3:66" x14ac:dyDescent="0.3">
      <c r="W23" s="1" t="s">
        <v>66</v>
      </c>
      <c r="X23" t="s">
        <v>68</v>
      </c>
    </row>
    <row r="24" spans="3:66" x14ac:dyDescent="0.3">
      <c r="W24" s="2" t="s">
        <v>43</v>
      </c>
      <c r="X24">
        <v>1233</v>
      </c>
      <c r="AB24" t="s">
        <v>75</v>
      </c>
      <c r="AC24">
        <f>COUNT('HR-Employee-Attrition'!I1:I1471)</f>
        <v>1470</v>
      </c>
    </row>
    <row r="25" spans="3:66" x14ac:dyDescent="0.3">
      <c r="W25" s="2" t="s">
        <v>67</v>
      </c>
      <c r="X25">
        <v>1233</v>
      </c>
    </row>
    <row r="28" spans="3:66" x14ac:dyDescent="0.3">
      <c r="BM28" s="1" t="s">
        <v>1</v>
      </c>
      <c r="BN28" t="s">
        <v>43</v>
      </c>
    </row>
    <row r="29" spans="3:66" x14ac:dyDescent="0.3">
      <c r="AD29" s="1" t="s">
        <v>1</v>
      </c>
      <c r="AE29" t="s">
        <v>43</v>
      </c>
    </row>
    <row r="30" spans="3:66" x14ac:dyDescent="0.3">
      <c r="BM30" s="1" t="s">
        <v>66</v>
      </c>
      <c r="BN30" t="s">
        <v>68</v>
      </c>
    </row>
    <row r="31" spans="3:66" x14ac:dyDescent="0.3">
      <c r="G31" t="s">
        <v>70</v>
      </c>
      <c r="H31">
        <f>(12/63)*100</f>
        <v>19.047619047619047</v>
      </c>
      <c r="AD31" s="1" t="s">
        <v>66</v>
      </c>
      <c r="AE31" t="s">
        <v>76</v>
      </c>
      <c r="BM31" s="2" t="s">
        <v>61</v>
      </c>
      <c r="BN31">
        <v>40</v>
      </c>
    </row>
    <row r="32" spans="3:66" x14ac:dyDescent="0.3">
      <c r="G32" t="s">
        <v>71</v>
      </c>
      <c r="H32">
        <f>(133/961)*100</f>
        <v>13.839750260145681</v>
      </c>
      <c r="AD32" s="2" t="s">
        <v>61</v>
      </c>
      <c r="AE32">
        <v>2.7647058823529411</v>
      </c>
      <c r="BM32" s="2" t="s">
        <v>57</v>
      </c>
      <c r="BN32">
        <v>50</v>
      </c>
    </row>
    <row r="33" spans="3:66" x14ac:dyDescent="0.3">
      <c r="C33" t="s">
        <v>122</v>
      </c>
      <c r="G33" t="s">
        <v>72</v>
      </c>
      <c r="H33">
        <f>(92/446)*100</f>
        <v>20.627802690582961</v>
      </c>
      <c r="W33" s="1" t="s">
        <v>66</v>
      </c>
      <c r="X33" t="s">
        <v>68</v>
      </c>
      <c r="AD33" s="2" t="s">
        <v>45</v>
      </c>
      <c r="AE33">
        <v>2.78743961352657</v>
      </c>
      <c r="BM33" s="2" t="s">
        <v>58</v>
      </c>
      <c r="BN33">
        <v>78</v>
      </c>
    </row>
    <row r="34" spans="3:66" x14ac:dyDescent="0.3">
      <c r="C34" t="s">
        <v>113</v>
      </c>
      <c r="D34">
        <f>COUNTIF(HR_Employee_Attrition[Attrition],"YES")</f>
        <v>237</v>
      </c>
      <c r="W34" s="2" t="s">
        <v>61</v>
      </c>
      <c r="X34">
        <v>51</v>
      </c>
      <c r="AD34" s="2" t="s">
        <v>37</v>
      </c>
      <c r="AE34">
        <v>2.7344632768361583</v>
      </c>
      <c r="BM34" s="2" t="s">
        <v>56</v>
      </c>
      <c r="BN34">
        <v>97</v>
      </c>
    </row>
    <row r="35" spans="3:66" x14ac:dyDescent="0.3">
      <c r="C35" t="s">
        <v>114</v>
      </c>
      <c r="D35">
        <f>COUNTIF(HR_Employee_Attrition[Attrition],"No")</f>
        <v>1233</v>
      </c>
      <c r="W35" s="2" t="s">
        <v>45</v>
      </c>
      <c r="X35">
        <v>828</v>
      </c>
      <c r="AD35" s="2" t="s">
        <v>67</v>
      </c>
      <c r="AE35">
        <v>2.7712895377128954</v>
      </c>
      <c r="BM35" s="2" t="s">
        <v>54</v>
      </c>
      <c r="BN35">
        <v>122</v>
      </c>
    </row>
    <row r="36" spans="3:66" x14ac:dyDescent="0.3">
      <c r="O36" s="1" t="s">
        <v>77</v>
      </c>
      <c r="P36" s="1" t="s">
        <v>69</v>
      </c>
      <c r="W36" s="2" t="s">
        <v>37</v>
      </c>
      <c r="X36">
        <v>354</v>
      </c>
      <c r="BM36" s="2" t="s">
        <v>53</v>
      </c>
      <c r="BN36">
        <v>135</v>
      </c>
    </row>
    <row r="37" spans="3:66" x14ac:dyDescent="0.3">
      <c r="O37" s="1" t="s">
        <v>66</v>
      </c>
      <c r="P37" t="s">
        <v>43</v>
      </c>
      <c r="Q37" t="s">
        <v>67</v>
      </c>
      <c r="W37" s="2" t="s">
        <v>67</v>
      </c>
      <c r="X37">
        <v>1233</v>
      </c>
      <c r="AO37" s="1" t="s">
        <v>69</v>
      </c>
      <c r="BM37" s="2" t="s">
        <v>50</v>
      </c>
      <c r="BN37">
        <v>197</v>
      </c>
    </row>
    <row r="38" spans="3:66" x14ac:dyDescent="0.3">
      <c r="O38" s="2" t="s">
        <v>61</v>
      </c>
      <c r="P38">
        <v>51</v>
      </c>
      <c r="Q38">
        <v>51</v>
      </c>
      <c r="AO38" t="s">
        <v>78</v>
      </c>
      <c r="AT38" t="s">
        <v>68</v>
      </c>
      <c r="AY38" t="s">
        <v>81</v>
      </c>
      <c r="BD38" t="s">
        <v>79</v>
      </c>
      <c r="BE38" t="s">
        <v>80</v>
      </c>
      <c r="BF38" t="s">
        <v>82</v>
      </c>
      <c r="BM38" s="2" t="s">
        <v>47</v>
      </c>
      <c r="BN38">
        <v>245</v>
      </c>
    </row>
    <row r="39" spans="3:66" x14ac:dyDescent="0.3">
      <c r="O39" s="4">
        <v>1</v>
      </c>
      <c r="P39">
        <v>4</v>
      </c>
      <c r="Q39">
        <v>4</v>
      </c>
      <c r="AN39" s="1" t="s">
        <v>66</v>
      </c>
      <c r="AO39">
        <v>1</v>
      </c>
      <c r="AP39">
        <v>2</v>
      </c>
      <c r="AQ39">
        <v>3</v>
      </c>
      <c r="AR39">
        <v>4</v>
      </c>
      <c r="AS39">
        <v>5</v>
      </c>
      <c r="AT39">
        <v>1</v>
      </c>
      <c r="AU39">
        <v>2</v>
      </c>
      <c r="AV39">
        <v>3</v>
      </c>
      <c r="AW39">
        <v>4</v>
      </c>
      <c r="AX39">
        <v>5</v>
      </c>
      <c r="AY39">
        <v>1</v>
      </c>
      <c r="AZ39">
        <v>2</v>
      </c>
      <c r="BA39">
        <v>3</v>
      </c>
      <c r="BB39">
        <v>4</v>
      </c>
      <c r="BC39">
        <v>5</v>
      </c>
      <c r="BM39" s="2" t="s">
        <v>40</v>
      </c>
      <c r="BN39">
        <v>269</v>
      </c>
    </row>
    <row r="40" spans="3:66" x14ac:dyDescent="0.3">
      <c r="O40" s="4">
        <v>2</v>
      </c>
      <c r="P40">
        <v>10</v>
      </c>
      <c r="Q40">
        <v>10</v>
      </c>
      <c r="AN40" s="2" t="s">
        <v>54</v>
      </c>
      <c r="AP40">
        <v>5828.28</v>
      </c>
      <c r="AQ40">
        <v>9426.2820512820508</v>
      </c>
      <c r="AR40">
        <v>13073.5</v>
      </c>
      <c r="AU40">
        <v>75</v>
      </c>
      <c r="AV40">
        <v>39</v>
      </c>
      <c r="AW40">
        <v>8</v>
      </c>
      <c r="AZ40">
        <v>213</v>
      </c>
      <c r="BA40">
        <v>104</v>
      </c>
      <c r="BB40">
        <v>23</v>
      </c>
      <c r="BD40">
        <v>7453.5573770491801</v>
      </c>
      <c r="BE40">
        <v>122</v>
      </c>
      <c r="BF40">
        <v>340</v>
      </c>
      <c r="BM40" s="2" t="s">
        <v>67</v>
      </c>
      <c r="BN40">
        <v>1233</v>
      </c>
    </row>
    <row r="41" spans="3:66" x14ac:dyDescent="0.3">
      <c r="O41" s="4">
        <v>3</v>
      </c>
      <c r="P41">
        <v>23</v>
      </c>
      <c r="Q41">
        <v>23</v>
      </c>
      <c r="AN41" s="4" t="s">
        <v>43</v>
      </c>
      <c r="AP41">
        <v>5828.28</v>
      </c>
      <c r="AQ41">
        <v>9426.2820512820508</v>
      </c>
      <c r="AR41">
        <v>13073.5</v>
      </c>
      <c r="AU41">
        <v>75</v>
      </c>
      <c r="AV41">
        <v>39</v>
      </c>
      <c r="AW41">
        <v>8</v>
      </c>
      <c r="AZ41">
        <v>213</v>
      </c>
      <c r="BA41">
        <v>104</v>
      </c>
      <c r="BB41">
        <v>23</v>
      </c>
      <c r="BD41">
        <v>7453.5573770491801</v>
      </c>
      <c r="BE41">
        <v>122</v>
      </c>
      <c r="BF41">
        <v>340</v>
      </c>
    </row>
    <row r="42" spans="3:66" x14ac:dyDescent="0.3">
      <c r="O42" s="4">
        <v>4</v>
      </c>
      <c r="P42">
        <v>12</v>
      </c>
      <c r="Q42">
        <v>12</v>
      </c>
      <c r="AN42" s="2" t="s">
        <v>61</v>
      </c>
      <c r="AO42">
        <v>2871.2608695652175</v>
      </c>
      <c r="AP42">
        <v>5563.4615384615381</v>
      </c>
      <c r="AQ42">
        <v>9326.5</v>
      </c>
      <c r="AT42">
        <v>23</v>
      </c>
      <c r="AU42">
        <v>13</v>
      </c>
      <c r="AV42">
        <v>4</v>
      </c>
      <c r="AY42">
        <v>63</v>
      </c>
      <c r="AZ42">
        <v>34</v>
      </c>
      <c r="BA42">
        <v>10</v>
      </c>
      <c r="BD42">
        <v>4391.75</v>
      </c>
      <c r="BE42">
        <v>40</v>
      </c>
      <c r="BF42">
        <v>107</v>
      </c>
    </row>
    <row r="43" spans="3:66" x14ac:dyDescent="0.3">
      <c r="O43" s="4">
        <v>5</v>
      </c>
      <c r="P43">
        <v>2</v>
      </c>
      <c r="Q43">
        <v>2</v>
      </c>
      <c r="AN43" s="4" t="s">
        <v>43</v>
      </c>
      <c r="AO43">
        <v>2871.2608695652175</v>
      </c>
      <c r="AP43">
        <v>5563.4615384615381</v>
      </c>
      <c r="AQ43">
        <v>9326.5</v>
      </c>
      <c r="AT43">
        <v>23</v>
      </c>
      <c r="AU43">
        <v>13</v>
      </c>
      <c r="AV43">
        <v>4</v>
      </c>
      <c r="AY43">
        <v>63</v>
      </c>
      <c r="AZ43">
        <v>34</v>
      </c>
      <c r="BA43">
        <v>10</v>
      </c>
      <c r="BD43">
        <v>4391.75</v>
      </c>
      <c r="BE43">
        <v>40</v>
      </c>
      <c r="BF43">
        <v>107</v>
      </c>
    </row>
    <row r="44" spans="3:66" x14ac:dyDescent="0.3">
      <c r="O44" s="2" t="s">
        <v>45</v>
      </c>
      <c r="P44">
        <v>828</v>
      </c>
      <c r="Q44">
        <v>828</v>
      </c>
      <c r="AN44" s="2" t="s">
        <v>50</v>
      </c>
      <c r="AO44">
        <v>2921.7083333333335</v>
      </c>
      <c r="AP44">
        <v>4394</v>
      </c>
      <c r="AQ44">
        <v>6306.5</v>
      </c>
      <c r="AT44">
        <v>144</v>
      </c>
      <c r="AU44">
        <v>51</v>
      </c>
      <c r="AV44">
        <v>2</v>
      </c>
      <c r="AY44">
        <v>395</v>
      </c>
      <c r="AZ44">
        <v>148</v>
      </c>
      <c r="BA44">
        <v>3</v>
      </c>
      <c r="BD44">
        <v>3337.223350253807</v>
      </c>
      <c r="BE44">
        <v>197</v>
      </c>
      <c r="BF44">
        <v>546</v>
      </c>
    </row>
    <row r="45" spans="3:66" x14ac:dyDescent="0.3">
      <c r="O45" s="4">
        <v>1</v>
      </c>
      <c r="P45">
        <v>96</v>
      </c>
      <c r="Q45">
        <v>96</v>
      </c>
      <c r="T45" s="1" t="s">
        <v>4</v>
      </c>
      <c r="U45" t="s">
        <v>65</v>
      </c>
      <c r="AN45" s="4" t="s">
        <v>43</v>
      </c>
      <c r="AO45">
        <v>2921.7083333333335</v>
      </c>
      <c r="AP45">
        <v>4394</v>
      </c>
      <c r="AQ45">
        <v>6306.5</v>
      </c>
      <c r="AT45">
        <v>144</v>
      </c>
      <c r="AU45">
        <v>51</v>
      </c>
      <c r="AV45">
        <v>2</v>
      </c>
      <c r="AY45">
        <v>395</v>
      </c>
      <c r="AZ45">
        <v>148</v>
      </c>
      <c r="BA45">
        <v>3</v>
      </c>
      <c r="BD45">
        <v>3337.223350253807</v>
      </c>
      <c r="BE45">
        <v>197</v>
      </c>
      <c r="BF45">
        <v>546</v>
      </c>
    </row>
    <row r="46" spans="3:66" x14ac:dyDescent="0.3">
      <c r="O46" s="4">
        <v>2</v>
      </c>
      <c r="P46">
        <v>159</v>
      </c>
      <c r="Q46">
        <v>159</v>
      </c>
      <c r="AN46" s="2" t="s">
        <v>56</v>
      </c>
      <c r="AQ46">
        <v>12133.7</v>
      </c>
      <c r="AR46">
        <v>16613.276595744679</v>
      </c>
      <c r="AS46">
        <v>19159.575000000001</v>
      </c>
      <c r="AV46">
        <v>10</v>
      </c>
      <c r="AW46">
        <v>47</v>
      </c>
      <c r="AX46">
        <v>40</v>
      </c>
      <c r="BA46">
        <v>28</v>
      </c>
      <c r="BB46">
        <v>124</v>
      </c>
      <c r="BC46">
        <v>112</v>
      </c>
      <c r="BD46">
        <v>17201.484536082473</v>
      </c>
      <c r="BE46">
        <v>97</v>
      </c>
      <c r="BF46">
        <v>264</v>
      </c>
    </row>
    <row r="47" spans="3:66" x14ac:dyDescent="0.3">
      <c r="H47" s="1" t="s">
        <v>66</v>
      </c>
      <c r="I47" t="s">
        <v>116</v>
      </c>
      <c r="O47" s="4">
        <v>3</v>
      </c>
      <c r="P47">
        <v>323</v>
      </c>
      <c r="Q47">
        <v>323</v>
      </c>
      <c r="U47" s="1" t="s">
        <v>69</v>
      </c>
      <c r="AN47" s="4" t="s">
        <v>43</v>
      </c>
      <c r="AQ47">
        <v>12133.7</v>
      </c>
      <c r="AR47">
        <v>16613.276595744679</v>
      </c>
      <c r="AS47">
        <v>19159.575000000001</v>
      </c>
      <c r="AV47">
        <v>10</v>
      </c>
      <c r="AW47">
        <v>47</v>
      </c>
      <c r="AX47">
        <v>40</v>
      </c>
      <c r="BA47">
        <v>28</v>
      </c>
      <c r="BB47">
        <v>124</v>
      </c>
      <c r="BC47">
        <v>112</v>
      </c>
      <c r="BD47">
        <v>17201.484536082473</v>
      </c>
      <c r="BE47">
        <v>97</v>
      </c>
      <c r="BF47">
        <v>264</v>
      </c>
    </row>
    <row r="48" spans="3:66" x14ac:dyDescent="0.3">
      <c r="H48" s="2" t="s">
        <v>85</v>
      </c>
      <c r="I48" s="14">
        <v>0.58823529411764708</v>
      </c>
      <c r="O48" s="4">
        <v>4</v>
      </c>
      <c r="P48">
        <v>223</v>
      </c>
      <c r="Q48">
        <v>223</v>
      </c>
      <c r="U48" t="s">
        <v>43</v>
      </c>
      <c r="V48" t="s">
        <v>119</v>
      </c>
      <c r="W48" t="s">
        <v>67</v>
      </c>
      <c r="AN48" s="2" t="s">
        <v>53</v>
      </c>
      <c r="AP48">
        <v>5644.8705882352942</v>
      </c>
      <c r="AQ48">
        <v>9262.4</v>
      </c>
      <c r="AR48">
        <v>13383</v>
      </c>
      <c r="AU48">
        <v>85</v>
      </c>
      <c r="AV48">
        <v>40</v>
      </c>
      <c r="AW48">
        <v>10</v>
      </c>
      <c r="AZ48">
        <v>225</v>
      </c>
      <c r="BA48">
        <v>108</v>
      </c>
      <c r="BB48">
        <v>30</v>
      </c>
      <c r="BD48">
        <v>7289.9259259259261</v>
      </c>
      <c r="BE48">
        <v>135</v>
      </c>
      <c r="BF48">
        <v>363</v>
      </c>
    </row>
    <row r="49" spans="3:58" x14ac:dyDescent="0.3">
      <c r="H49" s="2" t="s">
        <v>86</v>
      </c>
      <c r="I49" s="14">
        <v>0.26213592233009708</v>
      </c>
      <c r="O49" s="4">
        <v>5</v>
      </c>
      <c r="P49">
        <v>27</v>
      </c>
      <c r="Q49">
        <v>27</v>
      </c>
      <c r="T49" s="1" t="s">
        <v>66</v>
      </c>
      <c r="U49">
        <v>1</v>
      </c>
      <c r="AN49" s="4" t="s">
        <v>43</v>
      </c>
      <c r="AP49">
        <v>5644.8705882352942</v>
      </c>
      <c r="AQ49">
        <v>9262.4</v>
      </c>
      <c r="AR49">
        <v>13383</v>
      </c>
      <c r="AU49">
        <v>85</v>
      </c>
      <c r="AV49">
        <v>40</v>
      </c>
      <c r="AW49">
        <v>10</v>
      </c>
      <c r="AZ49">
        <v>225</v>
      </c>
      <c r="BA49">
        <v>108</v>
      </c>
      <c r="BB49">
        <v>30</v>
      </c>
      <c r="BD49">
        <v>7289.9259259259261</v>
      </c>
      <c r="BE49">
        <v>135</v>
      </c>
      <c r="BF49">
        <v>363</v>
      </c>
    </row>
    <row r="50" spans="3:58" x14ac:dyDescent="0.3">
      <c r="H50" s="2" t="s">
        <v>87</v>
      </c>
      <c r="I50" s="14">
        <v>0.14308681672025725</v>
      </c>
      <c r="O50" s="2" t="s">
        <v>37</v>
      </c>
      <c r="P50">
        <v>354</v>
      </c>
      <c r="Q50">
        <v>354</v>
      </c>
      <c r="T50" s="2">
        <v>3</v>
      </c>
      <c r="AN50" s="2" t="s">
        <v>58</v>
      </c>
      <c r="AQ50">
        <v>12721.571428571429</v>
      </c>
      <c r="AR50">
        <v>16429.038461538461</v>
      </c>
      <c r="AS50">
        <v>19188.916666666668</v>
      </c>
      <c r="AV50">
        <v>28</v>
      </c>
      <c r="AW50">
        <v>26</v>
      </c>
      <c r="AX50">
        <v>24</v>
      </c>
      <c r="BA50">
        <v>72</v>
      </c>
      <c r="BB50">
        <v>74</v>
      </c>
      <c r="BC50">
        <v>65</v>
      </c>
      <c r="BD50">
        <v>15947.346153846154</v>
      </c>
      <c r="BE50">
        <v>78</v>
      </c>
      <c r="BF50">
        <v>211</v>
      </c>
    </row>
    <row r="51" spans="3:58" x14ac:dyDescent="0.3">
      <c r="H51" s="2" t="s">
        <v>88</v>
      </c>
      <c r="I51" s="14">
        <v>9.7421203438395415E-2</v>
      </c>
      <c r="O51" s="4">
        <v>1</v>
      </c>
      <c r="P51">
        <v>39</v>
      </c>
      <c r="Q51">
        <v>39</v>
      </c>
      <c r="T51" s="2">
        <v>4</v>
      </c>
      <c r="AN51" s="4" t="s">
        <v>43</v>
      </c>
      <c r="AQ51">
        <v>12721.571428571429</v>
      </c>
      <c r="AR51">
        <v>16429.038461538461</v>
      </c>
      <c r="AS51">
        <v>19188.916666666668</v>
      </c>
      <c r="AV51">
        <v>28</v>
      </c>
      <c r="AW51">
        <v>26</v>
      </c>
      <c r="AX51">
        <v>24</v>
      </c>
      <c r="BA51">
        <v>72</v>
      </c>
      <c r="BB51">
        <v>74</v>
      </c>
      <c r="BC51">
        <v>65</v>
      </c>
      <c r="BD51">
        <v>15947.346153846154</v>
      </c>
      <c r="BE51">
        <v>78</v>
      </c>
      <c r="BF51">
        <v>211</v>
      </c>
    </row>
    <row r="52" spans="3:58" x14ac:dyDescent="0.3">
      <c r="H52" s="2" t="s">
        <v>89</v>
      </c>
      <c r="I52" s="14">
        <v>0.13294797687861271</v>
      </c>
      <c r="O52" s="4">
        <v>2</v>
      </c>
      <c r="P52">
        <v>69</v>
      </c>
      <c r="Q52">
        <v>69</v>
      </c>
      <c r="T52" s="2" t="s">
        <v>67</v>
      </c>
      <c r="AN52" s="2" t="s">
        <v>47</v>
      </c>
      <c r="AO52">
        <v>2859.4550264550267</v>
      </c>
      <c r="AP52">
        <v>4822.3454545454542</v>
      </c>
      <c r="AQ52">
        <v>9724</v>
      </c>
      <c r="AT52">
        <v>189</v>
      </c>
      <c r="AU52">
        <v>55</v>
      </c>
      <c r="AV52">
        <v>1</v>
      </c>
      <c r="AY52">
        <v>545</v>
      </c>
      <c r="AZ52">
        <v>150</v>
      </c>
      <c r="BA52">
        <v>1</v>
      </c>
      <c r="BD52">
        <v>3328.1224489795918</v>
      </c>
      <c r="BE52">
        <v>245</v>
      </c>
      <c r="BF52">
        <v>696</v>
      </c>
    </row>
    <row r="53" spans="3:58" x14ac:dyDescent="0.3">
      <c r="H53" s="2" t="s">
        <v>67</v>
      </c>
      <c r="I53" s="14">
        <v>0.16122448979591836</v>
      </c>
      <c r="O53" s="4">
        <v>3</v>
      </c>
      <c r="P53">
        <v>127</v>
      </c>
      <c r="Q53">
        <v>127</v>
      </c>
      <c r="AN53" s="4" t="s">
        <v>43</v>
      </c>
      <c r="AO53">
        <v>2859.4550264550267</v>
      </c>
      <c r="AP53">
        <v>4822.3454545454542</v>
      </c>
      <c r="AQ53">
        <v>9724</v>
      </c>
      <c r="AT53">
        <v>189</v>
      </c>
      <c r="AU53">
        <v>55</v>
      </c>
      <c r="AV53">
        <v>1</v>
      </c>
      <c r="AY53">
        <v>545</v>
      </c>
      <c r="AZ53">
        <v>150</v>
      </c>
      <c r="BA53">
        <v>1</v>
      </c>
      <c r="BD53">
        <v>3328.1224489795918</v>
      </c>
      <c r="BE53">
        <v>245</v>
      </c>
      <c r="BF53">
        <v>696</v>
      </c>
    </row>
    <row r="54" spans="3:58" x14ac:dyDescent="0.3">
      <c r="F54" t="e" cm="1">
        <f t="array" ref="F54">if</f>
        <v>#NAME?</v>
      </c>
      <c r="O54" s="4">
        <v>4</v>
      </c>
      <c r="P54">
        <v>105</v>
      </c>
      <c r="Q54">
        <v>105</v>
      </c>
      <c r="AN54" s="2" t="s">
        <v>40</v>
      </c>
      <c r="AP54">
        <v>5760.2182741116749</v>
      </c>
      <c r="AQ54">
        <v>9103.6612903225814</v>
      </c>
      <c r="AR54">
        <v>13125.2</v>
      </c>
      <c r="AU54">
        <v>197</v>
      </c>
      <c r="AV54">
        <v>62</v>
      </c>
      <c r="AW54">
        <v>10</v>
      </c>
      <c r="AZ54">
        <v>553</v>
      </c>
      <c r="BA54">
        <v>176</v>
      </c>
      <c r="BB54">
        <v>25</v>
      </c>
      <c r="BD54">
        <v>6804.6171003717473</v>
      </c>
      <c r="BE54">
        <v>269</v>
      </c>
      <c r="BF54">
        <v>754</v>
      </c>
    </row>
    <row r="55" spans="3:58" x14ac:dyDescent="0.3">
      <c r="C55" s="1" t="s">
        <v>1</v>
      </c>
      <c r="D55" t="s">
        <v>43</v>
      </c>
      <c r="O55" s="4">
        <v>5</v>
      </c>
      <c r="P55">
        <v>14</v>
      </c>
      <c r="Q55">
        <v>14</v>
      </c>
      <c r="AN55" s="4" t="s">
        <v>43</v>
      </c>
      <c r="AP55">
        <v>5760.2182741116749</v>
      </c>
      <c r="AQ55">
        <v>9103.6612903225814</v>
      </c>
      <c r="AR55">
        <v>13125.2</v>
      </c>
      <c r="AU55">
        <v>197</v>
      </c>
      <c r="AV55">
        <v>62</v>
      </c>
      <c r="AW55">
        <v>10</v>
      </c>
      <c r="AZ55">
        <v>553</v>
      </c>
      <c r="BA55">
        <v>176</v>
      </c>
      <c r="BB55">
        <v>25</v>
      </c>
      <c r="BD55">
        <v>6804.6171003717473</v>
      </c>
      <c r="BE55">
        <v>269</v>
      </c>
      <c r="BF55">
        <v>754</v>
      </c>
    </row>
    <row r="56" spans="3:58" x14ac:dyDescent="0.3">
      <c r="O56" s="2" t="s">
        <v>67</v>
      </c>
      <c r="P56">
        <v>1233</v>
      </c>
      <c r="Q56">
        <v>1233</v>
      </c>
      <c r="AN56" s="2" t="s">
        <v>57</v>
      </c>
      <c r="AO56">
        <v>2603.659090909091</v>
      </c>
      <c r="AP56">
        <v>4226.833333333333</v>
      </c>
      <c r="AT56">
        <v>44</v>
      </c>
      <c r="AU56">
        <v>6</v>
      </c>
      <c r="AY56">
        <v>125</v>
      </c>
      <c r="AZ56">
        <v>20</v>
      </c>
      <c r="BD56">
        <v>2798.44</v>
      </c>
      <c r="BE56">
        <v>50</v>
      </c>
      <c r="BF56">
        <v>145</v>
      </c>
    </row>
    <row r="57" spans="3:58" x14ac:dyDescent="0.3">
      <c r="C57" s="1" t="s">
        <v>66</v>
      </c>
      <c r="D57" t="s">
        <v>92</v>
      </c>
      <c r="AN57" s="4" t="s">
        <v>43</v>
      </c>
      <c r="AO57">
        <v>2603.659090909091</v>
      </c>
      <c r="AP57">
        <v>4226.833333333333</v>
      </c>
      <c r="AT57">
        <v>44</v>
      </c>
      <c r="AU57">
        <v>6</v>
      </c>
      <c r="AY57">
        <v>125</v>
      </c>
      <c r="AZ57">
        <v>20</v>
      </c>
      <c r="BD57">
        <v>2798.44</v>
      </c>
      <c r="BE57">
        <v>50</v>
      </c>
      <c r="BF57">
        <v>145</v>
      </c>
    </row>
    <row r="58" spans="3:58" x14ac:dyDescent="0.3">
      <c r="C58" s="2" t="s">
        <v>39</v>
      </c>
      <c r="D58">
        <v>504544</v>
      </c>
      <c r="AN58" s="2" t="s">
        <v>67</v>
      </c>
      <c r="AO58">
        <v>2854.4074999999998</v>
      </c>
      <c r="AP58">
        <v>5474.4958506224066</v>
      </c>
      <c r="AQ58">
        <v>9891.032258064517</v>
      </c>
      <c r="AR58">
        <v>15620.287128712871</v>
      </c>
      <c r="AS58">
        <v>19170.578125</v>
      </c>
      <c r="AT58">
        <v>400</v>
      </c>
      <c r="AU58">
        <v>482</v>
      </c>
      <c r="AV58">
        <v>186</v>
      </c>
      <c r="AW58">
        <v>101</v>
      </c>
      <c r="AX58">
        <v>64</v>
      </c>
      <c r="AY58">
        <v>1128</v>
      </c>
      <c r="AZ58">
        <v>1343</v>
      </c>
      <c r="BA58">
        <v>502</v>
      </c>
      <c r="BB58">
        <v>276</v>
      </c>
      <c r="BC58">
        <v>177</v>
      </c>
      <c r="BD58">
        <v>6832.7396593673966</v>
      </c>
      <c r="BE58">
        <v>1233</v>
      </c>
      <c r="BF58">
        <v>3426</v>
      </c>
    </row>
    <row r="59" spans="3:58" x14ac:dyDescent="0.3">
      <c r="C59" s="2" t="s">
        <v>46</v>
      </c>
      <c r="D59">
        <v>762556</v>
      </c>
    </row>
    <row r="60" spans="3:58" x14ac:dyDescent="0.3">
      <c r="C60" s="2" t="s">
        <v>67</v>
      </c>
      <c r="D60">
        <v>1267100</v>
      </c>
    </row>
    <row r="62" spans="3:58" x14ac:dyDescent="0.3">
      <c r="N62" s="1" t="s">
        <v>1</v>
      </c>
      <c r="O62" t="s">
        <v>43</v>
      </c>
    </row>
    <row r="71" spans="8:57" x14ac:dyDescent="0.3">
      <c r="AN71" s="1" t="s">
        <v>1</v>
      </c>
      <c r="AO71" t="s">
        <v>43</v>
      </c>
    </row>
    <row r="72" spans="8:57" x14ac:dyDescent="0.3">
      <c r="H72" s="1" t="s">
        <v>66</v>
      </c>
      <c r="I72" t="s">
        <v>116</v>
      </c>
    </row>
    <row r="73" spans="8:57" x14ac:dyDescent="0.3">
      <c r="H73" s="2" t="s">
        <v>61</v>
      </c>
      <c r="I73" s="14">
        <v>0.19047619047619047</v>
      </c>
      <c r="AN73" s="1" t="s">
        <v>66</v>
      </c>
      <c r="AO73" t="s">
        <v>68</v>
      </c>
    </row>
    <row r="74" spans="8:57" x14ac:dyDescent="0.3">
      <c r="H74" s="2" t="s">
        <v>45</v>
      </c>
      <c r="I74" s="14">
        <v>0.13839750260145681</v>
      </c>
      <c r="AN74" s="2">
        <v>1</v>
      </c>
      <c r="AO74">
        <v>223</v>
      </c>
    </row>
    <row r="75" spans="8:57" x14ac:dyDescent="0.3">
      <c r="H75" s="2" t="s">
        <v>37</v>
      </c>
      <c r="I75" s="14">
        <v>0.20627802690582961</v>
      </c>
      <c r="AN75" s="2">
        <v>2</v>
      </c>
      <c r="AO75">
        <v>234</v>
      </c>
    </row>
    <row r="76" spans="8:57" x14ac:dyDescent="0.3">
      <c r="H76" s="2" t="s">
        <v>67</v>
      </c>
      <c r="I76" s="14">
        <v>0.16122448979591836</v>
      </c>
      <c r="AN76" s="2">
        <v>3</v>
      </c>
      <c r="AO76">
        <v>369</v>
      </c>
    </row>
    <row r="77" spans="8:57" x14ac:dyDescent="0.3">
      <c r="AN77" s="2">
        <v>4</v>
      </c>
      <c r="AO77">
        <v>407</v>
      </c>
    </row>
    <row r="78" spans="8:57" x14ac:dyDescent="0.3">
      <c r="AN78" s="2" t="s">
        <v>67</v>
      </c>
      <c r="AO78">
        <v>1233</v>
      </c>
    </row>
    <row r="80" spans="8:57" x14ac:dyDescent="0.3">
      <c r="BD80" s="1" t="s">
        <v>83</v>
      </c>
      <c r="BE80" s="1" t="s">
        <v>69</v>
      </c>
    </row>
    <row r="81" spans="1:64" x14ac:dyDescent="0.3">
      <c r="A81" t="s">
        <v>109</v>
      </c>
      <c r="BD81" s="1" t="s">
        <v>66</v>
      </c>
      <c r="BE81" t="s">
        <v>43</v>
      </c>
      <c r="BF81" t="s">
        <v>67</v>
      </c>
    </row>
    <row r="82" spans="1:64" x14ac:dyDescent="0.3">
      <c r="A82" t="s">
        <v>110</v>
      </c>
      <c r="B82">
        <v>1470</v>
      </c>
      <c r="BD82" s="2" t="s">
        <v>54</v>
      </c>
      <c r="BE82">
        <v>39.877049180327866</v>
      </c>
      <c r="BF82">
        <v>39.877049180327866</v>
      </c>
    </row>
    <row r="83" spans="1:64" x14ac:dyDescent="0.3">
      <c r="A83" t="s">
        <v>43</v>
      </c>
      <c r="B83" t="e">
        <f>GETPIVOTDATA("EmployeeCount",$BH$231,"Attrition","No")</f>
        <v>#REF!</v>
      </c>
      <c r="G83" s="1" t="s">
        <v>1</v>
      </c>
      <c r="H83" t="s">
        <v>43</v>
      </c>
      <c r="BD83" s="2" t="s">
        <v>61</v>
      </c>
      <c r="BE83">
        <v>37.125</v>
      </c>
      <c r="BF83">
        <v>37.125</v>
      </c>
    </row>
    <row r="84" spans="1:64" x14ac:dyDescent="0.3">
      <c r="A84" t="s">
        <v>35</v>
      </c>
      <c r="B84" t="e">
        <f>GETPIVOTDATA("EmployeeCount",$BH$231,"Attrition","Yes")</f>
        <v>#REF!</v>
      </c>
      <c r="BD84" s="2" t="s">
        <v>50</v>
      </c>
      <c r="BE84">
        <v>34.944162436548226</v>
      </c>
      <c r="BF84">
        <v>34.944162436548226</v>
      </c>
    </row>
    <row r="85" spans="1:64" x14ac:dyDescent="0.3">
      <c r="G85" s="1" t="s">
        <v>66</v>
      </c>
      <c r="H85" t="s">
        <v>68</v>
      </c>
      <c r="BD85" s="2" t="s">
        <v>56</v>
      </c>
      <c r="BE85">
        <v>46.783505154639172</v>
      </c>
      <c r="BF85">
        <v>46.783505154639172</v>
      </c>
    </row>
    <row r="86" spans="1:64" x14ac:dyDescent="0.3">
      <c r="G86" s="2">
        <v>1</v>
      </c>
      <c r="H86">
        <v>55</v>
      </c>
      <c r="BD86" s="2" t="s">
        <v>53</v>
      </c>
      <c r="BE86">
        <v>38.222222222222221</v>
      </c>
      <c r="BF86">
        <v>38.222222222222221</v>
      </c>
    </row>
    <row r="87" spans="1:64" x14ac:dyDescent="0.3">
      <c r="G87" s="2">
        <v>2</v>
      </c>
      <c r="H87">
        <v>286</v>
      </c>
      <c r="BD87" s="2" t="s">
        <v>58</v>
      </c>
      <c r="BE87">
        <v>43.858974358974358</v>
      </c>
      <c r="BF87">
        <v>43.858974358974358</v>
      </c>
    </row>
    <row r="88" spans="1:64" x14ac:dyDescent="0.3">
      <c r="G88" s="2">
        <v>3</v>
      </c>
      <c r="H88">
        <v>766</v>
      </c>
      <c r="BD88" s="2" t="s">
        <v>47</v>
      </c>
      <c r="BE88">
        <v>34.567346938775508</v>
      </c>
      <c r="BF88">
        <v>34.567346938775508</v>
      </c>
    </row>
    <row r="89" spans="1:64" x14ac:dyDescent="0.3">
      <c r="G89" s="2">
        <v>4</v>
      </c>
      <c r="H89">
        <v>126</v>
      </c>
      <c r="BD89" s="2" t="s">
        <v>40</v>
      </c>
      <c r="BE89">
        <v>36.758364312267659</v>
      </c>
      <c r="BF89">
        <v>36.758364312267659</v>
      </c>
    </row>
    <row r="90" spans="1:64" x14ac:dyDescent="0.3">
      <c r="G90" s="2" t="s">
        <v>67</v>
      </c>
      <c r="H90">
        <v>1233</v>
      </c>
      <c r="BD90" s="2" t="s">
        <v>57</v>
      </c>
      <c r="BE90">
        <v>32.06</v>
      </c>
      <c r="BF90">
        <v>32.06</v>
      </c>
    </row>
    <row r="91" spans="1:64" x14ac:dyDescent="0.3">
      <c r="BD91" s="2" t="s">
        <v>67</v>
      </c>
      <c r="BE91">
        <v>37.561232765612324</v>
      </c>
      <c r="BF91">
        <v>37.561232765612324</v>
      </c>
    </row>
    <row r="94" spans="1:64" x14ac:dyDescent="0.3">
      <c r="BL94" t="s">
        <v>95</v>
      </c>
    </row>
    <row r="96" spans="1:64" x14ac:dyDescent="0.3">
      <c r="Y96" s="1" t="s">
        <v>1</v>
      </c>
      <c r="Z96" t="s">
        <v>43</v>
      </c>
    </row>
    <row r="97" spans="4:61" x14ac:dyDescent="0.3">
      <c r="D97" s="1" t="s">
        <v>66</v>
      </c>
      <c r="E97" t="s">
        <v>116</v>
      </c>
      <c r="AS97" s="1" t="s">
        <v>68</v>
      </c>
      <c r="AT97" s="1" t="s">
        <v>69</v>
      </c>
    </row>
    <row r="98" spans="4:61" x14ac:dyDescent="0.3">
      <c r="D98" s="2">
        <v>1</v>
      </c>
      <c r="E98" s="14">
        <v>0.26335174953959484</v>
      </c>
      <c r="Y98" s="1" t="s">
        <v>66</v>
      </c>
      <c r="Z98" t="s">
        <v>68</v>
      </c>
      <c r="AS98" s="1" t="s">
        <v>66</v>
      </c>
      <c r="AT98" t="s">
        <v>61</v>
      </c>
      <c r="AU98" t="s">
        <v>45</v>
      </c>
      <c r="AV98" t="s">
        <v>37</v>
      </c>
      <c r="AW98" t="s">
        <v>67</v>
      </c>
    </row>
    <row r="99" spans="4:61" x14ac:dyDescent="0.3">
      <c r="D99" s="2">
        <v>3</v>
      </c>
      <c r="E99" s="14">
        <v>0.14678899082568808</v>
      </c>
      <c r="Y99" s="2" t="s">
        <v>85</v>
      </c>
      <c r="Z99">
        <v>7</v>
      </c>
      <c r="AS99" s="2" t="s">
        <v>85</v>
      </c>
      <c r="AU99">
        <v>6</v>
      </c>
      <c r="AV99">
        <v>1</v>
      </c>
      <c r="AW99">
        <v>7</v>
      </c>
    </row>
    <row r="100" spans="4:61" x14ac:dyDescent="0.3">
      <c r="D100" s="2">
        <v>2</v>
      </c>
      <c r="E100" s="14">
        <v>9.7378277153558054E-2</v>
      </c>
      <c r="Y100" s="2" t="s">
        <v>86</v>
      </c>
      <c r="Z100">
        <v>228</v>
      </c>
      <c r="AS100" s="2" t="s">
        <v>86</v>
      </c>
      <c r="AT100">
        <v>7</v>
      </c>
      <c r="AU100">
        <v>156</v>
      </c>
      <c r="AV100">
        <v>65</v>
      </c>
      <c r="AW100">
        <v>228</v>
      </c>
    </row>
    <row r="101" spans="4:61" x14ac:dyDescent="0.3">
      <c r="D101" s="2">
        <v>5</v>
      </c>
      <c r="E101" s="14">
        <v>7.2463768115942032E-2</v>
      </c>
      <c r="Y101" s="2" t="s">
        <v>87</v>
      </c>
      <c r="Z101">
        <v>533</v>
      </c>
      <c r="AS101" s="2" t="s">
        <v>87</v>
      </c>
      <c r="AT101">
        <v>20</v>
      </c>
      <c r="AU101">
        <v>348</v>
      </c>
      <c r="AV101">
        <v>165</v>
      </c>
      <c r="AW101">
        <v>533</v>
      </c>
    </row>
    <row r="102" spans="4:61" x14ac:dyDescent="0.3">
      <c r="D102" s="2">
        <v>4</v>
      </c>
      <c r="E102" s="14">
        <v>4.716981132075472E-2</v>
      </c>
      <c r="Y102" s="2" t="s">
        <v>88</v>
      </c>
      <c r="Z102">
        <v>315</v>
      </c>
      <c r="AS102" s="2" t="s">
        <v>88</v>
      </c>
      <c r="AT102">
        <v>16</v>
      </c>
      <c r="AU102">
        <v>214</v>
      </c>
      <c r="AV102">
        <v>85</v>
      </c>
      <c r="AW102">
        <v>315</v>
      </c>
    </row>
    <row r="103" spans="4:61" x14ac:dyDescent="0.3">
      <c r="D103" s="2" t="s">
        <v>67</v>
      </c>
      <c r="E103" s="14">
        <v>0.16122448979591836</v>
      </c>
      <c r="Y103" s="2" t="s">
        <v>89</v>
      </c>
      <c r="Z103">
        <v>150</v>
      </c>
      <c r="AN103" s="1" t="s">
        <v>1</v>
      </c>
      <c r="AO103" t="s">
        <v>43</v>
      </c>
      <c r="AS103" s="2" t="s">
        <v>89</v>
      </c>
      <c r="AT103">
        <v>8</v>
      </c>
      <c r="AU103">
        <v>104</v>
      </c>
      <c r="AV103">
        <v>38</v>
      </c>
      <c r="AW103">
        <v>150</v>
      </c>
    </row>
    <row r="104" spans="4:61" x14ac:dyDescent="0.3">
      <c r="Y104" s="2" t="s">
        <v>67</v>
      </c>
      <c r="Z104">
        <v>1233</v>
      </c>
      <c r="AS104" s="2" t="s">
        <v>67</v>
      </c>
      <c r="AT104">
        <v>51</v>
      </c>
      <c r="AU104">
        <v>828</v>
      </c>
      <c r="AV104">
        <v>354</v>
      </c>
      <c r="AW104">
        <v>1233</v>
      </c>
    </row>
    <row r="105" spans="4:61" x14ac:dyDescent="0.3">
      <c r="AN105" s="1" t="s">
        <v>66</v>
      </c>
      <c r="AO105" t="s">
        <v>68</v>
      </c>
    </row>
    <row r="106" spans="4:61" x14ac:dyDescent="0.3">
      <c r="AN106" s="2" t="s">
        <v>43</v>
      </c>
      <c r="AO106">
        <v>944</v>
      </c>
      <c r="BH106" s="1" t="s">
        <v>1</v>
      </c>
      <c r="BI106" t="s">
        <v>43</v>
      </c>
    </row>
    <row r="107" spans="4:61" x14ac:dyDescent="0.3">
      <c r="AN107" s="2" t="s">
        <v>67</v>
      </c>
      <c r="AO107">
        <v>944</v>
      </c>
      <c r="AY107" s="1" t="s">
        <v>93</v>
      </c>
      <c r="AZ107" t="s">
        <v>43</v>
      </c>
    </row>
    <row r="108" spans="4:61" x14ac:dyDescent="0.3">
      <c r="D108" s="1" t="s">
        <v>66</v>
      </c>
      <c r="E108" t="s">
        <v>120</v>
      </c>
      <c r="BH108" s="1" t="s">
        <v>66</v>
      </c>
      <c r="BI108" t="s">
        <v>68</v>
      </c>
    </row>
    <row r="109" spans="4:61" x14ac:dyDescent="0.3">
      <c r="D109" s="2" t="s">
        <v>43</v>
      </c>
      <c r="E109">
        <v>110</v>
      </c>
      <c r="BH109" s="2">
        <v>0</v>
      </c>
      <c r="BI109">
        <v>178</v>
      </c>
    </row>
    <row r="110" spans="4:61" x14ac:dyDescent="0.3">
      <c r="D110" s="2" t="s">
        <v>35</v>
      </c>
      <c r="E110">
        <v>127</v>
      </c>
      <c r="BH110" s="2">
        <v>1</v>
      </c>
      <c r="BI110">
        <v>65</v>
      </c>
    </row>
    <row r="111" spans="4:61" x14ac:dyDescent="0.3">
      <c r="D111" s="2" t="s">
        <v>67</v>
      </c>
      <c r="E111">
        <v>237</v>
      </c>
      <c r="AS111" s="1" t="s">
        <v>68</v>
      </c>
      <c r="AT111" s="1" t="s">
        <v>69</v>
      </c>
      <c r="BH111" s="2">
        <v>2</v>
      </c>
      <c r="BI111">
        <v>294</v>
      </c>
    </row>
    <row r="112" spans="4:61" x14ac:dyDescent="0.3">
      <c r="AS112" s="1" t="s">
        <v>66</v>
      </c>
      <c r="AT112" t="s">
        <v>43</v>
      </c>
      <c r="AU112" t="s">
        <v>67</v>
      </c>
      <c r="BA112" s="1" t="s">
        <v>1</v>
      </c>
      <c r="BB112" t="s">
        <v>43</v>
      </c>
      <c r="BH112" s="2">
        <v>3</v>
      </c>
      <c r="BI112">
        <v>123</v>
      </c>
    </row>
    <row r="113" spans="3:61" x14ac:dyDescent="0.3">
      <c r="AS113" s="2" t="s">
        <v>61</v>
      </c>
      <c r="AT113">
        <v>51</v>
      </c>
      <c r="AU113">
        <v>51</v>
      </c>
      <c r="BH113" s="2">
        <v>4</v>
      </c>
      <c r="BI113">
        <v>87</v>
      </c>
    </row>
    <row r="114" spans="3:61" x14ac:dyDescent="0.3">
      <c r="AS114" s="2" t="s">
        <v>45</v>
      </c>
      <c r="AT114">
        <v>828</v>
      </c>
      <c r="AU114">
        <v>828</v>
      </c>
      <c r="BA114" s="1" t="s">
        <v>68</v>
      </c>
      <c r="BB114" s="1" t="s">
        <v>69</v>
      </c>
      <c r="BH114" s="2">
        <v>5</v>
      </c>
      <c r="BI114">
        <v>27</v>
      </c>
    </row>
    <row r="115" spans="3:61" x14ac:dyDescent="0.3">
      <c r="AS115" s="2" t="s">
        <v>37</v>
      </c>
      <c r="AT115">
        <v>354</v>
      </c>
      <c r="AU115">
        <v>354</v>
      </c>
      <c r="BA115" s="1" t="s">
        <v>66</v>
      </c>
      <c r="BB115" t="s">
        <v>61</v>
      </c>
      <c r="BC115" t="s">
        <v>45</v>
      </c>
      <c r="BD115" t="s">
        <v>37</v>
      </c>
      <c r="BE115" t="s">
        <v>67</v>
      </c>
      <c r="BH115" s="2">
        <v>6</v>
      </c>
      <c r="BI115">
        <v>25</v>
      </c>
    </row>
    <row r="116" spans="3:61" x14ac:dyDescent="0.3">
      <c r="AS116" s="2" t="s">
        <v>67</v>
      </c>
      <c r="AT116">
        <v>1233</v>
      </c>
      <c r="AU116">
        <v>1233</v>
      </c>
      <c r="BA116" s="2" t="s">
        <v>96</v>
      </c>
      <c r="BB116">
        <v>7</v>
      </c>
      <c r="BC116">
        <v>166</v>
      </c>
      <c r="BD116">
        <v>67</v>
      </c>
      <c r="BE116">
        <v>240</v>
      </c>
      <c r="BH116" s="2">
        <v>7</v>
      </c>
      <c r="BI116">
        <v>185</v>
      </c>
    </row>
    <row r="117" spans="3:61" x14ac:dyDescent="0.3">
      <c r="BA117" s="2" t="s">
        <v>97</v>
      </c>
      <c r="BB117">
        <v>8</v>
      </c>
      <c r="BC117">
        <v>148</v>
      </c>
      <c r="BD117">
        <v>70</v>
      </c>
      <c r="BE117">
        <v>226</v>
      </c>
      <c r="BH117" s="2">
        <v>8</v>
      </c>
      <c r="BI117">
        <v>97</v>
      </c>
    </row>
    <row r="118" spans="3:61" x14ac:dyDescent="0.3">
      <c r="BA118" s="2" t="s">
        <v>98</v>
      </c>
      <c r="BB118">
        <v>19</v>
      </c>
      <c r="BC118">
        <v>262</v>
      </c>
      <c r="BD118">
        <v>93</v>
      </c>
      <c r="BE118">
        <v>374</v>
      </c>
      <c r="BH118" s="2">
        <v>9</v>
      </c>
      <c r="BI118">
        <v>58</v>
      </c>
    </row>
    <row r="119" spans="3:61" x14ac:dyDescent="0.3">
      <c r="BA119" s="2" t="s">
        <v>99</v>
      </c>
      <c r="BB119">
        <v>17</v>
      </c>
      <c r="BC119">
        <v>252</v>
      </c>
      <c r="BD119">
        <v>124</v>
      </c>
      <c r="BE119">
        <v>393</v>
      </c>
      <c r="BH119" s="2">
        <v>10</v>
      </c>
      <c r="BI119">
        <v>24</v>
      </c>
    </row>
    <row r="120" spans="3:61" x14ac:dyDescent="0.3">
      <c r="C120" s="1" t="s">
        <v>66</v>
      </c>
      <c r="D120" t="s">
        <v>116</v>
      </c>
      <c r="BA120" s="2" t="s">
        <v>67</v>
      </c>
      <c r="BB120">
        <v>51</v>
      </c>
      <c r="BC120">
        <v>828</v>
      </c>
      <c r="BD120">
        <v>354</v>
      </c>
      <c r="BE120">
        <v>1233</v>
      </c>
      <c r="BH120" s="2">
        <v>11</v>
      </c>
      <c r="BI120">
        <v>21</v>
      </c>
    </row>
    <row r="121" spans="3:61" x14ac:dyDescent="0.3">
      <c r="C121" s="2" t="s">
        <v>96</v>
      </c>
      <c r="D121" s="15">
        <v>0.2982456140350877</v>
      </c>
      <c r="BH121" s="2">
        <v>12</v>
      </c>
      <c r="BI121">
        <v>18</v>
      </c>
    </row>
    <row r="122" spans="3:61" x14ac:dyDescent="0.3">
      <c r="C122" s="2" t="s">
        <v>98</v>
      </c>
      <c r="D122" s="15">
        <v>0.13824884792626729</v>
      </c>
      <c r="BH122" s="2">
        <v>13</v>
      </c>
      <c r="BI122">
        <v>14</v>
      </c>
    </row>
    <row r="123" spans="3:61" x14ac:dyDescent="0.3">
      <c r="C123" s="2" t="s">
        <v>99</v>
      </c>
      <c r="D123" s="15">
        <v>0.12276785714285714</v>
      </c>
      <c r="BH123" s="2">
        <v>14</v>
      </c>
      <c r="BI123">
        <v>3</v>
      </c>
    </row>
    <row r="124" spans="3:61" x14ac:dyDescent="0.3">
      <c r="C124" s="2" t="s">
        <v>97</v>
      </c>
      <c r="D124" s="15">
        <v>8.1300813008130079E-2</v>
      </c>
      <c r="BH124" s="2">
        <v>15</v>
      </c>
      <c r="BI124">
        <v>5</v>
      </c>
    </row>
    <row r="125" spans="3:61" x14ac:dyDescent="0.3">
      <c r="C125" s="2" t="s">
        <v>67</v>
      </c>
      <c r="D125" s="15">
        <v>0.16122448979591836</v>
      </c>
      <c r="BH125" s="2">
        <v>16</v>
      </c>
      <c r="BI125">
        <v>2</v>
      </c>
    </row>
    <row r="126" spans="3:61" x14ac:dyDescent="0.3">
      <c r="BH126" s="2">
        <v>17</v>
      </c>
      <c r="BI126">
        <v>7</v>
      </c>
    </row>
    <row r="127" spans="3:61" x14ac:dyDescent="0.3">
      <c r="BH127" s="2" t="s">
        <v>67</v>
      </c>
      <c r="BI127">
        <v>1233</v>
      </c>
    </row>
    <row r="131" spans="3:67" x14ac:dyDescent="0.3">
      <c r="C131" s="1" t="s">
        <v>66</v>
      </c>
      <c r="D131" t="s">
        <v>116</v>
      </c>
    </row>
    <row r="132" spans="3:67" x14ac:dyDescent="0.3">
      <c r="C132" s="2" t="s">
        <v>55</v>
      </c>
      <c r="D132" s="14">
        <v>0.08</v>
      </c>
    </row>
    <row r="133" spans="3:67" x14ac:dyDescent="0.3">
      <c r="C133" s="2" t="s">
        <v>44</v>
      </c>
      <c r="D133" s="14">
        <v>0.24909747292418771</v>
      </c>
    </row>
    <row r="134" spans="3:67" x14ac:dyDescent="0.3">
      <c r="C134" s="2" t="s">
        <v>36</v>
      </c>
      <c r="D134" s="14">
        <v>0.14956855225311602</v>
      </c>
    </row>
    <row r="135" spans="3:67" x14ac:dyDescent="0.3">
      <c r="C135" s="2" t="s">
        <v>67</v>
      </c>
      <c r="D135" s="14">
        <v>0.16122448979591836</v>
      </c>
    </row>
    <row r="136" spans="3:67" x14ac:dyDescent="0.3">
      <c r="BI136" t="s">
        <v>105</v>
      </c>
      <c r="BJ136" t="s">
        <v>106</v>
      </c>
      <c r="BK136" t="s">
        <v>107</v>
      </c>
    </row>
    <row r="141" spans="3:67" x14ac:dyDescent="0.3">
      <c r="C141" s="1" t="s">
        <v>66</v>
      </c>
      <c r="D141" t="s">
        <v>116</v>
      </c>
      <c r="BI141" s="1" t="s">
        <v>1</v>
      </c>
      <c r="BJ141" t="s">
        <v>43</v>
      </c>
      <c r="BN141" s="1" t="s">
        <v>1</v>
      </c>
      <c r="BO141" t="s">
        <v>43</v>
      </c>
    </row>
    <row r="142" spans="3:67" x14ac:dyDescent="0.3">
      <c r="C142" s="2" t="s">
        <v>102</v>
      </c>
      <c r="D142" s="15">
        <v>0.21762349799732977</v>
      </c>
    </row>
    <row r="143" spans="3:67" x14ac:dyDescent="0.3">
      <c r="C143" s="2" t="s">
        <v>104</v>
      </c>
      <c r="D143" s="15">
        <v>0.11136363636363636</v>
      </c>
      <c r="BI143" s="1" t="s">
        <v>66</v>
      </c>
      <c r="BJ143" t="s">
        <v>68</v>
      </c>
      <c r="BN143" s="1" t="s">
        <v>66</v>
      </c>
      <c r="BO143" t="s">
        <v>68</v>
      </c>
    </row>
    <row r="144" spans="3:67" x14ac:dyDescent="0.3">
      <c r="C144" s="2" t="s">
        <v>101</v>
      </c>
      <c r="D144" s="15">
        <v>0.13513513513513514</v>
      </c>
      <c r="BI144" s="2">
        <v>1</v>
      </c>
      <c r="BJ144">
        <v>219</v>
      </c>
      <c r="BN144" s="2">
        <v>1</v>
      </c>
      <c r="BO144">
        <v>212</v>
      </c>
    </row>
    <row r="145" spans="3:67" x14ac:dyDescent="0.3">
      <c r="C145" s="2" t="s">
        <v>103</v>
      </c>
      <c r="D145" s="15">
        <v>3.7593984962406013E-2</v>
      </c>
      <c r="BI145" s="2">
        <v>2</v>
      </c>
      <c r="BJ145">
        <v>258</v>
      </c>
      <c r="BN145" s="2">
        <v>2</v>
      </c>
      <c r="BO145">
        <v>244</v>
      </c>
    </row>
    <row r="146" spans="3:67" x14ac:dyDescent="0.3">
      <c r="C146" s="2" t="s">
        <v>67</v>
      </c>
      <c r="D146" s="15">
        <v>0.16122448979591836</v>
      </c>
      <c r="BI146" s="2">
        <v>3</v>
      </c>
      <c r="BJ146">
        <v>388</v>
      </c>
      <c r="BN146" s="2">
        <v>3</v>
      </c>
      <c r="BO146">
        <v>391</v>
      </c>
    </row>
    <row r="147" spans="3:67" x14ac:dyDescent="0.3">
      <c r="BI147" s="2">
        <v>4</v>
      </c>
      <c r="BJ147">
        <v>368</v>
      </c>
      <c r="BN147" s="2">
        <v>4</v>
      </c>
      <c r="BO147">
        <v>386</v>
      </c>
    </row>
    <row r="148" spans="3:67" x14ac:dyDescent="0.3">
      <c r="BI148" s="2" t="s">
        <v>67</v>
      </c>
      <c r="BJ148">
        <v>1233</v>
      </c>
      <c r="BN148" s="2" t="s">
        <v>67</v>
      </c>
      <c r="BO148">
        <v>1233</v>
      </c>
    </row>
    <row r="152" spans="3:67" x14ac:dyDescent="0.3">
      <c r="C152" s="1" t="s">
        <v>66</v>
      </c>
      <c r="D152" t="s">
        <v>116</v>
      </c>
    </row>
    <row r="153" spans="3:67" x14ac:dyDescent="0.3">
      <c r="C153" s="2">
        <v>1</v>
      </c>
      <c r="D153" s="14">
        <v>0.3125</v>
      </c>
    </row>
    <row r="154" spans="3:67" x14ac:dyDescent="0.3">
      <c r="C154" s="2">
        <v>2</v>
      </c>
      <c r="D154" s="14">
        <v>0.16860465116279069</v>
      </c>
    </row>
    <row r="155" spans="3:67" x14ac:dyDescent="0.3">
      <c r="C155" s="2">
        <v>3</v>
      </c>
      <c r="D155" s="14">
        <v>0.14221724524076149</v>
      </c>
    </row>
    <row r="156" spans="3:67" x14ac:dyDescent="0.3">
      <c r="C156" s="2">
        <v>4</v>
      </c>
      <c r="D156" s="14">
        <v>0.17647058823529413</v>
      </c>
    </row>
    <row r="157" spans="3:67" x14ac:dyDescent="0.3">
      <c r="C157" s="2" t="s">
        <v>67</v>
      </c>
      <c r="D157" s="14">
        <v>0.16122448979591836</v>
      </c>
      <c r="BE157" s="1" t="s">
        <v>1</v>
      </c>
      <c r="BF157" t="s">
        <v>43</v>
      </c>
    </row>
    <row r="159" spans="3:67" x14ac:dyDescent="0.3">
      <c r="BE159" s="1" t="s">
        <v>66</v>
      </c>
      <c r="BF159" t="s">
        <v>68</v>
      </c>
    </row>
    <row r="160" spans="3:67" x14ac:dyDescent="0.3">
      <c r="BE160" s="2" t="s">
        <v>101</v>
      </c>
      <c r="BF160">
        <v>128</v>
      </c>
    </row>
    <row r="161" spans="3:67" x14ac:dyDescent="0.3">
      <c r="BE161" s="2" t="s">
        <v>102</v>
      </c>
      <c r="BF161">
        <v>586</v>
      </c>
    </row>
    <row r="162" spans="3:67" x14ac:dyDescent="0.3">
      <c r="BE162" s="2" t="s">
        <v>104</v>
      </c>
      <c r="BF162">
        <v>391</v>
      </c>
    </row>
    <row r="163" spans="3:67" x14ac:dyDescent="0.3">
      <c r="BE163" s="2" t="s">
        <v>103</v>
      </c>
      <c r="BF163">
        <v>128</v>
      </c>
    </row>
    <row r="164" spans="3:67" x14ac:dyDescent="0.3">
      <c r="BE164" s="2" t="s">
        <v>67</v>
      </c>
      <c r="BF164">
        <v>1233</v>
      </c>
    </row>
    <row r="173" spans="3:67" x14ac:dyDescent="0.3">
      <c r="BN173" s="1" t="s">
        <v>1</v>
      </c>
      <c r="BO173" t="s">
        <v>43</v>
      </c>
    </row>
    <row r="175" spans="3:67" x14ac:dyDescent="0.3">
      <c r="C175" s="1" t="s">
        <v>66</v>
      </c>
      <c r="D175" t="s">
        <v>116</v>
      </c>
      <c r="BE175" s="1" t="s">
        <v>1</v>
      </c>
      <c r="BF175" t="s">
        <v>43</v>
      </c>
      <c r="BN175" s="1" t="s">
        <v>66</v>
      </c>
      <c r="BO175" t="s">
        <v>68</v>
      </c>
    </row>
    <row r="176" spans="3:67" x14ac:dyDescent="0.3">
      <c r="C176" s="2" t="s">
        <v>54</v>
      </c>
      <c r="D176" s="14">
        <v>6.8702290076335881E-2</v>
      </c>
      <c r="BN176" s="2">
        <v>1</v>
      </c>
      <c r="BO176">
        <v>400</v>
      </c>
    </row>
    <row r="177" spans="3:67" x14ac:dyDescent="0.3">
      <c r="C177" s="2" t="s">
        <v>61</v>
      </c>
      <c r="D177" s="14">
        <v>0.23076923076923078</v>
      </c>
      <c r="BE177" s="1" t="s">
        <v>66</v>
      </c>
      <c r="BF177" t="s">
        <v>68</v>
      </c>
      <c r="BN177" s="2">
        <v>2</v>
      </c>
      <c r="BO177">
        <v>482</v>
      </c>
    </row>
    <row r="178" spans="3:67" x14ac:dyDescent="0.3">
      <c r="C178" s="2" t="s">
        <v>50</v>
      </c>
      <c r="D178" s="14">
        <v>0.23938223938223938</v>
      </c>
      <c r="BE178" s="2" t="s">
        <v>52</v>
      </c>
      <c r="BF178">
        <v>294</v>
      </c>
      <c r="BN178" s="2">
        <v>3</v>
      </c>
      <c r="BO178">
        <v>186</v>
      </c>
    </row>
    <row r="179" spans="3:67" x14ac:dyDescent="0.3">
      <c r="C179" s="2" t="s">
        <v>56</v>
      </c>
      <c r="D179" s="14">
        <v>4.9019607843137254E-2</v>
      </c>
      <c r="BE179" s="2" t="s">
        <v>48</v>
      </c>
      <c r="BF179">
        <v>589</v>
      </c>
      <c r="BN179" s="2">
        <v>4</v>
      </c>
      <c r="BO179">
        <v>101</v>
      </c>
    </row>
    <row r="180" spans="3:67" x14ac:dyDescent="0.3">
      <c r="C180" s="2" t="s">
        <v>53</v>
      </c>
      <c r="D180" s="14">
        <v>6.8965517241379309E-2</v>
      </c>
      <c r="BE180" s="2" t="s">
        <v>41</v>
      </c>
      <c r="BF180">
        <v>350</v>
      </c>
      <c r="BN180" s="2">
        <v>5</v>
      </c>
      <c r="BO180">
        <v>64</v>
      </c>
    </row>
    <row r="181" spans="3:67" x14ac:dyDescent="0.3">
      <c r="C181" s="2" t="s">
        <v>58</v>
      </c>
      <c r="D181" s="14">
        <v>2.5000000000000001E-2</v>
      </c>
      <c r="BE181" s="2" t="s">
        <v>67</v>
      </c>
      <c r="BF181">
        <v>1233</v>
      </c>
      <c r="BN181" s="2" t="s">
        <v>67</v>
      </c>
      <c r="BO181">
        <v>1233</v>
      </c>
    </row>
    <row r="182" spans="3:67" x14ac:dyDescent="0.3">
      <c r="C182" s="2" t="s">
        <v>47</v>
      </c>
      <c r="D182" s="14">
        <v>0.16095890410958905</v>
      </c>
    </row>
    <row r="183" spans="3:67" x14ac:dyDescent="0.3">
      <c r="C183" s="2" t="s">
        <v>40</v>
      </c>
      <c r="D183" s="14">
        <v>0.17484662576687116</v>
      </c>
    </row>
    <row r="184" spans="3:67" x14ac:dyDescent="0.3">
      <c r="C184" s="2" t="s">
        <v>57</v>
      </c>
      <c r="D184" s="14">
        <v>0.39759036144578314</v>
      </c>
    </row>
    <row r="185" spans="3:67" x14ac:dyDescent="0.3">
      <c r="C185" s="2" t="s">
        <v>67</v>
      </c>
      <c r="D185" s="14">
        <v>0.16122448979591836</v>
      </c>
    </row>
    <row r="187" spans="3:67" x14ac:dyDescent="0.3">
      <c r="BE187" s="1" t="s">
        <v>1</v>
      </c>
      <c r="BF187" t="s">
        <v>43</v>
      </c>
    </row>
    <row r="189" spans="3:67" x14ac:dyDescent="0.3">
      <c r="BE189" s="1" t="s">
        <v>66</v>
      </c>
      <c r="BF189" t="s">
        <v>68</v>
      </c>
    </row>
    <row r="190" spans="3:67" x14ac:dyDescent="0.3">
      <c r="BE190" s="2" t="s">
        <v>61</v>
      </c>
      <c r="BF190">
        <v>20</v>
      </c>
    </row>
    <row r="191" spans="3:67" x14ac:dyDescent="0.3">
      <c r="BE191" s="2" t="s">
        <v>38</v>
      </c>
      <c r="BF191">
        <v>517</v>
      </c>
    </row>
    <row r="192" spans="3:67" x14ac:dyDescent="0.3">
      <c r="BE192" s="2" t="s">
        <v>59</v>
      </c>
      <c r="BF192">
        <v>124</v>
      </c>
    </row>
    <row r="193" spans="3:71" x14ac:dyDescent="0.3">
      <c r="BE193" s="2" t="s">
        <v>51</v>
      </c>
      <c r="BF193">
        <v>401</v>
      </c>
    </row>
    <row r="194" spans="3:71" x14ac:dyDescent="0.3">
      <c r="BE194" s="2" t="s">
        <v>49</v>
      </c>
      <c r="BF194">
        <v>71</v>
      </c>
    </row>
    <row r="195" spans="3:71" x14ac:dyDescent="0.3">
      <c r="BE195" s="2" t="s">
        <v>60</v>
      </c>
      <c r="BF195">
        <v>100</v>
      </c>
    </row>
    <row r="196" spans="3:71" x14ac:dyDescent="0.3">
      <c r="BE196" s="2" t="s">
        <v>67</v>
      </c>
      <c r="BF196">
        <v>1233</v>
      </c>
    </row>
    <row r="197" spans="3:71" x14ac:dyDescent="0.3">
      <c r="C197" s="1" t="s">
        <v>66</v>
      </c>
      <c r="D197" t="s">
        <v>121</v>
      </c>
    </row>
    <row r="198" spans="3:71" x14ac:dyDescent="0.3">
      <c r="C198" s="2" t="s">
        <v>101</v>
      </c>
      <c r="D198">
        <v>1758</v>
      </c>
    </row>
    <row r="199" spans="3:71" x14ac:dyDescent="0.3">
      <c r="C199" s="2" t="s">
        <v>102</v>
      </c>
      <c r="D199">
        <v>3505</v>
      </c>
    </row>
    <row r="200" spans="3:71" x14ac:dyDescent="0.3">
      <c r="C200" s="2" t="s">
        <v>103</v>
      </c>
      <c r="D200">
        <v>1866</v>
      </c>
    </row>
    <row r="201" spans="3:71" x14ac:dyDescent="0.3">
      <c r="C201" s="2" t="s">
        <v>104</v>
      </c>
      <c r="D201">
        <v>3173</v>
      </c>
    </row>
    <row r="202" spans="3:71" x14ac:dyDescent="0.3">
      <c r="C202" s="2" t="s">
        <v>67</v>
      </c>
      <c r="D202">
        <v>10302</v>
      </c>
    </row>
    <row r="204" spans="3:71" x14ac:dyDescent="0.3">
      <c r="BS204" t="s">
        <v>108</v>
      </c>
    </row>
    <row r="247" spans="76:77" x14ac:dyDescent="0.3">
      <c r="BX247" s="1" t="s">
        <v>1</v>
      </c>
      <c r="BY247" t="s">
        <v>65</v>
      </c>
    </row>
    <row r="249" spans="76:77" x14ac:dyDescent="0.3">
      <c r="BX249" s="1" t="s">
        <v>66</v>
      </c>
      <c r="BY249" t="s">
        <v>68</v>
      </c>
    </row>
    <row r="250" spans="76:77" x14ac:dyDescent="0.3">
      <c r="BX250" s="2">
        <v>1</v>
      </c>
      <c r="BY250">
        <v>289</v>
      </c>
    </row>
    <row r="251" spans="76:77" x14ac:dyDescent="0.3">
      <c r="BX251" s="2">
        <v>2</v>
      </c>
      <c r="BY251">
        <v>280</v>
      </c>
    </row>
    <row r="252" spans="76:77" x14ac:dyDescent="0.3">
      <c r="BX252" s="2">
        <v>3</v>
      </c>
      <c r="BY252">
        <v>442</v>
      </c>
    </row>
    <row r="253" spans="76:77" x14ac:dyDescent="0.3">
      <c r="BX253" s="2">
        <v>4</v>
      </c>
      <c r="BY253">
        <v>459</v>
      </c>
    </row>
    <row r="254" spans="76:77" x14ac:dyDescent="0.3">
      <c r="BX254" s="2" t="s">
        <v>67</v>
      </c>
      <c r="BY254">
        <v>1470</v>
      </c>
    </row>
    <row r="260" spans="76:78" x14ac:dyDescent="0.3">
      <c r="BX260" s="6" t="s">
        <v>66</v>
      </c>
      <c r="BY260" s="6" t="s">
        <v>68</v>
      </c>
      <c r="BZ260" t="s">
        <v>110</v>
      </c>
    </row>
    <row r="261" spans="76:78" x14ac:dyDescent="0.3">
      <c r="BX261" s="2">
        <v>1</v>
      </c>
      <c r="BY261">
        <v>289</v>
      </c>
      <c r="BZ261">
        <f>GETPIVOTDATA("EmployeeCount",$BX$249,"JobSatisfaction",1)</f>
        <v>289</v>
      </c>
    </row>
    <row r="262" spans="76:78" x14ac:dyDescent="0.3">
      <c r="BX262" s="2">
        <v>2</v>
      </c>
      <c r="BY262">
        <v>280</v>
      </c>
      <c r="BZ262">
        <f>GETPIVOTDATA("EmployeeCount",$BX$249,"JobSatisfaction",2)</f>
        <v>280</v>
      </c>
    </row>
    <row r="263" spans="76:78" x14ac:dyDescent="0.3">
      <c r="BX263" s="2">
        <v>3</v>
      </c>
      <c r="BY263">
        <v>442</v>
      </c>
      <c r="BZ263">
        <f>GETPIVOTDATA("EmployeeCount",$BX$249,"JobSatisfaction",3)</f>
        <v>442</v>
      </c>
    </row>
    <row r="264" spans="76:78" x14ac:dyDescent="0.3">
      <c r="BX264" s="2">
        <v>4</v>
      </c>
      <c r="BY264">
        <v>459</v>
      </c>
      <c r="BZ264">
        <f>GETPIVOTDATA("EmployeeCount",$BX$249,"JobSatisfaction",4)</f>
        <v>459</v>
      </c>
    </row>
    <row r="265" spans="76:78" x14ac:dyDescent="0.3">
      <c r="BX265" s="7" t="s">
        <v>67</v>
      </c>
      <c r="BY265" s="8">
        <v>1470</v>
      </c>
    </row>
    <row r="281" spans="77:77" x14ac:dyDescent="0.3">
      <c r="BY281">
        <f>COUNTIF(Sheet1!B2:B1471,"*Yes*")</f>
        <v>0</v>
      </c>
    </row>
    <row r="282" spans="77:77" x14ac:dyDescent="0.3">
      <c r="BY282">
        <f>D8</f>
        <v>1470</v>
      </c>
    </row>
  </sheetData>
  <pageMargins left="0.7" right="0.7" top="0.75" bottom="0.75" header="0.3" footer="0.3"/>
  <pageSetup orientation="portrait" r:id="rId42"/>
  <drawing r:id="rId4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4398C-C4F6-47B2-8D4D-6121A9626EE0}">
  <sheetPr codeName="Sheet4"/>
  <dimension ref="A1:Z35"/>
  <sheetViews>
    <sheetView showGridLines="0" zoomScaleNormal="100" workbookViewId="0">
      <selection activeCell="N35" sqref="N35"/>
    </sheetView>
  </sheetViews>
  <sheetFormatPr defaultRowHeight="14.4" x14ac:dyDescent="0.3"/>
  <cols>
    <col min="1" max="16384" width="8.88671875" style="9"/>
  </cols>
  <sheetData>
    <row r="1" spans="1:26" x14ac:dyDescent="0.3">
      <c r="A1" s="11"/>
      <c r="B1" s="11"/>
      <c r="C1" s="11"/>
      <c r="D1" s="11"/>
      <c r="E1" s="11"/>
      <c r="F1" s="11"/>
      <c r="G1" s="11"/>
      <c r="H1" s="11"/>
      <c r="I1" s="11"/>
      <c r="J1" s="11"/>
      <c r="K1" s="11"/>
      <c r="L1" s="11"/>
      <c r="M1" s="11"/>
      <c r="N1" s="11"/>
      <c r="O1" s="11"/>
      <c r="P1" s="11"/>
      <c r="Q1" s="11"/>
      <c r="R1" s="11"/>
      <c r="S1" s="11"/>
      <c r="T1" s="11"/>
      <c r="U1" s="11"/>
      <c r="V1" s="11"/>
      <c r="W1" s="11"/>
      <c r="X1" s="11"/>
      <c r="Y1" s="10"/>
      <c r="Z1" s="10"/>
    </row>
    <row r="2" spans="1:26" x14ac:dyDescent="0.3">
      <c r="A2" s="11"/>
      <c r="B2" s="11"/>
      <c r="C2" s="11"/>
      <c r="D2" s="11"/>
      <c r="E2" s="11"/>
      <c r="F2" s="11"/>
      <c r="G2" s="11"/>
      <c r="H2" s="11"/>
      <c r="I2" s="11"/>
      <c r="J2" s="11"/>
      <c r="K2" s="11"/>
      <c r="L2" s="11"/>
      <c r="M2" s="11"/>
      <c r="N2" s="11"/>
      <c r="O2" s="11"/>
      <c r="P2" s="11"/>
      <c r="Q2" s="11"/>
      <c r="R2" s="11"/>
      <c r="S2" s="11"/>
      <c r="T2" s="11"/>
      <c r="U2" s="11"/>
      <c r="V2" s="11"/>
      <c r="W2" s="11"/>
      <c r="X2" s="11"/>
      <c r="Y2" s="10"/>
      <c r="Z2" s="10"/>
    </row>
    <row r="3" spans="1:26" x14ac:dyDescent="0.3">
      <c r="A3" s="11"/>
      <c r="B3" s="11"/>
      <c r="C3" s="11"/>
      <c r="D3" s="11"/>
      <c r="E3" s="11"/>
      <c r="F3" s="11"/>
      <c r="G3" s="11"/>
      <c r="H3" s="11"/>
      <c r="I3" s="11"/>
      <c r="J3" s="11"/>
      <c r="K3" s="11"/>
      <c r="L3" s="11"/>
      <c r="M3" s="11"/>
      <c r="N3" s="11"/>
      <c r="O3" s="11"/>
      <c r="P3" s="11"/>
      <c r="Q3" s="11"/>
      <c r="R3" s="11"/>
      <c r="S3" s="11"/>
      <c r="T3" s="11"/>
      <c r="U3" s="11"/>
      <c r="V3" s="11"/>
      <c r="W3" s="11"/>
      <c r="X3" s="11"/>
      <c r="Y3" s="10"/>
      <c r="Z3" s="10"/>
    </row>
    <row r="4" spans="1:26" x14ac:dyDescent="0.3">
      <c r="A4" s="11"/>
      <c r="B4" s="11"/>
      <c r="C4" s="11"/>
      <c r="D4" s="11"/>
      <c r="E4" s="11"/>
      <c r="F4" s="11"/>
      <c r="G4" s="11"/>
      <c r="H4" s="11"/>
      <c r="I4" s="11"/>
      <c r="J4" s="11"/>
      <c r="K4" s="11"/>
      <c r="L4" s="11"/>
      <c r="M4" s="11"/>
      <c r="N4" s="11"/>
      <c r="O4" s="11"/>
      <c r="P4" s="11"/>
      <c r="Q4" s="11"/>
      <c r="R4" s="11"/>
      <c r="S4" s="11"/>
      <c r="T4" s="11"/>
      <c r="U4" s="11"/>
      <c r="V4" s="11"/>
      <c r="W4" s="11"/>
      <c r="X4" s="11"/>
      <c r="Y4" s="10"/>
      <c r="Z4" s="10"/>
    </row>
    <row r="5" spans="1:26" x14ac:dyDescent="0.3">
      <c r="A5" s="11"/>
      <c r="B5" s="11"/>
      <c r="C5" s="11"/>
      <c r="D5" s="11"/>
      <c r="E5" s="11"/>
      <c r="F5" s="11"/>
      <c r="G5" s="11"/>
      <c r="H5" s="11"/>
      <c r="I5" s="11"/>
      <c r="J5" s="11"/>
      <c r="K5" s="11"/>
      <c r="L5" s="11"/>
      <c r="M5" s="11"/>
      <c r="N5" s="11"/>
      <c r="O5" s="11"/>
      <c r="P5" s="11"/>
      <c r="Q5" s="11"/>
      <c r="R5" s="11"/>
      <c r="S5" s="11"/>
      <c r="T5" s="11"/>
      <c r="U5" s="11"/>
      <c r="V5" s="11"/>
      <c r="W5" s="11"/>
      <c r="X5" s="11"/>
      <c r="Y5" s="10"/>
      <c r="Z5" s="10"/>
    </row>
    <row r="6" spans="1:26" x14ac:dyDescent="0.3">
      <c r="A6" s="11"/>
      <c r="B6" s="11"/>
      <c r="C6" s="11"/>
      <c r="D6" s="11"/>
      <c r="E6" s="11"/>
      <c r="F6" s="11"/>
      <c r="G6" s="11"/>
      <c r="H6" s="11"/>
      <c r="I6" s="11"/>
      <c r="J6" s="11"/>
      <c r="K6" s="11"/>
      <c r="L6" s="11"/>
      <c r="M6" s="11"/>
      <c r="N6" s="11"/>
      <c r="O6" s="11"/>
      <c r="P6" s="11"/>
      <c r="Q6" s="11"/>
      <c r="R6" s="11"/>
      <c r="S6" s="11"/>
      <c r="T6" s="11"/>
      <c r="U6" s="11"/>
      <c r="V6" s="11"/>
      <c r="W6" s="11"/>
      <c r="X6" s="11"/>
      <c r="Y6" s="10"/>
      <c r="Z6" s="10"/>
    </row>
    <row r="7" spans="1:26" x14ac:dyDescent="0.3">
      <c r="A7" s="11"/>
      <c r="B7" s="11"/>
      <c r="C7" s="11"/>
      <c r="D7" s="11"/>
      <c r="E7" s="11"/>
      <c r="F7" s="11"/>
      <c r="G7" s="11"/>
      <c r="H7" s="11"/>
      <c r="I7" s="11"/>
      <c r="J7" s="11"/>
      <c r="K7" s="11"/>
      <c r="L7" s="11"/>
      <c r="M7" s="11"/>
      <c r="N7" s="11"/>
      <c r="O7" s="11"/>
      <c r="P7" s="11"/>
      <c r="Q7" s="11"/>
      <c r="R7" s="11"/>
      <c r="S7" s="11"/>
      <c r="T7" s="11"/>
      <c r="U7" s="11"/>
      <c r="V7" s="11"/>
      <c r="W7" s="11"/>
      <c r="X7" s="11"/>
      <c r="Y7" s="10"/>
      <c r="Z7" s="10"/>
    </row>
    <row r="8" spans="1:26" x14ac:dyDescent="0.3">
      <c r="A8" s="11"/>
      <c r="B8" s="11"/>
      <c r="C8" s="11"/>
      <c r="D8" s="11"/>
      <c r="E8" s="11"/>
      <c r="F8" s="11"/>
      <c r="G8" s="11"/>
      <c r="H8" s="11"/>
      <c r="I8" s="11"/>
      <c r="J8" s="11"/>
      <c r="K8" s="11"/>
      <c r="L8" s="11"/>
      <c r="M8" s="11"/>
      <c r="N8" s="11"/>
      <c r="O8" s="11"/>
      <c r="P8" s="11"/>
      <c r="Q8" s="11"/>
      <c r="R8" s="11"/>
      <c r="S8" s="11"/>
      <c r="T8" s="11"/>
      <c r="U8" s="11"/>
      <c r="V8" s="11"/>
      <c r="W8" s="11"/>
      <c r="X8" s="11"/>
      <c r="Y8" s="10"/>
      <c r="Z8" s="10"/>
    </row>
    <row r="9" spans="1:26" x14ac:dyDescent="0.3">
      <c r="A9" s="11"/>
      <c r="B9" s="11"/>
      <c r="C9" s="11"/>
      <c r="D9" s="11"/>
      <c r="E9" s="11"/>
      <c r="F9" s="11"/>
      <c r="G9" s="11"/>
      <c r="H9" s="11"/>
      <c r="I9" s="11"/>
      <c r="J9" s="11"/>
      <c r="K9" s="11"/>
      <c r="L9" s="11"/>
      <c r="M9" s="11"/>
      <c r="N9" s="11"/>
      <c r="O9" s="11"/>
      <c r="P9" s="11"/>
      <c r="Q9" s="11"/>
      <c r="R9" s="11"/>
      <c r="S9" s="11"/>
      <c r="T9" s="11"/>
      <c r="U9" s="11"/>
      <c r="V9" s="11"/>
      <c r="W9" s="11"/>
      <c r="X9" s="11"/>
      <c r="Y9" s="10"/>
      <c r="Z9" s="10"/>
    </row>
    <row r="10" spans="1:26" x14ac:dyDescent="0.3">
      <c r="A10" s="11"/>
      <c r="B10" s="11"/>
      <c r="C10" s="11" t="s">
        <v>111</v>
      </c>
      <c r="D10" s="11"/>
      <c r="E10" s="11"/>
      <c r="F10" s="11"/>
      <c r="G10" s="11"/>
      <c r="H10" s="11"/>
      <c r="I10" s="11"/>
      <c r="J10" s="11"/>
      <c r="K10" s="11"/>
      <c r="L10" s="11"/>
      <c r="M10" s="11"/>
      <c r="N10" s="11"/>
      <c r="O10" s="11"/>
      <c r="P10" s="11"/>
      <c r="Q10" s="11"/>
      <c r="R10" s="11"/>
      <c r="S10" s="11"/>
      <c r="T10" s="11"/>
      <c r="U10" s="11"/>
      <c r="V10" s="11"/>
      <c r="W10" s="11"/>
      <c r="X10" s="11"/>
      <c r="Y10" s="10"/>
      <c r="Z10" s="10"/>
    </row>
    <row r="11" spans="1:26"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0"/>
      <c r="Z11" s="10"/>
    </row>
    <row r="12" spans="1:26" x14ac:dyDescent="0.3">
      <c r="A12" s="11"/>
      <c r="B12" s="11"/>
      <c r="C12" s="11" t="s">
        <v>112</v>
      </c>
      <c r="D12" s="11"/>
      <c r="E12" s="11"/>
      <c r="F12" s="11"/>
      <c r="G12" s="11"/>
      <c r="H12" s="11"/>
      <c r="I12" s="11"/>
      <c r="J12" s="11"/>
      <c r="K12" s="11"/>
      <c r="L12" s="11"/>
      <c r="M12" s="11"/>
      <c r="N12" s="11"/>
      <c r="O12" s="11"/>
      <c r="P12" s="11"/>
      <c r="Q12" s="11"/>
      <c r="R12" s="11"/>
      <c r="S12" s="11"/>
      <c r="T12" s="11"/>
      <c r="U12" s="11"/>
      <c r="V12" s="11"/>
      <c r="W12" s="11"/>
      <c r="X12" s="11"/>
      <c r="Y12" s="10"/>
      <c r="Z12" s="10"/>
    </row>
    <row r="13" spans="1:26"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0"/>
      <c r="Z13" s="10"/>
    </row>
    <row r="14" spans="1:26"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0"/>
      <c r="Z14" s="10"/>
    </row>
    <row r="15" spans="1:26"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0"/>
      <c r="Z15" s="10"/>
    </row>
    <row r="16" spans="1:26"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0"/>
      <c r="Z16" s="10"/>
    </row>
    <row r="17" spans="1:26"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0"/>
      <c r="Z17" s="10"/>
    </row>
    <row r="18" spans="1:26"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0"/>
      <c r="Z18" s="10"/>
    </row>
    <row r="19" spans="1:26"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0"/>
      <c r="Z19" s="10"/>
    </row>
    <row r="20" spans="1:26"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0"/>
      <c r="Z20" s="10"/>
    </row>
    <row r="21" spans="1:26"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0"/>
      <c r="Z21" s="10"/>
    </row>
    <row r="22" spans="1:26"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0"/>
      <c r="Z22" s="10"/>
    </row>
    <row r="23" spans="1:26"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0"/>
      <c r="Z23" s="10"/>
    </row>
    <row r="24" spans="1:26"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0"/>
      <c r="Z24" s="10"/>
    </row>
    <row r="25" spans="1:26"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0"/>
      <c r="Z25" s="10"/>
    </row>
    <row r="26" spans="1:26"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0"/>
      <c r="Z26" s="10"/>
    </row>
    <row r="27" spans="1:26"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0"/>
      <c r="Z27" s="10"/>
    </row>
    <row r="28" spans="1:26"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0"/>
      <c r="Z28" s="10"/>
    </row>
    <row r="29" spans="1:26"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0"/>
      <c r="Z29" s="10"/>
    </row>
    <row r="30" spans="1:26" x14ac:dyDescent="0.3">
      <c r="A30" s="13"/>
      <c r="B30" s="11"/>
      <c r="C30" s="11"/>
      <c r="D30" s="11"/>
      <c r="E30" s="11"/>
      <c r="F30" s="11"/>
      <c r="G30" s="11"/>
      <c r="H30" s="11"/>
      <c r="I30" s="11"/>
      <c r="J30" s="11"/>
      <c r="K30" s="11"/>
      <c r="L30" s="11"/>
      <c r="M30" s="11"/>
      <c r="N30" s="11"/>
      <c r="O30" s="11"/>
      <c r="P30" s="13"/>
      <c r="Q30" s="11"/>
      <c r="R30" s="11"/>
      <c r="S30" s="11"/>
      <c r="T30" s="11"/>
      <c r="U30" s="11"/>
      <c r="V30" s="11"/>
      <c r="W30" s="11"/>
      <c r="X30" s="11"/>
      <c r="Y30" s="10"/>
      <c r="Z30" s="10"/>
    </row>
    <row r="31" spans="1:26"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0"/>
      <c r="Z31" s="10"/>
    </row>
    <row r="32" spans="1:26"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0"/>
      <c r="Z32" s="10"/>
    </row>
    <row r="33" spans="1:26" x14ac:dyDescent="0.3">
      <c r="A33"/>
      <c r="B33" s="11"/>
      <c r="C33" s="11"/>
      <c r="D33" s="11"/>
      <c r="E33" s="11"/>
      <c r="F33" s="11"/>
      <c r="G33" s="11"/>
      <c r="H33" s="11"/>
      <c r="I33" s="11"/>
      <c r="J33" s="11"/>
      <c r="K33" s="11"/>
      <c r="L33" s="11"/>
      <c r="M33" s="11"/>
      <c r="N33" s="11"/>
      <c r="O33" s="11"/>
      <c r="P33" s="11"/>
      <c r="Q33" s="11"/>
      <c r="R33" s="11"/>
      <c r="S33" s="11"/>
      <c r="T33" s="11"/>
      <c r="U33" s="11"/>
      <c r="V33" s="11"/>
      <c r="W33" s="11"/>
      <c r="X33" s="11"/>
      <c r="Y33" s="10"/>
      <c r="Z33" s="10"/>
    </row>
    <row r="34" spans="1:26"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6"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1B598-EDC0-479B-9E2F-A6D4B6274341}">
  <dimension ref="A1"/>
  <sheetViews>
    <sheetView showGridLines="0" zoomScale="25"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B3D969-9E5F-41E5-967D-122FE2FED6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HR-Employee-Attrition</vt:lpstr>
      <vt:lpstr>Sheet1</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Vidya T P</dc:creator>
  <cp:lastModifiedBy>Vidya T P</cp:lastModifiedBy>
  <dcterms:created xsi:type="dcterms:W3CDTF">2026-07-01T04:32:42Z</dcterms:created>
  <dcterms:modified xsi:type="dcterms:W3CDTF">2026-09-28T05:54:50Z</dcterms:modified>
</cp:coreProperties>
</file>